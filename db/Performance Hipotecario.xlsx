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interbankpe-my.sharepoint.com/personal/gsegovia_intercorp_com_pe/Documents/Documentos/BASES_PERFORMANCE_reproceso/"/>
    </mc:Choice>
  </mc:AlternateContent>
  <xr:revisionPtr revIDLastSave="190" documentId="11_F9AA9599DACE8B8D9DA1FC8D277E971DCE36625E" xr6:coauthVersionLast="47" xr6:coauthVersionMax="47" xr10:uidLastSave="{E3E30D8B-FBEC-4910-B094-E8F00E6CECF1}"/>
  <bookViews>
    <workbookView xWindow="2160" yWindow="2160" windowWidth="15375" windowHeight="7875" tabRatio="849" firstSheet="1" activeTab="1" xr2:uid="{A83978E9-C8B6-41F5-B1B4-A5FA74D30F2A}"/>
  </bookViews>
  <sheets>
    <sheet name="Parametros" sheetId="2" state="hidden" r:id="rId1"/>
    <sheet name="Total_Producto_CHECK" sheetId="14" r:id="rId2"/>
    <sheet name="Desempeño_Financiero" sheetId="12" r:id="rId3"/>
    <sheet name="Indicadores" sheetId="13" r:id="rId4"/>
    <sheet name="Evolutivos--&gt;" sheetId="11" r:id="rId5"/>
    <sheet name="Total_Producto" sheetId="10" r:id="rId6"/>
    <sheet name="Renta_Alta" sheetId="1" r:id="rId7"/>
    <sheet name="Masivo" sheetId="8" r:id="rId8"/>
    <sheet name="Consumo_Inicial" sheetId="9" r:id="rId9"/>
    <sheet name="TDinamica_R" sheetId="3" r:id="rId10"/>
    <sheet name="TDinamica_P" sheetId="16" r:id="rId11"/>
  </sheets>
  <externalReferences>
    <externalReference r:id="rId12"/>
  </externalReferences>
  <calcPr calcId="191029"/>
  <pivotCaches>
    <pivotCache cacheId="10" r:id="rId13"/>
    <pivotCache cacheId="11" r:id="rId1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3" i="14" l="1"/>
  <c r="BJ3" i="14"/>
  <c r="BI3" i="14"/>
  <c r="BH3" i="14"/>
  <c r="BG3" i="14"/>
  <c r="BF3" i="14"/>
  <c r="BE3" i="14"/>
  <c r="BD3" i="14"/>
  <c r="BC3" i="14"/>
  <c r="BB3" i="14"/>
  <c r="BA3" i="14"/>
  <c r="AZ3" i="14"/>
  <c r="AY3" i="14"/>
  <c r="AX3" i="14"/>
  <c r="AW3" i="14"/>
  <c r="AV3" i="14"/>
  <c r="AU3" i="14"/>
  <c r="AT3" i="14"/>
  <c r="AS3" i="14"/>
  <c r="AR3" i="14"/>
  <c r="AQ3" i="14"/>
  <c r="AP3" i="14"/>
  <c r="AO3" i="14"/>
  <c r="AN3" i="14"/>
  <c r="AM3" i="14"/>
  <c r="AL3" i="14"/>
  <c r="AK3" i="14"/>
  <c r="AJ3" i="14"/>
  <c r="AI3" i="14"/>
  <c r="AH3" i="14"/>
  <c r="AG3" i="14"/>
  <c r="AF3" i="14"/>
  <c r="AE3" i="14"/>
  <c r="AD3" i="14"/>
  <c r="AC3" i="14"/>
  <c r="AB3" i="14"/>
  <c r="AA3" i="14"/>
  <c r="Z3" i="14"/>
  <c r="Y3" i="14"/>
  <c r="X3" i="14"/>
  <c r="W3" i="14"/>
  <c r="V3" i="14"/>
  <c r="U3" i="14"/>
  <c r="T3" i="14"/>
  <c r="S3" i="14"/>
  <c r="R3" i="14"/>
  <c r="Q3" i="14"/>
  <c r="P3" i="14"/>
  <c r="O3" i="14"/>
  <c r="N3" i="14"/>
  <c r="M3" i="14"/>
  <c r="L3" i="14"/>
  <c r="K3" i="14"/>
  <c r="J3" i="14"/>
  <c r="I3" i="14"/>
  <c r="H3" i="14"/>
  <c r="G3" i="14"/>
  <c r="F3" i="14"/>
  <c r="E3" i="14"/>
  <c r="D3" i="14"/>
  <c r="BK3" i="1"/>
  <c r="BJ3" i="1"/>
  <c r="BI3" i="1"/>
  <c r="BH3" i="1"/>
  <c r="BG3" i="1"/>
  <c r="BF3" i="1"/>
  <c r="BE3" i="1"/>
  <c r="BD3" i="1"/>
  <c r="BC3" i="1"/>
  <c r="BB3" i="1"/>
  <c r="BA3" i="1"/>
  <c r="AZ3" i="1"/>
  <c r="AY3" i="1"/>
  <c r="AX3" i="1"/>
  <c r="AW3" i="1"/>
  <c r="AV3" i="1"/>
  <c r="AU3" i="1"/>
  <c r="AT3" i="1"/>
  <c r="AS3" i="1"/>
  <c r="AR3" i="1"/>
  <c r="AQ3" i="1"/>
  <c r="AP3" i="1"/>
  <c r="AO3" i="1"/>
  <c r="AN3" i="1"/>
  <c r="AM3" i="1"/>
  <c r="AL3" i="1"/>
  <c r="AK3" i="1"/>
  <c r="AJ3" i="1"/>
  <c r="AI3" i="1"/>
  <c r="AH3" i="1"/>
  <c r="AG3" i="1"/>
  <c r="AF3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BK3" i="8"/>
  <c r="BJ3" i="8"/>
  <c r="BI3" i="8"/>
  <c r="BH3" i="8"/>
  <c r="BG3" i="8"/>
  <c r="BF3" i="8"/>
  <c r="BE3" i="8"/>
  <c r="BD3" i="8"/>
  <c r="BC3" i="8"/>
  <c r="BB3" i="8"/>
  <c r="BA3" i="8"/>
  <c r="AZ3" i="8"/>
  <c r="AY3" i="8"/>
  <c r="AX3" i="8"/>
  <c r="AW3" i="8"/>
  <c r="AV3" i="8"/>
  <c r="AU3" i="8"/>
  <c r="AT3" i="8"/>
  <c r="AS3" i="8"/>
  <c r="AR3" i="8"/>
  <c r="AQ3" i="8"/>
  <c r="AP3" i="8"/>
  <c r="AO3" i="8"/>
  <c r="AN3" i="8"/>
  <c r="AM3" i="8"/>
  <c r="AL3" i="8"/>
  <c r="AK3" i="8"/>
  <c r="AJ3" i="8"/>
  <c r="AI3" i="8"/>
  <c r="AH3" i="8"/>
  <c r="AG3" i="8"/>
  <c r="AF3" i="8"/>
  <c r="AE3" i="8"/>
  <c r="AD3" i="8"/>
  <c r="AC3" i="8"/>
  <c r="AB3" i="8"/>
  <c r="AA3" i="8"/>
  <c r="Z3" i="8"/>
  <c r="Y3" i="8"/>
  <c r="X3" i="8"/>
  <c r="W3" i="8"/>
  <c r="V3" i="8"/>
  <c r="U3" i="8"/>
  <c r="T3" i="8"/>
  <c r="S3" i="8"/>
  <c r="R3" i="8"/>
  <c r="Q3" i="8"/>
  <c r="P3" i="8"/>
  <c r="O3" i="8"/>
  <c r="N3" i="8"/>
  <c r="M3" i="8"/>
  <c r="L3" i="8"/>
  <c r="K3" i="8"/>
  <c r="J3" i="8"/>
  <c r="I3" i="8"/>
  <c r="H3" i="8"/>
  <c r="G3" i="8"/>
  <c r="F3" i="8"/>
  <c r="E3" i="8"/>
  <c r="BK3" i="9"/>
  <c r="BJ3" i="9"/>
  <c r="BI3" i="9"/>
  <c r="BH3" i="9"/>
  <c r="BG3" i="9"/>
  <c r="BF3" i="9"/>
  <c r="BE3" i="9"/>
  <c r="BD3" i="9"/>
  <c r="BC3" i="9"/>
  <c r="BB3" i="9"/>
  <c r="BA3" i="9"/>
  <c r="AZ3" i="9"/>
  <c r="AY3" i="9"/>
  <c r="AX3" i="9"/>
  <c r="AW3" i="9"/>
  <c r="AV3" i="9"/>
  <c r="AU3" i="9"/>
  <c r="AT3" i="9"/>
  <c r="AS3" i="9"/>
  <c r="AR3" i="9"/>
  <c r="AQ3" i="9"/>
  <c r="AP3" i="9"/>
  <c r="AO3" i="9"/>
  <c r="AN3" i="9"/>
  <c r="AM3" i="9"/>
  <c r="AL3" i="9"/>
  <c r="AK3" i="9"/>
  <c r="AJ3" i="9"/>
  <c r="AI3" i="9"/>
  <c r="AH3" i="9"/>
  <c r="AG3" i="9"/>
  <c r="AF3" i="9"/>
  <c r="AE3" i="9"/>
  <c r="AD3" i="9"/>
  <c r="AC3" i="9"/>
  <c r="AB3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BK3" i="10"/>
  <c r="BJ3" i="10"/>
  <c r="BI3" i="10"/>
  <c r="BH3" i="10"/>
  <c r="BG3" i="10"/>
  <c r="BF3" i="10"/>
  <c r="BE3" i="10"/>
  <c r="BD3" i="10"/>
  <c r="BC3" i="10"/>
  <c r="BB3" i="10"/>
  <c r="BA3" i="10"/>
  <c r="AZ3" i="10"/>
  <c r="AY3" i="10"/>
  <c r="AX3" i="10"/>
  <c r="AW3" i="10"/>
  <c r="AV3" i="10"/>
  <c r="AU3" i="10"/>
  <c r="AT3" i="10"/>
  <c r="AS3" i="10"/>
  <c r="AR3" i="10"/>
  <c r="AQ3" i="10"/>
  <c r="AP3" i="10"/>
  <c r="AO3" i="10"/>
  <c r="AN3" i="10"/>
  <c r="AM3" i="10"/>
  <c r="AL3" i="10"/>
  <c r="AK3" i="10"/>
  <c r="AJ3" i="10"/>
  <c r="AI3" i="10"/>
  <c r="AH3" i="10"/>
  <c r="AG3" i="10"/>
  <c r="AF3" i="10"/>
  <c r="AE3" i="10"/>
  <c r="AD3" i="10"/>
  <c r="AC3" i="10"/>
  <c r="AB3" i="10"/>
  <c r="AA3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J3" i="10"/>
  <c r="I3" i="10"/>
  <c r="H3" i="10"/>
  <c r="G3" i="10"/>
  <c r="F3" i="10"/>
  <c r="E3" i="10"/>
  <c r="D3" i="1"/>
  <c r="D3" i="8"/>
  <c r="D3" i="9"/>
  <c r="D3" i="10"/>
  <c r="BO6" i="14"/>
  <c r="BQ6" i="14"/>
  <c r="BY6" i="14" s="1"/>
  <c r="BR6" i="14"/>
  <c r="BZ6" i="14" s="1"/>
  <c r="BS6" i="14"/>
  <c r="CA6" i="14" s="1"/>
  <c r="BT6" i="14"/>
  <c r="CB6" i="14" s="1"/>
  <c r="BW6" i="14"/>
  <c r="B3" i="13"/>
  <c r="W6" i="12"/>
  <c r="D6" i="12"/>
  <c r="BO6" i="10"/>
  <c r="BO2" i="10" s="1"/>
  <c r="BO6" i="9"/>
  <c r="BO2" i="9" s="1"/>
  <c r="BO6" i="8"/>
  <c r="BO2" i="8" s="1"/>
  <c r="BO6" i="1"/>
  <c r="BW6" i="1" s="1"/>
  <c r="C7" i="2"/>
  <c r="C8" i="2" s="1"/>
  <c r="C9" i="2" s="1"/>
  <c r="C10" i="2" s="1"/>
  <c r="C11" i="2" s="1"/>
  <c r="C12" i="2" s="1"/>
  <c r="C13" i="2" s="1"/>
  <c r="C14" i="2" s="1"/>
  <c r="C15" i="2" s="1"/>
  <c r="C16" i="2" s="1"/>
  <c r="C17" i="2" s="1"/>
  <c r="C6" i="2"/>
  <c r="C3" i="13" l="1"/>
  <c r="P3" i="13" s="1"/>
  <c r="D3" i="12"/>
  <c r="BP6" i="14"/>
  <c r="BO2" i="14"/>
  <c r="BQ2" i="14"/>
  <c r="BR2" i="14"/>
  <c r="BS2" i="14"/>
  <c r="BT2" i="14"/>
  <c r="AB6" i="12"/>
  <c r="AH6" i="12" s="1"/>
  <c r="AN6" i="12" s="1"/>
  <c r="AA6" i="12"/>
  <c r="AG6" i="12" s="1"/>
  <c r="AM6" i="12" s="1"/>
  <c r="Z6" i="12"/>
  <c r="AF6" i="12" s="1"/>
  <c r="AL6" i="12" s="1"/>
  <c r="Y6" i="12"/>
  <c r="AE6" i="12" s="1"/>
  <c r="AK6" i="12" s="1"/>
  <c r="E6" i="12"/>
  <c r="E3" i="12" s="1"/>
  <c r="H6" i="12"/>
  <c r="H3" i="12" s="1"/>
  <c r="G6" i="12"/>
  <c r="X6" i="12"/>
  <c r="AD6" i="12" s="1"/>
  <c r="AJ6" i="12" s="1"/>
  <c r="N6" i="12"/>
  <c r="T6" i="12" s="1"/>
  <c r="E4" i="12"/>
  <c r="D4" i="12"/>
  <c r="I6" i="12"/>
  <c r="I3" i="12" s="1"/>
  <c r="F6" i="12"/>
  <c r="F3" i="12" s="1"/>
  <c r="BW6" i="10"/>
  <c r="BS6" i="10"/>
  <c r="BT6" i="10"/>
  <c r="BP6" i="10"/>
  <c r="BR6" i="10"/>
  <c r="BQ6" i="10"/>
  <c r="BO3" i="10"/>
  <c r="BO4" i="10"/>
  <c r="BR6" i="9"/>
  <c r="BP6" i="9"/>
  <c r="BW6" i="9"/>
  <c r="BS6" i="9"/>
  <c r="BQ6" i="9"/>
  <c r="BT6" i="9"/>
  <c r="BO4" i="9"/>
  <c r="BO3" i="9"/>
  <c r="BQ6" i="8"/>
  <c r="BT6" i="8"/>
  <c r="BW6" i="8"/>
  <c r="BS6" i="8"/>
  <c r="BP6" i="8"/>
  <c r="BR6" i="8"/>
  <c r="BO4" i="8"/>
  <c r="BO3" i="8"/>
  <c r="BO2" i="1"/>
  <c r="BT6" i="1"/>
  <c r="CB6" i="1" s="1"/>
  <c r="BS6" i="1"/>
  <c r="CA6" i="1" s="1"/>
  <c r="BR6" i="1"/>
  <c r="BZ6" i="1" s="1"/>
  <c r="BQ6" i="1"/>
  <c r="BY6" i="1" s="1"/>
  <c r="BP6" i="1"/>
  <c r="BX6" i="1" s="1"/>
  <c r="BX6" i="14" l="1"/>
  <c r="BP2" i="14"/>
  <c r="BP4" i="14" s="1"/>
  <c r="BO3" i="14"/>
  <c r="BO4" i="14"/>
  <c r="F3" i="13"/>
  <c r="G3" i="12"/>
  <c r="BQ4" i="14"/>
  <c r="BQ3" i="14"/>
  <c r="BR4" i="14"/>
  <c r="BR3" i="14"/>
  <c r="BS4" i="14"/>
  <c r="BS3" i="14"/>
  <c r="BT4" i="14"/>
  <c r="BT3" i="14"/>
  <c r="L3" i="13"/>
  <c r="S3" i="13"/>
  <c r="Y3" i="13" s="1"/>
  <c r="K6" i="12"/>
  <c r="Q6" i="12" s="1"/>
  <c r="D3" i="13"/>
  <c r="H4" i="12"/>
  <c r="G3" i="13"/>
  <c r="O6" i="12"/>
  <c r="U6" i="12" s="1"/>
  <c r="H3" i="13"/>
  <c r="L6" i="12"/>
  <c r="R6" i="12" s="1"/>
  <c r="E3" i="13"/>
  <c r="M6" i="12"/>
  <c r="S6" i="12" s="1"/>
  <c r="G4" i="12"/>
  <c r="I4" i="12"/>
  <c r="F4" i="12"/>
  <c r="CA6" i="10"/>
  <c r="BS2" i="10"/>
  <c r="CB6" i="10"/>
  <c r="BT2" i="10"/>
  <c r="BP2" i="10"/>
  <c r="BX6" i="10"/>
  <c r="BZ6" i="10"/>
  <c r="BR2" i="10"/>
  <c r="BY6" i="10"/>
  <c r="BQ2" i="10"/>
  <c r="BZ6" i="9"/>
  <c r="BR2" i="9"/>
  <c r="BP2" i="9"/>
  <c r="BX6" i="9"/>
  <c r="CA6" i="9"/>
  <c r="BS2" i="9"/>
  <c r="BY6" i="9"/>
  <c r="BQ2" i="9"/>
  <c r="CB6" i="9"/>
  <c r="BT2" i="9"/>
  <c r="BY6" i="8"/>
  <c r="BQ2" i="8"/>
  <c r="CB6" i="8"/>
  <c r="BT2" i="8"/>
  <c r="CA6" i="8"/>
  <c r="BS2" i="8"/>
  <c r="BX6" i="8"/>
  <c r="BP2" i="8"/>
  <c r="BR2" i="8"/>
  <c r="BZ6" i="8"/>
  <c r="BO3" i="1"/>
  <c r="BO4" i="1"/>
  <c r="BT2" i="1"/>
  <c r="BS2" i="1"/>
  <c r="BR2" i="1"/>
  <c r="BQ2" i="1"/>
  <c r="BP2" i="1"/>
  <c r="BD88" i="1"/>
  <c r="BB69" i="8"/>
  <c r="BB70" i="9"/>
  <c r="BG16" i="8"/>
  <c r="BB40" i="8"/>
  <c r="BH92" i="1"/>
  <c r="BC69" i="9"/>
  <c r="BF72" i="1"/>
  <c r="BE8" i="9"/>
  <c r="BE71" i="9"/>
  <c r="BH57" i="8"/>
  <c r="BB74" i="9"/>
  <c r="BK77" i="1"/>
  <c r="BA66" i="1"/>
  <c r="BD76" i="1"/>
  <c r="BD95" i="8"/>
  <c r="BI66" i="9"/>
  <c r="BB81" i="1"/>
  <c r="BC46" i="1"/>
  <c r="BJ40" i="8"/>
  <c r="BC71" i="9"/>
  <c r="BI95" i="9"/>
  <c r="BD46" i="8"/>
  <c r="BH82" i="8"/>
  <c r="BC92" i="9"/>
  <c r="BE57" i="9"/>
  <c r="BI8" i="9"/>
  <c r="BE77" i="8"/>
  <c r="BB39" i="1"/>
  <c r="BH39" i="1"/>
  <c r="BJ67" i="8"/>
  <c r="BA79" i="1"/>
  <c r="BE39" i="8"/>
  <c r="AZ76" i="9"/>
  <c r="BD64" i="1"/>
  <c r="BG81" i="8"/>
  <c r="BD78" i="8"/>
  <c r="AZ92" i="8"/>
  <c r="BF71" i="9"/>
  <c r="BC15" i="9"/>
  <c r="BF57" i="8"/>
  <c r="AZ75" i="8"/>
  <c r="BC73" i="8"/>
  <c r="BJ76" i="1"/>
  <c r="BG44" i="8"/>
  <c r="AZ87" i="1"/>
  <c r="BD69" i="8"/>
  <c r="BA9" i="1"/>
  <c r="BC66" i="1"/>
  <c r="AZ45" i="8"/>
  <c r="BC8" i="9"/>
  <c r="BF71" i="8"/>
  <c r="BK10" i="8"/>
  <c r="BH45" i="9"/>
  <c r="BB46" i="9"/>
  <c r="BK95" i="1"/>
  <c r="BF14" i="9"/>
  <c r="AZ64" i="9"/>
  <c r="BI65" i="9"/>
  <c r="BC46" i="8"/>
  <c r="AZ71" i="8"/>
  <c r="BE79" i="8"/>
  <c r="BK70" i="9"/>
  <c r="BH67" i="1"/>
  <c r="BE75" i="9"/>
  <c r="BK92" i="1"/>
  <c r="BG87" i="1"/>
  <c r="BI75" i="8"/>
  <c r="BF79" i="9"/>
  <c r="BG8" i="1"/>
  <c r="AZ66" i="1"/>
  <c r="BE66" i="1"/>
  <c r="BE16" i="8"/>
  <c r="BA45" i="8"/>
  <c r="BC40" i="8"/>
  <c r="BB38" i="1"/>
  <c r="BK38" i="1"/>
  <c r="BI44" i="1"/>
  <c r="BF91" i="9"/>
  <c r="BF64" i="1"/>
  <c r="BK56" i="9"/>
  <c r="BF72" i="8"/>
  <c r="BE57" i="1"/>
  <c r="BB65" i="1"/>
  <c r="BA91" i="9"/>
  <c r="BB46" i="1"/>
  <c r="BA46" i="9"/>
  <c r="BA38" i="1"/>
  <c r="BI74" i="1"/>
  <c r="BF86" i="8"/>
  <c r="BJ81" i="9"/>
  <c r="AZ57" i="9"/>
  <c r="BB45" i="1"/>
  <c r="BF70" i="8"/>
  <c r="BK45" i="9"/>
  <c r="BK91" i="8"/>
  <c r="BG63" i="1"/>
  <c r="BB40" i="1"/>
  <c r="BD86" i="9"/>
  <c r="BC69" i="8"/>
  <c r="BD9" i="8"/>
  <c r="BK9" i="1"/>
  <c r="BA77" i="8"/>
  <c r="BJ16" i="1"/>
  <c r="BC66" i="8"/>
  <c r="BC70" i="8"/>
  <c r="BJ68" i="1"/>
  <c r="BF88" i="8"/>
  <c r="BD44" i="8"/>
  <c r="BI44" i="9"/>
  <c r="BK68" i="9"/>
  <c r="BA10" i="1"/>
  <c r="BI66" i="8"/>
  <c r="BD92" i="8"/>
  <c r="BK81" i="8"/>
  <c r="BD57" i="9"/>
  <c r="BD75" i="1"/>
  <c r="BK82" i="8"/>
  <c r="BA69" i="8"/>
  <c r="BA80" i="1"/>
  <c r="BD68" i="9"/>
  <c r="BD57" i="1"/>
  <c r="BD74" i="1"/>
  <c r="BB65" i="8"/>
  <c r="BE82" i="1"/>
  <c r="BE40" i="9"/>
  <c r="BB45" i="8"/>
  <c r="BC15" i="8"/>
  <c r="AZ81" i="1"/>
  <c r="BH16" i="8"/>
  <c r="AZ74" i="8"/>
  <c r="BC82" i="1"/>
  <c r="BA9" i="8"/>
  <c r="BG71" i="9"/>
  <c r="BG78" i="1"/>
  <c r="BH82" i="1"/>
  <c r="AZ10" i="9"/>
  <c r="BF80" i="1"/>
  <c r="BB71" i="9"/>
  <c r="BG74" i="1"/>
  <c r="BG69" i="9"/>
  <c r="BH67" i="8"/>
  <c r="BI44" i="8"/>
  <c r="BI67" i="1"/>
  <c r="BJ73" i="8"/>
  <c r="AZ70" i="8"/>
  <c r="BA76" i="1"/>
  <c r="BJ56" i="8"/>
  <c r="BA38" i="9"/>
  <c r="BC8" i="1"/>
  <c r="BH88" i="9"/>
  <c r="BC67" i="9"/>
  <c r="BB64" i="8"/>
  <c r="BK88" i="9"/>
  <c r="BA69" i="9"/>
  <c r="BJ40" i="9"/>
  <c r="BA45" i="1"/>
  <c r="BB10" i="9"/>
  <c r="BA95" i="9"/>
  <c r="BI86" i="1"/>
  <c r="BJ78" i="9"/>
  <c r="BK91" i="1"/>
  <c r="BG44" i="9"/>
  <c r="BF71" i="1"/>
  <c r="BG9" i="1"/>
  <c r="BK69" i="1"/>
  <c r="BE9" i="1"/>
  <c r="BJ15" i="8"/>
  <c r="BE92" i="8"/>
  <c r="BI8" i="1"/>
  <c r="BI91" i="9"/>
  <c r="BG80" i="1"/>
  <c r="BE91" i="1"/>
  <c r="AZ95" i="1"/>
  <c r="BE15" i="8"/>
  <c r="BD65" i="1"/>
  <c r="BJ72" i="9"/>
  <c r="BE8" i="8"/>
  <c r="BJ64" i="8"/>
  <c r="BD56" i="1"/>
  <c r="BJ65" i="9"/>
  <c r="BJ8" i="8"/>
  <c r="BG56" i="9"/>
  <c r="BC77" i="9"/>
  <c r="BF38" i="1"/>
  <c r="BK76" i="9"/>
  <c r="BH56" i="8"/>
  <c r="BH66" i="1"/>
  <c r="BE95" i="9"/>
  <c r="BB8" i="1"/>
  <c r="BJ46" i="9"/>
  <c r="BF56" i="9"/>
  <c r="BG39" i="8"/>
  <c r="BK87" i="9"/>
  <c r="BC44" i="9"/>
  <c r="BB88" i="9"/>
  <c r="BK88" i="1"/>
  <c r="BE44" i="8"/>
  <c r="BF15" i="1"/>
  <c r="BK44" i="1"/>
  <c r="BE88" i="1"/>
  <c r="BA87" i="1"/>
  <c r="BK86" i="1"/>
  <c r="BC77" i="8"/>
  <c r="BK79" i="9"/>
  <c r="BF92" i="9"/>
  <c r="BH72" i="9"/>
  <c r="BK66" i="1"/>
  <c r="BH70" i="8"/>
  <c r="BJ86" i="1"/>
  <c r="BD73" i="1"/>
  <c r="BA67" i="9"/>
  <c r="BA40" i="9"/>
  <c r="BH71" i="9"/>
  <c r="BD45" i="1"/>
  <c r="BG66" i="8"/>
  <c r="BB16" i="8"/>
  <c r="BJ15" i="9"/>
  <c r="BH69" i="9"/>
  <c r="BA56" i="1"/>
  <c r="BJ72" i="8"/>
  <c r="AZ63" i="1"/>
  <c r="BH65" i="1"/>
  <c r="BA56" i="9"/>
  <c r="BK65" i="8"/>
  <c r="AZ82" i="8"/>
  <c r="BD63" i="1"/>
  <c r="AZ80" i="9"/>
  <c r="BE76" i="9"/>
  <c r="BF92" i="1"/>
  <c r="BC87" i="1"/>
  <c r="BB14" i="1"/>
  <c r="BE77" i="9"/>
  <c r="BE45" i="9"/>
  <c r="BB70" i="8"/>
  <c r="BI68" i="1"/>
  <c r="BH8" i="1"/>
  <c r="BG77" i="9"/>
  <c r="BI86" i="9"/>
  <c r="BK73" i="1"/>
  <c r="BD87" i="8"/>
  <c r="BK16" i="8"/>
  <c r="BF66" i="9"/>
  <c r="BI65" i="1"/>
  <c r="BK45" i="1"/>
  <c r="BH10" i="1"/>
  <c r="BH65" i="8"/>
  <c r="BK57" i="9"/>
  <c r="BJ80" i="9"/>
  <c r="BK88" i="8"/>
  <c r="BE75" i="8"/>
  <c r="BJ65" i="8"/>
  <c r="BB66" i="9"/>
  <c r="BG92" i="1"/>
  <c r="BI81" i="8"/>
  <c r="BC38" i="8"/>
  <c r="BG87" i="9"/>
  <c r="BI74" i="8"/>
  <c r="BG38" i="8"/>
  <c r="BA16" i="9"/>
  <c r="BF73" i="9"/>
  <c r="AZ86" i="8"/>
  <c r="BD39" i="1"/>
  <c r="BB75" i="1"/>
  <c r="BK74" i="9"/>
  <c r="BI9" i="8"/>
  <c r="BG66" i="1"/>
  <c r="BH45" i="8"/>
  <c r="BD15" i="1"/>
  <c r="BK72" i="1"/>
  <c r="BA88" i="1"/>
  <c r="BC76" i="8"/>
  <c r="BA16" i="8"/>
  <c r="BC45" i="9"/>
  <c r="BF69" i="9"/>
  <c r="BG79" i="9"/>
  <c r="BD65" i="9"/>
  <c r="BK77" i="9"/>
  <c r="BD95" i="1"/>
  <c r="BE70" i="8"/>
  <c r="BK70" i="8"/>
  <c r="BD45" i="9"/>
  <c r="BJ57" i="1"/>
  <c r="BH95" i="9"/>
  <c r="BB45" i="9"/>
  <c r="AZ56" i="8"/>
  <c r="BD80" i="8"/>
  <c r="BC74" i="8"/>
  <c r="BJ46" i="8"/>
  <c r="BB71" i="1"/>
  <c r="BE87" i="8"/>
  <c r="BD82" i="1"/>
  <c r="BE81" i="1"/>
  <c r="BI72" i="1"/>
  <c r="BH8" i="9"/>
  <c r="BA15" i="1"/>
  <c r="BC95" i="9"/>
  <c r="BK81" i="9"/>
  <c r="BB79" i="1"/>
  <c r="BJ45" i="9"/>
  <c r="BH15" i="9"/>
  <c r="BJ14" i="8"/>
  <c r="BJ38" i="1"/>
  <c r="BE64" i="1"/>
  <c r="BF88" i="1"/>
  <c r="BA9" i="9"/>
  <c r="BC10" i="9"/>
  <c r="BB87" i="8"/>
  <c r="BH86" i="1"/>
  <c r="BE70" i="1"/>
  <c r="BA81" i="9"/>
  <c r="BE66" i="9"/>
  <c r="BK44" i="8"/>
  <c r="BE64" i="8"/>
  <c r="BH74" i="1"/>
  <c r="BE63" i="8"/>
  <c r="BC40" i="9"/>
  <c r="AZ75" i="9"/>
  <c r="BI15" i="1"/>
  <c r="BD9" i="1"/>
  <c r="AZ65" i="8"/>
  <c r="BD91" i="8"/>
  <c r="BE80" i="9"/>
  <c r="BI68" i="8"/>
  <c r="BC74" i="9"/>
  <c r="BD76" i="9"/>
  <c r="BD75" i="8"/>
  <c r="BH44" i="8"/>
  <c r="BC81" i="9"/>
  <c r="BB88" i="1"/>
  <c r="BJ67" i="1"/>
  <c r="BC56" i="1"/>
  <c r="AZ92" i="1"/>
  <c r="BA74" i="9"/>
  <c r="AZ77" i="8"/>
  <c r="BB71" i="8"/>
  <c r="BI40" i="1"/>
  <c r="BK82" i="9"/>
  <c r="BH68" i="1"/>
  <c r="BB46" i="8"/>
  <c r="BJ76" i="9"/>
  <c r="BG73" i="9"/>
  <c r="AZ73" i="1"/>
  <c r="AZ14" i="8"/>
  <c r="AZ44" i="9"/>
  <c r="BH91" i="8"/>
  <c r="BC87" i="9"/>
  <c r="BB81" i="8"/>
  <c r="BI73" i="1"/>
  <c r="BI71" i="9"/>
  <c r="BG74" i="9"/>
  <c r="BH66" i="9"/>
  <c r="BF39" i="9"/>
  <c r="BF46" i="9"/>
  <c r="BF46" i="8"/>
  <c r="BH77" i="8"/>
  <c r="BK39" i="1"/>
  <c r="AZ65" i="9"/>
  <c r="BH44" i="1"/>
  <c r="BK71" i="1"/>
  <c r="BC68" i="1"/>
  <c r="BE78" i="9"/>
  <c r="BA70" i="9"/>
  <c r="AZ72" i="1"/>
  <c r="BC88" i="1"/>
  <c r="BG72" i="9"/>
  <c r="BH56" i="1"/>
  <c r="BI92" i="1"/>
  <c r="BB63" i="1"/>
  <c r="BA92" i="8"/>
  <c r="BC39" i="8"/>
  <c r="BK14" i="1"/>
  <c r="BF76" i="8"/>
  <c r="BE57" i="8"/>
  <c r="BC86" i="8"/>
  <c r="BK92" i="8"/>
  <c r="AZ46" i="1"/>
  <c r="BE14" i="1"/>
  <c r="BK79" i="8"/>
  <c r="BJ70" i="8"/>
  <c r="BG91" i="8"/>
  <c r="BD82" i="8"/>
  <c r="BB39" i="8"/>
  <c r="BI56" i="1"/>
  <c r="BB56" i="1"/>
  <c r="AZ91" i="1"/>
  <c r="BE86" i="9"/>
  <c r="BG46" i="1"/>
  <c r="BF66" i="8"/>
  <c r="AZ44" i="8"/>
  <c r="BG10" i="1"/>
  <c r="BK78" i="9"/>
  <c r="BI75" i="1"/>
  <c r="BC56" i="9"/>
  <c r="BI64" i="9"/>
  <c r="BH95" i="8"/>
  <c r="BF78" i="8"/>
  <c r="AZ71" i="9"/>
  <c r="AZ72" i="8"/>
  <c r="AZ46" i="9"/>
  <c r="BF76" i="1"/>
  <c r="BE63" i="1"/>
  <c r="BE76" i="1"/>
  <c r="BJ44" i="9"/>
  <c r="BA40" i="8"/>
  <c r="BG81" i="1"/>
  <c r="BE73" i="8"/>
  <c r="BK14" i="8"/>
  <c r="BK40" i="1"/>
  <c r="BI87" i="8"/>
  <c r="BF8" i="9"/>
  <c r="BD77" i="1"/>
  <c r="AZ81" i="8"/>
  <c r="BF14" i="1"/>
  <c r="BJ80" i="1"/>
  <c r="BG63" i="9"/>
  <c r="BG78" i="8"/>
  <c r="BF15" i="8"/>
  <c r="BH9" i="1"/>
  <c r="AZ68" i="1"/>
  <c r="BA66" i="8"/>
  <c r="BC80" i="8"/>
  <c r="BF16" i="1"/>
  <c r="BC68" i="9"/>
  <c r="BF64" i="9"/>
  <c r="BK74" i="1"/>
  <c r="AZ79" i="1"/>
  <c r="AZ38" i="1"/>
  <c r="BF87" i="9"/>
  <c r="BJ92" i="1"/>
  <c r="BI95" i="1"/>
  <c r="AZ76" i="8"/>
  <c r="AZ91" i="9"/>
  <c r="BK67" i="1"/>
  <c r="BG14" i="1"/>
  <c r="BH79" i="9"/>
  <c r="BJ66" i="9"/>
  <c r="BG40" i="1"/>
  <c r="BH80" i="9"/>
  <c r="AZ75" i="1"/>
  <c r="BI70" i="9"/>
  <c r="BG82" i="9"/>
  <c r="BC78" i="9"/>
  <c r="BB9" i="9"/>
  <c r="AZ88" i="9"/>
  <c r="BA63" i="1"/>
  <c r="AZ9" i="8"/>
  <c r="BF68" i="9"/>
  <c r="BH16" i="9"/>
  <c r="BE10" i="9"/>
  <c r="BH68" i="8"/>
  <c r="BJ78" i="8"/>
  <c r="BD40" i="9"/>
  <c r="BD66" i="9"/>
  <c r="BF78" i="1"/>
  <c r="BG92" i="9"/>
  <c r="BJ70" i="9"/>
  <c r="BE87" i="9"/>
  <c r="BB57" i="9"/>
  <c r="AZ65" i="1"/>
  <c r="BH87" i="8"/>
  <c r="BK56" i="8"/>
  <c r="BC57" i="1"/>
  <c r="BA39" i="9"/>
  <c r="BI64" i="1"/>
  <c r="BC72" i="8"/>
  <c r="BB87" i="1"/>
  <c r="BI39" i="1"/>
  <c r="BC16" i="9"/>
  <c r="AZ77" i="9"/>
  <c r="BD63" i="9"/>
  <c r="BJ75" i="1"/>
  <c r="BB64" i="1"/>
  <c r="AZ9" i="1"/>
  <c r="BI86" i="8"/>
  <c r="BF10" i="9"/>
  <c r="BC14" i="1"/>
  <c r="BI9" i="1"/>
  <c r="BI57" i="8"/>
  <c r="BI78" i="1"/>
  <c r="BJ82" i="9"/>
  <c r="BF79" i="8"/>
  <c r="BC92" i="8"/>
  <c r="BF9" i="1"/>
  <c r="BB73" i="1"/>
  <c r="BF87" i="8"/>
  <c r="BD91" i="1"/>
  <c r="BK57" i="8"/>
  <c r="BJ81" i="1"/>
  <c r="BF40" i="8"/>
  <c r="BF67" i="8"/>
  <c r="BH66" i="8"/>
  <c r="BJ75" i="8"/>
  <c r="BG71" i="8"/>
  <c r="BE15" i="9"/>
  <c r="BH79" i="1"/>
  <c r="BJ91" i="1"/>
  <c r="BC56" i="8"/>
  <c r="BD74" i="8"/>
  <c r="BI10" i="8"/>
  <c r="BG91" i="1"/>
  <c r="BK44" i="9"/>
  <c r="BH78" i="9"/>
  <c r="BA91" i="8"/>
  <c r="BG88" i="8"/>
  <c r="BG10" i="8"/>
  <c r="BG64" i="8"/>
  <c r="BG65" i="1"/>
  <c r="BG72" i="8"/>
  <c r="BF39" i="1"/>
  <c r="BG86" i="1"/>
  <c r="BJ72" i="1"/>
  <c r="BK10" i="1"/>
  <c r="BJ40" i="1"/>
  <c r="BK76" i="1"/>
  <c r="BH92" i="8"/>
  <c r="BK73" i="9"/>
  <c r="BI91" i="8"/>
  <c r="BK9" i="8"/>
  <c r="BD67" i="8"/>
  <c r="BJ95" i="8"/>
  <c r="BH81" i="1"/>
  <c r="BG80" i="8"/>
  <c r="BF73" i="8"/>
  <c r="BK87" i="8"/>
  <c r="BD46" i="9"/>
  <c r="BF46" i="1"/>
  <c r="BG15" i="8"/>
  <c r="BB77" i="8"/>
  <c r="BG95" i="9"/>
  <c r="BH88" i="1"/>
  <c r="BJ56" i="1"/>
  <c r="AZ80" i="1"/>
  <c r="BA57" i="1"/>
  <c r="BD10" i="8"/>
  <c r="BE81" i="8"/>
  <c r="BC46" i="9"/>
  <c r="BC40" i="1"/>
  <c r="BG70" i="9"/>
  <c r="BG76" i="8"/>
  <c r="BD40" i="8"/>
  <c r="BC10" i="1"/>
  <c r="AZ10" i="1"/>
  <c r="BK86" i="9"/>
  <c r="BF76" i="9"/>
  <c r="BA65" i="8"/>
  <c r="BE67" i="9"/>
  <c r="BI15" i="8"/>
  <c r="BK64" i="8"/>
  <c r="BA39" i="1"/>
  <c r="BH38" i="8"/>
  <c r="BG39" i="1"/>
  <c r="BD80" i="9"/>
  <c r="BI92" i="8"/>
  <c r="BI88" i="8"/>
  <c r="BC86" i="1"/>
  <c r="BG67" i="1"/>
  <c r="BD45" i="8"/>
  <c r="BE95" i="1"/>
  <c r="BC45" i="1"/>
  <c r="AZ39" i="8"/>
  <c r="BG38" i="9"/>
  <c r="BI64" i="8"/>
  <c r="BJ82" i="1"/>
  <c r="BJ63" i="1"/>
  <c r="BG45" i="8"/>
  <c r="BF45" i="1"/>
  <c r="BH86" i="8"/>
  <c r="BC87" i="8"/>
  <c r="BG82" i="8"/>
  <c r="BF72" i="9"/>
  <c r="BA72" i="8"/>
  <c r="BF65" i="8"/>
  <c r="BJ44" i="8"/>
  <c r="BI72" i="9"/>
  <c r="BJ70" i="1"/>
  <c r="BB91" i="1"/>
  <c r="BC69" i="1"/>
  <c r="BK95" i="8"/>
  <c r="AZ86" i="9"/>
  <c r="BH95" i="1"/>
  <c r="BB63" i="9"/>
  <c r="BG77" i="1"/>
  <c r="BE65" i="9"/>
  <c r="BF95" i="9"/>
  <c r="BJ73" i="9"/>
  <c r="BC9" i="1"/>
  <c r="BF80" i="8"/>
  <c r="BE88" i="8"/>
  <c r="BF38" i="9"/>
  <c r="BI69" i="8"/>
  <c r="BB40" i="9"/>
  <c r="BE78" i="1"/>
  <c r="BJ68" i="8"/>
  <c r="AZ68" i="9"/>
  <c r="BI38" i="9"/>
  <c r="BH80" i="8"/>
  <c r="BG92" i="8"/>
  <c r="BB86" i="8"/>
  <c r="BH40" i="9"/>
  <c r="BD68" i="1"/>
  <c r="BJ79" i="1"/>
  <c r="BG77" i="8"/>
  <c r="BJ79" i="8"/>
  <c r="BJ77" i="1"/>
  <c r="BG68" i="8"/>
  <c r="BG40" i="8"/>
  <c r="BE68" i="1"/>
  <c r="BK77" i="8"/>
  <c r="BH67" i="9"/>
  <c r="BA46" i="8"/>
  <c r="BA69" i="1"/>
  <c r="BK10" i="9"/>
  <c r="BJ86" i="8"/>
  <c r="BA86" i="1"/>
  <c r="BC16" i="8"/>
  <c r="BC72" i="9"/>
  <c r="BD66" i="1"/>
  <c r="BG95" i="1"/>
  <c r="BJ71" i="9"/>
  <c r="BA68" i="9"/>
  <c r="BK65" i="9"/>
  <c r="BB9" i="8"/>
  <c r="BH64" i="9"/>
  <c r="AZ10" i="8"/>
  <c r="BF57" i="1"/>
  <c r="BK16" i="1"/>
  <c r="BH15" i="1"/>
  <c r="BB82" i="8"/>
  <c r="BE81" i="9"/>
  <c r="BK76" i="8"/>
  <c r="BD38" i="8"/>
  <c r="BK63" i="1"/>
  <c r="BE64" i="9"/>
  <c r="BD70" i="8"/>
  <c r="BD46" i="1"/>
  <c r="BF56" i="1"/>
  <c r="BG88" i="9"/>
  <c r="BG69" i="1"/>
  <c r="BE9" i="9"/>
  <c r="BK80" i="1"/>
  <c r="BA79" i="9"/>
  <c r="AZ15" i="9"/>
  <c r="BH81" i="9"/>
  <c r="BE67" i="1"/>
  <c r="BA86" i="8"/>
  <c r="BH75" i="8"/>
  <c r="AZ78" i="1"/>
  <c r="AZ79" i="9"/>
  <c r="AZ86" i="1"/>
  <c r="BI68" i="9"/>
  <c r="BI57" i="9"/>
  <c r="BD79" i="1"/>
  <c r="BF67" i="1"/>
  <c r="BJ87" i="8"/>
  <c r="BH10" i="9"/>
  <c r="BB16" i="1"/>
  <c r="BK68" i="1"/>
  <c r="BG75" i="8"/>
  <c r="BF40" i="1"/>
  <c r="AZ56" i="1"/>
  <c r="BB86" i="1"/>
  <c r="BH81" i="8"/>
  <c r="BE38" i="9"/>
  <c r="AZ8" i="8"/>
  <c r="BC72" i="1"/>
  <c r="BI16" i="8"/>
  <c r="BD10" i="9"/>
  <c r="BC57" i="8"/>
  <c r="BD76" i="8"/>
  <c r="BH72" i="1"/>
  <c r="BD69" i="9"/>
  <c r="BK87" i="1"/>
  <c r="BE75" i="1"/>
  <c r="BB91" i="8"/>
  <c r="AZ66" i="9"/>
  <c r="BB95" i="8"/>
  <c r="BG64" i="9"/>
  <c r="BJ14" i="1"/>
  <c r="BB95" i="1"/>
  <c r="BK39" i="9"/>
  <c r="BH40" i="1"/>
  <c r="BH14" i="8"/>
  <c r="BC73" i="9"/>
  <c r="BG79" i="1"/>
  <c r="BJ45" i="1"/>
  <c r="BD44" i="9"/>
  <c r="BI67" i="9"/>
  <c r="BD39" i="9"/>
  <c r="AZ69" i="9"/>
  <c r="BD81" i="8"/>
  <c r="BB66" i="8"/>
  <c r="BH73" i="8"/>
  <c r="BD95" i="9"/>
  <c r="BD69" i="1"/>
  <c r="BA8" i="8"/>
  <c r="BD9" i="9"/>
  <c r="BD38" i="9"/>
  <c r="BJ14" i="9"/>
  <c r="BK46" i="9"/>
  <c r="BC16" i="1"/>
  <c r="AZ16" i="9"/>
  <c r="BJ64" i="9"/>
  <c r="BJ66" i="1"/>
  <c r="BC91" i="9"/>
  <c r="BD92" i="9"/>
  <c r="BH63" i="8"/>
  <c r="BD16" i="1"/>
  <c r="AZ73" i="9"/>
  <c r="BE79" i="9"/>
  <c r="BK78" i="1"/>
  <c r="BH87" i="9"/>
  <c r="BA71" i="9"/>
  <c r="BC71" i="8"/>
  <c r="BE8" i="1"/>
  <c r="BA92" i="9"/>
  <c r="BB72" i="9"/>
  <c r="BJ67" i="9"/>
  <c r="BF92" i="8"/>
  <c r="BG56" i="1"/>
  <c r="BJ79" i="9"/>
  <c r="BG80" i="9"/>
  <c r="BH14" i="1"/>
  <c r="BG81" i="9"/>
  <c r="BJ68" i="9"/>
  <c r="BB72" i="8"/>
  <c r="BA77" i="9"/>
  <c r="BG73" i="1"/>
  <c r="BA80" i="9"/>
  <c r="BK38" i="9"/>
  <c r="BI76" i="1"/>
  <c r="BI63" i="9"/>
  <c r="BB80" i="1"/>
  <c r="AZ40" i="1"/>
  <c r="BE38" i="8"/>
  <c r="BH10" i="8"/>
  <c r="BA14" i="9"/>
  <c r="BI57" i="1"/>
  <c r="BA82" i="1"/>
  <c r="BB79" i="8"/>
  <c r="BB9" i="1"/>
  <c r="BE9" i="8"/>
  <c r="BB79" i="9"/>
  <c r="AZ88" i="1"/>
  <c r="BB75" i="9"/>
  <c r="BI76" i="9"/>
  <c r="BC15" i="1"/>
  <c r="BF45" i="8"/>
  <c r="BE10" i="8"/>
  <c r="BA67" i="8"/>
  <c r="AZ91" i="8"/>
  <c r="BB77" i="9"/>
  <c r="BF73" i="1"/>
  <c r="BF8" i="1"/>
  <c r="BH40" i="8"/>
  <c r="BJ46" i="1"/>
  <c r="BB16" i="9"/>
  <c r="BI79" i="9"/>
  <c r="BK75" i="8"/>
  <c r="BI74" i="9"/>
  <c r="BA39" i="8"/>
  <c r="BE86" i="1"/>
  <c r="BK75" i="9"/>
  <c r="BA78" i="9"/>
  <c r="BF8" i="8"/>
  <c r="BD70" i="1"/>
  <c r="BB76" i="9"/>
  <c r="BD87" i="9"/>
  <c r="BI63" i="1"/>
  <c r="BK15" i="8"/>
  <c r="BE56" i="8"/>
  <c r="BI71" i="8"/>
  <c r="BE74" i="8"/>
  <c r="BH8" i="8"/>
  <c r="BK63" i="8"/>
  <c r="BC75" i="8"/>
  <c r="BB80" i="9"/>
  <c r="AZ8" i="1"/>
  <c r="BF68" i="1"/>
  <c r="BK67" i="9"/>
  <c r="BA81" i="8"/>
  <c r="BG76" i="9"/>
  <c r="BD77" i="8"/>
  <c r="BF74" i="8"/>
  <c r="BF9" i="8"/>
  <c r="BI65" i="8"/>
  <c r="BH76" i="9"/>
  <c r="BC91" i="1"/>
  <c r="BF15" i="9"/>
  <c r="BH45" i="1"/>
  <c r="BE16" i="9"/>
  <c r="BD38" i="1"/>
  <c r="BD8" i="8"/>
  <c r="BF86" i="1"/>
  <c r="BE78" i="8"/>
  <c r="BH76" i="1"/>
  <c r="BE14" i="9"/>
  <c r="BI9" i="9"/>
  <c r="BI71" i="1"/>
  <c r="BI14" i="8"/>
  <c r="BE70" i="9"/>
  <c r="BC70" i="9"/>
  <c r="BI77" i="1"/>
  <c r="AZ56" i="9"/>
  <c r="BC86" i="9"/>
  <c r="BJ81" i="8"/>
  <c r="BH16" i="1"/>
  <c r="BF70" i="9"/>
  <c r="BH87" i="1"/>
  <c r="BA65" i="1"/>
  <c r="BC39" i="1"/>
  <c r="BH39" i="9"/>
  <c r="BF64" i="8"/>
  <c r="BB8" i="9"/>
  <c r="BG10" i="9"/>
  <c r="BC95" i="8"/>
  <c r="BI40" i="8"/>
  <c r="BB88" i="8"/>
  <c r="BF74" i="1"/>
  <c r="BH38" i="1"/>
  <c r="BD71" i="9"/>
  <c r="BD40" i="1"/>
  <c r="BD81" i="9"/>
  <c r="BG76" i="1"/>
  <c r="BC80" i="9"/>
  <c r="BD71" i="1"/>
  <c r="BE73" i="9"/>
  <c r="BF45" i="9"/>
  <c r="BE69" i="8"/>
  <c r="BF86" i="9"/>
  <c r="BD74" i="9"/>
  <c r="BI72" i="8"/>
  <c r="BB44" i="1"/>
  <c r="BB81" i="9"/>
  <c r="BC66" i="9"/>
  <c r="BD86" i="1"/>
  <c r="AZ15" i="8"/>
  <c r="BF82" i="8"/>
  <c r="BK70" i="1"/>
  <c r="BI73" i="9"/>
  <c r="BI77" i="8"/>
  <c r="BC70" i="1"/>
  <c r="AZ67" i="8"/>
  <c r="BI14" i="9"/>
  <c r="BD64" i="8"/>
  <c r="BA70" i="1"/>
  <c r="BE74" i="1"/>
  <c r="BI80" i="8"/>
  <c r="BF44" i="9"/>
  <c r="BI82" i="1"/>
  <c r="BF88" i="9"/>
  <c r="BH71" i="8"/>
  <c r="BD15" i="9"/>
  <c r="BD88" i="8"/>
  <c r="BK65" i="1"/>
  <c r="BK16" i="9"/>
  <c r="AZ16" i="8"/>
  <c r="BG8" i="8"/>
  <c r="BA65" i="9"/>
  <c r="BA57" i="9"/>
  <c r="BB78" i="8"/>
  <c r="BE72" i="8"/>
  <c r="BH68" i="9"/>
  <c r="BK81" i="1"/>
  <c r="BI78" i="9"/>
  <c r="BE46" i="8"/>
  <c r="BG44" i="1"/>
  <c r="BA68" i="1"/>
  <c r="BJ82" i="8"/>
  <c r="BJ10" i="1"/>
  <c r="BD86" i="8"/>
  <c r="BK66" i="9"/>
  <c r="BF81" i="8"/>
  <c r="BH64" i="1"/>
  <c r="BH57" i="1"/>
  <c r="BB77" i="1"/>
  <c r="BI70" i="1"/>
  <c r="BB76" i="1"/>
  <c r="BI46" i="1"/>
  <c r="BA75" i="9"/>
  <c r="BJ91" i="8"/>
  <c r="BH9" i="9"/>
  <c r="BD71" i="8"/>
  <c r="BK86" i="8"/>
  <c r="BI16" i="1"/>
  <c r="BI14" i="1"/>
  <c r="BC63" i="8"/>
  <c r="BI63" i="8"/>
  <c r="BD10" i="1"/>
  <c r="BG15" i="9"/>
  <c r="BB8" i="8"/>
  <c r="BE39" i="9"/>
  <c r="BC75" i="1"/>
  <c r="BI45" i="8"/>
  <c r="BJ87" i="1"/>
  <c r="BJ91" i="9"/>
  <c r="BD92" i="1"/>
  <c r="BF67" i="9"/>
  <c r="BC82" i="9"/>
  <c r="BG91" i="9"/>
  <c r="BE45" i="8"/>
  <c r="BF38" i="8"/>
  <c r="BJ9" i="9"/>
  <c r="BG86" i="9"/>
  <c r="BD16" i="8"/>
  <c r="BB15" i="8"/>
  <c r="BE92" i="9"/>
  <c r="BI73" i="8"/>
  <c r="BD73" i="9"/>
  <c r="BJ9" i="8"/>
  <c r="BK75" i="1"/>
  <c r="BA71" i="1"/>
  <c r="BA44" i="8"/>
  <c r="BG82" i="1"/>
  <c r="BA67" i="1"/>
  <c r="BG71" i="1"/>
  <c r="BJ95" i="1"/>
  <c r="BG72" i="1"/>
  <c r="AZ16" i="1"/>
  <c r="BG45" i="9"/>
  <c r="BF78" i="9"/>
  <c r="BF56" i="8"/>
  <c r="BI79" i="8"/>
  <c r="AZ70" i="1"/>
  <c r="BK8" i="1"/>
  <c r="BF16" i="8"/>
  <c r="BI91" i="1"/>
  <c r="BA45" i="9"/>
  <c r="BI67" i="8"/>
  <c r="BB69" i="9"/>
  <c r="BD91" i="9"/>
  <c r="BJ87" i="9"/>
  <c r="BF44" i="8"/>
  <c r="BC10" i="8"/>
  <c r="BF9" i="9"/>
  <c r="BB67" i="1"/>
  <c r="BJ16" i="9"/>
  <c r="BJ73" i="1"/>
  <c r="BJ69" i="1"/>
  <c r="BD16" i="9"/>
  <c r="BC81" i="1"/>
  <c r="BA82" i="8"/>
  <c r="BB78" i="1"/>
  <c r="BK15" i="9"/>
  <c r="BA91" i="1"/>
  <c r="BF75" i="1"/>
  <c r="BB87" i="9"/>
  <c r="BD14" i="9"/>
  <c r="BC92" i="1"/>
  <c r="BE68" i="9"/>
  <c r="BB14" i="9"/>
  <c r="BK64" i="1"/>
  <c r="BK80" i="9"/>
  <c r="BH74" i="9"/>
  <c r="BH38" i="9"/>
  <c r="AZ66" i="8"/>
  <c r="BF95" i="8"/>
  <c r="BA44" i="9"/>
  <c r="BD44" i="1"/>
  <c r="BH46" i="1"/>
  <c r="BB56" i="8"/>
  <c r="BI77" i="9"/>
  <c r="BJ95" i="9"/>
  <c r="BJ63" i="9"/>
  <c r="BH77" i="9"/>
  <c r="AZ64" i="1"/>
  <c r="BE82" i="9"/>
  <c r="BF10" i="1"/>
  <c r="BF77" i="1"/>
  <c r="BA70" i="8"/>
  <c r="BJ38" i="9"/>
  <c r="BB44" i="9"/>
  <c r="BD87" i="1"/>
  <c r="BD79" i="8"/>
  <c r="BE68" i="8"/>
  <c r="BD68" i="8"/>
  <c r="BJ88" i="8"/>
  <c r="BE16" i="1"/>
  <c r="BC79" i="1"/>
  <c r="BD72" i="9"/>
  <c r="BD63" i="8"/>
  <c r="BJ10" i="9"/>
  <c r="BF70" i="1"/>
  <c r="BG8" i="9"/>
  <c r="BD56" i="8"/>
  <c r="BK67" i="8"/>
  <c r="BG65" i="9"/>
  <c r="BK63" i="9"/>
  <c r="BH75" i="1"/>
  <c r="BC14" i="8"/>
  <c r="BI10" i="1"/>
  <c r="BF91" i="1"/>
  <c r="BB14" i="8"/>
  <c r="BB56" i="9"/>
  <c r="BF40" i="9"/>
  <c r="BB91" i="9"/>
  <c r="BB68" i="9"/>
  <c r="BJ74" i="8"/>
  <c r="BC44" i="1"/>
  <c r="BF14" i="8"/>
  <c r="BA72" i="1"/>
  <c r="BB63" i="8"/>
  <c r="AZ67" i="1"/>
  <c r="BA78" i="8"/>
  <c r="AZ63" i="8"/>
  <c r="BG73" i="8"/>
  <c r="BA92" i="1"/>
  <c r="BD15" i="8"/>
  <c r="AZ88" i="8"/>
  <c r="BA78" i="1"/>
  <c r="BH73" i="9"/>
  <c r="BA88" i="9"/>
  <c r="BK46" i="8"/>
  <c r="BK80" i="8"/>
  <c r="BB78" i="9"/>
  <c r="BJ77" i="9"/>
  <c r="BJ86" i="9"/>
  <c r="BG9" i="8"/>
  <c r="BI76" i="8"/>
  <c r="AZ95" i="8"/>
  <c r="BH74" i="8"/>
  <c r="BK74" i="8"/>
  <c r="BG87" i="8"/>
  <c r="BK56" i="1"/>
  <c r="BE80" i="8"/>
  <c r="BI66" i="1"/>
  <c r="BJ56" i="9"/>
  <c r="BG57" i="1"/>
  <c r="BI45" i="1"/>
  <c r="BI95" i="8"/>
  <c r="BA16" i="1"/>
  <c r="BH9" i="8"/>
  <c r="BH46" i="8"/>
  <c r="BJ77" i="8"/>
  <c r="BH44" i="9"/>
  <c r="BA44" i="1"/>
  <c r="BD57" i="8"/>
  <c r="BI39" i="8"/>
  <c r="BB82" i="9"/>
  <c r="BE79" i="1"/>
  <c r="BA63" i="9"/>
  <c r="BC73" i="1"/>
  <c r="BF10" i="8"/>
  <c r="BA15" i="8"/>
  <c r="BF87" i="1"/>
  <c r="BC38" i="9"/>
  <c r="BG45" i="1"/>
  <c r="BE91" i="9"/>
  <c r="BB92" i="9"/>
  <c r="BE72" i="1"/>
  <c r="BF82" i="1"/>
  <c r="BD80" i="1"/>
  <c r="BD14" i="1"/>
  <c r="BC64" i="1"/>
  <c r="BH80" i="1"/>
  <c r="BA38" i="8"/>
  <c r="AZ77" i="1"/>
  <c r="BB95" i="9"/>
  <c r="BG38" i="1"/>
  <c r="BG78" i="9"/>
  <c r="BI82" i="8"/>
  <c r="BB82" i="1"/>
  <c r="BG86" i="8"/>
  <c r="BC74" i="1"/>
  <c r="BC9" i="9"/>
  <c r="BK40" i="9"/>
  <c r="BI69" i="1"/>
  <c r="BC9" i="8"/>
  <c r="BH63" i="1"/>
  <c r="BI38" i="1"/>
  <c r="BH56" i="9"/>
  <c r="BE14" i="8"/>
  <c r="AZ15" i="1"/>
  <c r="BJ76" i="8"/>
  <c r="AZ80" i="8"/>
  <c r="BJ80" i="8"/>
  <c r="BJ88" i="1"/>
  <c r="BC79" i="9"/>
  <c r="BF57" i="9"/>
  <c r="BE10" i="1"/>
  <c r="AZ57" i="1"/>
  <c r="BI78" i="8"/>
  <c r="BC71" i="1"/>
  <c r="BE44" i="1"/>
  <c r="BD39" i="8"/>
  <c r="AZ73" i="8"/>
  <c r="AZ46" i="8"/>
  <c r="BH73" i="1"/>
  <c r="BD70" i="9"/>
  <c r="BK68" i="8"/>
  <c r="BC14" i="9"/>
  <c r="BC63" i="1"/>
  <c r="AZ82" i="9"/>
  <c r="BB10" i="8"/>
  <c r="BF69" i="1"/>
  <c r="BE88" i="9"/>
  <c r="BA14" i="1"/>
  <c r="BA68" i="8"/>
  <c r="BH71" i="1"/>
  <c r="BB92" i="1"/>
  <c r="BH79" i="8"/>
  <c r="BB65" i="9"/>
  <c r="BK14" i="9"/>
  <c r="BC75" i="9"/>
  <c r="BH72" i="8"/>
  <c r="AZ45" i="1"/>
  <c r="BK73" i="8"/>
  <c r="BA88" i="8"/>
  <c r="BG67" i="8"/>
  <c r="BE71" i="1"/>
  <c r="AZ64" i="8"/>
  <c r="BH77" i="1"/>
  <c r="BF79" i="1"/>
  <c r="BE72" i="9"/>
  <c r="BI92" i="9"/>
  <c r="BJ39" i="9"/>
  <c r="BC80" i="1"/>
  <c r="BH91" i="9"/>
  <c r="BA8" i="9"/>
  <c r="BB72" i="1"/>
  <c r="BJ64" i="1"/>
  <c r="AZ67" i="9"/>
  <c r="BJ88" i="9"/>
  <c r="AZ87" i="8"/>
  <c r="AZ39" i="9"/>
  <c r="BH91" i="1"/>
  <c r="BK39" i="8"/>
  <c r="BJ71" i="8"/>
  <c r="BE46" i="9"/>
  <c r="AZ78" i="9"/>
  <c r="BJ57" i="8"/>
  <c r="BJ65" i="1"/>
  <c r="BK64" i="9"/>
  <c r="BE73" i="1"/>
  <c r="BD79" i="9"/>
  <c r="BD8" i="9"/>
  <c r="BC79" i="8"/>
  <c r="BC57" i="9"/>
  <c r="BK66" i="8"/>
  <c r="BE67" i="8"/>
  <c r="BB75" i="8"/>
  <c r="BG69" i="8"/>
  <c r="AZ14" i="1"/>
  <c r="BA73" i="1"/>
  <c r="BC65" i="8"/>
  <c r="BE38" i="1"/>
  <c r="BD73" i="8"/>
  <c r="BC8" i="8"/>
  <c r="BG63" i="8"/>
  <c r="BD78" i="9"/>
  <c r="BC44" i="8"/>
  <c r="AZ9" i="9"/>
  <c r="BJ92" i="9"/>
  <c r="BE92" i="1"/>
  <c r="BA86" i="9"/>
  <c r="BE77" i="1"/>
  <c r="BA14" i="8"/>
  <c r="BB15" i="1"/>
  <c r="BE66" i="8"/>
  <c r="AZ40" i="8"/>
  <c r="AZ82" i="1"/>
  <c r="AZ40" i="9"/>
  <c r="BK92" i="9"/>
  <c r="BJ74" i="9"/>
  <c r="BG64" i="1"/>
  <c r="BA10" i="9"/>
  <c r="AZ68" i="8"/>
  <c r="BE71" i="8"/>
  <c r="AZ38" i="8"/>
  <c r="BJ8" i="9"/>
  <c r="BD72" i="1"/>
  <c r="BJ15" i="1"/>
  <c r="BG14" i="8"/>
  <c r="BB73" i="9"/>
  <c r="BB68" i="1"/>
  <c r="BI87" i="9"/>
  <c r="BA73" i="8"/>
  <c r="BK40" i="8"/>
  <c r="BC39" i="9"/>
  <c r="BB39" i="9"/>
  <c r="BF66" i="1"/>
  <c r="BG95" i="8"/>
  <c r="BA81" i="1"/>
  <c r="BB67" i="9"/>
  <c r="BF81" i="1"/>
  <c r="BJ8" i="1"/>
  <c r="BB92" i="8"/>
  <c r="BH86" i="9"/>
  <c r="BG9" i="9"/>
  <c r="BE39" i="1"/>
  <c r="AZ74" i="9"/>
  <c r="BI56" i="8"/>
  <c r="BC65" i="9"/>
  <c r="BK78" i="8"/>
  <c r="BK45" i="8"/>
  <c r="BH88" i="8"/>
  <c r="BD67" i="1"/>
  <c r="BJ39" i="1"/>
  <c r="BA72" i="9"/>
  <c r="AZ63" i="9"/>
  <c r="BI80" i="9"/>
  <c r="BJ75" i="9"/>
  <c r="BC77" i="1"/>
  <c r="AZ14" i="9"/>
  <c r="BA73" i="9"/>
  <c r="AZ69" i="8"/>
  <c r="BG68" i="1"/>
  <c r="BF63" i="1"/>
  <c r="BE86" i="8"/>
  <c r="BJ74" i="1"/>
  <c r="BG75" i="1"/>
  <c r="BA95" i="1"/>
  <c r="BI16" i="9"/>
  <c r="BB70" i="1"/>
  <c r="BK79" i="1"/>
  <c r="BC81" i="8"/>
  <c r="BB64" i="9"/>
  <c r="BA64" i="9"/>
  <c r="BJ10" i="8"/>
  <c r="BG56" i="8"/>
  <c r="BA8" i="1"/>
  <c r="BF39" i="8"/>
  <c r="BF74" i="9"/>
  <c r="BF44" i="1"/>
  <c r="BI10" i="9"/>
  <c r="BH39" i="8"/>
  <c r="BA40" i="1"/>
  <c r="BB73" i="8"/>
  <c r="BD81" i="1"/>
  <c r="BC78" i="8"/>
  <c r="BI69" i="9"/>
  <c r="BF81" i="9"/>
  <c r="BE80" i="1"/>
  <c r="BJ78" i="1"/>
  <c r="AZ69" i="1"/>
  <c r="BE40" i="8"/>
  <c r="BG16" i="9"/>
  <c r="BA56" i="8"/>
  <c r="BA95" i="8"/>
  <c r="BF75" i="8"/>
  <c r="BH70" i="9"/>
  <c r="BC82" i="8"/>
  <c r="BA66" i="9"/>
  <c r="BC67" i="1"/>
  <c r="BI8" i="8"/>
  <c r="BA79" i="8"/>
  <c r="BG57" i="9"/>
  <c r="BI81" i="9"/>
  <c r="BK69" i="8"/>
  <c r="BK46" i="1"/>
  <c r="BH15" i="8"/>
  <c r="BA10" i="8"/>
  <c r="BF69" i="8"/>
  <c r="BA74" i="8"/>
  <c r="BB69" i="1"/>
  <c r="BH76" i="8"/>
  <c r="BH57" i="9"/>
  <c r="BD82" i="9"/>
  <c r="BB80" i="8"/>
  <c r="BJ44" i="1"/>
  <c r="AZ70" i="9"/>
  <c r="BA87" i="9"/>
  <c r="AZ78" i="8"/>
  <c r="BF63" i="9"/>
  <c r="BI46" i="8"/>
  <c r="BG46" i="9"/>
  <c r="BJ38" i="8"/>
  <c r="AZ44" i="1"/>
  <c r="BC63" i="9"/>
  <c r="BH63" i="9"/>
  <c r="BI45" i="9"/>
  <c r="BC67" i="8"/>
  <c r="BB74" i="1"/>
  <c r="BE46" i="1"/>
  <c r="BE45" i="1"/>
  <c r="BI88" i="9"/>
  <c r="BB38" i="8"/>
  <c r="BB15" i="9"/>
  <c r="BH46" i="9"/>
  <c r="AZ72" i="9"/>
  <c r="BE63" i="9"/>
  <c r="BK8" i="9"/>
  <c r="BC76" i="9"/>
  <c r="BF68" i="8"/>
  <c r="BE95" i="8"/>
  <c r="BJ71" i="1"/>
  <c r="BJ69" i="8"/>
  <c r="BA80" i="8"/>
  <c r="BI56" i="9"/>
  <c r="BI70" i="8"/>
  <c r="BD88" i="9"/>
  <c r="BF82" i="9"/>
  <c r="BB86" i="9"/>
  <c r="BE65" i="1"/>
  <c r="BH78" i="8"/>
  <c r="BF95" i="1"/>
  <c r="BA46" i="1"/>
  <c r="BI39" i="9"/>
  <c r="BI81" i="1"/>
  <c r="BF80" i="9"/>
  <c r="BG68" i="9"/>
  <c r="BC78" i="1"/>
  <c r="BH14" i="9"/>
  <c r="BG70" i="8"/>
  <c r="BD56" i="9"/>
  <c r="BC68" i="8"/>
  <c r="AZ8" i="9"/>
  <c r="BG57" i="8"/>
  <c r="BJ92" i="8"/>
  <c r="BG88" i="1"/>
  <c r="BA71" i="8"/>
  <c r="BJ63" i="8"/>
  <c r="BD72" i="8"/>
  <c r="BJ16" i="8"/>
  <c r="BA64" i="1"/>
  <c r="BH69" i="8"/>
  <c r="BA87" i="8"/>
  <c r="AZ38" i="9"/>
  <c r="AZ74" i="1"/>
  <c r="BG39" i="9"/>
  <c r="BC91" i="8"/>
  <c r="BH69" i="1"/>
  <c r="BB44" i="8"/>
  <c r="BA74" i="1"/>
  <c r="BA77" i="1"/>
  <c r="AZ87" i="9"/>
  <c r="BK38" i="8"/>
  <c r="BB66" i="1"/>
  <c r="BG66" i="9"/>
  <c r="BD14" i="8"/>
  <c r="BK91" i="9"/>
  <c r="BA75" i="8"/>
  <c r="BE44" i="9"/>
  <c r="BG74" i="8"/>
  <c r="AZ92" i="9"/>
  <c r="BK82" i="1"/>
  <c r="BE76" i="8"/>
  <c r="BK57" i="1"/>
  <c r="BI88" i="1"/>
  <c r="BF16" i="9"/>
  <c r="BK8" i="8"/>
  <c r="BG70" i="1"/>
  <c r="BJ66" i="8"/>
  <c r="BA15" i="9"/>
  <c r="BD64" i="9"/>
  <c r="BE82" i="8"/>
  <c r="BH82" i="9"/>
  <c r="BE74" i="9"/>
  <c r="BI38" i="8"/>
  <c r="BA63" i="8"/>
  <c r="BC38" i="1"/>
  <c r="BK71" i="9"/>
  <c r="BI79" i="1"/>
  <c r="BJ39" i="8"/>
  <c r="BE56" i="9"/>
  <c r="BI46" i="9"/>
  <c r="BG40" i="9"/>
  <c r="BE87" i="1"/>
  <c r="BE56" i="1"/>
  <c r="AZ81" i="9"/>
  <c r="BK71" i="8"/>
  <c r="BB57" i="8"/>
  <c r="BC95" i="1"/>
  <c r="BG67" i="9"/>
  <c r="BD67" i="9"/>
  <c r="BE15" i="1"/>
  <c r="BJ69" i="9"/>
  <c r="BD8" i="1"/>
  <c r="BG14" i="9"/>
  <c r="BH70" i="1"/>
  <c r="BF63" i="8"/>
  <c r="BB57" i="1"/>
  <c r="BF77" i="8"/>
  <c r="AZ76" i="1"/>
  <c r="BG79" i="8"/>
  <c r="BB38" i="9"/>
  <c r="BB10" i="1"/>
  <c r="AZ71" i="1"/>
  <c r="BG75" i="9"/>
  <c r="BF91" i="8"/>
  <c r="BC76" i="1"/>
  <c r="BK15" i="1"/>
  <c r="BD77" i="9"/>
  <c r="BI80" i="1"/>
  <c r="BF75" i="9"/>
  <c r="BI15" i="9"/>
  <c r="BH92" i="9"/>
  <c r="BB67" i="8"/>
  <c r="BA82" i="9"/>
  <c r="BK72" i="9"/>
  <c r="BC45" i="8"/>
  <c r="BA76" i="8"/>
  <c r="BB76" i="8"/>
  <c r="BH78" i="1"/>
  <c r="BH64" i="8"/>
  <c r="BG15" i="1"/>
  <c r="BI82" i="9"/>
  <c r="BC88" i="9"/>
  <c r="BI87" i="1"/>
  <c r="BK69" i="9"/>
  <c r="BF65" i="9"/>
  <c r="BC64" i="8"/>
  <c r="AZ79" i="8"/>
  <c r="BA64" i="8"/>
  <c r="BE65" i="8"/>
  <c r="BG16" i="1"/>
  <c r="BG46" i="8"/>
  <c r="BH65" i="9"/>
  <c r="BD78" i="1"/>
  <c r="BJ57" i="9"/>
  <c r="BJ45" i="8"/>
  <c r="AZ57" i="8"/>
  <c r="BD65" i="8"/>
  <c r="BK9" i="9"/>
  <c r="BD66" i="8"/>
  <c r="BD75" i="9"/>
  <c r="BF77" i="9"/>
  <c r="AZ95" i="9"/>
  <c r="BG65" i="8"/>
  <c r="BC88" i="8"/>
  <c r="BH75" i="9"/>
  <c r="AZ39" i="1"/>
  <c r="BK95" i="9"/>
  <c r="BC64" i="9"/>
  <c r="BK72" i="8"/>
  <c r="BB68" i="8"/>
  <c r="BI75" i="9"/>
  <c r="AZ45" i="9"/>
  <c r="BE69" i="1"/>
  <c r="BF65" i="1"/>
  <c r="BE40" i="1"/>
  <c r="BA76" i="9"/>
  <c r="BB74" i="8"/>
  <c r="BA75" i="1"/>
  <c r="BE69" i="9"/>
  <c r="BJ9" i="1"/>
  <c r="BI40" i="9"/>
  <c r="BE91" i="8"/>
  <c r="BC65" i="1"/>
  <c r="BA57" i="8"/>
  <c r="AB16" i="9"/>
  <c r="AR92" i="9"/>
  <c r="P73" i="9"/>
  <c r="N56" i="9"/>
  <c r="AY76" i="9"/>
  <c r="E63" i="8"/>
  <c r="M76" i="1"/>
  <c r="AY14" i="9"/>
  <c r="AT69" i="8"/>
  <c r="Q75" i="9"/>
  <c r="AE8" i="8"/>
  <c r="AM66" i="9"/>
  <c r="N16" i="1"/>
  <c r="AR88" i="8"/>
  <c r="U70" i="9"/>
  <c r="H38" i="9"/>
  <c r="Z92" i="8"/>
  <c r="AE14" i="9"/>
  <c r="Z10" i="9"/>
  <c r="E74" i="9"/>
  <c r="L40" i="9"/>
  <c r="R46" i="8"/>
  <c r="U76" i="8"/>
  <c r="Z64" i="9"/>
  <c r="U78" i="8"/>
  <c r="I56" i="8"/>
  <c r="AK71" i="8"/>
  <c r="M88" i="1"/>
  <c r="O74" i="8"/>
  <c r="AQ67" i="9"/>
  <c r="AR78" i="1"/>
  <c r="G82" i="9"/>
  <c r="AB95" i="9"/>
  <c r="AH72" i="8"/>
  <c r="AE45" i="1"/>
  <c r="AC45" i="9"/>
  <c r="AG8" i="8"/>
  <c r="Q66" i="9"/>
  <c r="AL15" i="8"/>
  <c r="G66" i="9"/>
  <c r="AY81" i="8"/>
  <c r="AP39" i="9"/>
  <c r="AJ88" i="8"/>
  <c r="AA68" i="9"/>
  <c r="V78" i="1"/>
  <c r="N57" i="9"/>
  <c r="AU38" i="9"/>
  <c r="AQ95" i="9"/>
  <c r="O81" i="1"/>
  <c r="S40" i="9"/>
  <c r="AC40" i="1"/>
  <c r="AU65" i="1"/>
  <c r="P40" i="9"/>
  <c r="P10" i="9"/>
  <c r="AT40" i="9"/>
  <c r="AG68" i="1"/>
  <c r="P39" i="8"/>
  <c r="AF16" i="1"/>
  <c r="AG86" i="9"/>
  <c r="AC38" i="9"/>
  <c r="AE81" i="8"/>
  <c r="U8" i="8"/>
  <c r="Q44" i="9"/>
  <c r="L81" i="8"/>
  <c r="AH78" i="9"/>
  <c r="AV10" i="8"/>
  <c r="U56" i="9"/>
  <c r="AM76" i="8"/>
  <c r="AJ46" i="8"/>
  <c r="AJ67" i="9"/>
  <c r="X79" i="9"/>
  <c r="AR45" i="9"/>
  <c r="AT71" i="9"/>
  <c r="S75" i="9"/>
  <c r="H69" i="9"/>
  <c r="Z15" i="9"/>
  <c r="AH9" i="8"/>
  <c r="AK9" i="1"/>
  <c r="L39" i="8"/>
  <c r="AO16" i="9"/>
  <c r="AJ68" i="8"/>
  <c r="S86" i="9"/>
  <c r="AA44" i="8"/>
  <c r="X10" i="1"/>
  <c r="AL69" i="8"/>
  <c r="Z87" i="9"/>
  <c r="AE79" i="8"/>
  <c r="AJ63" i="9"/>
  <c r="I64" i="9"/>
  <c r="T82" i="9"/>
  <c r="E10" i="9"/>
  <c r="P40" i="8"/>
  <c r="Q88" i="9"/>
  <c r="AG91" i="8"/>
  <c r="V88" i="8"/>
  <c r="T14" i="8"/>
  <c r="AG81" i="8"/>
  <c r="AF16" i="9"/>
  <c r="AQ82" i="9"/>
  <c r="G14" i="9"/>
  <c r="I67" i="9"/>
  <c r="M87" i="9"/>
  <c r="AD75" i="9"/>
  <c r="M87" i="1"/>
  <c r="L56" i="8"/>
  <c r="AK10" i="8"/>
  <c r="T15" i="9"/>
  <c r="AO46" i="1"/>
  <c r="I80" i="8"/>
  <c r="AY10" i="8"/>
  <c r="L82" i="9"/>
  <c r="AG78" i="8"/>
  <c r="O40" i="9"/>
  <c r="D82" i="9"/>
  <c r="H16" i="8"/>
  <c r="Q10" i="9"/>
  <c r="AK77" i="1"/>
  <c r="AM72" i="9"/>
  <c r="E63" i="1"/>
  <c r="AX95" i="8"/>
  <c r="AU56" i="1"/>
  <c r="AU81" i="8"/>
  <c r="S82" i="8"/>
  <c r="AE63" i="9"/>
  <c r="AJ73" i="9"/>
  <c r="L88" i="8"/>
  <c r="AN91" i="8"/>
  <c r="AD95" i="1"/>
  <c r="Q57" i="8"/>
  <c r="Y91" i="9"/>
  <c r="AU80" i="8"/>
  <c r="AP92" i="9"/>
  <c r="V79" i="1"/>
  <c r="AG88" i="8"/>
  <c r="AY46" i="8"/>
  <c r="AW91" i="9"/>
  <c r="AJ70" i="9"/>
  <c r="AC75" i="9"/>
  <c r="AM56" i="1"/>
  <c r="H78" i="9"/>
  <c r="AD70" i="9"/>
  <c r="M66" i="1"/>
  <c r="D92" i="1"/>
  <c r="N46" i="8"/>
  <c r="AY88" i="9"/>
  <c r="AK40" i="9"/>
  <c r="P65" i="9"/>
  <c r="AO73" i="8"/>
  <c r="AW71" i="8"/>
  <c r="Z65" i="8"/>
  <c r="AC63" i="1"/>
  <c r="AO66" i="8"/>
  <c r="AL38" i="8"/>
  <c r="V68" i="9"/>
  <c r="AO71" i="1"/>
  <c r="AY91" i="8"/>
  <c r="AT78" i="9"/>
  <c r="AQ72" i="8"/>
  <c r="U71" i="8"/>
  <c r="R71" i="1"/>
  <c r="AQ57" i="8"/>
  <c r="S72" i="9"/>
  <c r="J10" i="9"/>
  <c r="N81" i="8"/>
  <c r="Q82" i="8"/>
  <c r="AH86" i="8"/>
  <c r="S9" i="8"/>
  <c r="E73" i="9"/>
  <c r="O72" i="9"/>
  <c r="W10" i="9"/>
  <c r="O65" i="1"/>
  <c r="AY65" i="1"/>
  <c r="AL76" i="8"/>
  <c r="W79" i="9"/>
  <c r="AA16" i="9"/>
  <c r="N91" i="9"/>
  <c r="K73" i="8"/>
  <c r="AB56" i="8"/>
  <c r="V63" i="9"/>
  <c r="AP74" i="9"/>
  <c r="AN71" i="1"/>
  <c r="O8" i="8"/>
  <c r="T77" i="1"/>
  <c r="AP91" i="9"/>
  <c r="K92" i="8"/>
  <c r="Q88" i="1"/>
  <c r="AO8" i="9"/>
  <c r="J78" i="9"/>
  <c r="AN88" i="9"/>
  <c r="R76" i="9"/>
  <c r="AO92" i="9"/>
  <c r="AW40" i="9"/>
  <c r="AX15" i="8"/>
  <c r="E45" i="9"/>
  <c r="AG64" i="8"/>
  <c r="D9" i="9"/>
  <c r="T63" i="1"/>
  <c r="AA65" i="8"/>
  <c r="M15" i="9"/>
  <c r="V76" i="9"/>
  <c r="AV57" i="8"/>
  <c r="AU78" i="1"/>
  <c r="AJ16" i="1"/>
  <c r="I81" i="8"/>
  <c r="AU86" i="8"/>
  <c r="AJ73" i="1"/>
  <c r="AU10" i="8"/>
  <c r="AG16" i="1"/>
  <c r="AW88" i="9"/>
  <c r="AO45" i="9"/>
  <c r="M38" i="8"/>
  <c r="AO40" i="8"/>
  <c r="L80" i="1"/>
  <c r="AQ76" i="8"/>
  <c r="AN74" i="9"/>
  <c r="G71" i="8"/>
  <c r="J56" i="1"/>
  <c r="K78" i="9"/>
  <c r="AA86" i="9"/>
  <c r="R88" i="9"/>
  <c r="Q16" i="9"/>
  <c r="AJ91" i="8"/>
  <c r="K38" i="9"/>
  <c r="AM39" i="8"/>
  <c r="AE8" i="9"/>
  <c r="AP46" i="9"/>
  <c r="X14" i="9"/>
  <c r="G8" i="9"/>
  <c r="Q76" i="8"/>
  <c r="R73" i="1"/>
  <c r="AU73" i="1"/>
  <c r="AF81" i="1"/>
  <c r="M44" i="8"/>
  <c r="Y63" i="8"/>
  <c r="AO16" i="1"/>
  <c r="AR88" i="9"/>
  <c r="U63" i="9"/>
  <c r="H8" i="1"/>
  <c r="AG81" i="9"/>
  <c r="AK8" i="9"/>
  <c r="M16" i="8"/>
  <c r="AA44" i="9"/>
  <c r="AL71" i="8"/>
  <c r="Q56" i="9"/>
  <c r="S91" i="8"/>
  <c r="K38" i="8"/>
  <c r="Y14" i="9"/>
  <c r="AD74" i="8"/>
  <c r="O81" i="9"/>
  <c r="AU44" i="9"/>
  <c r="AS71" i="9"/>
  <c r="T38" i="9"/>
  <c r="AI75" i="9"/>
  <c r="AT56" i="9"/>
  <c r="AQ77" i="8"/>
  <c r="AM10" i="9"/>
  <c r="AU80" i="9"/>
  <c r="Q69" i="8"/>
  <c r="AG45" i="9"/>
  <c r="AP38" i="8"/>
  <c r="L64" i="1"/>
  <c r="T86" i="9"/>
  <c r="AB8" i="1"/>
  <c r="R15" i="9"/>
  <c r="N82" i="9"/>
  <c r="L46" i="8"/>
  <c r="X64" i="9"/>
  <c r="AA80" i="9"/>
  <c r="AT87" i="8"/>
  <c r="AB92" i="8"/>
  <c r="AN38" i="9"/>
  <c r="AD56" i="8"/>
  <c r="AV95" i="8"/>
  <c r="I63" i="8"/>
  <c r="AW63" i="8"/>
  <c r="Y81" i="1"/>
  <c r="AK80" i="1"/>
  <c r="AT39" i="8"/>
  <c r="AD64" i="8"/>
  <c r="R14" i="9"/>
  <c r="I67" i="1"/>
  <c r="AK82" i="8"/>
  <c r="AQ56" i="8"/>
  <c r="Q63" i="9"/>
  <c r="AV70" i="8"/>
  <c r="AB77" i="1"/>
  <c r="AY74" i="8"/>
  <c r="AO38" i="9"/>
  <c r="AG82" i="8"/>
  <c r="AI78" i="8"/>
  <c r="AM14" i="9"/>
  <c r="L45" i="8"/>
  <c r="O75" i="9"/>
  <c r="AM44" i="8"/>
  <c r="N64" i="9"/>
  <c r="R82" i="9"/>
  <c r="T40" i="9"/>
  <c r="Z64" i="8"/>
  <c r="AD91" i="8"/>
  <c r="N76" i="1"/>
  <c r="M79" i="1"/>
  <c r="AK64" i="8"/>
  <c r="AA78" i="9"/>
  <c r="I63" i="9"/>
  <c r="G16" i="8"/>
  <c r="M86" i="9"/>
  <c r="N8" i="1"/>
  <c r="L95" i="9"/>
  <c r="M66" i="9"/>
  <c r="AL68" i="8"/>
  <c r="I57" i="9"/>
  <c r="AF44" i="9"/>
  <c r="AD69" i="9"/>
  <c r="AB78" i="1"/>
  <c r="P9" i="8"/>
  <c r="AN56" i="9"/>
  <c r="AE76" i="1"/>
  <c r="AM92" i="8"/>
  <c r="X74" i="9"/>
  <c r="AN91" i="9"/>
  <c r="AH72" i="1"/>
  <c r="AV74" i="9"/>
  <c r="AD91" i="9"/>
  <c r="P56" i="9"/>
  <c r="AF87" i="8"/>
  <c r="AT79" i="9"/>
  <c r="AW75" i="1"/>
  <c r="AM57" i="8"/>
  <c r="D14" i="8"/>
  <c r="N79" i="1"/>
  <c r="AK56" i="9"/>
  <c r="V57" i="9"/>
  <c r="K56" i="9"/>
  <c r="J95" i="8"/>
  <c r="X8" i="8"/>
  <c r="F95" i="1"/>
  <c r="AO81" i="8"/>
  <c r="AS38" i="8"/>
  <c r="H70" i="9"/>
  <c r="I75" i="8"/>
  <c r="AM9" i="9"/>
  <c r="J65" i="9"/>
  <c r="K74" i="9"/>
  <c r="AG63" i="1"/>
  <c r="AD95" i="8"/>
  <c r="AC73" i="8"/>
  <c r="AB40" i="1"/>
  <c r="AE69" i="8"/>
  <c r="U80" i="1"/>
  <c r="U87" i="9"/>
  <c r="X88" i="8"/>
  <c r="AR38" i="8"/>
  <c r="X77" i="1"/>
  <c r="N69" i="9"/>
  <c r="S81" i="9"/>
  <c r="AH77" i="1"/>
  <c r="X79" i="1"/>
  <c r="AB56" i="9"/>
  <c r="N82" i="8"/>
  <c r="AP40" i="1"/>
  <c r="AG95" i="9"/>
  <c r="AX82" i="9"/>
  <c r="Z44" i="9"/>
  <c r="P95" i="8"/>
  <c r="AS77" i="9"/>
  <c r="P70" i="1"/>
  <c r="R86" i="8"/>
  <c r="U44" i="8"/>
  <c r="J44" i="1"/>
  <c r="AK10" i="9"/>
  <c r="AJ65" i="9"/>
  <c r="AK91" i="8"/>
  <c r="AT87" i="9"/>
  <c r="AR81" i="9"/>
  <c r="AD88" i="9"/>
  <c r="AK74" i="9"/>
  <c r="J91" i="1"/>
  <c r="AV71" i="1"/>
  <c r="L91" i="9"/>
  <c r="AI73" i="8"/>
  <c r="AF45" i="9"/>
  <c r="R74" i="1"/>
  <c r="S40" i="8"/>
  <c r="AJ78" i="9"/>
  <c r="S10" i="8"/>
  <c r="AA75" i="8"/>
  <c r="AH10" i="1"/>
  <c r="AB91" i="8"/>
  <c r="AY57" i="8"/>
  <c r="AV67" i="9"/>
  <c r="P79" i="8"/>
  <c r="AO78" i="9"/>
  <c r="Y15" i="9"/>
  <c r="X44" i="8"/>
  <c r="AI70" i="1"/>
  <c r="AE73" i="1"/>
  <c r="AN39" i="8"/>
  <c r="AQ82" i="8"/>
  <c r="AV95" i="9"/>
  <c r="AB86" i="1"/>
  <c r="W75" i="9"/>
  <c r="AE80" i="1"/>
  <c r="AR68" i="8"/>
  <c r="AK67" i="9"/>
  <c r="D80" i="9"/>
  <c r="AJ81" i="1"/>
  <c r="R66" i="1"/>
  <c r="L72" i="9"/>
  <c r="AG92" i="9"/>
  <c r="X71" i="8"/>
  <c r="S66" i="8"/>
  <c r="AP72" i="8"/>
  <c r="G69" i="9"/>
  <c r="AK14" i="9"/>
  <c r="K44" i="1"/>
  <c r="P8" i="9"/>
  <c r="V73" i="8"/>
  <c r="T45" i="9"/>
  <c r="P74" i="9"/>
  <c r="AT44" i="8"/>
  <c r="M63" i="9"/>
  <c r="P87" i="9"/>
  <c r="Z76" i="9"/>
  <c r="AD88" i="8"/>
  <c r="AP69" i="1"/>
  <c r="AO71" i="8"/>
  <c r="AX69" i="1"/>
  <c r="F8" i="9"/>
  <c r="AX71" i="9"/>
  <c r="AF73" i="9"/>
  <c r="AB92" i="9"/>
  <c r="AC45" i="8"/>
  <c r="G68" i="8"/>
  <c r="I78" i="8"/>
  <c r="AC75" i="8"/>
  <c r="AP65" i="1"/>
  <c r="AR76" i="8"/>
  <c r="W82" i="8"/>
  <c r="AV91" i="1"/>
  <c r="AK95" i="8"/>
  <c r="AU39" i="9"/>
  <c r="J77" i="9"/>
  <c r="M39" i="9"/>
  <c r="Y71" i="8"/>
  <c r="D66" i="8"/>
  <c r="R16" i="8"/>
  <c r="E39" i="8"/>
  <c r="AB15" i="9"/>
  <c r="D8" i="9"/>
  <c r="M82" i="9"/>
  <c r="T80" i="9"/>
  <c r="AG44" i="9"/>
  <c r="AA74" i="9"/>
  <c r="Z70" i="1"/>
  <c r="AQ86" i="8"/>
  <c r="U79" i="9"/>
  <c r="AY81" i="9"/>
  <c r="AN78" i="9"/>
  <c r="AO65" i="1"/>
  <c r="X63" i="8"/>
  <c r="K57" i="8"/>
  <c r="AY8" i="8"/>
  <c r="N80" i="9"/>
  <c r="AA72" i="9"/>
  <c r="Q64" i="9"/>
  <c r="AQ44" i="1"/>
  <c r="O92" i="8"/>
  <c r="AH8" i="9"/>
  <c r="X70" i="8"/>
  <c r="V10" i="9"/>
  <c r="D81" i="1"/>
  <c r="R91" i="8"/>
  <c r="U95" i="1"/>
  <c r="AO57" i="8"/>
  <c r="AV68" i="9"/>
  <c r="J78" i="8"/>
  <c r="E71" i="1"/>
  <c r="AD63" i="8"/>
  <c r="D68" i="9"/>
  <c r="E75" i="1"/>
  <c r="AM73" i="9"/>
  <c r="AL73" i="8"/>
  <c r="AD77" i="9"/>
  <c r="AN74" i="8"/>
  <c r="AE76" i="9"/>
  <c r="AM64" i="8"/>
  <c r="R69" i="9"/>
  <c r="G75" i="9"/>
  <c r="AR72" i="9"/>
  <c r="L71" i="1"/>
  <c r="AD67" i="9"/>
  <c r="AS44" i="8"/>
  <c r="AR66" i="8"/>
  <c r="AS73" i="8"/>
  <c r="H92" i="9"/>
  <c r="V10" i="8"/>
  <c r="AG46" i="9"/>
  <c r="AQ8" i="8"/>
  <c r="AC81" i="1"/>
  <c r="AC95" i="8"/>
  <c r="AL79" i="1"/>
  <c r="S74" i="1"/>
  <c r="AC66" i="8"/>
  <c r="M91" i="8"/>
  <c r="AV69" i="1"/>
  <c r="AG69" i="9"/>
  <c r="AD40" i="9"/>
  <c r="AR73" i="9"/>
  <c r="AY73" i="9"/>
  <c r="AA95" i="9"/>
  <c r="AM65" i="9"/>
  <c r="L16" i="9"/>
  <c r="N15" i="9"/>
  <c r="M8" i="1"/>
  <c r="AV38" i="8"/>
  <c r="AQ71" i="9"/>
  <c r="L39" i="9"/>
  <c r="AK81" i="1"/>
  <c r="L15" i="9"/>
  <c r="AP79" i="8"/>
  <c r="D92" i="9"/>
  <c r="AF82" i="8"/>
  <c r="AS57" i="9"/>
  <c r="AU71" i="8"/>
  <c r="AF56" i="9"/>
  <c r="AK92" i="8"/>
  <c r="AJ82" i="9"/>
  <c r="Q10" i="1"/>
  <c r="N46" i="9"/>
  <c r="AP88" i="9"/>
  <c r="F56" i="8"/>
  <c r="J75" i="1"/>
  <c r="Q65" i="1"/>
  <c r="P81" i="8"/>
  <c r="M79" i="8"/>
  <c r="X77" i="9"/>
  <c r="AQ38" i="9"/>
  <c r="V16" i="9"/>
  <c r="N92" i="8"/>
  <c r="R88" i="8"/>
  <c r="Y87" i="1"/>
  <c r="AJ71" i="8"/>
  <c r="E80" i="8"/>
  <c r="I66" i="9"/>
  <c r="R64" i="8"/>
  <c r="S91" i="1"/>
  <c r="AK71" i="9"/>
  <c r="AA70" i="1"/>
  <c r="AI45" i="8"/>
  <c r="M72" i="9"/>
  <c r="T56" i="1"/>
  <c r="AC63" i="9"/>
  <c r="P76" i="8"/>
  <c r="AO15" i="8"/>
  <c r="F68" i="8"/>
  <c r="G91" i="8"/>
  <c r="AJ95" i="9"/>
  <c r="X75" i="8"/>
  <c r="Z38" i="8"/>
  <c r="F81" i="9"/>
  <c r="AY80" i="9"/>
  <c r="AL72" i="8"/>
  <c r="AI91" i="8"/>
  <c r="AG38" i="8"/>
  <c r="AN8" i="9"/>
  <c r="AO82" i="1"/>
  <c r="AT64" i="9"/>
  <c r="AE74" i="9"/>
  <c r="X77" i="8"/>
  <c r="AE16" i="8"/>
  <c r="M8" i="8"/>
  <c r="X67" i="1"/>
  <c r="AG9" i="9"/>
  <c r="Z77" i="9"/>
  <c r="S67" i="1"/>
  <c r="AX16" i="9"/>
  <c r="AQ75" i="9"/>
  <c r="AE44" i="9"/>
  <c r="AC69" i="9"/>
  <c r="P91" i="9"/>
  <c r="I86" i="9"/>
  <c r="W38" i="9"/>
  <c r="N45" i="8"/>
  <c r="AQ86" i="9"/>
  <c r="AW70" i="9"/>
  <c r="Z91" i="9"/>
  <c r="F91" i="9"/>
  <c r="AC72" i="8"/>
  <c r="AL92" i="9"/>
  <c r="AB66" i="9"/>
  <c r="AH16" i="9"/>
  <c r="Z81" i="9"/>
  <c r="AS92" i="9"/>
  <c r="AP57" i="8"/>
  <c r="O88" i="8"/>
  <c r="AI14" i="9"/>
  <c r="AG66" i="8"/>
  <c r="AN91" i="1"/>
  <c r="M92" i="1"/>
  <c r="S76" i="1"/>
  <c r="AM79" i="8"/>
  <c r="AY63" i="9"/>
  <c r="O82" i="9"/>
  <c r="AG69" i="8"/>
  <c r="AN15" i="8"/>
  <c r="AK56" i="8"/>
  <c r="N72" i="8"/>
  <c r="AG9" i="8"/>
  <c r="L79" i="1"/>
  <c r="AB80" i="9"/>
  <c r="AT16" i="9"/>
  <c r="AA72" i="8"/>
  <c r="AQ81" i="9"/>
  <c r="AO63" i="8"/>
  <c r="AI81" i="8"/>
  <c r="AO79" i="1"/>
  <c r="AP71" i="9"/>
  <c r="G76" i="9"/>
  <c r="AD87" i="9"/>
  <c r="H86" i="1"/>
  <c r="V91" i="8"/>
  <c r="L64" i="8"/>
  <c r="X10" i="8"/>
  <c r="H66" i="8"/>
  <c r="AB9" i="8"/>
  <c r="D63" i="8"/>
  <c r="J65" i="8"/>
  <c r="S65" i="1"/>
  <c r="AY72" i="1"/>
  <c r="W67" i="9"/>
  <c r="AO77" i="1"/>
  <c r="AU70" i="1"/>
  <c r="N88" i="9"/>
  <c r="K9" i="1"/>
  <c r="N92" i="9"/>
  <c r="AT86" i="8"/>
  <c r="AR68" i="9"/>
  <c r="AO67" i="9"/>
  <c r="K79" i="8"/>
  <c r="G70" i="9"/>
  <c r="T66" i="9"/>
  <c r="AW80" i="1"/>
  <c r="AS71" i="8"/>
  <c r="AH87" i="8"/>
  <c r="K76" i="1"/>
  <c r="E81" i="9"/>
  <c r="AK67" i="8"/>
  <c r="J45" i="9"/>
  <c r="H82" i="1"/>
  <c r="AU74" i="8"/>
  <c r="AW38" i="1"/>
  <c r="U70" i="8"/>
  <c r="AX77" i="1"/>
  <c r="Z72" i="8"/>
  <c r="E80" i="1"/>
  <c r="F44" i="1"/>
  <c r="R88" i="1"/>
  <c r="AS69" i="8"/>
  <c r="E75" i="8"/>
  <c r="L66" i="1"/>
  <c r="AE45" i="9"/>
  <c r="E64" i="9"/>
  <c r="AA92" i="8"/>
  <c r="AX44" i="1"/>
  <c r="AC68" i="9"/>
  <c r="J56" i="8"/>
  <c r="AA45" i="8"/>
  <c r="AE74" i="8"/>
  <c r="Y92" i="8"/>
  <c r="Z57" i="1"/>
  <c r="W68" i="8"/>
  <c r="V74" i="8"/>
  <c r="AX65" i="8"/>
  <c r="J95" i="9"/>
  <c r="I95" i="9"/>
  <c r="G16" i="9"/>
  <c r="O86" i="9"/>
  <c r="G80" i="9"/>
  <c r="AN82" i="8"/>
  <c r="E16" i="9"/>
  <c r="J79" i="8"/>
  <c r="V14" i="9"/>
  <c r="T72" i="9"/>
  <c r="AH8" i="8"/>
  <c r="AQ88" i="9"/>
  <c r="P78" i="9"/>
  <c r="R65" i="1"/>
  <c r="T10" i="8"/>
  <c r="M73" i="1"/>
  <c r="O63" i="9"/>
  <c r="AH14" i="9"/>
  <c r="V40" i="9"/>
  <c r="S87" i="8"/>
  <c r="AI14" i="8"/>
  <c r="AL57" i="8"/>
  <c r="AT88" i="9"/>
  <c r="L44" i="8"/>
  <c r="AK39" i="1"/>
  <c r="X79" i="8"/>
  <c r="E68" i="9"/>
  <c r="AI40" i="8"/>
  <c r="AA86" i="8"/>
  <c r="AS80" i="1"/>
  <c r="I74" i="9"/>
  <c r="AR78" i="9"/>
  <c r="AE38" i="8"/>
  <c r="O15" i="8"/>
  <c r="R68" i="8"/>
  <c r="V75" i="9"/>
  <c r="F14" i="9"/>
  <c r="AB71" i="9"/>
  <c r="AB72" i="8"/>
  <c r="Y88" i="8"/>
  <c r="AS73" i="9"/>
  <c r="H70" i="1"/>
  <c r="G67" i="9"/>
  <c r="AK44" i="9"/>
  <c r="I66" i="8"/>
  <c r="AQ68" i="9"/>
  <c r="F79" i="8"/>
  <c r="AC68" i="1"/>
  <c r="Y65" i="8"/>
  <c r="AN63" i="8"/>
  <c r="H40" i="9"/>
  <c r="T70" i="1"/>
  <c r="J91" i="8"/>
  <c r="I68" i="9"/>
  <c r="AM88" i="1"/>
  <c r="AK91" i="9"/>
  <c r="AU88" i="9"/>
  <c r="X87" i="8"/>
  <c r="K57" i="1"/>
  <c r="K66" i="9"/>
  <c r="M68" i="8"/>
  <c r="S92" i="9"/>
  <c r="AV80" i="9"/>
  <c r="O73" i="9"/>
  <c r="AR40" i="8"/>
  <c r="AC87" i="9"/>
  <c r="Z67" i="8"/>
  <c r="E63" i="9"/>
  <c r="O91" i="8"/>
  <c r="Z64" i="1"/>
  <c r="AS82" i="1"/>
  <c r="S38" i="8"/>
  <c r="V8" i="8"/>
  <c r="AH46" i="8"/>
  <c r="AY79" i="9"/>
  <c r="AI72" i="9"/>
  <c r="AA81" i="9"/>
  <c r="AD15" i="9"/>
  <c r="M91" i="9"/>
  <c r="AV40" i="8"/>
  <c r="L14" i="9"/>
  <c r="F70" i="8"/>
  <c r="V57" i="8"/>
  <c r="AJ44" i="9"/>
  <c r="X82" i="8"/>
  <c r="AB14" i="9"/>
  <c r="L65" i="8"/>
  <c r="U81" i="9"/>
  <c r="AL40" i="9"/>
  <c r="K15" i="8"/>
  <c r="AC72" i="9"/>
  <c r="R72" i="8"/>
  <c r="Y91" i="1"/>
  <c r="AB75" i="8"/>
  <c r="AW77" i="9"/>
  <c r="AM88" i="9"/>
  <c r="Y73" i="9"/>
  <c r="AF95" i="9"/>
  <c r="AM87" i="8"/>
  <c r="AX70" i="9"/>
  <c r="AH81" i="8"/>
  <c r="D76" i="9"/>
  <c r="G38" i="8"/>
  <c r="O44" i="8"/>
  <c r="H88" i="8"/>
  <c r="AF91" i="1"/>
  <c r="AL15" i="9"/>
  <c r="AI67" i="9"/>
  <c r="AT76" i="9"/>
  <c r="AQ57" i="9"/>
  <c r="J8" i="9"/>
  <c r="AI76" i="9"/>
  <c r="AI8" i="9"/>
  <c r="AA80" i="8"/>
  <c r="E78" i="1"/>
  <c r="AQ86" i="1"/>
  <c r="R95" i="9"/>
  <c r="M82" i="8"/>
  <c r="AY64" i="8"/>
  <c r="Q81" i="9"/>
  <c r="M44" i="9"/>
  <c r="AJ73" i="8"/>
  <c r="O95" i="8"/>
  <c r="AJ91" i="9"/>
  <c r="M70" i="9"/>
  <c r="L73" i="8"/>
  <c r="P92" i="8"/>
  <c r="W45" i="8"/>
  <c r="AK46" i="1"/>
  <c r="AD14" i="8"/>
  <c r="O71" i="8"/>
  <c r="AC81" i="9"/>
  <c r="AF72" i="9"/>
  <c r="N72" i="1"/>
  <c r="AU66" i="9"/>
  <c r="AF67" i="8"/>
  <c r="AW95" i="9"/>
  <c r="W78" i="8"/>
  <c r="AN87" i="9"/>
  <c r="AY77" i="9"/>
  <c r="G69" i="1"/>
  <c r="AU78" i="8"/>
  <c r="S39" i="9"/>
  <c r="AN66" i="1"/>
  <c r="V74" i="1"/>
  <c r="AS8" i="1"/>
  <c r="AE82" i="9"/>
  <c r="H76" i="9"/>
  <c r="AK71" i="1"/>
  <c r="AM86" i="8"/>
  <c r="K70" i="9"/>
  <c r="AW92" i="9"/>
  <c r="AE95" i="1"/>
  <c r="Q57" i="9"/>
  <c r="AQ78" i="9"/>
  <c r="AF65" i="9"/>
  <c r="J46" i="9"/>
  <c r="J38" i="9"/>
  <c r="P75" i="8"/>
  <c r="AG56" i="8"/>
  <c r="AC91" i="9"/>
  <c r="AM80" i="1"/>
  <c r="Q82" i="1"/>
  <c r="E44" i="9"/>
  <c r="Y81" i="9"/>
  <c r="S69" i="9"/>
  <c r="G46" i="8"/>
  <c r="AP63" i="9"/>
  <c r="AN72" i="9"/>
  <c r="AU69" i="9"/>
  <c r="AM67" i="8"/>
  <c r="V39" i="8"/>
  <c r="X71" i="9"/>
  <c r="Z86" i="8"/>
  <c r="AW75" i="8"/>
  <c r="M63" i="8"/>
  <c r="AJ75" i="9"/>
  <c r="M68" i="9"/>
  <c r="AH95" i="8"/>
  <c r="AR44" i="9"/>
  <c r="AW66" i="1"/>
  <c r="AR74" i="8"/>
  <c r="AU45" i="9"/>
  <c r="Y74" i="8"/>
  <c r="N39" i="9"/>
  <c r="N79" i="9"/>
  <c r="AR86" i="9"/>
  <c r="AO44" i="9"/>
  <c r="P72" i="9"/>
  <c r="AC70" i="1"/>
  <c r="AJ79" i="1"/>
  <c r="AN79" i="1"/>
  <c r="AJ38" i="8"/>
  <c r="AH80" i="9"/>
  <c r="AO77" i="9"/>
  <c r="X69" i="9"/>
  <c r="Q45" i="1"/>
  <c r="AB38" i="8"/>
  <c r="AV63" i="9"/>
  <c r="G63" i="8"/>
  <c r="T63" i="9"/>
  <c r="AC74" i="9"/>
  <c r="AF14" i="9"/>
  <c r="G79" i="8"/>
  <c r="AM57" i="1"/>
  <c r="AU95" i="8"/>
  <c r="AO79" i="8"/>
  <c r="X75" i="9"/>
  <c r="AO66" i="9"/>
  <c r="AP69" i="9"/>
  <c r="U92" i="9"/>
  <c r="AN81" i="8"/>
  <c r="W70" i="8"/>
  <c r="X73" i="9"/>
  <c r="F78" i="9"/>
  <c r="AH63" i="8"/>
  <c r="AJ86" i="9"/>
  <c r="AG70" i="8"/>
  <c r="AR73" i="8"/>
  <c r="AX10" i="9"/>
  <c r="F75" i="9"/>
  <c r="AV82" i="9"/>
  <c r="AS14" i="8"/>
  <c r="AP77" i="8"/>
  <c r="X63" i="9"/>
  <c r="I75" i="9"/>
  <c r="AO74" i="8"/>
  <c r="O57" i="9"/>
  <c r="AJ57" i="1"/>
  <c r="M75" i="9"/>
  <c r="G74" i="1"/>
  <c r="AV46" i="9"/>
  <c r="AI73" i="9"/>
  <c r="AQ9" i="9"/>
  <c r="AV56" i="9"/>
  <c r="AL80" i="8"/>
  <c r="AQ45" i="9"/>
  <c r="AQ9" i="1"/>
  <c r="AP86" i="9"/>
  <c r="AY95" i="1"/>
  <c r="AM44" i="1"/>
  <c r="U95" i="9"/>
  <c r="AB86" i="8"/>
  <c r="S39" i="1"/>
  <c r="V95" i="1"/>
  <c r="AF86" i="8"/>
  <c r="D66" i="9"/>
  <c r="V67" i="1"/>
  <c r="E9" i="9"/>
  <c r="X95" i="8"/>
  <c r="AF92" i="8"/>
  <c r="AU40" i="9"/>
  <c r="X44" i="9"/>
  <c r="AQ15" i="8"/>
  <c r="AM72" i="8"/>
  <c r="V77" i="1"/>
  <c r="P69" i="8"/>
  <c r="AA87" i="8"/>
  <c r="Q70" i="8"/>
  <c r="AP40" i="9"/>
  <c r="O70" i="1"/>
  <c r="AA56" i="1"/>
  <c r="I79" i="1"/>
  <c r="W87" i="9"/>
  <c r="V39" i="1"/>
  <c r="AY88" i="1"/>
  <c r="AH71" i="1"/>
  <c r="R71" i="9"/>
  <c r="AP74" i="1"/>
  <c r="X8" i="9"/>
  <c r="AL92" i="8"/>
  <c r="F87" i="9"/>
  <c r="AI69" i="8"/>
  <c r="F9" i="9"/>
  <c r="AP76" i="1"/>
  <c r="AW14" i="9"/>
  <c r="AE79" i="9"/>
  <c r="AA66" i="1"/>
  <c r="P65" i="8"/>
  <c r="Z80" i="8"/>
  <c r="H16" i="1"/>
  <c r="F16" i="9"/>
  <c r="M57" i="1"/>
  <c r="H87" i="8"/>
  <c r="M74" i="8"/>
  <c r="AJ82" i="1"/>
  <c r="Q56" i="8"/>
  <c r="AQ67" i="1"/>
  <c r="X76" i="8"/>
  <c r="AI77" i="1"/>
  <c r="AF74" i="1"/>
  <c r="N81" i="1"/>
  <c r="E78" i="9"/>
  <c r="AB75" i="9"/>
  <c r="M64" i="8"/>
  <c r="H8" i="9"/>
  <c r="H82" i="8"/>
  <c r="AH71" i="8"/>
  <c r="K80" i="8"/>
  <c r="M14" i="8"/>
  <c r="AF79" i="9"/>
  <c r="AP92" i="8"/>
  <c r="F65" i="1"/>
  <c r="V92" i="8"/>
  <c r="AR9" i="9"/>
  <c r="E95" i="9"/>
  <c r="M38" i="9"/>
  <c r="S72" i="1"/>
  <c r="AJ76" i="9"/>
  <c r="AW88" i="1"/>
  <c r="AH67" i="8"/>
  <c r="AJ88" i="9"/>
  <c r="AL10" i="9"/>
  <c r="AS46" i="8"/>
  <c r="R78" i="9"/>
  <c r="Q9" i="8"/>
  <c r="AH88" i="8"/>
  <c r="AI56" i="9"/>
  <c r="Q92" i="8"/>
  <c r="AQ15" i="1"/>
  <c r="AM39" i="9"/>
  <c r="AQ70" i="1"/>
  <c r="I16" i="1"/>
  <c r="AB91" i="9"/>
  <c r="Q76" i="1"/>
  <c r="AM87" i="1"/>
  <c r="AX82" i="1"/>
  <c r="AA91" i="9"/>
  <c r="AT70" i="8"/>
  <c r="AA70" i="9"/>
  <c r="AY82" i="9"/>
  <c r="AP75" i="8"/>
  <c r="N87" i="9"/>
  <c r="AO71" i="9"/>
  <c r="AA69" i="1"/>
  <c r="S80" i="9"/>
  <c r="N71" i="8"/>
  <c r="N69" i="8"/>
  <c r="AR16" i="9"/>
  <c r="S78" i="9"/>
  <c r="L69" i="8"/>
  <c r="W67" i="8"/>
  <c r="W88" i="9"/>
  <c r="W39" i="9"/>
  <c r="P64" i="9"/>
  <c r="AA40" i="8"/>
  <c r="U75" i="8"/>
  <c r="U39" i="9"/>
  <c r="AP79" i="9"/>
  <c r="P87" i="1"/>
  <c r="AL82" i="1"/>
  <c r="O75" i="1"/>
  <c r="AM44" i="9"/>
  <c r="O70" i="8"/>
  <c r="U40" i="1"/>
  <c r="Y15" i="8"/>
  <c r="AA8" i="9"/>
  <c r="I76" i="9"/>
  <c r="H74" i="8"/>
  <c r="O44" i="9"/>
  <c r="X95" i="9"/>
  <c r="G87" i="8"/>
  <c r="F40" i="1"/>
  <c r="S74" i="8"/>
  <c r="AM81" i="9"/>
  <c r="AN45" i="1"/>
  <c r="AH81" i="9"/>
  <c r="AX66" i="9"/>
  <c r="Z9" i="9"/>
  <c r="Z9" i="8"/>
  <c r="AS95" i="8"/>
  <c r="U86" i="8"/>
  <c r="S79" i="8"/>
  <c r="X76" i="9"/>
  <c r="AC71" i="1"/>
  <c r="AE73" i="8"/>
  <c r="AX95" i="1"/>
  <c r="X16" i="9"/>
  <c r="D72" i="9"/>
  <c r="AO14" i="8"/>
  <c r="V81" i="1"/>
  <c r="O79" i="9"/>
  <c r="G72" i="9"/>
  <c r="E79" i="8"/>
  <c r="AW16" i="9"/>
  <c r="AF10" i="8"/>
  <c r="D92" i="8"/>
  <c r="S80" i="1"/>
  <c r="T70" i="9"/>
  <c r="M82" i="1"/>
  <c r="G87" i="1"/>
  <c r="AF72" i="1"/>
  <c r="AJ38" i="1"/>
  <c r="AO88" i="1"/>
  <c r="AL10" i="8"/>
  <c r="S64" i="8"/>
  <c r="K82" i="8"/>
  <c r="D44" i="8"/>
  <c r="AW57" i="1"/>
  <c r="Z44" i="1"/>
  <c r="E57" i="9"/>
  <c r="AD71" i="8"/>
  <c r="AQ72" i="9"/>
  <c r="L8" i="9"/>
  <c r="W70" i="1"/>
  <c r="AR81" i="1"/>
  <c r="AV38" i="1"/>
  <c r="U77" i="9"/>
  <c r="AU14" i="1"/>
  <c r="AF78" i="1"/>
  <c r="AL73" i="9"/>
  <c r="F10" i="9"/>
  <c r="AP15" i="8"/>
  <c r="AA87" i="9"/>
  <c r="T8" i="9"/>
  <c r="Y95" i="9"/>
  <c r="AJ92" i="9"/>
  <c r="U72" i="1"/>
  <c r="AC71" i="9"/>
  <c r="P57" i="9"/>
  <c r="AM45" i="8"/>
  <c r="L92" i="9"/>
  <c r="AF63" i="9"/>
  <c r="J63" i="1"/>
  <c r="AK57" i="1"/>
  <c r="AJ71" i="9"/>
  <c r="AT39" i="1"/>
  <c r="AU57" i="1"/>
  <c r="Y80" i="9"/>
  <c r="N71" i="1"/>
  <c r="I82" i="8"/>
  <c r="AP73" i="8"/>
  <c r="AU88" i="8"/>
  <c r="AP95" i="8"/>
  <c r="AS88" i="1"/>
  <c r="AL82" i="9"/>
  <c r="AA69" i="9"/>
  <c r="AY69" i="8"/>
  <c r="AT72" i="9"/>
  <c r="AI88" i="9"/>
  <c r="V38" i="8"/>
  <c r="O56" i="8"/>
  <c r="AF64" i="8"/>
  <c r="AF57" i="9"/>
  <c r="AH14" i="1"/>
  <c r="AD70" i="1"/>
  <c r="T82" i="8"/>
  <c r="AM56" i="8"/>
  <c r="G92" i="1"/>
  <c r="O63" i="1"/>
  <c r="W45" i="1"/>
  <c r="AG76" i="9"/>
  <c r="Q91" i="9"/>
  <c r="D74" i="9"/>
  <c r="AC80" i="1"/>
  <c r="R8" i="8"/>
  <c r="U65" i="9"/>
  <c r="I14" i="9"/>
  <c r="AM77" i="9"/>
  <c r="AF80" i="9"/>
  <c r="AF80" i="1"/>
  <c r="I71" i="8"/>
  <c r="AR8" i="9"/>
  <c r="AP70" i="8"/>
  <c r="O70" i="9"/>
  <c r="AV39" i="9"/>
  <c r="E76" i="9"/>
  <c r="J70" i="9"/>
  <c r="AK75" i="8"/>
  <c r="AP70" i="9"/>
  <c r="Q72" i="8"/>
  <c r="AE66" i="9"/>
  <c r="AS64" i="9"/>
  <c r="M92" i="8"/>
  <c r="T75" i="1"/>
  <c r="AO9" i="9"/>
  <c r="Y91" i="8"/>
  <c r="E38" i="8"/>
  <c r="S95" i="9"/>
  <c r="AD10" i="9"/>
  <c r="X67" i="9"/>
  <c r="AW87" i="9"/>
  <c r="O91" i="9"/>
  <c r="AV72" i="9"/>
  <c r="AR75" i="9"/>
  <c r="J71" i="8"/>
  <c r="I91" i="1"/>
  <c r="AC56" i="1"/>
  <c r="AN40" i="9"/>
  <c r="AX88" i="9"/>
  <c r="Z69" i="9"/>
  <c r="E40" i="1"/>
  <c r="E87" i="8"/>
  <c r="F65" i="9"/>
  <c r="Q92" i="9"/>
  <c r="AI66" i="1"/>
  <c r="U10" i="1"/>
  <c r="AP67" i="8"/>
  <c r="AI70" i="9"/>
  <c r="AU68" i="8"/>
  <c r="AK38" i="8"/>
  <c r="AX82" i="8"/>
  <c r="AK76" i="9"/>
  <c r="R38" i="8"/>
  <c r="AU79" i="8"/>
  <c r="AK9" i="9"/>
  <c r="AR63" i="9"/>
  <c r="AG67" i="9"/>
  <c r="AO76" i="1"/>
  <c r="AC69" i="8"/>
  <c r="L65" i="9"/>
  <c r="AD40" i="8"/>
  <c r="AH74" i="1"/>
  <c r="G80" i="8"/>
  <c r="AX69" i="8"/>
  <c r="AN45" i="8"/>
  <c r="AD56" i="9"/>
  <c r="G82" i="8"/>
  <c r="N38" i="8"/>
  <c r="AK77" i="8"/>
  <c r="AV76" i="9"/>
  <c r="AF69" i="9"/>
  <c r="AQ73" i="8"/>
  <c r="Q76" i="9"/>
  <c r="AW10" i="9"/>
  <c r="Y16" i="9"/>
  <c r="AO57" i="9"/>
  <c r="F81" i="1"/>
  <c r="K78" i="8"/>
  <c r="AH15" i="9"/>
  <c r="I16" i="9"/>
  <c r="Q74" i="8"/>
  <c r="AE40" i="9"/>
  <c r="M71" i="9"/>
  <c r="AT74" i="8"/>
  <c r="AX80" i="1"/>
  <c r="AT10" i="9"/>
  <c r="I65" i="1"/>
  <c r="AM71" i="9"/>
  <c r="AS70" i="9"/>
  <c r="H92" i="8"/>
  <c r="W57" i="8"/>
  <c r="U80" i="9"/>
  <c r="AO92" i="8"/>
  <c r="N66" i="9"/>
  <c r="AH86" i="9"/>
  <c r="Q95" i="1"/>
  <c r="V15" i="1"/>
  <c r="AP40" i="8"/>
  <c r="AX45" i="9"/>
  <c r="W40" i="1"/>
  <c r="AR72" i="1"/>
  <c r="AK44" i="8"/>
  <c r="U63" i="1"/>
  <c r="H68" i="8"/>
  <c r="AH70" i="9"/>
  <c r="N63" i="9"/>
  <c r="H91" i="1"/>
  <c r="P88" i="9"/>
  <c r="AC70" i="8"/>
  <c r="AR14" i="9"/>
  <c r="AK87" i="9"/>
  <c r="J80" i="9"/>
  <c r="I81" i="9"/>
  <c r="AQ74" i="8"/>
  <c r="AS68" i="9"/>
  <c r="AM45" i="1"/>
  <c r="L16" i="8"/>
  <c r="U79" i="8"/>
  <c r="AB76" i="9"/>
  <c r="AB95" i="8"/>
  <c r="AC79" i="8"/>
  <c r="H40" i="1"/>
  <c r="AV75" i="8"/>
  <c r="AT45" i="9"/>
  <c r="AM14" i="8"/>
  <c r="AA16" i="8"/>
  <c r="AO67" i="1"/>
  <c r="AK57" i="8"/>
  <c r="X9" i="9"/>
  <c r="K39" i="8"/>
  <c r="X82" i="9"/>
  <c r="X45" i="8"/>
  <c r="AX91" i="9"/>
  <c r="AM65" i="8"/>
  <c r="AB66" i="8"/>
  <c r="L71" i="8"/>
  <c r="AQ65" i="9"/>
  <c r="U9" i="1"/>
  <c r="M95" i="9"/>
  <c r="AN38" i="1"/>
  <c r="AW71" i="9"/>
  <c r="D56" i="9"/>
  <c r="L8" i="1"/>
  <c r="S65" i="9"/>
  <c r="V66" i="8"/>
  <c r="I87" i="9"/>
  <c r="AO39" i="8"/>
  <c r="P86" i="8"/>
  <c r="K63" i="8"/>
  <c r="AO68" i="8"/>
  <c r="AR81" i="8"/>
  <c r="AT81" i="1"/>
  <c r="AD46" i="9"/>
  <c r="Y39" i="9"/>
  <c r="H69" i="1"/>
  <c r="E70" i="1"/>
  <c r="AL72" i="9"/>
  <c r="AR92" i="1"/>
  <c r="U14" i="8"/>
  <c r="X68" i="9"/>
  <c r="U16" i="9"/>
  <c r="Y86" i="9"/>
  <c r="AH88" i="9"/>
  <c r="AP87" i="9"/>
  <c r="AI95" i="9"/>
  <c r="AL70" i="9"/>
  <c r="K14" i="8"/>
  <c r="Q63" i="8"/>
  <c r="D39" i="8"/>
  <c r="AF88" i="9"/>
  <c r="AV81" i="9"/>
  <c r="J80" i="8"/>
  <c r="W45" i="9"/>
  <c r="AN77" i="8"/>
  <c r="I71" i="1"/>
  <c r="AA78" i="8"/>
  <c r="AO56" i="9"/>
  <c r="AQ14" i="9"/>
  <c r="AU46" i="8"/>
  <c r="H77" i="1"/>
  <c r="P67" i="8"/>
  <c r="AH87" i="1"/>
  <c r="AV87" i="9"/>
  <c r="AH38" i="9"/>
  <c r="J72" i="9"/>
  <c r="AW76" i="8"/>
  <c r="AU40" i="8"/>
  <c r="AN74" i="1"/>
  <c r="AT66" i="8"/>
  <c r="AD45" i="1"/>
  <c r="AJ81" i="9"/>
  <c r="F66" i="9"/>
  <c r="AF64" i="1"/>
  <c r="AT57" i="9"/>
  <c r="AB82" i="8"/>
  <c r="AE73" i="9"/>
  <c r="N78" i="9"/>
  <c r="AW77" i="8"/>
  <c r="AY66" i="8"/>
  <c r="Q95" i="8"/>
  <c r="T57" i="8"/>
  <c r="G14" i="1"/>
  <c r="AF79" i="8"/>
  <c r="H38" i="1"/>
  <c r="E68" i="8"/>
  <c r="AL64" i="9"/>
  <c r="Z14" i="9"/>
  <c r="J92" i="9"/>
  <c r="K67" i="9"/>
  <c r="AD71" i="9"/>
  <c r="Q8" i="9"/>
  <c r="AO70" i="8"/>
  <c r="AA63" i="8"/>
  <c r="AS81" i="8"/>
  <c r="AW92" i="1"/>
  <c r="L72" i="8"/>
  <c r="AR39" i="9"/>
  <c r="AW45" i="9"/>
  <c r="U68" i="9"/>
  <c r="AL66" i="1"/>
  <c r="I57" i="8"/>
  <c r="AN80" i="9"/>
  <c r="E82" i="9"/>
  <c r="AS8" i="8"/>
  <c r="AL39" i="1"/>
  <c r="V86" i="8"/>
  <c r="T72" i="8"/>
  <c r="AJ38" i="9"/>
  <c r="R16" i="9"/>
  <c r="AG73" i="8"/>
  <c r="R80" i="1"/>
  <c r="AK75" i="9"/>
  <c r="AL81" i="8"/>
  <c r="AP46" i="8"/>
  <c r="H15" i="9"/>
  <c r="N38" i="9"/>
  <c r="Q87" i="8"/>
  <c r="U79" i="1"/>
  <c r="AK86" i="9"/>
  <c r="AT67" i="1"/>
  <c r="Q70" i="9"/>
  <c r="K86" i="1"/>
  <c r="AT95" i="8"/>
  <c r="G15" i="9"/>
  <c r="AL81" i="1"/>
  <c r="AC66" i="9"/>
  <c r="F72" i="9"/>
  <c r="J16" i="8"/>
  <c r="X57" i="9"/>
  <c r="X87" i="9"/>
  <c r="F86" i="1"/>
  <c r="S8" i="8"/>
  <c r="AE86" i="9"/>
  <c r="U69" i="9"/>
  <c r="K71" i="8"/>
  <c r="R68" i="1"/>
  <c r="AN80" i="8"/>
  <c r="AC92" i="1"/>
  <c r="AI68" i="9"/>
  <c r="S68" i="9"/>
  <c r="AE71" i="9"/>
  <c r="AI65" i="8"/>
  <c r="W81" i="9"/>
  <c r="AU82" i="9"/>
  <c r="AV95" i="1"/>
  <c r="AH77" i="8"/>
  <c r="K10" i="1"/>
  <c r="AV8" i="8"/>
  <c r="AQ91" i="8"/>
  <c r="H57" i="1"/>
  <c r="AK45" i="1"/>
  <c r="M67" i="8"/>
  <c r="AJ75" i="8"/>
  <c r="Z82" i="8"/>
  <c r="U14" i="1"/>
  <c r="P81" i="1"/>
  <c r="AT16" i="8"/>
  <c r="AW72" i="9"/>
  <c r="AI77" i="8"/>
  <c r="O78" i="9"/>
  <c r="AW73" i="9"/>
  <c r="AE88" i="9"/>
  <c r="AM91" i="8"/>
  <c r="K14" i="1"/>
  <c r="G14" i="8"/>
  <c r="F16" i="8"/>
  <c r="L76" i="9"/>
  <c r="G15" i="1"/>
  <c r="S67" i="9"/>
  <c r="AJ79" i="9"/>
  <c r="AD9" i="1"/>
  <c r="AS76" i="8"/>
  <c r="G45" i="9"/>
  <c r="V9" i="1"/>
  <c r="AY91" i="9"/>
  <c r="F64" i="9"/>
  <c r="AS9" i="8"/>
  <c r="E86" i="8"/>
  <c r="AB38" i="9"/>
  <c r="AD65" i="9"/>
  <c r="I46" i="9"/>
  <c r="U38" i="9"/>
  <c r="P67" i="9"/>
  <c r="AN86" i="8"/>
  <c r="F75" i="1"/>
  <c r="H66" i="1"/>
  <c r="AJ56" i="1"/>
  <c r="D8" i="8"/>
  <c r="G57" i="9"/>
  <c r="AS14" i="9"/>
  <c r="AW75" i="9"/>
  <c r="AW57" i="8"/>
  <c r="U67" i="1"/>
  <c r="E46" i="8"/>
  <c r="H67" i="9"/>
  <c r="AY14" i="1"/>
  <c r="E65" i="1"/>
  <c r="AD76" i="9"/>
  <c r="Y77" i="8"/>
  <c r="AR87" i="8"/>
  <c r="T74" i="1"/>
  <c r="AC9" i="8"/>
  <c r="AS39" i="9"/>
  <c r="V40" i="1"/>
  <c r="H88" i="1"/>
  <c r="AH16" i="1"/>
  <c r="M88" i="9"/>
  <c r="F77" i="9"/>
  <c r="AK16" i="9"/>
  <c r="K69" i="9"/>
  <c r="Y73" i="1"/>
  <c r="F75" i="8"/>
  <c r="X56" i="9"/>
  <c r="H57" i="9"/>
  <c r="X75" i="1"/>
  <c r="AL70" i="8"/>
  <c r="AJ39" i="8"/>
  <c r="S46" i="9"/>
  <c r="Q39" i="9"/>
  <c r="D15" i="9"/>
  <c r="AT88" i="1"/>
  <c r="AV73" i="9"/>
  <c r="V78" i="9"/>
  <c r="AA39" i="8"/>
  <c r="U91" i="8"/>
  <c r="AP82" i="1"/>
  <c r="G46" i="1"/>
  <c r="S66" i="1"/>
  <c r="X65" i="8"/>
  <c r="AW14" i="8"/>
  <c r="T91" i="8"/>
  <c r="O86" i="1"/>
  <c r="AE39" i="9"/>
  <c r="H71" i="8"/>
  <c r="Z71" i="8"/>
  <c r="AF57" i="8"/>
  <c r="R44" i="1"/>
  <c r="AP82" i="8"/>
  <c r="H65" i="1"/>
  <c r="J15" i="8"/>
  <c r="AX46" i="8"/>
  <c r="AG79" i="9"/>
  <c r="AP86" i="8"/>
  <c r="L57" i="8"/>
  <c r="AK15" i="9"/>
  <c r="N39" i="1"/>
  <c r="AJ74" i="8"/>
  <c r="Z46" i="8"/>
  <c r="AX73" i="8"/>
  <c r="N67" i="8"/>
  <c r="AD45" i="8"/>
  <c r="F67" i="1"/>
  <c r="AB40" i="8"/>
  <c r="AL14" i="9"/>
  <c r="AC88" i="1"/>
  <c r="AM15" i="9"/>
  <c r="AP56" i="9"/>
  <c r="AX79" i="8"/>
  <c r="AO75" i="9"/>
  <c r="E95" i="1"/>
  <c r="AN86" i="9"/>
  <c r="J95" i="1"/>
  <c r="AN39" i="9"/>
  <c r="L78" i="9"/>
  <c r="AB79" i="9"/>
  <c r="AL63" i="9"/>
  <c r="AB66" i="1"/>
  <c r="S86" i="8"/>
  <c r="Q81" i="8"/>
  <c r="AP82" i="9"/>
  <c r="AQ64" i="9"/>
  <c r="E67" i="9"/>
  <c r="J45" i="8"/>
  <c r="AW95" i="8"/>
  <c r="K72" i="1"/>
  <c r="S56" i="8"/>
  <c r="AK45" i="9"/>
  <c r="V92" i="1"/>
  <c r="AC39" i="9"/>
  <c r="AJ80" i="9"/>
  <c r="AF68" i="9"/>
  <c r="AK70" i="8"/>
  <c r="D67" i="9"/>
  <c r="AH82" i="1"/>
  <c r="T65" i="9"/>
  <c r="AS79" i="8"/>
  <c r="AR64" i="9"/>
  <c r="Y79" i="1"/>
  <c r="AF66" i="9"/>
  <c r="K73" i="9"/>
  <c r="AS45" i="8"/>
  <c r="Q92" i="1"/>
  <c r="Z86" i="9"/>
  <c r="AL73" i="1"/>
  <c r="AK79" i="9"/>
  <c r="AV79" i="8"/>
  <c r="R87" i="8"/>
  <c r="U76" i="1"/>
  <c r="F57" i="1"/>
  <c r="AI46" i="8"/>
  <c r="AX57" i="1"/>
  <c r="Y82" i="8"/>
  <c r="AD68" i="8"/>
  <c r="AN71" i="9"/>
  <c r="AS9" i="1"/>
  <c r="I40" i="9"/>
  <c r="Q14" i="8"/>
  <c r="R68" i="9"/>
  <c r="I70" i="1"/>
  <c r="J16" i="1"/>
  <c r="U88" i="1"/>
  <c r="AI92" i="8"/>
  <c r="D69" i="9"/>
  <c r="AP46" i="1"/>
  <c r="AC46" i="1"/>
  <c r="AQ15" i="9"/>
  <c r="I16" i="8"/>
  <c r="AF64" i="9"/>
  <c r="K81" i="9"/>
  <c r="AE57" i="8"/>
  <c r="Z91" i="8"/>
  <c r="AH73" i="9"/>
  <c r="D68" i="1"/>
  <c r="AW91" i="1"/>
  <c r="P92" i="1"/>
  <c r="L77" i="1"/>
  <c r="M92" i="9"/>
  <c r="AR15" i="9"/>
  <c r="M73" i="8"/>
  <c r="AD79" i="1"/>
  <c r="V95" i="9"/>
  <c r="AL16" i="9"/>
  <c r="AA65" i="1"/>
  <c r="AY82" i="1"/>
  <c r="AK95" i="1"/>
  <c r="AK65" i="9"/>
  <c r="P72" i="1"/>
  <c r="AW45" i="1"/>
  <c r="AV76" i="8"/>
  <c r="AG38" i="9"/>
  <c r="AF77" i="8"/>
  <c r="P68" i="1"/>
  <c r="E56" i="8"/>
  <c r="AR57" i="1"/>
  <c r="I72" i="8"/>
  <c r="AV39" i="8"/>
  <c r="E87" i="9"/>
  <c r="R81" i="1"/>
  <c r="J82" i="9"/>
  <c r="Y80" i="1"/>
  <c r="U39" i="1"/>
  <c r="K65" i="9"/>
  <c r="Y57" i="9"/>
  <c r="R44" i="9"/>
  <c r="AB86" i="9"/>
  <c r="L91" i="8"/>
  <c r="AY45" i="9"/>
  <c r="T95" i="8"/>
  <c r="R92" i="8"/>
  <c r="AU75" i="1"/>
  <c r="AG77" i="8"/>
  <c r="Z78" i="1"/>
  <c r="AD45" i="9"/>
  <c r="F67" i="8"/>
  <c r="H81" i="9"/>
  <c r="AN44" i="9"/>
  <c r="AV86" i="8"/>
  <c r="G77" i="9"/>
  <c r="G77" i="8"/>
  <c r="Z87" i="8"/>
  <c r="Z44" i="8"/>
  <c r="AU38" i="8"/>
  <c r="AW86" i="8"/>
  <c r="AJ77" i="9"/>
  <c r="AU86" i="9"/>
  <c r="AS86" i="1"/>
  <c r="AA68" i="1"/>
  <c r="AH8" i="1"/>
  <c r="Z92" i="1"/>
  <c r="AU39" i="1"/>
  <c r="R76" i="1"/>
  <c r="AM8" i="9"/>
  <c r="AL46" i="9"/>
  <c r="AA82" i="9"/>
  <c r="M65" i="1"/>
  <c r="K56" i="8"/>
  <c r="AJ8" i="1"/>
  <c r="AB69" i="9"/>
  <c r="T79" i="8"/>
  <c r="AV9" i="8"/>
  <c r="F88" i="9"/>
  <c r="X66" i="9"/>
  <c r="J75" i="9"/>
  <c r="AR74" i="9"/>
  <c r="AR91" i="8"/>
  <c r="G92" i="8"/>
  <c r="AV67" i="8"/>
  <c r="T76" i="8"/>
  <c r="X69" i="8"/>
  <c r="AI74" i="8"/>
  <c r="AI88" i="1"/>
  <c r="AJ39" i="9"/>
  <c r="AF73" i="1"/>
  <c r="J64" i="8"/>
  <c r="V92" i="9"/>
  <c r="AP88" i="1"/>
  <c r="J72" i="8"/>
  <c r="AL75" i="1"/>
  <c r="M77" i="8"/>
  <c r="AK63" i="9"/>
  <c r="AS91" i="1"/>
  <c r="AU75" i="8"/>
  <c r="AS88" i="8"/>
  <c r="AS68" i="8"/>
  <c r="AM78" i="1"/>
  <c r="AW79" i="9"/>
  <c r="AH66" i="9"/>
  <c r="AS38" i="9"/>
  <c r="AJ77" i="8"/>
  <c r="I76" i="1"/>
  <c r="W57" i="1"/>
  <c r="AP65" i="8"/>
  <c r="AC8" i="1"/>
  <c r="L74" i="1"/>
  <c r="AF88" i="8"/>
  <c r="AL92" i="1"/>
  <c r="M46" i="1"/>
  <c r="AI87" i="9"/>
  <c r="AO79" i="9"/>
  <c r="AX40" i="9"/>
  <c r="AP77" i="9"/>
  <c r="Y74" i="9"/>
  <c r="AK68" i="1"/>
  <c r="W73" i="1"/>
  <c r="AF81" i="8"/>
  <c r="I80" i="9"/>
  <c r="AC44" i="9"/>
  <c r="AS79" i="1"/>
  <c r="K8" i="1"/>
  <c r="AN15" i="9"/>
  <c r="O87" i="1"/>
  <c r="AF73" i="8"/>
  <c r="K68" i="1"/>
  <c r="T39" i="9"/>
  <c r="AB70" i="1"/>
  <c r="AI10" i="8"/>
  <c r="AJ86" i="1"/>
  <c r="I70" i="9"/>
  <c r="AS63" i="8"/>
  <c r="AF9" i="9"/>
  <c r="AN76" i="1"/>
  <c r="AP76" i="9"/>
  <c r="W44" i="8"/>
  <c r="AA77" i="1"/>
  <c r="AG15" i="8"/>
  <c r="AP64" i="9"/>
  <c r="AY15" i="9"/>
  <c r="AB63" i="1"/>
  <c r="AC78" i="8"/>
  <c r="AA15" i="8"/>
  <c r="P71" i="1"/>
  <c r="X64" i="1"/>
  <c r="G44" i="8"/>
  <c r="AW40" i="8"/>
  <c r="AT63" i="1"/>
  <c r="AJ57" i="9"/>
  <c r="AA68" i="8"/>
  <c r="G63" i="1"/>
  <c r="AQ92" i="8"/>
  <c r="AY57" i="1"/>
  <c r="V87" i="9"/>
  <c r="AE95" i="8"/>
  <c r="N14" i="1"/>
  <c r="AO74" i="9"/>
  <c r="AN86" i="1"/>
  <c r="Y68" i="8"/>
  <c r="W78" i="1"/>
  <c r="J15" i="9"/>
  <c r="W86" i="9"/>
  <c r="D86" i="1"/>
  <c r="H14" i="9"/>
  <c r="AB39" i="8"/>
  <c r="M72" i="1"/>
  <c r="AL39" i="9"/>
  <c r="AU69" i="8"/>
  <c r="AO63" i="9"/>
  <c r="M69" i="9"/>
  <c r="AB88" i="8"/>
  <c r="AA82" i="8"/>
  <c r="AS45" i="9"/>
  <c r="M74" i="9"/>
  <c r="Y10" i="9"/>
  <c r="M81" i="1"/>
  <c r="AE10" i="9"/>
  <c r="AU87" i="1"/>
  <c r="I95" i="1"/>
  <c r="AC77" i="8"/>
  <c r="AX76" i="1"/>
  <c r="AC80" i="8"/>
  <c r="D87" i="8"/>
  <c r="S57" i="8"/>
  <c r="AE65" i="9"/>
  <c r="AT66" i="9"/>
  <c r="D10" i="1"/>
  <c r="AA75" i="9"/>
  <c r="AM78" i="9"/>
  <c r="AS72" i="9"/>
  <c r="AF95" i="8"/>
  <c r="L67" i="8"/>
  <c r="O65" i="8"/>
  <c r="AE72" i="9"/>
  <c r="AO65" i="9"/>
  <c r="H76" i="1"/>
  <c r="AQ10" i="8"/>
  <c r="K56" i="1"/>
  <c r="AR91" i="1"/>
  <c r="AM92" i="1"/>
  <c r="AD9" i="8"/>
  <c r="AC46" i="8"/>
  <c r="P86" i="9"/>
  <c r="M81" i="9"/>
  <c r="AG78" i="9"/>
  <c r="AT81" i="9"/>
  <c r="E80" i="9"/>
  <c r="AC14" i="8"/>
  <c r="R71" i="8"/>
  <c r="R67" i="8"/>
  <c r="AI40" i="9"/>
  <c r="AN56" i="1"/>
  <c r="AN8" i="8"/>
  <c r="AT77" i="9"/>
  <c r="AC44" i="1"/>
  <c r="AF14" i="1"/>
  <c r="AB87" i="1"/>
  <c r="G81" i="1"/>
  <c r="R10" i="8"/>
  <c r="O77" i="9"/>
  <c r="G67" i="1"/>
  <c r="AD78" i="1"/>
  <c r="U91" i="9"/>
  <c r="H80" i="9"/>
  <c r="Q40" i="1"/>
  <c r="AI39" i="9"/>
  <c r="S73" i="8"/>
  <c r="AI80" i="9"/>
  <c r="AH82" i="9"/>
  <c r="Q80" i="9"/>
  <c r="X46" i="9"/>
  <c r="AK68" i="8"/>
  <c r="AQ77" i="9"/>
  <c r="AX15" i="1"/>
  <c r="AC76" i="8"/>
  <c r="AO87" i="8"/>
  <c r="AO44" i="8"/>
  <c r="AL65" i="1"/>
  <c r="AI86" i="1"/>
  <c r="Y75" i="1"/>
  <c r="AT64" i="1"/>
  <c r="W66" i="9"/>
  <c r="AQ70" i="8"/>
  <c r="AB14" i="8"/>
  <c r="E66" i="8"/>
  <c r="L10" i="9"/>
  <c r="AL65" i="9"/>
  <c r="AL44" i="8"/>
  <c r="D57" i="1"/>
  <c r="I8" i="9"/>
  <c r="AJ70" i="8"/>
  <c r="V46" i="1"/>
  <c r="AD82" i="9"/>
  <c r="AD80" i="1"/>
  <c r="N39" i="8"/>
  <c r="O86" i="8"/>
  <c r="AV80" i="1"/>
  <c r="E38" i="1"/>
  <c r="AE38" i="1"/>
  <c r="AX14" i="1"/>
  <c r="AV9" i="1"/>
  <c r="AY67" i="8"/>
  <c r="AC66" i="1"/>
  <c r="E70" i="9"/>
  <c r="AV70" i="9"/>
  <c r="O81" i="8"/>
  <c r="AN77" i="1"/>
  <c r="P8" i="8"/>
  <c r="D80" i="1"/>
  <c r="Q56" i="1"/>
  <c r="D78" i="9"/>
  <c r="U71" i="1"/>
  <c r="AI8" i="8"/>
  <c r="AJ64" i="9"/>
  <c r="G86" i="8"/>
  <c r="AI74" i="9"/>
  <c r="AQ66" i="1"/>
  <c r="I10" i="9"/>
  <c r="AR76" i="9"/>
  <c r="O69" i="8"/>
  <c r="O78" i="8"/>
  <c r="L69" i="9"/>
  <c r="AD73" i="8"/>
  <c r="R87" i="9"/>
  <c r="L68" i="8"/>
  <c r="AF75" i="9"/>
  <c r="AU71" i="9"/>
  <c r="R40" i="9"/>
  <c r="Z72" i="9"/>
  <c r="AK78" i="9"/>
  <c r="AX56" i="1"/>
  <c r="AE91" i="9"/>
  <c r="AB46" i="1"/>
  <c r="AT95" i="9"/>
  <c r="AP95" i="9"/>
  <c r="AB87" i="8"/>
  <c r="AG70" i="9"/>
  <c r="T14" i="9"/>
  <c r="AL82" i="8"/>
  <c r="AL57" i="1"/>
  <c r="AY68" i="9"/>
  <c r="O40" i="1"/>
  <c r="V38" i="9"/>
  <c r="AJ16" i="9"/>
  <c r="AH64" i="8"/>
  <c r="R65" i="9"/>
  <c r="K10" i="9"/>
  <c r="AY38" i="9"/>
  <c r="O64" i="8"/>
  <c r="I77" i="8"/>
  <c r="E64" i="8"/>
  <c r="M57" i="9"/>
  <c r="AX68" i="1"/>
  <c r="AN76" i="8"/>
  <c r="AN16" i="1"/>
  <c r="Y66" i="1"/>
  <c r="AA72" i="1"/>
  <c r="X81" i="9"/>
  <c r="AT64" i="8"/>
  <c r="AD82" i="1"/>
  <c r="AD69" i="8"/>
  <c r="AD95" i="9"/>
  <c r="Z71" i="9"/>
  <c r="K82" i="1"/>
  <c r="AG10" i="9"/>
  <c r="AL68" i="9"/>
  <c r="AY86" i="9"/>
  <c r="AX67" i="8"/>
  <c r="AG15" i="9"/>
  <c r="AD91" i="1"/>
  <c r="AI78" i="1"/>
  <c r="AR79" i="9"/>
  <c r="Q15" i="8"/>
  <c r="AT95" i="1"/>
  <c r="AD75" i="8"/>
  <c r="N44" i="9"/>
  <c r="T76" i="9"/>
  <c r="AW69" i="8"/>
  <c r="AS67" i="8"/>
  <c r="I14" i="8"/>
  <c r="AS10" i="8"/>
  <c r="AR66" i="9"/>
  <c r="AA65" i="9"/>
  <c r="AL81" i="9"/>
  <c r="AC80" i="9"/>
  <c r="AF66" i="1"/>
  <c r="AW71" i="1"/>
  <c r="Y86" i="8"/>
  <c r="AD9" i="9"/>
  <c r="N81" i="9"/>
  <c r="AL80" i="9"/>
  <c r="G68" i="9"/>
  <c r="AB67" i="9"/>
  <c r="AN72" i="8"/>
  <c r="Y63" i="9"/>
  <c r="AH88" i="1"/>
  <c r="L10" i="8"/>
  <c r="I92" i="9"/>
  <c r="AO88" i="8"/>
  <c r="AJ67" i="8"/>
  <c r="AK81" i="8"/>
  <c r="AS57" i="1"/>
  <c r="AW64" i="9"/>
  <c r="V87" i="1"/>
  <c r="G56" i="9"/>
  <c r="AS78" i="9"/>
  <c r="S82" i="9"/>
  <c r="AB45" i="9"/>
  <c r="AB78" i="9"/>
  <c r="AR67" i="9"/>
  <c r="AY45" i="1"/>
  <c r="AI65" i="1"/>
  <c r="Q68" i="9"/>
  <c r="K67" i="8"/>
  <c r="AD65" i="8"/>
  <c r="AK76" i="8"/>
  <c r="X86" i="9"/>
  <c r="AV63" i="8"/>
  <c r="AX88" i="8"/>
  <c r="AS65" i="1"/>
  <c r="AG15" i="1"/>
  <c r="Q88" i="8"/>
  <c r="AK65" i="8"/>
  <c r="V57" i="1"/>
  <c r="Z75" i="8"/>
  <c r="AU78" i="9"/>
  <c r="AF72" i="8"/>
  <c r="Q68" i="8"/>
  <c r="R75" i="9"/>
  <c r="AX72" i="9"/>
  <c r="AW79" i="8"/>
  <c r="E77" i="9"/>
  <c r="O75" i="8"/>
  <c r="AE63" i="8"/>
  <c r="U73" i="9"/>
  <c r="T92" i="9"/>
  <c r="AT72" i="1"/>
  <c r="AV10" i="9"/>
  <c r="G73" i="9"/>
  <c r="AH68" i="9"/>
  <c r="Y56" i="8"/>
  <c r="AP68" i="1"/>
  <c r="Q46" i="8"/>
  <c r="AQ65" i="8"/>
  <c r="O80" i="1"/>
  <c r="I74" i="8"/>
  <c r="AN65" i="8"/>
  <c r="N74" i="9"/>
  <c r="U57" i="1"/>
  <c r="Z8" i="8"/>
  <c r="R40" i="8"/>
  <c r="AR10" i="9"/>
  <c r="AH67" i="9"/>
  <c r="Y92" i="9"/>
  <c r="U72" i="8"/>
  <c r="AG40" i="9"/>
  <c r="AI92" i="9"/>
  <c r="S95" i="8"/>
  <c r="P10" i="8"/>
  <c r="AT56" i="1"/>
  <c r="AH63" i="9"/>
  <c r="N78" i="1"/>
  <c r="AC39" i="8"/>
  <c r="V44" i="9"/>
  <c r="G71" i="1"/>
  <c r="N67" i="9"/>
  <c r="Z70" i="9"/>
  <c r="E14" i="9"/>
  <c r="AC67" i="8"/>
  <c r="U38" i="1"/>
  <c r="AW14" i="1"/>
  <c r="W64" i="8"/>
  <c r="AB16" i="8"/>
  <c r="Y80" i="8"/>
  <c r="I72" i="9"/>
  <c r="AC78" i="9"/>
  <c r="T74" i="8"/>
  <c r="AJ74" i="9"/>
  <c r="AK72" i="9"/>
  <c r="AV14" i="9"/>
  <c r="AF86" i="9"/>
  <c r="Y68" i="9"/>
  <c r="AK10" i="1"/>
  <c r="V74" i="9"/>
  <c r="Z16" i="1"/>
  <c r="F87" i="1"/>
  <c r="U63" i="8"/>
  <c r="AW16" i="8"/>
  <c r="AX74" i="1"/>
  <c r="I38" i="1"/>
  <c r="S82" i="1"/>
  <c r="AN64" i="9"/>
  <c r="G8" i="1"/>
  <c r="T10" i="9"/>
  <c r="K69" i="8"/>
  <c r="AO68" i="1"/>
  <c r="AA64" i="8"/>
  <c r="F70" i="9"/>
  <c r="J8" i="1"/>
  <c r="AG10" i="8"/>
  <c r="G40" i="1"/>
  <c r="I88" i="8"/>
  <c r="AW63" i="1"/>
  <c r="AQ10" i="1"/>
  <c r="AJ69" i="8"/>
  <c r="L71" i="9"/>
  <c r="AX78" i="8"/>
  <c r="AX15" i="9"/>
  <c r="I82" i="1"/>
  <c r="L86" i="1"/>
  <c r="X87" i="1"/>
  <c r="AI71" i="1"/>
  <c r="D56" i="1"/>
  <c r="AY75" i="8"/>
  <c r="M8" i="9"/>
  <c r="AR71" i="8"/>
  <c r="W14" i="9"/>
  <c r="AY65" i="8"/>
  <c r="U8" i="1"/>
  <c r="O95" i="9"/>
  <c r="AI81" i="9"/>
  <c r="AP87" i="1"/>
  <c r="H14" i="8"/>
  <c r="G57" i="1"/>
  <c r="U45" i="1"/>
  <c r="AG56" i="9"/>
  <c r="S69" i="1"/>
  <c r="L78" i="1"/>
  <c r="M70" i="1"/>
  <c r="AI39" i="1"/>
  <c r="AU14" i="9"/>
  <c r="M64" i="9"/>
  <c r="N44" i="1"/>
  <c r="Z92" i="9"/>
  <c r="S81" i="8"/>
  <c r="AQ71" i="8"/>
  <c r="AM75" i="1"/>
  <c r="G10" i="1"/>
  <c r="R10" i="9"/>
  <c r="X92" i="1"/>
  <c r="M75" i="8"/>
  <c r="Z79" i="9"/>
  <c r="AN65" i="1"/>
  <c r="AU74" i="1"/>
  <c r="AR64" i="1"/>
  <c r="E57" i="8"/>
  <c r="G95" i="9"/>
  <c r="N44" i="8"/>
  <c r="AQ81" i="1"/>
  <c r="AW87" i="1"/>
  <c r="AI45" i="1"/>
  <c r="AV92" i="8"/>
  <c r="F77" i="8"/>
  <c r="Q79" i="9"/>
  <c r="F81" i="8"/>
  <c r="S15" i="8"/>
  <c r="AI87" i="1"/>
  <c r="AV44" i="9"/>
  <c r="O77" i="8"/>
  <c r="P67" i="1"/>
  <c r="D67" i="8"/>
  <c r="AC74" i="8"/>
  <c r="AC39" i="1"/>
  <c r="AE44" i="8"/>
  <c r="Z40" i="8"/>
  <c r="W88" i="1"/>
  <c r="AV78" i="9"/>
  <c r="AP92" i="1"/>
  <c r="G73" i="1"/>
  <c r="AY87" i="9"/>
  <c r="AR38" i="1"/>
  <c r="Q95" i="9"/>
  <c r="P38" i="8"/>
  <c r="G39" i="1"/>
  <c r="P63" i="1"/>
  <c r="AE44" i="1"/>
  <c r="AL72" i="1"/>
  <c r="N56" i="8"/>
  <c r="AO75" i="1"/>
  <c r="AO73" i="1"/>
  <c r="J14" i="1"/>
  <c r="AX64" i="8"/>
  <c r="W14" i="1"/>
  <c r="M80" i="9"/>
  <c r="M9" i="1"/>
  <c r="AS67" i="9"/>
  <c r="J91" i="9"/>
  <c r="AR8" i="1"/>
  <c r="I92" i="8"/>
  <c r="K77" i="1"/>
  <c r="AK63" i="8"/>
  <c r="F64" i="8"/>
  <c r="P8" i="1"/>
  <c r="E65" i="9"/>
  <c r="AW39" i="1"/>
  <c r="R46" i="1"/>
  <c r="AD75" i="1"/>
  <c r="I92" i="1"/>
  <c r="H63" i="1"/>
  <c r="AF70" i="9"/>
  <c r="X88" i="9"/>
  <c r="H81" i="8"/>
  <c r="AK39" i="8"/>
  <c r="G91" i="9"/>
  <c r="K81" i="1"/>
  <c r="AE15" i="1"/>
  <c r="K74" i="1"/>
  <c r="J76" i="9"/>
  <c r="AV67" i="1"/>
  <c r="AP78" i="9"/>
  <c r="J66" i="8"/>
  <c r="AL79" i="8"/>
  <c r="AS64" i="1"/>
  <c r="AX66" i="8"/>
  <c r="AX74" i="8"/>
  <c r="J67" i="9"/>
  <c r="P10" i="1"/>
  <c r="M38" i="1"/>
  <c r="AT77" i="1"/>
  <c r="D14" i="9"/>
  <c r="W65" i="9"/>
  <c r="G78" i="9"/>
  <c r="M40" i="8"/>
  <c r="AI68" i="8"/>
  <c r="AN70" i="9"/>
  <c r="L95" i="1"/>
  <c r="AI82" i="9"/>
  <c r="AM82" i="1"/>
  <c r="F95" i="9"/>
  <c r="AM71" i="8"/>
  <c r="AM76" i="1"/>
  <c r="AR46" i="9"/>
  <c r="AJ45" i="1"/>
  <c r="AM16" i="9"/>
  <c r="G92" i="9"/>
  <c r="X68" i="1"/>
  <c r="K45" i="8"/>
  <c r="AR80" i="1"/>
  <c r="J39" i="9"/>
  <c r="X71" i="1"/>
  <c r="O46" i="1"/>
  <c r="Q16" i="8"/>
  <c r="AV56" i="1"/>
  <c r="AK69" i="1"/>
  <c r="AY71" i="1"/>
  <c r="V45" i="1"/>
  <c r="AC8" i="8"/>
  <c r="W56" i="8"/>
  <c r="AA74" i="8"/>
  <c r="Z69" i="1"/>
  <c r="AX87" i="1"/>
  <c r="AR74" i="1"/>
  <c r="T38" i="8"/>
  <c r="F76" i="9"/>
  <c r="Z80" i="9"/>
  <c r="D64" i="9"/>
  <c r="AT10" i="1"/>
  <c r="V72" i="1"/>
  <c r="J46" i="1"/>
  <c r="U73" i="1"/>
  <c r="G75" i="1"/>
  <c r="AK86" i="8"/>
  <c r="AL95" i="9"/>
  <c r="O9" i="1"/>
  <c r="Z68" i="8"/>
  <c r="AV16" i="1"/>
  <c r="AQ14" i="8"/>
  <c r="W69" i="8"/>
  <c r="L46" i="9"/>
  <c r="AM74" i="8"/>
  <c r="AO39" i="9"/>
  <c r="U66" i="1"/>
  <c r="H9" i="8"/>
  <c r="AU77" i="1"/>
  <c r="AV79" i="1"/>
  <c r="AV15" i="9"/>
  <c r="M91" i="1"/>
  <c r="Q77" i="9"/>
  <c r="AF74" i="9"/>
  <c r="V71" i="9"/>
  <c r="AD38" i="8"/>
  <c r="Z56" i="9"/>
  <c r="I88" i="9"/>
  <c r="AV82" i="8"/>
  <c r="K64" i="9"/>
  <c r="AS74" i="9"/>
  <c r="AJ72" i="9"/>
  <c r="AO82" i="8"/>
  <c r="AQ72" i="1"/>
  <c r="M39" i="1"/>
  <c r="AE64" i="9"/>
  <c r="L88" i="1"/>
  <c r="AH39" i="8"/>
  <c r="V91" i="1"/>
  <c r="AQ69" i="9"/>
  <c r="O14" i="1"/>
  <c r="L73" i="1"/>
  <c r="AK78" i="8"/>
  <c r="T80" i="8"/>
  <c r="E77" i="8"/>
  <c r="U15" i="9"/>
  <c r="Y66" i="9"/>
  <c r="AT15" i="9"/>
  <c r="I15" i="1"/>
  <c r="AN82" i="9"/>
  <c r="T77" i="8"/>
  <c r="AR14" i="1"/>
  <c r="U72" i="9"/>
  <c r="N73" i="9"/>
  <c r="Y16" i="8"/>
  <c r="AF40" i="9"/>
  <c r="AM75" i="9"/>
  <c r="J81" i="8"/>
  <c r="AD73" i="9"/>
  <c r="Z77" i="1"/>
  <c r="AA38" i="9"/>
  <c r="AX73" i="1"/>
  <c r="AH45" i="9"/>
  <c r="AW8" i="9"/>
  <c r="AS92" i="1"/>
  <c r="AI66" i="9"/>
  <c r="V80" i="8"/>
  <c r="K76" i="9"/>
  <c r="AR44" i="1"/>
  <c r="D46" i="9"/>
  <c r="K79" i="1"/>
  <c r="AE71" i="8"/>
  <c r="F79" i="9"/>
  <c r="I57" i="1"/>
  <c r="AB14" i="1"/>
  <c r="T92" i="8"/>
  <c r="AI78" i="9"/>
  <c r="R38" i="9"/>
  <c r="G86" i="9"/>
  <c r="AA79" i="9"/>
  <c r="AV68" i="8"/>
  <c r="AY40" i="9"/>
  <c r="AF95" i="1"/>
  <c r="AQ39" i="1"/>
  <c r="AO66" i="1"/>
  <c r="AR95" i="8"/>
  <c r="K8" i="8"/>
  <c r="AI71" i="8"/>
  <c r="AV44" i="8"/>
  <c r="E86" i="9"/>
  <c r="AY80" i="8"/>
  <c r="AT45" i="8"/>
  <c r="D46" i="1"/>
  <c r="AE45" i="8"/>
  <c r="AW82" i="8"/>
  <c r="H63" i="9"/>
  <c r="AD38" i="9"/>
  <c r="L9" i="1"/>
  <c r="T46" i="9"/>
  <c r="F82" i="9"/>
  <c r="F15" i="8"/>
  <c r="AE78" i="1"/>
  <c r="J44" i="9"/>
  <c r="AO87" i="9"/>
  <c r="AL74" i="9"/>
  <c r="AY67" i="1"/>
  <c r="D57" i="9"/>
  <c r="G79" i="1"/>
  <c r="K44" i="8"/>
  <c r="AJ87" i="1"/>
  <c r="AR40" i="9"/>
  <c r="AL46" i="1"/>
  <c r="M78" i="1"/>
  <c r="AK88" i="9"/>
  <c r="AV57" i="1"/>
  <c r="J64" i="9"/>
  <c r="AR68" i="1"/>
  <c r="X92" i="8"/>
  <c r="AD46" i="1"/>
  <c r="N74" i="1"/>
  <c r="W9" i="8"/>
  <c r="AB76" i="8"/>
  <c r="AQ65" i="1"/>
  <c r="AY16" i="9"/>
  <c r="AY76" i="1"/>
  <c r="AU81" i="1"/>
  <c r="AK75" i="1"/>
  <c r="R66" i="8"/>
  <c r="P44" i="9"/>
  <c r="AH72" i="9"/>
  <c r="AN38" i="8"/>
  <c r="V88" i="9"/>
  <c r="H44" i="9"/>
  <c r="AP91" i="8"/>
  <c r="E38" i="9"/>
  <c r="AC57" i="9"/>
  <c r="R56" i="9"/>
  <c r="AL39" i="8"/>
  <c r="U40" i="9"/>
  <c r="H45" i="9"/>
  <c r="I69" i="1"/>
  <c r="U64" i="8"/>
  <c r="AX38" i="9"/>
  <c r="AY73" i="1"/>
  <c r="Z66" i="1"/>
  <c r="AX77" i="9"/>
  <c r="G87" i="9"/>
  <c r="AF91" i="8"/>
  <c r="AU15" i="9"/>
  <c r="W10" i="8"/>
  <c r="Y66" i="8"/>
  <c r="AD10" i="8"/>
  <c r="AT79" i="1"/>
  <c r="AY86" i="8"/>
  <c r="F86" i="9"/>
  <c r="X72" i="1"/>
  <c r="N38" i="1"/>
  <c r="O80" i="8"/>
  <c r="Q73" i="9"/>
  <c r="AK69" i="9"/>
  <c r="N9" i="9"/>
  <c r="F71" i="1"/>
  <c r="AP10" i="9"/>
  <c r="AV63" i="1"/>
  <c r="F46" i="9"/>
  <c r="AW38" i="8"/>
  <c r="AR70" i="8"/>
  <c r="O73" i="1"/>
  <c r="P16" i="8"/>
  <c r="AF71" i="8"/>
  <c r="F39" i="1"/>
  <c r="AC87" i="8"/>
  <c r="V80" i="9"/>
  <c r="AO72" i="1"/>
  <c r="AH67" i="1"/>
  <c r="AI15" i="9"/>
  <c r="Q8" i="1"/>
  <c r="W76" i="1"/>
  <c r="AB80" i="8"/>
  <c r="L14" i="8"/>
  <c r="M44" i="1"/>
  <c r="K40" i="9"/>
  <c r="V69" i="9"/>
  <c r="W46" i="1"/>
  <c r="AS67" i="1"/>
  <c r="L66" i="8"/>
  <c r="P76" i="1"/>
  <c r="AS76" i="9"/>
  <c r="AG88" i="1"/>
  <c r="AR46" i="8"/>
  <c r="Q8" i="8"/>
  <c r="AW67" i="8"/>
  <c r="F45" i="8"/>
  <c r="J66" i="9"/>
  <c r="AQ87" i="9"/>
  <c r="AQ79" i="8"/>
  <c r="U46" i="9"/>
  <c r="M80" i="8"/>
  <c r="AT73" i="8"/>
  <c r="N9" i="1"/>
  <c r="E46" i="9"/>
  <c r="F63" i="9"/>
  <c r="U76" i="9"/>
  <c r="E76" i="8"/>
  <c r="W15" i="1"/>
  <c r="Q69" i="9"/>
  <c r="J14" i="9"/>
  <c r="I14" i="1"/>
  <c r="AH66" i="1"/>
  <c r="AK46" i="9"/>
  <c r="J56" i="9"/>
  <c r="AH95" i="1"/>
  <c r="AB79" i="1"/>
  <c r="AN57" i="1"/>
  <c r="AD56" i="1"/>
  <c r="S45" i="9"/>
  <c r="J76" i="8"/>
  <c r="AC69" i="1"/>
  <c r="J74" i="1"/>
  <c r="X40" i="1"/>
  <c r="Y67" i="8"/>
  <c r="AB65" i="1"/>
  <c r="W8" i="1"/>
  <c r="X92" i="9"/>
  <c r="AN39" i="1"/>
  <c r="AH74" i="8"/>
  <c r="S67" i="8"/>
  <c r="X38" i="8"/>
  <c r="AH39" i="1"/>
  <c r="Y8" i="9"/>
  <c r="AW56" i="9"/>
  <c r="AN10" i="1"/>
  <c r="R64" i="9"/>
  <c r="AD67" i="8"/>
  <c r="P56" i="8"/>
  <c r="O82" i="1"/>
  <c r="Q14" i="1"/>
  <c r="AP95" i="1"/>
  <c r="AV88" i="1"/>
  <c r="AL86" i="9"/>
  <c r="AU72" i="8"/>
  <c r="W64" i="9"/>
  <c r="AK92" i="1"/>
  <c r="AO38" i="8"/>
  <c r="AL40" i="1"/>
  <c r="L82" i="1"/>
  <c r="P77" i="1"/>
  <c r="AC92" i="9"/>
  <c r="AP68" i="8"/>
  <c r="AS87" i="9"/>
  <c r="AI69" i="9"/>
  <c r="M86" i="1"/>
  <c r="AB44" i="1"/>
  <c r="AU10" i="9"/>
  <c r="F65" i="8"/>
  <c r="AV65" i="9"/>
  <c r="M39" i="8"/>
  <c r="AG79" i="8"/>
  <c r="AN95" i="8"/>
  <c r="AN70" i="1"/>
  <c r="G15" i="8"/>
  <c r="AK80" i="8"/>
  <c r="AT63" i="9"/>
  <c r="O66" i="1"/>
  <c r="AB65" i="9"/>
  <c r="T39" i="8"/>
  <c r="AS86" i="8"/>
  <c r="AY44" i="9"/>
  <c r="E57" i="1"/>
  <c r="F92" i="9"/>
  <c r="AP56" i="1"/>
  <c r="P38" i="1"/>
  <c r="AN64" i="8"/>
  <c r="AS73" i="1"/>
  <c r="V45" i="8"/>
  <c r="AM81" i="1"/>
  <c r="Y72" i="9"/>
  <c r="P63" i="9"/>
  <c r="P14" i="1"/>
  <c r="M9" i="8"/>
  <c r="R39" i="9"/>
  <c r="AY87" i="1"/>
  <c r="Y39" i="8"/>
  <c r="AT75" i="1"/>
  <c r="AN10" i="8"/>
  <c r="V66" i="9"/>
  <c r="D88" i="1"/>
  <c r="R70" i="1"/>
  <c r="T81" i="1"/>
  <c r="T45" i="1"/>
  <c r="R14" i="1"/>
  <c r="D82" i="8"/>
  <c r="AF79" i="1"/>
  <c r="N92" i="1"/>
  <c r="K72" i="8"/>
  <c r="AY38" i="1"/>
  <c r="AW81" i="1"/>
  <c r="W86" i="1"/>
  <c r="AC81" i="8"/>
  <c r="AF92" i="1"/>
  <c r="AQ10" i="9"/>
  <c r="AA8" i="8"/>
  <c r="AQ81" i="8"/>
  <c r="I40" i="1"/>
  <c r="AM67" i="1"/>
  <c r="Q15" i="1"/>
  <c r="AU76" i="9"/>
  <c r="W46" i="8"/>
  <c r="AF15" i="1"/>
  <c r="N16" i="8"/>
  <c r="I8" i="8"/>
  <c r="G81" i="8"/>
  <c r="F40" i="9"/>
  <c r="AX63" i="1"/>
  <c r="AO91" i="9"/>
  <c r="AB65" i="8"/>
  <c r="AB87" i="9"/>
  <c r="F86" i="8"/>
  <c r="AO45" i="8"/>
  <c r="J38" i="8"/>
  <c r="J82" i="1"/>
  <c r="AX75" i="9"/>
  <c r="S10" i="1"/>
  <c r="Y67" i="9"/>
  <c r="Q73" i="8"/>
  <c r="J68" i="1"/>
  <c r="O87" i="8"/>
  <c r="L81" i="9"/>
  <c r="AY91" i="1"/>
  <c r="AV77" i="8"/>
  <c r="AA66" i="9"/>
  <c r="T86" i="1"/>
  <c r="V88" i="1"/>
  <c r="AL16" i="1"/>
  <c r="I38" i="8"/>
  <c r="AJ64" i="8"/>
  <c r="H95" i="8"/>
  <c r="X46" i="1"/>
  <c r="AI95" i="1"/>
  <c r="Q75" i="1"/>
  <c r="Q91" i="8"/>
  <c r="AJ39" i="1"/>
  <c r="V9" i="9"/>
  <c r="AL67" i="1"/>
  <c r="AD66" i="1"/>
  <c r="AH91" i="1"/>
  <c r="AG82" i="9"/>
  <c r="AE68" i="8"/>
  <c r="X39" i="1"/>
  <c r="AO15" i="9"/>
  <c r="AK72" i="1"/>
  <c r="O44" i="1"/>
  <c r="P80" i="9"/>
  <c r="Z15" i="8"/>
  <c r="AM46" i="9"/>
  <c r="AJ76" i="1"/>
  <c r="AY56" i="9"/>
  <c r="D70" i="9"/>
  <c r="AW66" i="8"/>
  <c r="V39" i="9"/>
  <c r="AC77" i="1"/>
  <c r="S56" i="9"/>
  <c r="AG68" i="8"/>
  <c r="AQ79" i="9"/>
  <c r="AP15" i="9"/>
  <c r="AW73" i="8"/>
  <c r="AM71" i="1"/>
  <c r="Z81" i="8"/>
  <c r="AH44" i="8"/>
  <c r="AN57" i="8"/>
  <c r="AU9" i="1"/>
  <c r="AJ45" i="9"/>
  <c r="AV15" i="8"/>
  <c r="Q69" i="1"/>
  <c r="L69" i="1"/>
  <c r="AD79" i="9"/>
  <c r="AY63" i="1"/>
  <c r="Z9" i="1"/>
  <c r="S77" i="1"/>
  <c r="O69" i="9"/>
  <c r="AN82" i="1"/>
  <c r="AO64" i="1"/>
  <c r="W81" i="1"/>
  <c r="AS74" i="8"/>
  <c r="AX9" i="9"/>
  <c r="T79" i="1"/>
  <c r="K78" i="1"/>
  <c r="AX39" i="8"/>
  <c r="AF92" i="9"/>
  <c r="AF45" i="1"/>
  <c r="AD71" i="1"/>
  <c r="AC14" i="1"/>
  <c r="V80" i="1"/>
  <c r="AV16" i="9"/>
  <c r="Q14" i="9"/>
  <c r="P64" i="8"/>
  <c r="F63" i="8"/>
  <c r="AG76" i="8"/>
  <c r="K57" i="9"/>
  <c r="V63" i="1"/>
  <c r="P46" i="9"/>
  <c r="E78" i="8"/>
  <c r="J81" i="9"/>
  <c r="T66" i="8"/>
  <c r="D71" i="9"/>
  <c r="AR77" i="1"/>
  <c r="L76" i="8"/>
  <c r="N75" i="9"/>
  <c r="AL44" i="9"/>
  <c r="D74" i="8"/>
  <c r="G78" i="1"/>
  <c r="AH57" i="9"/>
  <c r="AR95" i="9"/>
  <c r="L9" i="9"/>
  <c r="AS75" i="1"/>
  <c r="Z95" i="1"/>
  <c r="Z82" i="9"/>
  <c r="AH66" i="8"/>
  <c r="AH74" i="9"/>
  <c r="AI88" i="8"/>
  <c r="AH15" i="8"/>
  <c r="AP79" i="1"/>
  <c r="AU79" i="1"/>
  <c r="AJ86" i="8"/>
  <c r="AE46" i="1"/>
  <c r="X63" i="1"/>
  <c r="AP75" i="9"/>
  <c r="X9" i="1"/>
  <c r="J82" i="8"/>
  <c r="AS78" i="1"/>
  <c r="J63" i="8"/>
  <c r="AU92" i="9"/>
  <c r="AP72" i="9"/>
  <c r="O68" i="8"/>
  <c r="AM86" i="9"/>
  <c r="AI72" i="8"/>
  <c r="AV91" i="8"/>
  <c r="U81" i="1"/>
  <c r="S70" i="8"/>
  <c r="AP63" i="8"/>
  <c r="Z75" i="1"/>
  <c r="AP16" i="9"/>
  <c r="G65" i="8"/>
  <c r="AN14" i="9"/>
  <c r="E82" i="8"/>
  <c r="AA67" i="9"/>
  <c r="AK40" i="8"/>
  <c r="Z95" i="9"/>
  <c r="AU82" i="8"/>
  <c r="Z14" i="8"/>
  <c r="Y87" i="8"/>
  <c r="AR65" i="8"/>
  <c r="P71" i="8"/>
  <c r="AC88" i="9"/>
  <c r="AC65" i="9"/>
  <c r="AM9" i="1"/>
  <c r="AE15" i="8"/>
  <c r="AT44" i="1"/>
  <c r="L80" i="9"/>
  <c r="AF8" i="1"/>
  <c r="S71" i="8"/>
  <c r="AB78" i="8"/>
  <c r="Z8" i="9"/>
  <c r="Y8" i="1"/>
  <c r="Z57" i="9"/>
  <c r="E8" i="9"/>
  <c r="AR56" i="1"/>
  <c r="K73" i="1"/>
  <c r="U45" i="8"/>
  <c r="AE14" i="8"/>
  <c r="R70" i="9"/>
  <c r="AR72" i="8"/>
  <c r="AF63" i="1"/>
  <c r="AE88" i="8"/>
  <c r="AW78" i="9"/>
  <c r="AA64" i="9"/>
  <c r="AC76" i="1"/>
  <c r="AI82" i="8"/>
  <c r="G9" i="9"/>
  <c r="W77" i="8"/>
  <c r="AV73" i="8"/>
  <c r="AG74" i="8"/>
  <c r="Z74" i="8"/>
  <c r="Q86" i="1"/>
  <c r="AC77" i="9"/>
  <c r="AE75" i="8"/>
  <c r="AR63" i="1"/>
  <c r="Z73" i="1"/>
  <c r="H87" i="1"/>
  <c r="G39" i="8"/>
  <c r="O67" i="8"/>
  <c r="AI91" i="9"/>
  <c r="U69" i="8"/>
  <c r="O74" i="9"/>
  <c r="AA87" i="1"/>
  <c r="I44" i="9"/>
  <c r="AD63" i="1"/>
  <c r="Y15" i="1"/>
  <c r="J57" i="1"/>
  <c r="L66" i="9"/>
  <c r="AM91" i="9"/>
  <c r="L87" i="9"/>
  <c r="K9" i="9"/>
  <c r="D86" i="9"/>
  <c r="AF8" i="9"/>
  <c r="AL77" i="9"/>
  <c r="AU72" i="9"/>
  <c r="K69" i="1"/>
  <c r="AH75" i="1"/>
  <c r="K65" i="8"/>
  <c r="AI77" i="9"/>
  <c r="AY9" i="8"/>
  <c r="P71" i="9"/>
  <c r="H16" i="9"/>
  <c r="J88" i="8"/>
  <c r="AT14" i="9"/>
  <c r="G66" i="1"/>
  <c r="I45" i="9"/>
  <c r="Q77" i="1"/>
  <c r="AN73" i="8"/>
  <c r="AF10" i="1"/>
  <c r="L91" i="1"/>
  <c r="AU10" i="1"/>
  <c r="P79" i="9"/>
  <c r="Q82" i="9"/>
  <c r="Q72" i="1"/>
  <c r="F56" i="1"/>
  <c r="AR87" i="1"/>
  <c r="AN10" i="9"/>
  <c r="AE77" i="8"/>
  <c r="AX86" i="8"/>
  <c r="V63" i="8"/>
  <c r="AP67" i="1"/>
  <c r="M16" i="1"/>
  <c r="T8" i="1"/>
  <c r="AV40" i="9"/>
  <c r="AY45" i="8"/>
  <c r="AB64" i="8"/>
  <c r="X86" i="8"/>
  <c r="AA71" i="9"/>
  <c r="R81" i="9"/>
  <c r="J70" i="8"/>
  <c r="AO92" i="1"/>
  <c r="AL40" i="8"/>
  <c r="Z73" i="8"/>
  <c r="AN92" i="9"/>
  <c r="M71" i="8"/>
  <c r="V78" i="8"/>
  <c r="P9" i="1"/>
  <c r="AM40" i="8"/>
  <c r="AC45" i="1"/>
  <c r="AA14" i="8"/>
  <c r="S86" i="1"/>
  <c r="S8" i="1"/>
  <c r="AX81" i="1"/>
  <c r="AC79" i="9"/>
  <c r="J69" i="9"/>
  <c r="E66" i="1"/>
  <c r="H63" i="8"/>
  <c r="F69" i="1"/>
  <c r="V65" i="9"/>
  <c r="AE75" i="9"/>
  <c r="L82" i="8"/>
  <c r="AT71" i="1"/>
  <c r="E74" i="8"/>
  <c r="AS16" i="8"/>
  <c r="AH73" i="1"/>
  <c r="J73" i="9"/>
  <c r="AW10" i="8"/>
  <c r="E69" i="1"/>
  <c r="R63" i="9"/>
  <c r="AG87" i="1"/>
  <c r="AX16" i="8"/>
  <c r="AH68" i="8"/>
  <c r="AP91" i="1"/>
  <c r="I64" i="8"/>
  <c r="N70" i="9"/>
  <c r="D45" i="9"/>
  <c r="I87" i="8"/>
  <c r="N65" i="9"/>
  <c r="J79" i="1"/>
  <c r="Y87" i="9"/>
  <c r="P44" i="8"/>
  <c r="G81" i="9"/>
  <c r="X57" i="1"/>
  <c r="AA81" i="1"/>
  <c r="E73" i="8"/>
  <c r="G91" i="1"/>
  <c r="W92" i="8"/>
  <c r="U56" i="1"/>
  <c r="J8" i="8"/>
  <c r="AQ16" i="1"/>
  <c r="R56" i="8"/>
  <c r="R40" i="1"/>
  <c r="X80" i="8"/>
  <c r="K91" i="8"/>
  <c r="AY8" i="1"/>
  <c r="AG76" i="1"/>
  <c r="U70" i="1"/>
  <c r="H73" i="8"/>
  <c r="AC78" i="1"/>
  <c r="AW81" i="9"/>
  <c r="L15" i="1"/>
  <c r="J86" i="1"/>
  <c r="AV38" i="9"/>
  <c r="D65" i="1"/>
  <c r="AF87" i="9"/>
  <c r="L88" i="9"/>
  <c r="AX40" i="8"/>
  <c r="W56" i="1"/>
  <c r="N74" i="8"/>
  <c r="AQ40" i="8"/>
  <c r="AE66" i="1"/>
  <c r="AY77" i="1"/>
  <c r="W68" i="9"/>
  <c r="AF82" i="9"/>
  <c r="AS16" i="9"/>
  <c r="Z63" i="1"/>
  <c r="AS68" i="1"/>
  <c r="AO81" i="9"/>
  <c r="AR46" i="1"/>
  <c r="AV45" i="8"/>
  <c r="W8" i="8"/>
  <c r="L79" i="8"/>
  <c r="D87" i="9"/>
  <c r="J38" i="1"/>
  <c r="S88" i="1"/>
  <c r="AX78" i="9"/>
  <c r="AM10" i="1"/>
  <c r="X65" i="1"/>
  <c r="AO70" i="9"/>
  <c r="AL88" i="8"/>
  <c r="AC15" i="9"/>
  <c r="F91" i="8"/>
  <c r="M65" i="9"/>
  <c r="S68" i="1"/>
  <c r="AA14" i="1"/>
  <c r="AU39" i="8"/>
  <c r="AH57" i="8"/>
  <c r="AF10" i="9"/>
  <c r="T71" i="8"/>
  <c r="I39" i="9"/>
  <c r="L81" i="1"/>
  <c r="AH38" i="1"/>
  <c r="AB64" i="9"/>
  <c r="I10" i="8"/>
  <c r="AK56" i="1"/>
  <c r="J77" i="8"/>
  <c r="AQ8" i="1"/>
  <c r="S71" i="1"/>
  <c r="S14" i="9"/>
  <c r="AL91" i="9"/>
  <c r="F68" i="9"/>
  <c r="X39" i="9"/>
  <c r="X65" i="9"/>
  <c r="Q87" i="9"/>
  <c r="AI79" i="9"/>
  <c r="AW44" i="8"/>
  <c r="F56" i="9"/>
  <c r="AO91" i="8"/>
  <c r="AE79" i="1"/>
  <c r="AW92" i="8"/>
  <c r="AV86" i="1"/>
  <c r="X9" i="8"/>
  <c r="AM40" i="1"/>
  <c r="AB9" i="9"/>
  <c r="R66" i="9"/>
  <c r="X72" i="8"/>
  <c r="O38" i="8"/>
  <c r="W44" i="9"/>
  <c r="AS88" i="9"/>
  <c r="AY65" i="9"/>
  <c r="AU86" i="1"/>
  <c r="AQ73" i="9"/>
  <c r="AD69" i="1"/>
  <c r="K86" i="8"/>
  <c r="D65" i="9"/>
  <c r="AC56" i="8"/>
  <c r="T75" i="8"/>
  <c r="R79" i="9"/>
  <c r="N10" i="8"/>
  <c r="AO86" i="9"/>
  <c r="AX45" i="8"/>
  <c r="AP9" i="8"/>
  <c r="AI9" i="9"/>
  <c r="L73" i="9"/>
  <c r="Q71" i="9"/>
  <c r="K14" i="9"/>
  <c r="P45" i="9"/>
  <c r="AA73" i="9"/>
  <c r="L67" i="9"/>
  <c r="N68" i="1"/>
  <c r="P46" i="8"/>
  <c r="X15" i="8"/>
  <c r="Q44" i="1"/>
  <c r="AL76" i="1"/>
  <c r="P69" i="1"/>
  <c r="F74" i="9"/>
  <c r="AG80" i="9"/>
  <c r="AV91" i="9"/>
  <c r="G9" i="1"/>
  <c r="G64" i="8"/>
  <c r="T64" i="8"/>
  <c r="W87" i="8"/>
  <c r="F73" i="8"/>
  <c r="V67" i="8"/>
  <c r="O38" i="1"/>
  <c r="J16" i="9"/>
  <c r="AR14" i="8"/>
  <c r="H57" i="8"/>
  <c r="AH82" i="8"/>
  <c r="AU76" i="8"/>
  <c r="L68" i="1"/>
  <c r="Z87" i="1"/>
  <c r="U57" i="9"/>
  <c r="X78" i="9"/>
  <c r="AK14" i="8"/>
  <c r="AN57" i="9"/>
  <c r="J9" i="1"/>
  <c r="AV71" i="9"/>
  <c r="AP86" i="1"/>
  <c r="AD64" i="1"/>
  <c r="AQ63" i="9"/>
  <c r="H56" i="1"/>
  <c r="AU81" i="9"/>
  <c r="G64" i="9"/>
  <c r="D63" i="9"/>
  <c r="AB69" i="8"/>
  <c r="AW69" i="9"/>
  <c r="D10" i="9"/>
  <c r="I77" i="9"/>
  <c r="AY71" i="9"/>
  <c r="AG14" i="8"/>
  <c r="AY68" i="1"/>
  <c r="AS74" i="1"/>
  <c r="J78" i="1"/>
  <c r="AI40" i="1"/>
  <c r="AT66" i="1"/>
  <c r="AH45" i="8"/>
  <c r="AH15" i="1"/>
  <c r="AU67" i="8"/>
  <c r="AU76" i="1"/>
  <c r="AJ95" i="8"/>
  <c r="AG44" i="1"/>
  <c r="AI57" i="8"/>
  <c r="P82" i="9"/>
  <c r="AA9" i="1"/>
  <c r="Y10" i="8"/>
  <c r="I46" i="8"/>
  <c r="AA40" i="1"/>
  <c r="N91" i="8"/>
  <c r="AJ75" i="1"/>
  <c r="AO88" i="9"/>
  <c r="F95" i="8"/>
  <c r="AE67" i="9"/>
  <c r="AW46" i="9"/>
  <c r="AC82" i="1"/>
  <c r="AM45" i="9"/>
  <c r="L38" i="9"/>
  <c r="L78" i="8"/>
  <c r="AH91" i="9"/>
  <c r="W88" i="8"/>
  <c r="I75" i="1"/>
  <c r="AI45" i="9"/>
  <c r="AD15" i="8"/>
  <c r="AB8" i="8"/>
  <c r="AX68" i="9"/>
  <c r="O76" i="1"/>
  <c r="AS66" i="9"/>
  <c r="AI79" i="1"/>
  <c r="AK68" i="9"/>
  <c r="AN79" i="9"/>
  <c r="X78" i="1"/>
  <c r="AH77" i="9"/>
  <c r="AJ56" i="9"/>
  <c r="AQ56" i="1"/>
  <c r="J68" i="9"/>
  <c r="H15" i="8"/>
  <c r="K68" i="9"/>
  <c r="T69" i="9"/>
  <c r="AX16" i="1"/>
  <c r="D57" i="8"/>
  <c r="L87" i="1"/>
  <c r="AA46" i="9"/>
  <c r="AO10" i="8"/>
  <c r="Z86" i="1"/>
  <c r="AT74" i="1"/>
  <c r="N70" i="1"/>
  <c r="J86" i="8"/>
  <c r="R44" i="8"/>
  <c r="AG80" i="1"/>
  <c r="N8" i="8"/>
  <c r="AB81" i="9"/>
  <c r="AU16" i="1"/>
  <c r="M10" i="9"/>
  <c r="AY70" i="1"/>
  <c r="K82" i="9"/>
  <c r="F46" i="1"/>
  <c r="W73" i="9"/>
  <c r="AX9" i="8"/>
  <c r="M69" i="8"/>
  <c r="AF76" i="9"/>
  <c r="AF9" i="8"/>
  <c r="AW63" i="9"/>
  <c r="AX46" i="1"/>
  <c r="I65" i="8"/>
  <c r="W95" i="9"/>
  <c r="AN40" i="8"/>
  <c r="AI86" i="9"/>
  <c r="H67" i="1"/>
  <c r="AN88" i="8"/>
  <c r="Z40" i="1"/>
  <c r="AP10" i="8"/>
  <c r="O56" i="9"/>
  <c r="AK86" i="1"/>
  <c r="AM9" i="8"/>
  <c r="P78" i="1"/>
  <c r="AT73" i="1"/>
  <c r="Q75" i="8"/>
  <c r="AP80" i="8"/>
  <c r="F79" i="1"/>
  <c r="AX91" i="1"/>
  <c r="AJ87" i="9"/>
  <c r="M68" i="1"/>
  <c r="X14" i="8"/>
  <c r="W78" i="9"/>
  <c r="K95" i="9"/>
  <c r="AQ66" i="9"/>
  <c r="AT67" i="9"/>
  <c r="G70" i="8"/>
  <c r="K70" i="8"/>
  <c r="Y81" i="8"/>
  <c r="Y77" i="9"/>
  <c r="AK73" i="9"/>
  <c r="AS10" i="1"/>
  <c r="AX70" i="1"/>
  <c r="H46" i="9"/>
  <c r="T86" i="8"/>
  <c r="AO72" i="8"/>
  <c r="L95" i="8"/>
  <c r="U44" i="1"/>
  <c r="D16" i="8"/>
  <c r="L75" i="8"/>
  <c r="D63" i="1"/>
  <c r="AT45" i="1"/>
  <c r="M16" i="9"/>
  <c r="S63" i="9"/>
  <c r="AQ74" i="1"/>
  <c r="AP81" i="1"/>
  <c r="T81" i="9"/>
  <c r="Y69" i="1"/>
  <c r="AG79" i="1"/>
  <c r="D73" i="8"/>
  <c r="AV57" i="9"/>
  <c r="I66" i="1"/>
  <c r="Q78" i="9"/>
  <c r="Z91" i="1"/>
  <c r="AN8" i="1"/>
  <c r="AP10" i="1"/>
  <c r="K66" i="1"/>
  <c r="AO16" i="8"/>
  <c r="AI46" i="9"/>
  <c r="AY82" i="8"/>
  <c r="K75" i="8"/>
  <c r="AW64" i="1"/>
  <c r="L64" i="9"/>
  <c r="AT71" i="8"/>
  <c r="D77" i="8"/>
  <c r="N76" i="9"/>
  <c r="D64" i="1"/>
  <c r="J63" i="9"/>
  <c r="AE71" i="1"/>
  <c r="AV80" i="8"/>
  <c r="H10" i="1"/>
  <c r="AN69" i="9"/>
  <c r="AY71" i="8"/>
  <c r="D38" i="1"/>
  <c r="AI95" i="8"/>
  <c r="U92" i="1"/>
  <c r="AH44" i="1"/>
  <c r="AJ40" i="9"/>
  <c r="Z78" i="8"/>
  <c r="AQ67" i="8"/>
  <c r="Z74" i="9"/>
  <c r="AS8" i="9"/>
  <c r="O10" i="9"/>
  <c r="AH91" i="8"/>
  <c r="AG39" i="9"/>
  <c r="R95" i="8"/>
  <c r="E39" i="1"/>
  <c r="AF67" i="9"/>
  <c r="AR69" i="9"/>
  <c r="AC46" i="9"/>
  <c r="AC44" i="8"/>
  <c r="M40" i="9"/>
  <c r="J88" i="9"/>
  <c r="L56" i="1"/>
  <c r="AT87" i="1"/>
  <c r="AS10" i="9"/>
  <c r="U67" i="9"/>
  <c r="AS70" i="1"/>
  <c r="AD44" i="1"/>
  <c r="T71" i="1"/>
  <c r="AW78" i="8"/>
  <c r="AT68" i="9"/>
  <c r="AK45" i="8"/>
  <c r="W16" i="9"/>
  <c r="S87" i="1"/>
  <c r="AG65" i="9"/>
  <c r="AS95" i="1"/>
  <c r="AI70" i="8"/>
  <c r="G65" i="1"/>
  <c r="S44" i="9"/>
  <c r="W81" i="8"/>
  <c r="G68" i="1"/>
  <c r="Q67" i="1"/>
  <c r="I91" i="9"/>
  <c r="AW68" i="8"/>
  <c r="Y74" i="1"/>
  <c r="AE57" i="9"/>
  <c r="AN40" i="1"/>
  <c r="AM15" i="1"/>
  <c r="AF38" i="8"/>
  <c r="R57" i="8"/>
  <c r="V56" i="1"/>
  <c r="H65" i="9"/>
  <c r="F72" i="8"/>
  <c r="E66" i="9"/>
  <c r="AP66" i="8"/>
  <c r="AC73" i="9"/>
  <c r="O92" i="1"/>
  <c r="AN73" i="9"/>
  <c r="X81" i="1"/>
  <c r="K77" i="9"/>
  <c r="U39" i="8"/>
  <c r="J10" i="1"/>
  <c r="AE81" i="1"/>
  <c r="AN87" i="8"/>
  <c r="I9" i="8"/>
  <c r="AY69" i="9"/>
  <c r="T16" i="1"/>
  <c r="L80" i="8"/>
  <c r="V82" i="9"/>
  <c r="AY81" i="1"/>
  <c r="K70" i="1"/>
  <c r="AD66" i="8"/>
  <c r="AE95" i="9"/>
  <c r="AS46" i="1"/>
  <c r="D15" i="1"/>
  <c r="F82" i="1"/>
  <c r="E40" i="8"/>
  <c r="U44" i="9"/>
  <c r="AJ14" i="8"/>
  <c r="U10" i="9"/>
  <c r="G16" i="1"/>
  <c r="AF74" i="8"/>
  <c r="AT88" i="8"/>
  <c r="AS56" i="8"/>
  <c r="T65" i="8"/>
  <c r="K63" i="1"/>
  <c r="W16" i="8"/>
  <c r="AW39" i="8"/>
  <c r="AB46" i="8"/>
  <c r="AT82" i="9"/>
  <c r="AA88" i="9"/>
  <c r="AK95" i="9"/>
  <c r="I79" i="8"/>
  <c r="AG67" i="1"/>
  <c r="R73" i="9"/>
  <c r="AW95" i="1"/>
  <c r="AK9" i="8"/>
  <c r="I71" i="9"/>
  <c r="K63" i="9"/>
  <c r="M95" i="1"/>
  <c r="E92" i="9"/>
  <c r="K15" i="9"/>
  <c r="AD46" i="8"/>
  <c r="F57" i="9"/>
  <c r="AG73" i="1"/>
  <c r="AG72" i="8"/>
  <c r="AN9" i="9"/>
  <c r="S38" i="9"/>
  <c r="M72" i="8"/>
  <c r="AS69" i="1"/>
  <c r="AN88" i="1"/>
  <c r="AO9" i="8"/>
  <c r="AD16" i="8"/>
  <c r="AY67" i="9"/>
  <c r="AX44" i="8"/>
  <c r="U56" i="8"/>
  <c r="AU95" i="9"/>
  <c r="F80" i="9"/>
  <c r="AY39" i="1"/>
  <c r="AL63" i="1"/>
  <c r="E45" i="1"/>
  <c r="L76" i="1"/>
  <c r="AD16" i="1"/>
  <c r="Y39" i="1"/>
  <c r="R81" i="8"/>
  <c r="H74" i="1"/>
  <c r="L67" i="1"/>
  <c r="V15" i="8"/>
  <c r="AA15" i="9"/>
  <c r="AL9" i="1"/>
  <c r="M56" i="8"/>
  <c r="O14" i="8"/>
  <c r="S70" i="1"/>
  <c r="Z45" i="8"/>
  <c r="N57" i="1"/>
  <c r="AG56" i="1"/>
  <c r="W57" i="9"/>
  <c r="N88" i="1"/>
  <c r="M45" i="8"/>
  <c r="G56" i="1"/>
  <c r="Y95" i="8"/>
  <c r="Q73" i="1"/>
  <c r="R39" i="1"/>
  <c r="P76" i="9"/>
  <c r="W75" i="8"/>
  <c r="AW70" i="8"/>
  <c r="O88" i="1"/>
  <c r="H46" i="1"/>
  <c r="L45" i="1"/>
  <c r="Y76" i="8"/>
  <c r="J46" i="8"/>
  <c r="AR39" i="8"/>
  <c r="Y78" i="9"/>
  <c r="AL79" i="9"/>
  <c r="AA73" i="8"/>
  <c r="H86" i="8"/>
  <c r="AB63" i="8"/>
  <c r="AN75" i="1"/>
  <c r="I80" i="1"/>
  <c r="AI80" i="8"/>
  <c r="AN87" i="1"/>
  <c r="K39" i="9"/>
  <c r="Y44" i="8"/>
  <c r="AT70" i="9"/>
  <c r="U81" i="8"/>
  <c r="J67" i="1"/>
  <c r="AD86" i="1"/>
  <c r="AB10" i="8"/>
  <c r="AS15" i="1"/>
  <c r="R92" i="1"/>
  <c r="AU65" i="8"/>
  <c r="X66" i="1"/>
  <c r="I39" i="1"/>
  <c r="I70" i="8"/>
  <c r="AX10" i="1"/>
  <c r="S95" i="1"/>
  <c r="AW8" i="1"/>
  <c r="X88" i="1"/>
  <c r="P44" i="1"/>
  <c r="AO72" i="9"/>
  <c r="AD87" i="1"/>
  <c r="AR57" i="9"/>
  <c r="AK87" i="1"/>
  <c r="Y69" i="8"/>
  <c r="AD82" i="8"/>
  <c r="W71" i="9"/>
  <c r="G72" i="8"/>
  <c r="AX14" i="9"/>
  <c r="U67" i="8"/>
  <c r="F38" i="9"/>
  <c r="T67" i="8"/>
  <c r="Z70" i="8"/>
  <c r="T77" i="9"/>
  <c r="AO86" i="1"/>
  <c r="K88" i="1"/>
  <c r="AO80" i="8"/>
  <c r="AR10" i="1"/>
  <c r="D71" i="1"/>
  <c r="AB68" i="9"/>
  <c r="AW44" i="1"/>
  <c r="J71" i="9"/>
  <c r="AR95" i="1"/>
  <c r="AH70" i="8"/>
  <c r="R91" i="1"/>
  <c r="H68" i="9"/>
  <c r="S44" i="8"/>
  <c r="AI38" i="1"/>
  <c r="AX87" i="8"/>
  <c r="H10" i="9"/>
  <c r="I68" i="8"/>
  <c r="AR9" i="1"/>
  <c r="L77" i="9"/>
  <c r="Z67" i="9"/>
  <c r="AT8" i="1"/>
  <c r="AT86" i="1"/>
  <c r="AS78" i="8"/>
  <c r="AW9" i="9"/>
  <c r="R78" i="1"/>
  <c r="AK87" i="8"/>
  <c r="Z76" i="1"/>
  <c r="AL14" i="8"/>
  <c r="D8" i="1"/>
  <c r="AE56" i="9"/>
  <c r="X45" i="9"/>
  <c r="O79" i="1"/>
  <c r="S81" i="1"/>
  <c r="U46" i="1"/>
  <c r="AK79" i="1"/>
  <c r="AO15" i="1"/>
  <c r="AE15" i="9"/>
  <c r="AT44" i="9"/>
  <c r="U9" i="9"/>
  <c r="AL64" i="1"/>
  <c r="AE10" i="1"/>
  <c r="Y70" i="9"/>
  <c r="AN79" i="8"/>
  <c r="AP9" i="9"/>
  <c r="S92" i="1"/>
  <c r="AG38" i="1"/>
  <c r="AM63" i="9"/>
  <c r="H76" i="8"/>
  <c r="I78" i="9"/>
  <c r="G39" i="9"/>
  <c r="AI56" i="1"/>
  <c r="I46" i="1"/>
  <c r="S92" i="8"/>
  <c r="AC88" i="8"/>
  <c r="U77" i="1"/>
  <c r="AV45" i="1"/>
  <c r="AE56" i="8"/>
  <c r="AW15" i="1"/>
  <c r="P40" i="1"/>
  <c r="AU14" i="8"/>
  <c r="L74" i="8"/>
  <c r="I73" i="1"/>
  <c r="R16" i="1"/>
  <c r="AY95" i="9"/>
  <c r="S76" i="8"/>
  <c r="X74" i="8"/>
  <c r="AC16" i="9"/>
  <c r="W71" i="1"/>
  <c r="Y46" i="9"/>
  <c r="AD44" i="9"/>
  <c r="X72" i="9"/>
  <c r="AB9" i="1"/>
  <c r="AQ78" i="1"/>
  <c r="AI10" i="1"/>
  <c r="AB57" i="8"/>
  <c r="X57" i="8"/>
  <c r="AT82" i="8"/>
  <c r="G88" i="1"/>
  <c r="AI16" i="9"/>
  <c r="AS91" i="9"/>
  <c r="G76" i="8"/>
  <c r="V65" i="8"/>
  <c r="K66" i="8"/>
  <c r="H45" i="1"/>
  <c r="AE69" i="1"/>
  <c r="AK15" i="1"/>
  <c r="D16" i="1"/>
  <c r="N87" i="1"/>
  <c r="AQ69" i="1"/>
  <c r="AS39" i="1"/>
  <c r="H44" i="1"/>
  <c r="K44" i="9"/>
  <c r="AL56" i="8"/>
  <c r="AR71" i="9"/>
  <c r="AJ10" i="9"/>
  <c r="AH64" i="1"/>
  <c r="Q9" i="1"/>
  <c r="AA71" i="1"/>
  <c r="AQ82" i="1"/>
  <c r="S88" i="9"/>
  <c r="J74" i="9"/>
  <c r="G77" i="1"/>
  <c r="W40" i="8"/>
  <c r="I56" i="9"/>
  <c r="U45" i="9"/>
  <c r="F88" i="1"/>
  <c r="E88" i="9"/>
  <c r="AV64" i="8"/>
  <c r="AM40" i="9"/>
  <c r="G95" i="8"/>
  <c r="E72" i="1"/>
  <c r="AY44" i="1"/>
  <c r="AC87" i="1"/>
  <c r="AD76" i="1"/>
  <c r="V16" i="1"/>
  <c r="AJ65" i="1"/>
  <c r="M56" i="9"/>
  <c r="AI68" i="1"/>
  <c r="AH69" i="8"/>
  <c r="V87" i="8"/>
  <c r="S74" i="9"/>
  <c r="AB68" i="1"/>
  <c r="H79" i="1"/>
  <c r="D82" i="1"/>
  <c r="AO69" i="8"/>
  <c r="AJ80" i="8"/>
  <c r="U40" i="8"/>
  <c r="O45" i="1"/>
  <c r="AD57" i="9"/>
  <c r="AX8" i="8"/>
  <c r="AT74" i="9"/>
  <c r="AY87" i="8"/>
  <c r="AU91" i="1"/>
  <c r="S79" i="9"/>
  <c r="S45" i="8"/>
  <c r="AD79" i="8"/>
  <c r="AP56" i="8"/>
  <c r="AX76" i="8"/>
  <c r="V9" i="8"/>
  <c r="K87" i="8"/>
  <c r="AW8" i="8"/>
  <c r="K16" i="1"/>
  <c r="Y45" i="9"/>
  <c r="AU68" i="9"/>
  <c r="AO8" i="1"/>
  <c r="AW86" i="9"/>
  <c r="AB81" i="1"/>
  <c r="AM72" i="1"/>
  <c r="T79" i="9"/>
  <c r="Z88" i="1"/>
  <c r="U92" i="8"/>
  <c r="U88" i="8"/>
  <c r="AN16" i="9"/>
  <c r="AE91" i="1"/>
  <c r="AC86" i="9"/>
  <c r="AR63" i="8"/>
  <c r="W8" i="9"/>
  <c r="AG92" i="1"/>
  <c r="W75" i="1"/>
  <c r="AO39" i="1"/>
  <c r="J9" i="8"/>
  <c r="T91" i="1"/>
  <c r="AD67" i="1"/>
  <c r="N67" i="1"/>
  <c r="AD10" i="1"/>
  <c r="M14" i="9"/>
  <c r="AG39" i="8"/>
  <c r="AE78" i="9"/>
  <c r="N40" i="8"/>
  <c r="AL14" i="1"/>
  <c r="AL91" i="1"/>
  <c r="AO95" i="8"/>
  <c r="AV14" i="1"/>
  <c r="AX72" i="1"/>
  <c r="W73" i="8"/>
  <c r="AH81" i="1"/>
  <c r="AK66" i="9"/>
  <c r="G40" i="8"/>
  <c r="D70" i="1"/>
  <c r="AY39" i="8"/>
  <c r="Y8" i="8"/>
  <c r="Z15" i="1"/>
  <c r="Y9" i="9"/>
  <c r="AM38" i="9"/>
  <c r="AQ79" i="1"/>
  <c r="AR87" i="9"/>
  <c r="AP44" i="1"/>
  <c r="O78" i="1"/>
  <c r="AM75" i="8"/>
  <c r="V46" i="9"/>
  <c r="K72" i="9"/>
  <c r="X95" i="1"/>
  <c r="AU73" i="8"/>
  <c r="H44" i="8"/>
  <c r="Z65" i="9"/>
  <c r="AU77" i="9"/>
  <c r="J71" i="1"/>
  <c r="AQ76" i="1"/>
  <c r="AU87" i="8"/>
  <c r="D69" i="8"/>
  <c r="AN63" i="9"/>
  <c r="H14" i="1"/>
  <c r="AX79" i="1"/>
  <c r="E9" i="1"/>
  <c r="AG63" i="8"/>
  <c r="H86" i="9"/>
  <c r="S73" i="1"/>
  <c r="AH79" i="8"/>
  <c r="L77" i="8"/>
  <c r="AB46" i="9"/>
  <c r="AL67" i="9"/>
  <c r="AC70" i="9"/>
  <c r="U68" i="1"/>
  <c r="F8" i="1"/>
  <c r="K45" i="1"/>
  <c r="AK63" i="1"/>
  <c r="J92" i="8"/>
  <c r="AF76" i="8"/>
  <c r="E15" i="8"/>
  <c r="AJ16" i="8"/>
  <c r="J40" i="1"/>
  <c r="I81" i="1"/>
  <c r="T56" i="9"/>
  <c r="M10" i="8"/>
  <c r="AV77" i="9"/>
  <c r="AB71" i="8"/>
  <c r="K77" i="8"/>
  <c r="G46" i="9"/>
  <c r="J9" i="9"/>
  <c r="O16" i="9"/>
  <c r="AI63" i="9"/>
  <c r="AR82" i="8"/>
  <c r="AY92" i="9"/>
  <c r="O88" i="9"/>
  <c r="E67" i="8"/>
  <c r="O15" i="1"/>
  <c r="AK77" i="9"/>
  <c r="T72" i="1"/>
  <c r="T63" i="8"/>
  <c r="AC75" i="1"/>
  <c r="J73" i="8"/>
  <c r="AG82" i="1"/>
  <c r="I87" i="1"/>
  <c r="V82" i="8"/>
  <c r="V82" i="1"/>
  <c r="AV44" i="1"/>
  <c r="AL77" i="8"/>
  <c r="Q65" i="8"/>
  <c r="AP65" i="9"/>
  <c r="V81" i="9"/>
  <c r="AN45" i="9"/>
  <c r="AW15" i="8"/>
  <c r="L44" i="1"/>
  <c r="M95" i="8"/>
  <c r="AR56" i="9"/>
  <c r="Q9" i="9"/>
  <c r="J74" i="8"/>
  <c r="AM64" i="1"/>
  <c r="AJ87" i="8"/>
  <c r="AC82" i="9"/>
  <c r="AT8" i="8"/>
  <c r="W67" i="1"/>
  <c r="AD72" i="1"/>
  <c r="AN56" i="8"/>
  <c r="E91" i="8"/>
  <c r="F57" i="8"/>
  <c r="G72" i="1"/>
  <c r="AN70" i="8"/>
  <c r="AA14" i="9"/>
  <c r="AQ77" i="1"/>
  <c r="AY70" i="8"/>
  <c r="AS80" i="9"/>
  <c r="M86" i="8"/>
  <c r="D45" i="8"/>
  <c r="AJ66" i="9"/>
  <c r="AY86" i="1"/>
  <c r="AT81" i="8"/>
  <c r="F91" i="1"/>
  <c r="AE16" i="9"/>
  <c r="AR75" i="8"/>
  <c r="AD39" i="8"/>
  <c r="F15" i="1"/>
  <c r="T9" i="9"/>
  <c r="K10" i="8"/>
  <c r="AO69" i="1"/>
  <c r="AQ88" i="8"/>
  <c r="AG74" i="1"/>
  <c r="O92" i="9"/>
  <c r="AP81" i="9"/>
  <c r="P92" i="9"/>
  <c r="R77" i="9"/>
  <c r="O67" i="9"/>
  <c r="R8" i="9"/>
  <c r="AU91" i="9"/>
  <c r="AS77" i="8"/>
  <c r="AR86" i="8"/>
  <c r="Q74" i="9"/>
  <c r="AX68" i="8"/>
  <c r="AN63" i="1"/>
  <c r="AA57" i="9"/>
  <c r="AQ91" i="9"/>
  <c r="L40" i="8"/>
  <c r="AU64" i="8"/>
  <c r="AX63" i="9"/>
  <c r="AO64" i="8"/>
  <c r="AU77" i="8"/>
  <c r="E46" i="1"/>
  <c r="AA15" i="1"/>
  <c r="F15" i="9"/>
  <c r="S76" i="9"/>
  <c r="AX80" i="9"/>
  <c r="L38" i="8"/>
  <c r="E77" i="1"/>
  <c r="K87" i="1"/>
  <c r="M64" i="1"/>
  <c r="P9" i="9"/>
  <c r="T39" i="1"/>
  <c r="V46" i="8"/>
  <c r="AG75" i="8"/>
  <c r="AK38" i="9"/>
  <c r="AG65" i="1"/>
  <c r="AN68" i="8"/>
  <c r="S91" i="9"/>
  <c r="F44" i="9"/>
  <c r="AM8" i="8"/>
  <c r="H67" i="8"/>
  <c r="AA45" i="1"/>
  <c r="AR70" i="9"/>
  <c r="AA66" i="8"/>
  <c r="AC73" i="1"/>
  <c r="AF44" i="1"/>
  <c r="R57" i="1"/>
  <c r="M69" i="1"/>
  <c r="AL44" i="1"/>
  <c r="AN92" i="1"/>
  <c r="AM77" i="1"/>
  <c r="J86" i="9"/>
  <c r="V56" i="8"/>
  <c r="AO73" i="9"/>
  <c r="F66" i="1"/>
  <c r="AP16" i="1"/>
  <c r="G38" i="1"/>
  <c r="K16" i="8"/>
  <c r="AG73" i="9"/>
  <c r="AR8" i="8"/>
  <c r="AJ82" i="8"/>
  <c r="AV88" i="9"/>
  <c r="AW44" i="9"/>
  <c r="AX56" i="8"/>
  <c r="K92" i="9"/>
  <c r="AO82" i="9"/>
  <c r="W68" i="1"/>
  <c r="Z56" i="1"/>
  <c r="AA40" i="9"/>
  <c r="AG66" i="9"/>
  <c r="K46" i="1"/>
  <c r="V65" i="1"/>
  <c r="Y57" i="1"/>
  <c r="AM10" i="8"/>
  <c r="M15" i="8"/>
  <c r="O39" i="8"/>
  <c r="AA46" i="1"/>
  <c r="AK44" i="1"/>
  <c r="AC38" i="8"/>
  <c r="S9" i="1"/>
  <c r="AX86" i="9"/>
  <c r="AF39" i="8"/>
  <c r="AH46" i="9"/>
  <c r="AH63" i="1"/>
  <c r="AI66" i="8"/>
  <c r="AW73" i="1"/>
  <c r="P81" i="9"/>
  <c r="V76" i="1"/>
  <c r="S69" i="8"/>
  <c r="U74" i="1"/>
  <c r="H72" i="1"/>
  <c r="E74" i="1"/>
  <c r="D74" i="1"/>
  <c r="O57" i="8"/>
  <c r="T68" i="9"/>
  <c r="Q86" i="8"/>
  <c r="AF69" i="1"/>
  <c r="G95" i="1"/>
  <c r="AE8" i="1"/>
  <c r="AJ95" i="1"/>
  <c r="AB76" i="1"/>
  <c r="P70" i="9"/>
  <c r="T71" i="9"/>
  <c r="W46" i="9"/>
  <c r="AM66" i="8"/>
  <c r="AT68" i="1"/>
  <c r="X91" i="9"/>
  <c r="AV72" i="8"/>
  <c r="N16" i="9"/>
  <c r="AQ95" i="8"/>
  <c r="AR75" i="1"/>
  <c r="AS95" i="9"/>
  <c r="P16" i="1"/>
  <c r="U38" i="8"/>
  <c r="H80" i="1"/>
  <c r="AG8" i="1"/>
  <c r="AB73" i="1"/>
  <c r="R9" i="8"/>
  <c r="H69" i="8"/>
  <c r="AB63" i="9"/>
  <c r="F78" i="8"/>
  <c r="AE70" i="8"/>
  <c r="O9" i="8"/>
  <c r="AQ16" i="8"/>
  <c r="R9" i="9"/>
  <c r="Y82" i="9"/>
  <c r="P39" i="9"/>
  <c r="R92" i="9"/>
  <c r="H64" i="9"/>
  <c r="N8" i="9"/>
  <c r="AP63" i="1"/>
  <c r="AL87" i="8"/>
  <c r="H56" i="9"/>
  <c r="AP88" i="8"/>
  <c r="J77" i="1"/>
  <c r="AI80" i="1"/>
  <c r="O73" i="8"/>
  <c r="X10" i="9"/>
  <c r="AD72" i="8"/>
  <c r="AN75" i="8"/>
  <c r="T56" i="8"/>
  <c r="H8" i="8"/>
  <c r="R82" i="1"/>
  <c r="AT9" i="9"/>
  <c r="AA76" i="1"/>
  <c r="AW88" i="8"/>
  <c r="AP14" i="8"/>
  <c r="AX56" i="9"/>
  <c r="R72" i="1"/>
  <c r="U91" i="1"/>
  <c r="E44" i="1"/>
  <c r="O9" i="9"/>
  <c r="E71" i="9"/>
  <c r="AB91" i="1"/>
  <c r="N71" i="9"/>
  <c r="AF76" i="1"/>
  <c r="H80" i="8"/>
  <c r="AW70" i="1"/>
  <c r="P77" i="9"/>
  <c r="AG67" i="8"/>
  <c r="AH68" i="1"/>
  <c r="AS15" i="9"/>
  <c r="AT39" i="9"/>
  <c r="AV8" i="9"/>
  <c r="AB81" i="8"/>
  <c r="AU82" i="1"/>
  <c r="AQ92" i="9"/>
  <c r="I82" i="9"/>
  <c r="AW65" i="8"/>
  <c r="X44" i="1"/>
  <c r="AX92" i="9"/>
  <c r="AK64" i="9"/>
  <c r="AB69" i="1"/>
  <c r="E91" i="9"/>
  <c r="AR10" i="8"/>
  <c r="S77" i="8"/>
  <c r="AN65" i="9"/>
  <c r="AN73" i="1"/>
  <c r="N76" i="8"/>
  <c r="W80" i="9"/>
  <c r="AO64" i="9"/>
  <c r="D15" i="8"/>
  <c r="AQ66" i="8"/>
  <c r="N45" i="9"/>
  <c r="AX39" i="9"/>
  <c r="W86" i="8"/>
  <c r="AE40" i="1"/>
  <c r="AK70" i="9"/>
  <c r="Y40" i="8"/>
  <c r="AO56" i="8"/>
  <c r="N15" i="8"/>
  <c r="AH92" i="9"/>
  <c r="P56" i="1"/>
  <c r="AC57" i="1"/>
  <c r="W70" i="9"/>
  <c r="G56" i="8"/>
  <c r="N77" i="8"/>
  <c r="Z78" i="9"/>
  <c r="Y57" i="8"/>
  <c r="AF57" i="1"/>
  <c r="AD15" i="1"/>
  <c r="AU57" i="8"/>
  <c r="D68" i="8"/>
  <c r="R63" i="1"/>
  <c r="AX8" i="9"/>
  <c r="AT67" i="8"/>
  <c r="AO80" i="1"/>
  <c r="AO95" i="9"/>
  <c r="AA10" i="1"/>
  <c r="AG57" i="8"/>
  <c r="Z10" i="1"/>
  <c r="AB57" i="9"/>
  <c r="U69" i="1"/>
  <c r="X67" i="8"/>
  <c r="E79" i="1"/>
  <c r="AL56" i="1"/>
  <c r="AI44" i="8"/>
  <c r="AL77" i="1"/>
  <c r="AE66" i="8"/>
  <c r="E81" i="8"/>
  <c r="AE57" i="1"/>
  <c r="AQ74" i="9"/>
  <c r="AA39" i="9"/>
  <c r="W91" i="1"/>
  <c r="X66" i="8"/>
  <c r="AH10" i="8"/>
  <c r="AI64" i="1"/>
  <c r="AS40" i="1"/>
  <c r="T92" i="1"/>
  <c r="AS66" i="1"/>
  <c r="AE87" i="1"/>
  <c r="AA70" i="8"/>
  <c r="AF56" i="8"/>
  <c r="AN66" i="9"/>
  <c r="M67" i="9"/>
  <c r="AY79" i="1"/>
  <c r="Z8" i="1"/>
  <c r="R87" i="1"/>
  <c r="N77" i="9"/>
  <c r="AH14" i="8"/>
  <c r="AV87" i="1"/>
  <c r="AD39" i="1"/>
  <c r="Y46" i="8"/>
  <c r="R69" i="1"/>
  <c r="AU73" i="9"/>
  <c r="M79" i="9"/>
  <c r="M76" i="9"/>
  <c r="AI65" i="9"/>
  <c r="AJ14" i="9"/>
  <c r="AH38" i="8"/>
  <c r="AB74" i="8"/>
  <c r="AI10" i="9"/>
  <c r="G38" i="9"/>
  <c r="AP74" i="8"/>
  <c r="AL8" i="1"/>
  <c r="S71" i="9"/>
  <c r="X91" i="1"/>
  <c r="N66" i="1"/>
  <c r="AU45" i="8"/>
  <c r="AN78" i="1"/>
  <c r="W72" i="1"/>
  <c r="V16" i="8"/>
  <c r="AL38" i="9"/>
  <c r="AU67" i="1"/>
  <c r="L39" i="1"/>
  <c r="AE56" i="1"/>
  <c r="Y64" i="9"/>
  <c r="Y67" i="1"/>
  <c r="AB79" i="8"/>
  <c r="L9" i="8"/>
  <c r="AW66" i="9"/>
  <c r="O77" i="1"/>
  <c r="AL8" i="9"/>
  <c r="T45" i="8"/>
  <c r="U15" i="8"/>
  <c r="AK64" i="1"/>
  <c r="AL66" i="9"/>
  <c r="AQ87" i="1"/>
  <c r="AW68" i="1"/>
  <c r="AU70" i="9"/>
  <c r="Q87" i="1"/>
  <c r="AE46" i="8"/>
  <c r="K40" i="1"/>
  <c r="AC64" i="9"/>
  <c r="AE80" i="8"/>
  <c r="V68" i="1"/>
  <c r="AP73" i="9"/>
  <c r="M78" i="9"/>
  <c r="E16" i="8"/>
  <c r="AU74" i="9"/>
  <c r="K74" i="8"/>
  <c r="T40" i="1"/>
  <c r="AR66" i="1"/>
  <c r="M88" i="8"/>
  <c r="T44" i="8"/>
  <c r="S56" i="1"/>
  <c r="AW68" i="9"/>
  <c r="Z79" i="8"/>
  <c r="H78" i="8"/>
  <c r="AW56" i="8"/>
  <c r="E86" i="1"/>
  <c r="AH57" i="1"/>
  <c r="W74" i="1"/>
  <c r="M78" i="8"/>
  <c r="R82" i="8"/>
  <c r="AK82" i="9"/>
  <c r="G66" i="8"/>
  <c r="AS75" i="9"/>
  <c r="J87" i="1"/>
  <c r="AE92" i="9"/>
  <c r="AR77" i="9"/>
  <c r="AK74" i="1"/>
  <c r="G74" i="8"/>
  <c r="AR79" i="8"/>
  <c r="AG92" i="8"/>
  <c r="AP70" i="1"/>
  <c r="W66" i="8"/>
  <c r="I44" i="8"/>
  <c r="AQ56" i="9"/>
  <c r="X82" i="1"/>
  <c r="AG91" i="1"/>
  <c r="AH87" i="9"/>
  <c r="H66" i="9"/>
  <c r="AT91" i="9"/>
  <c r="AD74" i="1"/>
  <c r="V81" i="8"/>
  <c r="AR80" i="8"/>
  <c r="AW77" i="1"/>
  <c r="AT40" i="8"/>
  <c r="AP72" i="1"/>
  <c r="Y56" i="1"/>
  <c r="L57" i="1"/>
  <c r="AS66" i="8"/>
  <c r="AP67" i="9"/>
  <c r="Z46" i="9"/>
  <c r="AF39" i="1"/>
  <c r="AS16" i="1"/>
  <c r="AS9" i="9"/>
  <c r="AR39" i="1"/>
  <c r="AX46" i="9"/>
  <c r="X70" i="1"/>
  <c r="Q38" i="8"/>
  <c r="AK8" i="1"/>
  <c r="V71" i="8"/>
  <c r="S75" i="1"/>
  <c r="F66" i="8"/>
  <c r="AL91" i="8"/>
  <c r="AV74" i="1"/>
  <c r="R78" i="8"/>
  <c r="X40" i="8"/>
  <c r="AX8" i="1"/>
  <c r="AC15" i="1"/>
  <c r="V67" i="9"/>
  <c r="AB8" i="9"/>
  <c r="Q38" i="9"/>
  <c r="AL74" i="1"/>
  <c r="I69" i="8"/>
  <c r="AE9" i="1"/>
  <c r="AE39" i="1"/>
  <c r="AI91" i="1"/>
  <c r="AW87" i="8"/>
  <c r="T91" i="9"/>
  <c r="AL95" i="8"/>
  <c r="AC79" i="1"/>
  <c r="I72" i="1"/>
  <c r="H68" i="1"/>
  <c r="N64" i="8"/>
  <c r="AM77" i="8"/>
  <c r="U65" i="8"/>
  <c r="AA56" i="8"/>
  <c r="AW76" i="1"/>
  <c r="J44" i="8"/>
  <c r="AA91" i="8"/>
  <c r="F74" i="8"/>
  <c r="G86" i="1"/>
  <c r="F88" i="8"/>
  <c r="K76" i="8"/>
  <c r="AB95" i="1"/>
  <c r="R69" i="8"/>
  <c r="R91" i="9"/>
  <c r="V14" i="1"/>
  <c r="D75" i="1"/>
  <c r="AM88" i="8"/>
  <c r="U78" i="9"/>
  <c r="Z88" i="8"/>
  <c r="AY78" i="9"/>
  <c r="T64" i="9"/>
  <c r="AA82" i="1"/>
  <c r="AP68" i="9"/>
  <c r="AW67" i="9"/>
  <c r="O46" i="9"/>
  <c r="AJ70" i="1"/>
  <c r="AO86" i="8"/>
  <c r="K68" i="8"/>
  <c r="AE70" i="9"/>
  <c r="N86" i="8"/>
  <c r="AN69" i="1"/>
  <c r="AR45" i="8"/>
  <c r="V56" i="9"/>
  <c r="AD87" i="8"/>
  <c r="F64" i="1"/>
  <c r="AC86" i="1"/>
  <c r="AH95" i="9"/>
  <c r="AA9" i="9"/>
  <c r="AY40" i="1"/>
  <c r="AB68" i="8"/>
  <c r="G57" i="8"/>
  <c r="Q86" i="9"/>
  <c r="AH69" i="1"/>
  <c r="AG8" i="9"/>
  <c r="O15" i="9"/>
  <c r="AG63" i="9"/>
  <c r="AD57" i="8"/>
  <c r="J68" i="8"/>
  <c r="I76" i="8"/>
  <c r="W56" i="9"/>
  <c r="Y44" i="1"/>
  <c r="V73" i="9"/>
  <c r="Q91" i="1"/>
  <c r="AS69" i="9"/>
  <c r="AS70" i="8"/>
  <c r="AC92" i="8"/>
  <c r="AJ15" i="8"/>
  <c r="AV78" i="1"/>
  <c r="T14" i="1"/>
  <c r="AW80" i="9"/>
  <c r="AF71" i="9"/>
  <c r="AO56" i="1"/>
  <c r="AO70" i="1"/>
  <c r="AG81" i="1"/>
  <c r="AI15" i="8"/>
  <c r="AI75" i="1"/>
  <c r="AM69" i="8"/>
  <c r="AV87" i="8"/>
  <c r="Y38" i="9"/>
  <c r="J40" i="8"/>
  <c r="AI16" i="8"/>
  <c r="F68" i="1"/>
  <c r="AJ78" i="1"/>
  <c r="AV73" i="1"/>
  <c r="E69" i="9"/>
  <c r="AC74" i="1"/>
  <c r="AA92" i="9"/>
  <c r="AE70" i="1"/>
  <c r="P73" i="1"/>
  <c r="AP8" i="8"/>
  <c r="AN16" i="8"/>
  <c r="O45" i="9"/>
  <c r="V73" i="1"/>
  <c r="AR92" i="8"/>
  <c r="AF46" i="8"/>
  <c r="D14" i="1"/>
  <c r="S70" i="9"/>
  <c r="AJ68" i="9"/>
  <c r="AS46" i="9"/>
  <c r="AM92" i="9"/>
  <c r="W74" i="8"/>
  <c r="D81" i="8"/>
  <c r="AP45" i="9"/>
  <c r="AG87" i="9"/>
  <c r="AU95" i="1"/>
  <c r="L14" i="1"/>
  <c r="X76" i="1"/>
  <c r="AJ56" i="8"/>
  <c r="AO91" i="1"/>
  <c r="AI8" i="1"/>
  <c r="AH69" i="9"/>
  <c r="AG14" i="9"/>
  <c r="Y77" i="1"/>
  <c r="AP66" i="1"/>
  <c r="H79" i="8"/>
  <c r="AO46" i="9"/>
  <c r="U14" i="9"/>
  <c r="V69" i="8"/>
  <c r="X74" i="1"/>
  <c r="M76" i="8"/>
  <c r="AI15" i="1"/>
  <c r="R9" i="1"/>
  <c r="L63" i="1"/>
  <c r="I88" i="1"/>
  <c r="U9" i="8"/>
  <c r="L70" i="9"/>
  <c r="AF88" i="1"/>
  <c r="AX80" i="8"/>
  <c r="P64" i="1"/>
  <c r="AG16" i="8"/>
  <c r="AM78" i="8"/>
  <c r="J57" i="8"/>
  <c r="D71" i="8"/>
  <c r="U77" i="8"/>
  <c r="AR79" i="1"/>
  <c r="Q10" i="8"/>
  <c r="O10" i="1"/>
  <c r="U64" i="1"/>
  <c r="AX65" i="1"/>
  <c r="AM69" i="9"/>
  <c r="AU63" i="9"/>
  <c r="S15" i="1"/>
  <c r="AF39" i="9"/>
  <c r="P78" i="8"/>
  <c r="L86" i="8"/>
  <c r="K91" i="1"/>
  <c r="L68" i="9"/>
  <c r="U16" i="8"/>
  <c r="AM73" i="8"/>
  <c r="R74" i="9"/>
  <c r="Y79" i="8"/>
  <c r="AI9" i="1"/>
  <c r="AA74" i="1"/>
  <c r="D78" i="8"/>
  <c r="R45" i="1"/>
  <c r="V79" i="8"/>
  <c r="AL38" i="1"/>
  <c r="AJ77" i="1"/>
  <c r="AT16" i="1"/>
  <c r="AB82" i="9"/>
  <c r="AD80" i="9"/>
  <c r="R67" i="9"/>
  <c r="AB75" i="1"/>
  <c r="G67" i="8"/>
  <c r="AW15" i="9"/>
  <c r="AB15" i="1"/>
  <c r="Z65" i="1"/>
  <c r="N77" i="1"/>
  <c r="AS82" i="8"/>
  <c r="AA44" i="1"/>
  <c r="AA45" i="9"/>
  <c r="AU38" i="1"/>
  <c r="E44" i="8"/>
  <c r="AE14" i="1"/>
  <c r="AP80" i="1"/>
  <c r="AN15" i="1"/>
  <c r="AY92" i="8"/>
  <c r="Z79" i="1"/>
  <c r="V70" i="1"/>
  <c r="AK82" i="1"/>
  <c r="AN46" i="8"/>
  <c r="AU63" i="1"/>
  <c r="G8" i="8"/>
  <c r="Q81" i="1"/>
  <c r="AW74" i="8"/>
  <c r="T15" i="8"/>
  <c r="G40" i="9"/>
  <c r="D46" i="8"/>
  <c r="AA80" i="1"/>
  <c r="N65" i="1"/>
  <c r="S72" i="8"/>
  <c r="AU80" i="1"/>
  <c r="H78" i="1"/>
  <c r="AF70" i="8"/>
  <c r="AJ91" i="1"/>
  <c r="AY9" i="9"/>
  <c r="F92" i="1"/>
  <c r="AS57" i="8"/>
  <c r="L92" i="8"/>
  <c r="AO44" i="1"/>
  <c r="AX14" i="8"/>
  <c r="AE68" i="1"/>
  <c r="I95" i="8"/>
  <c r="H64" i="1"/>
  <c r="M73" i="9"/>
  <c r="N66" i="8"/>
  <c r="AJ79" i="8"/>
  <c r="AR76" i="1"/>
  <c r="D38" i="9"/>
  <c r="AM76" i="9"/>
  <c r="AE67" i="8"/>
  <c r="M66" i="8"/>
  <c r="AQ78" i="8"/>
  <c r="AT80" i="1"/>
  <c r="AF78" i="8"/>
  <c r="X56" i="8"/>
  <c r="AF14" i="8"/>
  <c r="U82" i="8"/>
  <c r="M70" i="8"/>
  <c r="W82" i="9"/>
  <c r="AQ80" i="8"/>
  <c r="T73" i="8"/>
  <c r="D72" i="8"/>
  <c r="AS81" i="9"/>
  <c r="O8" i="9"/>
  <c r="AV56" i="8"/>
  <c r="H71" i="1"/>
  <c r="Y82" i="1"/>
  <c r="AF77" i="1"/>
  <c r="AA10" i="9"/>
  <c r="AQ9" i="8"/>
  <c r="U66" i="8"/>
  <c r="H92" i="1"/>
  <c r="E92" i="8"/>
  <c r="J10" i="8"/>
  <c r="AY77" i="8"/>
  <c r="R15" i="1"/>
  <c r="AI82" i="1"/>
  <c r="AY95" i="8"/>
  <c r="AX38" i="8"/>
  <c r="AI44" i="1"/>
  <c r="O38" i="9"/>
  <c r="AL88" i="9"/>
  <c r="AB72" i="9"/>
  <c r="AH79" i="1"/>
  <c r="J87" i="8"/>
  <c r="O72" i="8"/>
  <c r="Z45" i="1"/>
  <c r="AX39" i="1"/>
  <c r="S14" i="1"/>
  <c r="AG16" i="9"/>
  <c r="R86" i="9"/>
  <c r="X14" i="1"/>
  <c r="AY16" i="8"/>
  <c r="X16" i="8"/>
  <c r="AS72" i="1"/>
  <c r="AT86" i="9"/>
  <c r="AS65" i="8"/>
  <c r="AD14" i="9"/>
  <c r="AU92" i="1"/>
  <c r="E14" i="1"/>
  <c r="O76" i="9"/>
  <c r="AP87" i="8"/>
  <c r="AA63" i="1"/>
  <c r="AC68" i="8"/>
  <c r="AD73" i="1"/>
  <c r="AU46" i="9"/>
  <c r="AN69" i="8"/>
  <c r="AL71" i="1"/>
  <c r="AV79" i="9"/>
  <c r="AQ68" i="1"/>
  <c r="I15" i="8"/>
  <c r="AL87" i="1"/>
  <c r="AQ40" i="1"/>
  <c r="AA86" i="1"/>
  <c r="P46" i="1"/>
  <c r="AI67" i="8"/>
  <c r="Y75" i="8"/>
  <c r="AB73" i="8"/>
  <c r="U82" i="1"/>
  <c r="AK8" i="8"/>
  <c r="AI69" i="1"/>
  <c r="L75" i="9"/>
  <c r="J81" i="1"/>
  <c r="AJ9" i="9"/>
  <c r="AE87" i="8"/>
  <c r="AN95" i="9"/>
  <c r="G71" i="9"/>
  <c r="AT80" i="8"/>
  <c r="Z38" i="1"/>
  <c r="AS63" i="1"/>
  <c r="Y92" i="1"/>
  <c r="AT9" i="8"/>
  <c r="AE92" i="1"/>
  <c r="AQ95" i="1"/>
  <c r="AJ92" i="1"/>
  <c r="AJ92" i="8"/>
  <c r="R76" i="8"/>
  <c r="AK76" i="1"/>
  <c r="AI64" i="8"/>
  <c r="O63" i="8"/>
  <c r="AG40" i="8"/>
  <c r="AB39" i="1"/>
  <c r="AF81" i="9"/>
  <c r="AU45" i="1"/>
  <c r="P66" i="1"/>
  <c r="AL78" i="9"/>
  <c r="E10" i="1"/>
  <c r="AX38" i="1"/>
  <c r="AB44" i="9"/>
  <c r="AX67" i="9"/>
  <c r="AQ44" i="9"/>
  <c r="Y86" i="1"/>
  <c r="AQ38" i="1"/>
  <c r="Z68" i="1"/>
  <c r="K80" i="9"/>
  <c r="AT8" i="9"/>
  <c r="Y44" i="9"/>
  <c r="AK16" i="8"/>
  <c r="W39" i="1"/>
  <c r="F10" i="1"/>
  <c r="AJ66" i="8"/>
  <c r="Y72" i="8"/>
  <c r="Y75" i="9"/>
  <c r="Q40" i="9"/>
  <c r="P69" i="9"/>
  <c r="W65" i="1"/>
  <c r="AN67" i="1"/>
  <c r="E8" i="1"/>
  <c r="AE72" i="1"/>
  <c r="F73" i="1"/>
  <c r="J66" i="1"/>
  <c r="AX78" i="1"/>
  <c r="AK38" i="1"/>
  <c r="AU64" i="9"/>
  <c r="AT57" i="1"/>
  <c r="H15" i="1"/>
  <c r="F46" i="8"/>
  <c r="L70" i="8"/>
  <c r="AR70" i="1"/>
  <c r="AF56" i="1"/>
  <c r="T87" i="8"/>
  <c r="L72" i="1"/>
  <c r="AA76" i="8"/>
  <c r="AC8" i="9"/>
  <c r="AM15" i="8"/>
  <c r="AU71" i="1"/>
  <c r="Q57" i="1"/>
  <c r="AA81" i="8"/>
  <c r="AF63" i="8"/>
  <c r="AA77" i="9"/>
  <c r="Y68" i="1"/>
  <c r="AX95" i="9"/>
  <c r="S14" i="8"/>
  <c r="AV82" i="1"/>
  <c r="Y88" i="1"/>
  <c r="AG88" i="9"/>
  <c r="Z88" i="9"/>
  <c r="N78" i="8"/>
  <c r="AO74" i="1"/>
  <c r="AN68" i="9"/>
  <c r="N87" i="8"/>
  <c r="V64" i="9"/>
  <c r="AU87" i="9"/>
  <c r="AS80" i="8"/>
  <c r="N63" i="8"/>
  <c r="AV75" i="1"/>
  <c r="AF75" i="1"/>
  <c r="AR67" i="8"/>
  <c r="AO8" i="8"/>
  <c r="K64" i="8"/>
  <c r="AK65" i="1"/>
  <c r="Q46" i="9"/>
  <c r="M67" i="1"/>
  <c r="M87" i="8"/>
  <c r="AX92" i="8"/>
  <c r="L8" i="8"/>
  <c r="AQ39" i="9"/>
  <c r="U86" i="1"/>
  <c r="AA88" i="8"/>
  <c r="Q64" i="1"/>
  <c r="U87" i="8"/>
  <c r="AB92" i="1"/>
  <c r="AN46" i="9"/>
  <c r="AJ57" i="8"/>
  <c r="AT56" i="8"/>
  <c r="AD77" i="1"/>
  <c r="Q40" i="8"/>
  <c r="AU91" i="8"/>
  <c r="F72" i="1"/>
  <c r="AY10" i="1"/>
  <c r="M40" i="1"/>
  <c r="N65" i="8"/>
  <c r="AT40" i="1"/>
  <c r="O71" i="1"/>
  <c r="G80" i="1"/>
  <c r="R8" i="1"/>
  <c r="AY74" i="9"/>
  <c r="AH76" i="8"/>
  <c r="O64" i="9"/>
  <c r="Z73" i="9"/>
  <c r="U15" i="1"/>
  <c r="AG46" i="1"/>
  <c r="Z63" i="8"/>
  <c r="AU66" i="1"/>
  <c r="D9" i="8"/>
  <c r="AW72" i="1"/>
  <c r="Z46" i="1"/>
  <c r="T57" i="9"/>
  <c r="AP38" i="9"/>
  <c r="AM91" i="1"/>
  <c r="K16" i="9"/>
  <c r="AK73" i="8"/>
  <c r="AT82" i="1"/>
  <c r="AD81" i="1"/>
  <c r="O87" i="9"/>
  <c r="AD68" i="1"/>
  <c r="AT10" i="8"/>
  <c r="AB74" i="1"/>
  <c r="AS40" i="9"/>
  <c r="AM95" i="9"/>
  <c r="AX81" i="8"/>
  <c r="AJ69" i="9"/>
  <c r="AD76" i="8"/>
  <c r="AY75" i="1"/>
  <c r="N69" i="1"/>
  <c r="M45" i="1"/>
  <c r="AL74" i="8"/>
  <c r="AD70" i="8"/>
  <c r="U57" i="8"/>
  <c r="U73" i="8"/>
  <c r="Y56" i="9"/>
  <c r="P14" i="8"/>
  <c r="AH92" i="8"/>
  <c r="AL78" i="1"/>
  <c r="N80" i="1"/>
  <c r="AB45" i="8"/>
  <c r="AR91" i="9"/>
  <c r="AR56" i="8"/>
  <c r="AG70" i="1"/>
  <c r="U87" i="1"/>
  <c r="G44" i="1"/>
  <c r="AG39" i="1"/>
  <c r="K67" i="1"/>
  <c r="V75" i="1"/>
  <c r="AN9" i="8"/>
  <c r="AK72" i="8"/>
  <c r="S63" i="1"/>
  <c r="AP8" i="9"/>
  <c r="G78" i="8"/>
  <c r="T69" i="8"/>
  <c r="H73" i="1"/>
  <c r="Y45" i="8"/>
  <c r="AS38" i="1"/>
  <c r="J39" i="1"/>
  <c r="AU63" i="8"/>
  <c r="S46" i="8"/>
  <c r="Z71" i="1"/>
  <c r="AH40" i="1"/>
  <c r="AT46" i="8"/>
  <c r="F39" i="9"/>
  <c r="AU9" i="9"/>
  <c r="AY69" i="1"/>
  <c r="R38" i="1"/>
  <c r="H70" i="8"/>
  <c r="AP16" i="8"/>
  <c r="V72" i="8"/>
  <c r="F92" i="8"/>
  <c r="K64" i="1"/>
  <c r="AG40" i="1"/>
  <c r="O68" i="1"/>
  <c r="T65" i="1"/>
  <c r="Y45" i="1"/>
  <c r="Y78" i="1"/>
  <c r="AO87" i="1"/>
  <c r="T68" i="8"/>
  <c r="E72" i="8"/>
  <c r="AB10" i="1"/>
  <c r="AH56" i="9"/>
  <c r="E95" i="8"/>
  <c r="AT38" i="8"/>
  <c r="S8" i="9"/>
  <c r="T80" i="1"/>
  <c r="N40" i="1"/>
  <c r="G9" i="8"/>
  <c r="AE92" i="8"/>
  <c r="AO40" i="1"/>
  <c r="L57" i="9"/>
  <c r="AS76" i="1"/>
  <c r="AT91" i="8"/>
  <c r="AG95" i="1"/>
  <c r="K79" i="9"/>
  <c r="AO38" i="1"/>
  <c r="H91" i="8"/>
  <c r="AY57" i="9"/>
  <c r="AR40" i="1"/>
  <c r="W40" i="9"/>
  <c r="AD57" i="1"/>
  <c r="M14" i="1"/>
  <c r="U75" i="9"/>
  <c r="V76" i="8"/>
  <c r="O74" i="1"/>
  <c r="D16" i="9"/>
  <c r="V75" i="8"/>
  <c r="AX64" i="9"/>
  <c r="AO76" i="9"/>
  <c r="AQ64" i="8"/>
  <c r="X80" i="9"/>
  <c r="X68" i="8"/>
  <c r="D72" i="1"/>
  <c r="W44" i="1"/>
  <c r="AC67" i="9"/>
  <c r="I64" i="1"/>
  <c r="AE16" i="1"/>
  <c r="AR65" i="1"/>
  <c r="AX45" i="1"/>
  <c r="S39" i="8"/>
  <c r="AN14" i="8"/>
  <c r="AJ65" i="8"/>
  <c r="AD72" i="9"/>
  <c r="AC15" i="8"/>
  <c r="AA76" i="9"/>
  <c r="L44" i="9"/>
  <c r="AY72" i="8"/>
  <c r="D88" i="9"/>
  <c r="L15" i="8"/>
  <c r="W15" i="8"/>
  <c r="N91" i="1"/>
  <c r="K86" i="9"/>
  <c r="R86" i="1"/>
  <c r="T40" i="8"/>
  <c r="AL76" i="9"/>
  <c r="O67" i="1"/>
  <c r="L16" i="1"/>
  <c r="O65" i="9"/>
  <c r="AD80" i="8"/>
  <c r="AS72" i="8"/>
  <c r="AL88" i="1"/>
  <c r="AF68" i="8"/>
  <c r="AP8" i="1"/>
  <c r="AU65" i="9"/>
  <c r="N95" i="8"/>
  <c r="N75" i="1"/>
  <c r="AX69" i="9"/>
  <c r="K75" i="9"/>
  <c r="AV8" i="1"/>
  <c r="AW46" i="1"/>
  <c r="AJ40" i="8"/>
  <c r="AH78" i="1"/>
  <c r="J45" i="1"/>
  <c r="J76" i="1"/>
  <c r="F40" i="8"/>
  <c r="AD77" i="8"/>
  <c r="AU46" i="1"/>
  <c r="AU92" i="8"/>
  <c r="AV65" i="8"/>
  <c r="F9" i="1"/>
  <c r="Y73" i="8"/>
  <c r="Y14" i="1"/>
  <c r="F76" i="8"/>
  <c r="Y76" i="1"/>
  <c r="AF75" i="8"/>
  <c r="L38" i="1"/>
  <c r="AG14" i="1"/>
  <c r="W64" i="1"/>
  <c r="F45" i="1"/>
  <c r="AM80" i="8"/>
  <c r="AF46" i="9"/>
  <c r="AH80" i="8"/>
  <c r="AT14" i="1"/>
  <c r="AE81" i="9"/>
  <c r="AT73" i="9"/>
  <c r="AN68" i="1"/>
  <c r="AW16" i="1"/>
  <c r="AV16" i="8"/>
  <c r="AC64" i="1"/>
  <c r="Q79" i="1"/>
  <c r="AO46" i="8"/>
  <c r="W69" i="9"/>
  <c r="E15" i="9"/>
  <c r="P88" i="1"/>
  <c r="AA39" i="1"/>
  <c r="AA91" i="1"/>
  <c r="D76" i="8"/>
  <c r="W9" i="9"/>
  <c r="Z40" i="9"/>
  <c r="AP9" i="1"/>
  <c r="K15" i="1"/>
  <c r="M15" i="1"/>
  <c r="N45" i="1"/>
  <c r="AD44" i="8"/>
  <c r="Q16" i="1"/>
  <c r="AW45" i="8"/>
  <c r="H75" i="9"/>
  <c r="AV46" i="8"/>
  <c r="AA73" i="1"/>
  <c r="J67" i="8"/>
  <c r="AX67" i="1"/>
  <c r="F39" i="8"/>
  <c r="R67" i="1"/>
  <c r="AY40" i="8"/>
  <c r="AM80" i="9"/>
  <c r="V66" i="1"/>
  <c r="AA69" i="8"/>
  <c r="T16" i="9"/>
  <c r="P14" i="9"/>
  <c r="V70" i="8"/>
  <c r="AW72" i="8"/>
  <c r="Y71" i="9"/>
  <c r="W14" i="8"/>
  <c r="W72" i="9"/>
  <c r="AI75" i="8"/>
  <c r="D40" i="9"/>
  <c r="AL65" i="8"/>
  <c r="AM57" i="9"/>
  <c r="I69" i="9"/>
  <c r="D75" i="9"/>
  <c r="AS86" i="9"/>
  <c r="AX71" i="1"/>
  <c r="N10" i="9"/>
  <c r="AW65" i="1"/>
  <c r="Y63" i="1"/>
  <c r="AS15" i="8"/>
  <c r="AV10" i="1"/>
  <c r="AM8" i="1"/>
  <c r="AT14" i="8"/>
  <c r="S79" i="1"/>
  <c r="T73" i="9"/>
  <c r="AA95" i="1"/>
  <c r="AB57" i="1"/>
  <c r="AP78" i="8"/>
  <c r="AO10" i="1"/>
  <c r="AF40" i="1"/>
  <c r="AD81" i="9"/>
  <c r="AT46" i="1"/>
  <c r="K92" i="1"/>
  <c r="AO40" i="9"/>
  <c r="U78" i="1"/>
  <c r="AR15" i="8"/>
  <c r="AN77" i="9"/>
  <c r="D39" i="9"/>
  <c r="AT65" i="9"/>
  <c r="E70" i="8"/>
  <c r="G10" i="8"/>
  <c r="AW76" i="9"/>
  <c r="Q77" i="8"/>
  <c r="AU15" i="8"/>
  <c r="AF86" i="1"/>
  <c r="E92" i="1"/>
  <c r="W65" i="8"/>
  <c r="AM14" i="1"/>
  <c r="N68" i="8"/>
  <c r="AJ63" i="8"/>
  <c r="AE40" i="8"/>
  <c r="AC63" i="8"/>
  <c r="K81" i="8"/>
  <c r="AO9" i="1"/>
  <c r="AF80" i="8"/>
  <c r="AF8" i="8"/>
  <c r="I44" i="1"/>
  <c r="AU57" i="9"/>
  <c r="AV81" i="8"/>
  <c r="AY56" i="8"/>
  <c r="T8" i="8"/>
  <c r="D67" i="1"/>
  <c r="L46" i="1"/>
  <c r="S66" i="9"/>
  <c r="AA77" i="8"/>
  <c r="AQ14" i="1"/>
  <c r="F67" i="9"/>
  <c r="V44" i="8"/>
  <c r="AH65" i="8"/>
  <c r="K80" i="1"/>
  <c r="S16" i="8"/>
  <c r="AY78" i="1"/>
  <c r="K38" i="1"/>
  <c r="E72" i="9"/>
  <c r="P45" i="8"/>
  <c r="AI39" i="8"/>
  <c r="N56" i="1"/>
  <c r="I39" i="8"/>
  <c r="V45" i="9"/>
  <c r="AE39" i="8"/>
  <c r="AF44" i="8"/>
  <c r="AA75" i="1"/>
  <c r="T15" i="1"/>
  <c r="E69" i="8"/>
  <c r="P45" i="1"/>
  <c r="AD38" i="1"/>
  <c r="F38" i="8"/>
  <c r="F14" i="8"/>
  <c r="V77" i="9"/>
  <c r="D95" i="1"/>
  <c r="E88" i="1"/>
  <c r="M9" i="9"/>
  <c r="AL63" i="8"/>
  <c r="AP73" i="1"/>
  <c r="AQ63" i="1"/>
  <c r="AV92" i="9"/>
  <c r="P66" i="9"/>
  <c r="P74" i="1"/>
  <c r="AC9" i="9"/>
  <c r="AB71" i="1"/>
  <c r="D95" i="8"/>
  <c r="Z82" i="1"/>
  <c r="AT65" i="1"/>
  <c r="N95" i="1"/>
  <c r="AB45" i="1"/>
  <c r="T75" i="9"/>
  <c r="T16" i="8"/>
  <c r="AL46" i="8"/>
  <c r="W91" i="8"/>
  <c r="AO78" i="8"/>
  <c r="AM74" i="1"/>
  <c r="AV75" i="9"/>
  <c r="W38" i="8"/>
  <c r="AJ69" i="1"/>
  <c r="L75" i="1"/>
  <c r="AL9" i="9"/>
  <c r="W39" i="8"/>
  <c r="I40" i="8"/>
  <c r="J64" i="1"/>
  <c r="X40" i="9"/>
  <c r="AY80" i="1"/>
  <c r="AA71" i="8"/>
  <c r="AB40" i="9"/>
  <c r="X15" i="9"/>
  <c r="AX63" i="8"/>
  <c r="Z39" i="1"/>
  <c r="J39" i="8"/>
  <c r="E79" i="9"/>
  <c r="AG64" i="9"/>
  <c r="D95" i="9"/>
  <c r="H39" i="9"/>
  <c r="N79" i="8"/>
  <c r="AH65" i="9"/>
  <c r="U75" i="1"/>
  <c r="AJ72" i="1"/>
  <c r="AL75" i="9"/>
  <c r="H56" i="8"/>
  <c r="AM16" i="8"/>
  <c r="P75" i="1"/>
  <c r="D44" i="9"/>
  <c r="R80" i="8"/>
  <c r="AL95" i="1"/>
  <c r="AE72" i="8"/>
  <c r="E45" i="8"/>
  <c r="P82" i="1"/>
  <c r="AK14" i="1"/>
  <c r="F16" i="1"/>
  <c r="AD74" i="9"/>
  <c r="Q38" i="1"/>
  <c r="Y46" i="1"/>
  <c r="Q65" i="9"/>
  <c r="AV9" i="9"/>
  <c r="N68" i="9"/>
  <c r="K9" i="8"/>
  <c r="AH75" i="9"/>
  <c r="AG71" i="1"/>
  <c r="AC40" i="8"/>
  <c r="H65" i="8"/>
  <c r="H77" i="9"/>
  <c r="F82" i="8"/>
  <c r="AG46" i="8"/>
  <c r="AD63" i="9"/>
  <c r="AU8" i="9"/>
  <c r="AM74" i="9"/>
  <c r="D80" i="8"/>
  <c r="AG77" i="1"/>
  <c r="AI63" i="8"/>
  <c r="E82" i="1"/>
  <c r="K71" i="9"/>
  <c r="S10" i="9"/>
  <c r="Q79" i="8"/>
  <c r="AU44" i="1"/>
  <c r="T81" i="8"/>
  <c r="I77" i="1"/>
  <c r="J70" i="1"/>
  <c r="D86" i="8"/>
  <c r="AK88" i="8"/>
  <c r="I9" i="9"/>
  <c r="AL80" i="1"/>
  <c r="AQ75" i="1"/>
  <c r="K40" i="8"/>
  <c r="Y9" i="8"/>
  <c r="X91" i="8"/>
  <c r="AU56" i="8"/>
  <c r="AC64" i="8"/>
  <c r="AA95" i="8"/>
  <c r="Q80" i="8"/>
  <c r="E67" i="1"/>
  <c r="AM82" i="9"/>
  <c r="S64" i="1"/>
  <c r="AW67" i="1"/>
  <c r="AP77" i="1"/>
  <c r="AJ72" i="8"/>
  <c r="Q72" i="9"/>
  <c r="AF71" i="1"/>
  <c r="AJ44" i="8"/>
  <c r="O66" i="8"/>
  <c r="AG57" i="9"/>
  <c r="AX40" i="1"/>
  <c r="AM79" i="1"/>
  <c r="AS56" i="1"/>
  <c r="AD86" i="8"/>
  <c r="AQ40" i="9"/>
  <c r="S80" i="8"/>
  <c r="N14" i="8"/>
  <c r="J40" i="9"/>
  <c r="T88" i="9"/>
  <c r="M57" i="8"/>
  <c r="H64" i="8"/>
  <c r="AE69" i="9"/>
  <c r="AH39" i="9"/>
  <c r="S78" i="1"/>
  <c r="V77" i="8"/>
  <c r="AN75" i="9"/>
  <c r="AU16" i="9"/>
  <c r="AJ9" i="8"/>
  <c r="AW9" i="8"/>
  <c r="AV66" i="1"/>
  <c r="AN67" i="9"/>
  <c r="O71" i="9"/>
  <c r="Y38" i="8"/>
  <c r="AK74" i="8"/>
  <c r="AY92" i="1"/>
  <c r="M74" i="1"/>
  <c r="H45" i="8"/>
  <c r="AW79" i="1"/>
  <c r="F38" i="1"/>
  <c r="E9" i="8"/>
  <c r="AE80" i="9"/>
  <c r="R45" i="9"/>
  <c r="AW65" i="9"/>
  <c r="G74" i="9"/>
  <c r="D79" i="1"/>
  <c r="AK15" i="8"/>
  <c r="J75" i="8"/>
  <c r="AL86" i="1"/>
  <c r="X46" i="8"/>
  <c r="AA38" i="1"/>
  <c r="AA64" i="1"/>
  <c r="G44" i="9"/>
  <c r="H39" i="1"/>
  <c r="AA63" i="9"/>
  <c r="W76" i="8"/>
  <c r="G63" i="9"/>
  <c r="W63" i="9"/>
  <c r="W91" i="9"/>
  <c r="T9" i="8"/>
  <c r="AG95" i="8"/>
  <c r="O10" i="8"/>
  <c r="AJ9" i="1"/>
  <c r="AK66" i="1"/>
  <c r="W80" i="8"/>
  <c r="U16" i="1"/>
  <c r="T88" i="1"/>
  <c r="I9" i="1"/>
  <c r="E91" i="1"/>
  <c r="AD92" i="1"/>
  <c r="AD92" i="8"/>
  <c r="I86" i="1"/>
  <c r="AU70" i="8"/>
  <c r="N80" i="8"/>
  <c r="AP44" i="9"/>
  <c r="D91" i="8"/>
  <c r="AY39" i="9"/>
  <c r="AI71" i="9"/>
  <c r="AJ46" i="1"/>
  <c r="AL16" i="8"/>
  <c r="AK80" i="9"/>
  <c r="AH76" i="9"/>
  <c r="AY66" i="1"/>
  <c r="AI67" i="1"/>
  <c r="K39" i="1"/>
  <c r="AH75" i="8"/>
  <c r="AC86" i="8"/>
  <c r="AF82" i="1"/>
  <c r="W9" i="1"/>
  <c r="X15" i="1"/>
  <c r="S77" i="9"/>
  <c r="D77" i="9"/>
  <c r="R56" i="1"/>
  <c r="G82" i="1"/>
  <c r="AQ71" i="1"/>
  <c r="AT92" i="1"/>
  <c r="X86" i="1"/>
  <c r="X78" i="8"/>
  <c r="L56" i="9"/>
  <c r="Y72" i="1"/>
  <c r="AP14" i="1"/>
  <c r="K75" i="1"/>
  <c r="O79" i="8"/>
  <c r="G88" i="8"/>
  <c r="H38" i="8"/>
  <c r="E88" i="8"/>
  <c r="AQ63" i="8"/>
  <c r="AI87" i="8"/>
  <c r="AJ76" i="8"/>
  <c r="AU72" i="1"/>
  <c r="AP69" i="8"/>
  <c r="AM86" i="1"/>
  <c r="AK73" i="1"/>
  <c r="AY46" i="1"/>
  <c r="AG10" i="1"/>
  <c r="O40" i="8"/>
  <c r="AS92" i="8"/>
  <c r="AO78" i="1"/>
  <c r="AC16" i="8"/>
  <c r="AD14" i="1"/>
  <c r="AM79" i="9"/>
  <c r="D73" i="9"/>
  <c r="AE75" i="1"/>
  <c r="D45" i="1"/>
  <c r="X38" i="9"/>
  <c r="AH71" i="9"/>
  <c r="AJ88" i="1"/>
  <c r="T73" i="1"/>
  <c r="AQ64" i="1"/>
  <c r="G88" i="9"/>
  <c r="P91" i="8"/>
  <c r="AG9" i="1"/>
  <c r="N63" i="1"/>
  <c r="AC65" i="8"/>
  <c r="AH70" i="1"/>
  <c r="P88" i="8"/>
  <c r="AE86" i="1"/>
  <c r="AG45" i="1"/>
  <c r="O8" i="1"/>
  <c r="AL57" i="9"/>
  <c r="P73" i="8"/>
  <c r="AF87" i="1"/>
  <c r="K65" i="1"/>
  <c r="T67" i="9"/>
  <c r="AA9" i="8"/>
  <c r="AG86" i="8"/>
  <c r="P80" i="8"/>
  <c r="E56" i="9"/>
  <c r="AY10" i="9"/>
  <c r="AH80" i="1"/>
  <c r="X16" i="1"/>
  <c r="AY15" i="8"/>
  <c r="AD16" i="9"/>
  <c r="AU9" i="8"/>
  <c r="E39" i="9"/>
  <c r="AR69" i="1"/>
  <c r="AF68" i="1"/>
  <c r="AS82" i="9"/>
  <c r="Y38" i="1"/>
  <c r="AY75" i="9"/>
  <c r="AM16" i="1"/>
  <c r="AU64" i="1"/>
  <c r="AQ80" i="9"/>
  <c r="I15" i="9"/>
  <c r="AA8" i="1"/>
  <c r="AD88" i="1"/>
  <c r="AI63" i="1"/>
  <c r="R79" i="1"/>
  <c r="AA57" i="1"/>
  <c r="AA38" i="8"/>
  <c r="Y40" i="1"/>
  <c r="AR71" i="1"/>
  <c r="AM67" i="9"/>
  <c r="AR9" i="8"/>
  <c r="AN14" i="1"/>
  <c r="P65" i="1"/>
  <c r="AX88" i="1"/>
  <c r="AQ44" i="8"/>
  <c r="AN95" i="1"/>
  <c r="AD40" i="1"/>
  <c r="AT57" i="8"/>
  <c r="X81" i="8"/>
  <c r="AO80" i="9"/>
  <c r="AE65" i="8"/>
  <c r="Q45" i="9"/>
  <c r="AM68" i="8"/>
  <c r="AY88" i="8"/>
  <c r="AI14" i="1"/>
  <c r="H73" i="9"/>
  <c r="AO14" i="1"/>
  <c r="AX79" i="9"/>
  <c r="M63" i="1"/>
  <c r="AV81" i="1"/>
  <c r="H40" i="8"/>
  <c r="R39" i="8"/>
  <c r="K46" i="8"/>
  <c r="AX74" i="9"/>
  <c r="S75" i="8"/>
  <c r="AL69" i="1"/>
  <c r="V64" i="8"/>
  <c r="AY15" i="1"/>
  <c r="D40" i="8"/>
  <c r="Y71" i="1"/>
  <c r="AT46" i="9"/>
  <c r="W15" i="9"/>
  <c r="M46" i="8"/>
  <c r="AR67" i="1"/>
  <c r="N15" i="1"/>
  <c r="R57" i="9"/>
  <c r="AT38" i="9"/>
  <c r="AE65" i="1"/>
  <c r="AF15" i="8"/>
  <c r="AM68" i="1"/>
  <c r="AD68" i="9"/>
  <c r="L74" i="9"/>
  <c r="H91" i="9"/>
  <c r="R77" i="1"/>
  <c r="AQ39" i="8"/>
  <c r="S68" i="8"/>
  <c r="W95" i="1"/>
  <c r="AP38" i="1"/>
  <c r="Q70" i="1"/>
  <c r="AQ88" i="1"/>
  <c r="L79" i="9"/>
  <c r="H72" i="9"/>
  <c r="AV46" i="1"/>
  <c r="AV86" i="9"/>
  <c r="AT77" i="8"/>
  <c r="AC91" i="1"/>
  <c r="V40" i="8"/>
  <c r="AQ87" i="8"/>
  <c r="AS81" i="1"/>
  <c r="AD8" i="9"/>
  <c r="D91" i="1"/>
  <c r="Z80" i="1"/>
  <c r="AL87" i="9"/>
  <c r="Y16" i="1"/>
  <c r="AH40" i="8"/>
  <c r="O72" i="1"/>
  <c r="R75" i="8"/>
  <c r="R95" i="1"/>
  <c r="AN80" i="1"/>
  <c r="AB82" i="1"/>
  <c r="AD65" i="1"/>
  <c r="AD78" i="8"/>
  <c r="Y65" i="9"/>
  <c r="K45" i="9"/>
  <c r="J14" i="8"/>
  <c r="P95" i="9"/>
  <c r="AX65" i="9"/>
  <c r="Y64" i="8"/>
  <c r="H81" i="1"/>
  <c r="P66" i="8"/>
  <c r="I67" i="8"/>
  <c r="Z69" i="8"/>
  <c r="AT65" i="8"/>
  <c r="J15" i="1"/>
  <c r="AH9" i="1"/>
  <c r="D44" i="1"/>
  <c r="V69" i="1"/>
  <c r="AE46" i="9"/>
  <c r="AR73" i="1"/>
  <c r="N9" i="8"/>
  <c r="AN46" i="1"/>
  <c r="AY8" i="9"/>
  <c r="P39" i="1"/>
  <c r="AR45" i="1"/>
  <c r="AM69" i="1"/>
  <c r="D66" i="1"/>
  <c r="O56" i="1"/>
  <c r="F80" i="1"/>
  <c r="G73" i="8"/>
  <c r="AW86" i="1"/>
  <c r="R45" i="8"/>
  <c r="AL78" i="8"/>
  <c r="I73" i="9"/>
  <c r="AT92" i="8"/>
  <c r="AY74" i="1"/>
  <c r="AG87" i="8"/>
  <c r="I86" i="8"/>
  <c r="AR78" i="8"/>
  <c r="L63" i="8"/>
  <c r="AV15" i="1"/>
  <c r="AQ76" i="9"/>
  <c r="H95" i="1"/>
  <c r="F78" i="1"/>
  <c r="AT68" i="8"/>
  <c r="AK69" i="8"/>
  <c r="D78" i="1"/>
  <c r="AJ63" i="1"/>
  <c r="AM81" i="8"/>
  <c r="AQ73" i="1"/>
  <c r="AP45" i="8"/>
  <c r="AM87" i="9"/>
  <c r="H88" i="9"/>
  <c r="AV92" i="1"/>
  <c r="W95" i="8"/>
  <c r="P72" i="8"/>
  <c r="Z39" i="8"/>
  <c r="AO10" i="9"/>
  <c r="AG72" i="1"/>
  <c r="AG68" i="9"/>
  <c r="N14" i="9"/>
  <c r="S45" i="1"/>
  <c r="F9" i="8"/>
  <c r="AN78" i="8"/>
  <c r="AV77" i="1"/>
  <c r="AI44" i="9"/>
  <c r="P82" i="8"/>
  <c r="AC14" i="9"/>
  <c r="AM65" i="1"/>
  <c r="AI79" i="8"/>
  <c r="Q68" i="1"/>
  <c r="AH64" i="9"/>
  <c r="AV88" i="8"/>
  <c r="AO65" i="8"/>
  <c r="G45" i="1"/>
  <c r="AR69" i="8"/>
  <c r="AF38" i="9"/>
  <c r="E40" i="9"/>
  <c r="N64" i="1"/>
  <c r="O16" i="8"/>
  <c r="AS87" i="8"/>
  <c r="AR82" i="9"/>
  <c r="AT15" i="1"/>
  <c r="E65" i="8"/>
  <c r="AV45" i="9"/>
  <c r="L10" i="1"/>
  <c r="G79" i="9"/>
  <c r="Y9" i="1"/>
  <c r="AP64" i="8"/>
  <c r="AG66" i="1"/>
  <c r="AA16" i="1"/>
  <c r="AF77" i="9"/>
  <c r="X56" i="1"/>
  <c r="U86" i="9"/>
  <c r="P87" i="8"/>
  <c r="M46" i="9"/>
  <c r="AY72" i="9"/>
  <c r="AB77" i="9"/>
  <c r="X45" i="1"/>
  <c r="AJ80" i="1"/>
  <c r="AT92" i="9"/>
  <c r="AG65" i="8"/>
  <c r="AT76" i="8"/>
  <c r="AG64" i="1"/>
  <c r="V72" i="9"/>
  <c r="AX44" i="9"/>
  <c r="D81" i="9"/>
  <c r="R46" i="9"/>
  <c r="AI73" i="1"/>
  <c r="AV39" i="1"/>
  <c r="AS14" i="1"/>
  <c r="AM39" i="1"/>
  <c r="AJ15" i="9"/>
  <c r="AC10" i="9"/>
  <c r="I74" i="1"/>
  <c r="AO77" i="8"/>
  <c r="M77" i="1"/>
  <c r="T70" i="8"/>
  <c r="AT78" i="1"/>
  <c r="AN76" i="9"/>
  <c r="I78" i="1"/>
  <c r="R74" i="8"/>
  <c r="AI9" i="8"/>
  <c r="AX86" i="1"/>
  <c r="N75" i="8"/>
  <c r="AJ40" i="1"/>
  <c r="AV65" i="1"/>
  <c r="P77" i="8"/>
  <c r="AM46" i="1"/>
  <c r="AW9" i="1"/>
  <c r="AA10" i="8"/>
  <c r="P68" i="8"/>
  <c r="AR16" i="8"/>
  <c r="AQ80" i="1"/>
  <c r="AJ67" i="1"/>
  <c r="W63" i="8"/>
  <c r="W77" i="9"/>
  <c r="R73" i="8"/>
  <c r="M45" i="9"/>
  <c r="AP80" i="9"/>
  <c r="AV64" i="1"/>
  <c r="V91" i="9"/>
  <c r="W87" i="1"/>
  <c r="AB70" i="9"/>
  <c r="AT69" i="9"/>
  <c r="AA78" i="1"/>
  <c r="AD64" i="9"/>
  <c r="F10" i="8"/>
  <c r="AG80" i="8"/>
  <c r="S46" i="1"/>
  <c r="AE86" i="8"/>
  <c r="V71" i="1"/>
  <c r="E64" i="1"/>
  <c r="S64" i="9"/>
  <c r="U10" i="8"/>
  <c r="P38" i="9"/>
  <c r="AU15" i="1"/>
  <c r="AG44" i="8"/>
  <c r="Q46" i="1"/>
  <c r="AY68" i="8"/>
  <c r="AL8" i="8"/>
  <c r="AE63" i="1"/>
  <c r="S73" i="9"/>
  <c r="AX71" i="8"/>
  <c r="AS63" i="9"/>
  <c r="AB88" i="9"/>
  <c r="AW56" i="1"/>
  <c r="AB67" i="1"/>
  <c r="Z68" i="9"/>
  <c r="O95" i="1"/>
  <c r="AC95" i="1"/>
  <c r="U82" i="9"/>
  <c r="AG74" i="9"/>
  <c r="AO69" i="9"/>
  <c r="AI92" i="1"/>
  <c r="H71" i="9"/>
  <c r="AW74" i="1"/>
  <c r="AN67" i="8"/>
  <c r="AS71" i="1"/>
  <c r="R63" i="8"/>
  <c r="AB39" i="9"/>
  <c r="J80" i="1"/>
  <c r="AI76" i="8"/>
  <c r="P75" i="9"/>
  <c r="D73" i="1"/>
  <c r="J69" i="1"/>
  <c r="AU66" i="8"/>
  <c r="S87" i="9"/>
  <c r="AD8" i="1"/>
  <c r="AY46" i="9"/>
  <c r="AN81" i="9"/>
  <c r="AJ66" i="1"/>
  <c r="AB80" i="1"/>
  <c r="H95" i="9"/>
  <c r="AL64" i="8"/>
  <c r="AX64" i="1"/>
  <c r="AP39" i="8"/>
  <c r="AY44" i="8"/>
  <c r="AT9" i="1"/>
  <c r="AO45" i="1"/>
  <c r="AT79" i="8"/>
  <c r="H79" i="9"/>
  <c r="Z63" i="9"/>
  <c r="Z72" i="1"/>
  <c r="AF69" i="8"/>
  <c r="Z39" i="9"/>
  <c r="AG45" i="8"/>
  <c r="AR88" i="1"/>
  <c r="AD86" i="9"/>
  <c r="AC16" i="1"/>
  <c r="AC9" i="1"/>
  <c r="Q44" i="8"/>
  <c r="AM73" i="1"/>
  <c r="H75" i="1"/>
  <c r="AX9" i="1"/>
  <c r="AM38" i="1"/>
  <c r="T95" i="9"/>
  <c r="AK91" i="1"/>
  <c r="N88" i="8"/>
  <c r="AU56" i="9"/>
  <c r="U74" i="8"/>
  <c r="AY64" i="9"/>
  <c r="E76" i="1"/>
  <c r="AN64" i="1"/>
  <c r="AY79" i="8"/>
  <c r="AI38" i="9"/>
  <c r="AM64" i="9"/>
  <c r="AP57" i="1"/>
  <c r="D70" i="8"/>
  <c r="R65" i="8"/>
  <c r="D79" i="8"/>
  <c r="AQ46" i="1"/>
  <c r="AY56" i="1"/>
  <c r="AN72" i="1"/>
  <c r="H9" i="9"/>
  <c r="Z77" i="8"/>
  <c r="K88" i="8"/>
  <c r="AY76" i="8"/>
  <c r="AT78" i="8"/>
  <c r="U46" i="8"/>
  <c r="AI64" i="9"/>
  <c r="AR16" i="1"/>
  <c r="AA67" i="1"/>
  <c r="AW38" i="9"/>
  <c r="AQ92" i="1"/>
  <c r="K71" i="1"/>
  <c r="AL68" i="1"/>
  <c r="AA46" i="8"/>
  <c r="H77" i="8"/>
  <c r="AF16" i="8"/>
  <c r="D38" i="8"/>
  <c r="K8" i="9"/>
  <c r="L70" i="1"/>
  <c r="AU88" i="1"/>
  <c r="F63" i="1"/>
  <c r="AC71" i="8"/>
  <c r="AV76" i="1"/>
  <c r="AQ45" i="8"/>
  <c r="AJ14" i="1"/>
  <c r="AF15" i="9"/>
  <c r="AU44" i="8"/>
  <c r="E10" i="8"/>
  <c r="P74" i="8"/>
  <c r="AA92" i="1"/>
  <c r="T67" i="1"/>
  <c r="AW10" i="1"/>
  <c r="AY78" i="8"/>
  <c r="AS39" i="8"/>
  <c r="AK16" i="1"/>
  <c r="AW82" i="1"/>
  <c r="AQ75" i="8"/>
  <c r="AQ46" i="8"/>
  <c r="AB88" i="1"/>
  <c r="M81" i="8"/>
  <c r="E71" i="8"/>
  <c r="AH10" i="9"/>
  <c r="AM63" i="1"/>
  <c r="V15" i="9"/>
  <c r="AH9" i="9"/>
  <c r="Q45" i="8"/>
  <c r="F87" i="8"/>
  <c r="W63" i="1"/>
  <c r="AE67" i="1"/>
  <c r="AL70" i="1"/>
  <c r="I65" i="9"/>
  <c r="H82" i="9"/>
  <c r="Z95" i="8"/>
  <c r="AX72" i="8"/>
  <c r="Q74" i="1"/>
  <c r="W16" i="1"/>
  <c r="R75" i="1"/>
  <c r="U71" i="9"/>
  <c r="R77" i="8"/>
  <c r="AX77" i="8"/>
  <c r="AF40" i="8"/>
  <c r="T78" i="1"/>
  <c r="Z57" i="8"/>
  <c r="AP81" i="8"/>
  <c r="H74" i="9"/>
  <c r="AF70" i="1"/>
  <c r="Q71" i="8"/>
  <c r="J57" i="9"/>
  <c r="AK88" i="1"/>
  <c r="AR80" i="9"/>
  <c r="AE82" i="1"/>
  <c r="AY9" i="1"/>
  <c r="AC82" i="8"/>
  <c r="W77" i="1"/>
  <c r="AW57" i="9"/>
  <c r="K46" i="9"/>
  <c r="AW91" i="8"/>
  <c r="AP75" i="1"/>
  <c r="AD81" i="8"/>
  <c r="T76" i="1"/>
  <c r="F44" i="8"/>
  <c r="AG69" i="1"/>
  <c r="V8" i="1"/>
  <c r="T46" i="1"/>
  <c r="AV71" i="8"/>
  <c r="AC67" i="1"/>
  <c r="AC95" i="9"/>
  <c r="AX81" i="9"/>
  <c r="AY63" i="8"/>
  <c r="AY73" i="8"/>
  <c r="M80" i="1"/>
  <c r="I10" i="1"/>
  <c r="Z76" i="8"/>
  <c r="Z74" i="1"/>
  <c r="F80" i="8"/>
  <c r="W38" i="1"/>
  <c r="O91" i="1"/>
  <c r="G10" i="9"/>
  <c r="AN71" i="8"/>
  <c r="AS79" i="9"/>
  <c r="D65" i="8"/>
  <c r="AJ45" i="8"/>
  <c r="G69" i="8"/>
  <c r="AH76" i="1"/>
  <c r="AL9" i="8"/>
  <c r="O68" i="9"/>
  <c r="S16" i="9"/>
  <c r="AX10" i="8"/>
  <c r="R14" i="8"/>
  <c r="E87" i="1"/>
  <c r="AC10" i="8"/>
  <c r="AH46" i="1"/>
  <c r="P91" i="1"/>
  <c r="T88" i="8"/>
  <c r="T82" i="1"/>
  <c r="AE74" i="1"/>
  <c r="AO75" i="8"/>
  <c r="E14" i="8"/>
  <c r="AO81" i="1"/>
  <c r="T10" i="1"/>
  <c r="AB77" i="8"/>
  <c r="P80" i="1"/>
  <c r="AC65" i="1"/>
  <c r="AI72" i="1"/>
  <c r="AE77" i="1"/>
  <c r="AJ81" i="8"/>
  <c r="AE64" i="1"/>
  <c r="AN66" i="8"/>
  <c r="Y40" i="9"/>
  <c r="AP66" i="9"/>
  <c r="AW80" i="8"/>
  <c r="AX75" i="1"/>
  <c r="E16" i="1"/>
  <c r="Y64" i="1"/>
  <c r="J65" i="1"/>
  <c r="AX76" i="9"/>
  <c r="AJ8" i="8"/>
  <c r="AE9" i="8"/>
  <c r="AV14" i="8"/>
  <c r="V86" i="9"/>
  <c r="Z16" i="9"/>
  <c r="AE64" i="8"/>
  <c r="E56" i="1"/>
  <c r="Q66" i="1"/>
  <c r="T95" i="1"/>
  <c r="F71" i="9"/>
  <c r="AL45" i="8"/>
  <c r="AE88" i="1"/>
  <c r="V44" i="1"/>
  <c r="Q71" i="1"/>
  <c r="AV66" i="9"/>
  <c r="D76" i="1"/>
  <c r="AX87" i="9"/>
  <c r="AJ44" i="1"/>
  <c r="R10" i="1"/>
  <c r="AI76" i="1"/>
  <c r="M71" i="1"/>
  <c r="AL45" i="9"/>
  <c r="AW39" i="9"/>
  <c r="W92" i="1"/>
  <c r="L40" i="1"/>
  <c r="AA57" i="8"/>
  <c r="AE68" i="9"/>
  <c r="V14" i="8"/>
  <c r="M56" i="1"/>
  <c r="AT63" i="8"/>
  <c r="AK39" i="9"/>
  <c r="O76" i="8"/>
  <c r="F77" i="1"/>
  <c r="AB70" i="8"/>
  <c r="AU8" i="1"/>
  <c r="R72" i="9"/>
  <c r="P68" i="9"/>
  <c r="Q39" i="1"/>
  <c r="AP45" i="1"/>
  <c r="AJ10" i="8"/>
  <c r="AT70" i="1"/>
  <c r="AS75" i="8"/>
  <c r="U65" i="1"/>
  <c r="P57" i="8"/>
  <c r="AM95" i="8"/>
  <c r="AD39" i="9"/>
  <c r="O39" i="9"/>
  <c r="J79" i="9"/>
  <c r="W71" i="8"/>
  <c r="AT72" i="8"/>
  <c r="R70" i="8"/>
  <c r="AH86" i="1"/>
  <c r="AW82" i="9"/>
  <c r="I73" i="8"/>
  <c r="AJ78" i="8"/>
  <c r="AE87" i="9"/>
  <c r="AC38" i="1"/>
  <c r="AV72" i="1"/>
  <c r="AQ57" i="1"/>
  <c r="AO14" i="9"/>
  <c r="Y78" i="8"/>
  <c r="M77" i="9"/>
  <c r="E15" i="1"/>
  <c r="P15" i="1"/>
  <c r="AL66" i="8"/>
  <c r="Y10" i="1"/>
  <c r="Q78" i="1"/>
  <c r="X70" i="9"/>
  <c r="AF38" i="1"/>
  <c r="AR82" i="1"/>
  <c r="AG75" i="9"/>
  <c r="Z56" i="8"/>
  <c r="AS45" i="1"/>
  <c r="O45" i="8"/>
  <c r="Z81" i="1"/>
  <c r="AM56" i="9"/>
  <c r="AK67" i="1"/>
  <c r="AB73" i="9"/>
  <c r="F70" i="1"/>
  <c r="G45" i="8"/>
  <c r="AK66" i="8"/>
  <c r="H75" i="8"/>
  <c r="O82" i="8"/>
  <c r="Q39" i="8"/>
  <c r="AH56" i="1"/>
  <c r="AJ46" i="9"/>
  <c r="AH45" i="1"/>
  <c r="AB16" i="1"/>
  <c r="O66" i="9"/>
  <c r="AF66" i="8"/>
  <c r="V70" i="9"/>
  <c r="AP78" i="1"/>
  <c r="X64" i="8"/>
  <c r="S65" i="8"/>
  <c r="AG78" i="1"/>
  <c r="AT69" i="1"/>
  <c r="AG72" i="9"/>
  <c r="AB38" i="1"/>
  <c r="V79" i="9"/>
  <c r="N86" i="9"/>
  <c r="AJ8" i="9"/>
  <c r="Y14" i="8"/>
  <c r="AJ74" i="1"/>
  <c r="AG57" i="1"/>
  <c r="AO67" i="8"/>
  <c r="I79" i="9"/>
  <c r="X69" i="1"/>
  <c r="AV40" i="1"/>
  <c r="R64" i="1"/>
  <c r="AD66" i="9"/>
  <c r="J69" i="8"/>
  <c r="W79" i="8"/>
  <c r="T69" i="1"/>
  <c r="U68" i="8"/>
  <c r="AU8" i="8"/>
  <c r="AS44" i="1"/>
  <c r="AP76" i="8"/>
  <c r="F71" i="8"/>
  <c r="AE38" i="9"/>
  <c r="Z66" i="8"/>
  <c r="AB10" i="9"/>
  <c r="AQ16" i="9"/>
  <c r="AN44" i="1"/>
  <c r="AQ91" i="1"/>
  <c r="AG86" i="1"/>
  <c r="Z16" i="8"/>
  <c r="AP14" i="9"/>
  <c r="AX73" i="9"/>
  <c r="S40" i="1"/>
  <c r="AH44" i="9"/>
  <c r="AG71" i="8"/>
  <c r="AD92" i="9"/>
  <c r="N72" i="9"/>
  <c r="Y69" i="9"/>
  <c r="D39" i="1"/>
  <c r="N82" i="1"/>
  <c r="D88" i="8"/>
  <c r="T68" i="1"/>
  <c r="AG75" i="1"/>
  <c r="D40" i="1"/>
  <c r="AG91" i="9"/>
  <c r="Q15" i="9"/>
  <c r="Q64" i="8"/>
  <c r="AO95" i="1"/>
  <c r="G76" i="1"/>
  <c r="AR64" i="8"/>
  <c r="AC76" i="9"/>
  <c r="Y76" i="9"/>
  <c r="W74" i="9"/>
  <c r="AT76" i="1"/>
  <c r="AB56" i="1"/>
  <c r="T44" i="9"/>
  <c r="V86" i="1"/>
  <c r="I45" i="1"/>
  <c r="AE76" i="8"/>
  <c r="AP71" i="1"/>
  <c r="D9" i="1"/>
  <c r="AG77" i="9"/>
  <c r="AB67" i="8"/>
  <c r="X80" i="1"/>
  <c r="AI38" i="8"/>
  <c r="F74" i="1"/>
  <c r="AV66" i="8"/>
  <c r="N86" i="1"/>
  <c r="AE91" i="8"/>
  <c r="P86" i="1"/>
  <c r="AH92" i="1"/>
  <c r="AA79" i="8"/>
  <c r="AL10" i="1"/>
  <c r="AW40" i="1"/>
  <c r="AR77" i="8"/>
  <c r="J73" i="1"/>
  <c r="Z10" i="8"/>
  <c r="U80" i="8"/>
  <c r="I45" i="8"/>
  <c r="AX57" i="9"/>
  <c r="AF45" i="8"/>
  <c r="G64" i="1"/>
  <c r="J88" i="1"/>
  <c r="AH40" i="9"/>
  <c r="AV69" i="9"/>
  <c r="F8" i="8"/>
  <c r="H46" i="8"/>
  <c r="D87" i="1"/>
  <c r="AF67" i="1"/>
  <c r="F69" i="8"/>
  <c r="F73" i="9"/>
  <c r="AX91" i="8"/>
  <c r="AR86" i="1"/>
  <c r="AD78" i="9"/>
  <c r="AI16" i="1"/>
  <c r="AM68" i="9"/>
  <c r="AY66" i="9"/>
  <c r="L92" i="1"/>
  <c r="AU68" i="1"/>
  <c r="Z66" i="9"/>
  <c r="F14" i="1"/>
  <c r="AC91" i="8"/>
  <c r="AN92" i="8"/>
  <c r="AJ15" i="1"/>
  <c r="U8" i="9"/>
  <c r="AL75" i="8"/>
  <c r="T87" i="1"/>
  <c r="AH16" i="8"/>
  <c r="Q63" i="1"/>
  <c r="AJ64" i="1"/>
  <c r="S57" i="1"/>
  <c r="Z75" i="9"/>
  <c r="AP57" i="9"/>
  <c r="F69" i="9"/>
  <c r="L65" i="1"/>
  <c r="AM70" i="9"/>
  <c r="AM38" i="8"/>
  <c r="U66" i="9"/>
  <c r="AI57" i="9"/>
  <c r="AU79" i="9"/>
  <c r="W80" i="1"/>
  <c r="AX92" i="1"/>
  <c r="W76" i="9"/>
  <c r="AH73" i="8"/>
  <c r="AI74" i="1"/>
  <c r="AO57" i="1"/>
  <c r="AK78" i="1"/>
  <c r="AF9" i="1"/>
  <c r="M65" i="8"/>
  <c r="K95" i="1"/>
  <c r="H72" i="8"/>
  <c r="AK40" i="1"/>
  <c r="AT80" i="9"/>
  <c r="AP64" i="1"/>
  <c r="AL56" i="9"/>
  <c r="D10" i="8"/>
  <c r="AS87" i="1"/>
  <c r="AR57" i="8"/>
  <c r="R79" i="8"/>
  <c r="AX66" i="1"/>
  <c r="Y70" i="1"/>
  <c r="AM66" i="1"/>
  <c r="P95" i="1"/>
  <c r="AV70" i="1"/>
  <c r="AW81" i="8"/>
  <c r="O80" i="9"/>
  <c r="V10" i="1"/>
  <c r="AS40" i="8"/>
  <c r="S78" i="8"/>
  <c r="AT75" i="8"/>
  <c r="AA56" i="9"/>
  <c r="T87" i="9"/>
  <c r="AF65" i="1"/>
  <c r="Z38" i="9"/>
  <c r="AQ45" i="1"/>
  <c r="AQ70" i="9"/>
  <c r="W92" i="9"/>
  <c r="Z45" i="9"/>
  <c r="AR38" i="9"/>
  <c r="AA79" i="1"/>
  <c r="N46" i="1"/>
  <c r="J72" i="1"/>
  <c r="AM95" i="1"/>
  <c r="AO68" i="9"/>
  <c r="AR15" i="1"/>
  <c r="AR65" i="9"/>
  <c r="AE78" i="8"/>
  <c r="J92" i="1"/>
  <c r="AT75" i="9"/>
  <c r="AY14" i="8"/>
  <c r="AG71" i="9"/>
  <c r="AI86" i="8"/>
  <c r="AC56" i="9"/>
  <c r="AS64" i="8"/>
  <c r="U74" i="9"/>
  <c r="G70" i="1"/>
  <c r="S57" i="9"/>
  <c r="R15" i="8"/>
  <c r="AN81" i="1"/>
  <c r="AX70" i="8"/>
  <c r="D75" i="8"/>
  <c r="AL69" i="9"/>
  <c r="P15" i="9"/>
  <c r="Y79" i="9"/>
  <c r="AQ38" i="8"/>
  <c r="Q67" i="9"/>
  <c r="AV64" i="9"/>
  <c r="S16" i="1"/>
  <c r="AJ10" i="1"/>
  <c r="I68" i="1"/>
  <c r="S88" i="8"/>
  <c r="AH65" i="1"/>
  <c r="T78" i="8"/>
  <c r="Q78" i="8"/>
  <c r="AS56" i="9"/>
  <c r="AN9" i="1"/>
  <c r="U95" i="8"/>
  <c r="AU67" i="9"/>
  <c r="AV69" i="8"/>
  <c r="F45" i="9"/>
  <c r="V68" i="8"/>
  <c r="X8" i="1"/>
  <c r="AB44" i="8"/>
  <c r="L86" i="9"/>
  <c r="O39" i="1"/>
  <c r="W69" i="1"/>
  <c r="V95" i="8"/>
  <c r="AO76" i="8"/>
  <c r="AK70" i="1"/>
  <c r="Z67" i="1"/>
  <c r="AW74" i="9"/>
  <c r="S63" i="8"/>
  <c r="AI57" i="1"/>
  <c r="AU75" i="9"/>
  <c r="AL71" i="9"/>
  <c r="AE77" i="9"/>
  <c r="I56" i="1"/>
  <c r="AM82" i="8"/>
  <c r="T64" i="1"/>
  <c r="O16" i="1"/>
  <c r="AF91" i="9"/>
  <c r="N40" i="9"/>
  <c r="W10" i="1"/>
  <c r="H10" i="8"/>
  <c r="Y88" i="9"/>
  <c r="V8" i="9"/>
  <c r="Q67" i="8"/>
  <c r="AM70" i="1"/>
  <c r="K88" i="9"/>
  <c r="AK92" i="9"/>
  <c r="AD8" i="8"/>
  <c r="N10" i="1"/>
  <c r="F76" i="1"/>
  <c r="Y95" i="1"/>
  <c r="K91" i="9"/>
  <c r="AI46" i="1"/>
  <c r="AM63" i="8"/>
  <c r="AA88" i="1"/>
  <c r="AY38" i="8"/>
  <c r="AP15" i="1"/>
  <c r="P63" i="8"/>
  <c r="W66" i="1"/>
  <c r="N70" i="8"/>
  <c r="AH56" i="8"/>
  <c r="L45" i="9"/>
  <c r="AX75" i="8"/>
  <c r="AJ71" i="1"/>
  <c r="N73" i="8"/>
  <c r="AC72" i="1"/>
  <c r="M75" i="1"/>
  <c r="AK81" i="9"/>
  <c r="I91" i="8"/>
  <c r="AQ8" i="9"/>
  <c r="O46" i="8"/>
  <c r="G65" i="9"/>
  <c r="AT38" i="1"/>
  <c r="O69" i="1"/>
  <c r="I38" i="9"/>
  <c r="AV74" i="8"/>
  <c r="W82" i="1"/>
  <c r="E81" i="1"/>
  <c r="W79" i="1"/>
  <c r="N95" i="9"/>
  <c r="X38" i="1"/>
  <c r="AF46" i="1"/>
  <c r="R80" i="9"/>
  <c r="AU40" i="1"/>
  <c r="AV68" i="1"/>
  <c r="D77" i="1"/>
  <c r="AC40" i="9"/>
  <c r="T57" i="1"/>
  <c r="M10" i="1"/>
  <c r="AW64" i="8"/>
  <c r="D56" i="8"/>
  <c r="O14" i="9"/>
  <c r="D69" i="1"/>
  <c r="P16" i="9"/>
  <c r="AH79" i="9"/>
  <c r="U88" i="9"/>
  <c r="E68" i="1"/>
  <c r="X73" i="8"/>
  <c r="T78" i="9"/>
  <c r="H39" i="8"/>
  <c r="AJ68" i="1"/>
  <c r="I63" i="1"/>
  <c r="T38" i="1"/>
  <c r="AY16" i="1"/>
  <c r="E8" i="8"/>
  <c r="O64" i="1"/>
  <c r="AI81" i="1"/>
  <c r="AE82" i="8"/>
  <c r="AO63" i="1"/>
  <c r="P70" i="8"/>
  <c r="AC57" i="8"/>
  <c r="AK79" i="8"/>
  <c r="AM70" i="8"/>
  <c r="AL45" i="1"/>
  <c r="AW69" i="1"/>
  <c r="Y70" i="8"/>
  <c r="K87" i="9"/>
  <c r="X73" i="1"/>
  <c r="AS65" i="9"/>
  <c r="AM46" i="8"/>
  <c r="T66" i="1"/>
  <c r="AR44" i="8"/>
  <c r="S9" i="9"/>
  <c r="AK46" i="8"/>
  <c r="AS91" i="8"/>
  <c r="AW46" i="8"/>
  <c r="AU16" i="8"/>
  <c r="AC10" i="1"/>
  <c r="D91" i="9"/>
  <c r="E75" i="9"/>
  <c r="N73" i="1"/>
  <c r="AE10" i="8"/>
  <c r="V38" i="1"/>
  <c r="AL15" i="1"/>
  <c r="T46" i="8"/>
  <c r="P57" i="1"/>
  <c r="AQ69" i="8"/>
  <c r="AL86" i="8"/>
  <c r="S15" i="9"/>
  <c r="AS77" i="1"/>
  <c r="G75" i="8"/>
  <c r="AB74" i="9"/>
  <c r="AK57" i="9"/>
  <c r="L87" i="8"/>
  <c r="Q66" i="8"/>
  <c r="AY64" i="1"/>
  <c r="AV78" i="8"/>
  <c r="AS44" i="9"/>
  <c r="U64" i="9"/>
  <c r="Y65" i="1"/>
  <c r="K95" i="8"/>
  <c r="AA67" i="8"/>
  <c r="AB15" i="8"/>
  <c r="I8" i="1"/>
  <c r="W72" i="8"/>
  <c r="AY70" i="9"/>
  <c r="L63" i="9"/>
  <c r="AW78" i="1"/>
  <c r="AX57" i="8"/>
  <c r="AF65" i="8"/>
  <c r="AB72" i="1"/>
  <c r="T9" i="1"/>
  <c r="H87" i="9"/>
  <c r="H9" i="1"/>
  <c r="X39" i="8"/>
  <c r="S44" i="1"/>
  <c r="P15" i="8"/>
  <c r="V64" i="1"/>
  <c r="AB64" i="1"/>
  <c r="AE9" i="9"/>
  <c r="AN44" i="8"/>
  <c r="AP71" i="8"/>
  <c r="Z14" i="1"/>
  <c r="T44" i="1"/>
  <c r="AT15" i="8"/>
  <c r="AP44" i="8"/>
  <c r="AI56" i="8"/>
  <c r="Q80" i="1"/>
  <c r="O57" i="1"/>
  <c r="AU69" i="1"/>
  <c r="AF78" i="9"/>
  <c r="E73" i="1"/>
  <c r="AH78" i="8"/>
  <c r="S38" i="1"/>
  <c r="AP39" i="1"/>
  <c r="N57" i="8"/>
  <c r="AQ68" i="8"/>
  <c r="AL67" i="8"/>
  <c r="D79" i="9"/>
  <c r="J87" i="9"/>
  <c r="AQ46" i="9"/>
  <c r="AT91" i="1"/>
  <c r="P79" i="1"/>
  <c r="T74" i="9"/>
  <c r="D64" i="8"/>
  <c r="BH27" i="8" l="1"/>
  <c r="BD21" i="9"/>
  <c r="BD51" i="9"/>
  <c r="BB10" i="10"/>
  <c r="BP10" i="1"/>
  <c r="BB10" i="14"/>
  <c r="BP10" i="14" s="1"/>
  <c r="BP9" i="9"/>
  <c r="BF96" i="9"/>
  <c r="BF93" i="1"/>
  <c r="BF91" i="14"/>
  <c r="BF91" i="10"/>
  <c r="BI28" i="8"/>
  <c r="AZ77" i="14"/>
  <c r="AZ77" i="10"/>
  <c r="BK58" i="8"/>
  <c r="BI79" i="14"/>
  <c r="BI79" i="10"/>
  <c r="BC17" i="9"/>
  <c r="BC73" i="10"/>
  <c r="BC73" i="14"/>
  <c r="BF50" i="8"/>
  <c r="BF20" i="8"/>
  <c r="BF41" i="8"/>
  <c r="BF23" i="8" s="1"/>
  <c r="BG83" i="8"/>
  <c r="BG47" i="9"/>
  <c r="BG26" i="9"/>
  <c r="BJ73" i="14"/>
  <c r="BJ73" i="10"/>
  <c r="BH79" i="10"/>
  <c r="BH79" i="14"/>
  <c r="BI21" i="8"/>
  <c r="BI51" i="8"/>
  <c r="AZ28" i="8"/>
  <c r="BE74" i="10"/>
  <c r="BE74" i="14"/>
  <c r="BK50" i="8"/>
  <c r="BK41" i="8"/>
  <c r="BK20" i="8"/>
  <c r="BK83" i="8"/>
  <c r="BK27" i="8"/>
  <c r="AZ66" i="14"/>
  <c r="AZ66" i="10"/>
  <c r="BG70" i="14"/>
  <c r="BG70" i="10"/>
  <c r="BB58" i="9"/>
  <c r="BJ16" i="10"/>
  <c r="BJ16" i="14"/>
  <c r="BJ28" i="14" s="1"/>
  <c r="AZ83" i="9"/>
  <c r="BG41" i="9"/>
  <c r="BG50" i="9"/>
  <c r="BG20" i="9"/>
  <c r="BK11" i="9"/>
  <c r="BJ93" i="9"/>
  <c r="BG76" i="10"/>
  <c r="BG76" i="14"/>
  <c r="BG64" i="10"/>
  <c r="BG64" i="14"/>
  <c r="BH89" i="8"/>
  <c r="BI69" i="10"/>
  <c r="BI69" i="14"/>
  <c r="BD89" i="9"/>
  <c r="AZ78" i="10"/>
  <c r="AZ78" i="14"/>
  <c r="BA76" i="14"/>
  <c r="BA76" i="10"/>
  <c r="BG47" i="1"/>
  <c r="BG26" i="1"/>
  <c r="BG44" i="10"/>
  <c r="BG44" i="14"/>
  <c r="BI52" i="1"/>
  <c r="BI22" i="1"/>
  <c r="BI34" i="1" s="1"/>
  <c r="BI40" i="10"/>
  <c r="BI22" i="10" s="1"/>
  <c r="BI40" i="14"/>
  <c r="BD92" i="14"/>
  <c r="BD92" i="10"/>
  <c r="AZ69" i="14"/>
  <c r="AZ69" i="10"/>
  <c r="BE96" i="8"/>
  <c r="BJ17" i="9"/>
  <c r="BJ29" i="9" s="1"/>
  <c r="BH69" i="10"/>
  <c r="BH69" i="14"/>
  <c r="BD66" i="14"/>
  <c r="BD66" i="10"/>
  <c r="BD22" i="1"/>
  <c r="BD52" i="1"/>
  <c r="BD40" i="10"/>
  <c r="BD40" i="14"/>
  <c r="BD22" i="14" s="1"/>
  <c r="BH26" i="9"/>
  <c r="BH32" i="9" s="1"/>
  <c r="BH47" i="9"/>
  <c r="BC70" i="14"/>
  <c r="BC70" i="10"/>
  <c r="BG75" i="10"/>
  <c r="BG75" i="14"/>
  <c r="BI22" i="9"/>
  <c r="BI52" i="9"/>
  <c r="BH80" i="14"/>
  <c r="BH80" i="10"/>
  <c r="BJ21" i="8"/>
  <c r="BJ51" i="8"/>
  <c r="BH52" i="1"/>
  <c r="BH22" i="1"/>
  <c r="BH40" i="10"/>
  <c r="BH40" i="14"/>
  <c r="BH52" i="14" s="1"/>
  <c r="BC57" i="14"/>
  <c r="BC57" i="10"/>
  <c r="BH17" i="8"/>
  <c r="BC93" i="8"/>
  <c r="BA89" i="9"/>
  <c r="BD26" i="1"/>
  <c r="BD47" i="1"/>
  <c r="BD44" i="14"/>
  <c r="BD26" i="14" s="1"/>
  <c r="BD44" i="10"/>
  <c r="BD26" i="10" s="1"/>
  <c r="BA93" i="9"/>
  <c r="BD67" i="14"/>
  <c r="BD67" i="10"/>
  <c r="BG17" i="1"/>
  <c r="BG29" i="1" s="1"/>
  <c r="BG14" i="14"/>
  <c r="BG14" i="10"/>
  <c r="BI96" i="8"/>
  <c r="AZ17" i="9"/>
  <c r="BC96" i="8"/>
  <c r="BF41" i="9"/>
  <c r="BF20" i="9"/>
  <c r="BF50" i="9"/>
  <c r="BB28" i="9"/>
  <c r="BH96" i="1"/>
  <c r="BH95" i="14"/>
  <c r="BH96" i="14" s="1"/>
  <c r="BH97" i="14" s="1"/>
  <c r="BH95" i="10"/>
  <c r="BH96" i="10" s="1"/>
  <c r="BK89" i="8"/>
  <c r="BA83" i="8"/>
  <c r="BD11" i="1"/>
  <c r="BD8" i="14"/>
  <c r="BD8" i="10"/>
  <c r="BG82" i="14"/>
  <c r="BG82" i="10"/>
  <c r="BC17" i="8"/>
  <c r="AZ51" i="1"/>
  <c r="AZ21" i="1"/>
  <c r="AZ39" i="14"/>
  <c r="AZ39" i="10"/>
  <c r="BJ87" i="10"/>
  <c r="BJ87" i="14"/>
  <c r="BJ66" i="10"/>
  <c r="BJ66" i="14"/>
  <c r="BA50" i="9"/>
  <c r="BA41" i="9"/>
  <c r="BA20" i="9"/>
  <c r="AZ22" i="9"/>
  <c r="AZ52" i="9"/>
  <c r="BI27" i="9"/>
  <c r="BG51" i="9"/>
  <c r="BG21" i="9"/>
  <c r="BG33" i="9" s="1"/>
  <c r="BE27" i="9"/>
  <c r="BC78" i="10"/>
  <c r="BC78" i="14"/>
  <c r="BC50" i="1"/>
  <c r="BC41" i="1"/>
  <c r="BC20" i="1"/>
  <c r="BC38" i="10"/>
  <c r="BC50" i="10" s="1"/>
  <c r="BC38" i="14"/>
  <c r="BC41" i="14" s="1"/>
  <c r="BB51" i="9"/>
  <c r="BB21" i="9"/>
  <c r="BI52" i="8"/>
  <c r="BI22" i="8"/>
  <c r="BI34" i="8" s="1"/>
  <c r="BJ96" i="9"/>
  <c r="BA88" i="14"/>
  <c r="BA88" i="10"/>
  <c r="BE41" i="1"/>
  <c r="BE20" i="1"/>
  <c r="BE50" i="1"/>
  <c r="BE38" i="10"/>
  <c r="BE38" i="14"/>
  <c r="BI77" i="10"/>
  <c r="BI77" i="14"/>
  <c r="AZ15" i="10"/>
  <c r="BP15" i="10" s="1"/>
  <c r="AZ15" i="14"/>
  <c r="AZ17" i="14" s="1"/>
  <c r="AZ18" i="14" s="1"/>
  <c r="BH93" i="9"/>
  <c r="BA68" i="14"/>
  <c r="BA68" i="10"/>
  <c r="BB89" i="1"/>
  <c r="BB86" i="10"/>
  <c r="BB86" i="14"/>
  <c r="BH64" i="10"/>
  <c r="BH64" i="14"/>
  <c r="BH83" i="8"/>
  <c r="AZ65" i="10"/>
  <c r="AZ65" i="14"/>
  <c r="BB77" i="14"/>
  <c r="BB77" i="10"/>
  <c r="BA93" i="1"/>
  <c r="BA91" i="10"/>
  <c r="BA91" i="14"/>
  <c r="BP91" i="14" s="1"/>
  <c r="BD50" i="8"/>
  <c r="BD41" i="8"/>
  <c r="BD20" i="8"/>
  <c r="BB28" i="8"/>
  <c r="BB47" i="9"/>
  <c r="BB26" i="9"/>
  <c r="BA22" i="8"/>
  <c r="BA52" i="8"/>
  <c r="BF28" i="1"/>
  <c r="BF46" i="10"/>
  <c r="BF46" i="14"/>
  <c r="BE10" i="14"/>
  <c r="BE10" i="10"/>
  <c r="AZ11" i="9"/>
  <c r="AZ102" i="9" s="1"/>
  <c r="BA47" i="9"/>
  <c r="BA53" i="9" s="1"/>
  <c r="BA60" i="9" s="1"/>
  <c r="BA26" i="9"/>
  <c r="BA32" i="9" s="1"/>
  <c r="BD51" i="8"/>
  <c r="BD21" i="8"/>
  <c r="BB96" i="9"/>
  <c r="BE28" i="9"/>
  <c r="BD58" i="1"/>
  <c r="BD56" i="14"/>
  <c r="BD56" i="10"/>
  <c r="BD58" i="10" s="1"/>
  <c r="BJ93" i="1"/>
  <c r="BJ91" i="10"/>
  <c r="BJ91" i="14"/>
  <c r="BF96" i="8"/>
  <c r="BA10" i="10"/>
  <c r="BA10" i="14"/>
  <c r="BA75" i="14"/>
  <c r="BA75" i="10"/>
  <c r="BP75" i="10" s="1"/>
  <c r="BF74" i="14"/>
  <c r="BF74" i="10"/>
  <c r="BI16" i="14"/>
  <c r="BI16" i="10"/>
  <c r="BI80" i="10"/>
  <c r="BI80" i="14"/>
  <c r="BG57" i="10"/>
  <c r="BG57" i="14"/>
  <c r="BJ50" i="8"/>
  <c r="BJ20" i="8"/>
  <c r="BJ41" i="8"/>
  <c r="AZ96" i="8"/>
  <c r="AZ83" i="1"/>
  <c r="AZ63" i="10"/>
  <c r="AZ63" i="14"/>
  <c r="BC11" i="1"/>
  <c r="BD102" i="1" s="1"/>
  <c r="BC8" i="14"/>
  <c r="BC8" i="10"/>
  <c r="BK83" i="9"/>
  <c r="BH17" i="9"/>
  <c r="BC87" i="10"/>
  <c r="BC87" i="14"/>
  <c r="BK93" i="8"/>
  <c r="BH96" i="9"/>
  <c r="BB70" i="10"/>
  <c r="BB70" i="14"/>
  <c r="BE52" i="8"/>
  <c r="BE22" i="8"/>
  <c r="BA89" i="8"/>
  <c r="BI10" i="14"/>
  <c r="BI10" i="10"/>
  <c r="BI20" i="1"/>
  <c r="BI50" i="1"/>
  <c r="BI41" i="1"/>
  <c r="BI38" i="14"/>
  <c r="BI38" i="10"/>
  <c r="BH77" i="14"/>
  <c r="BH77" i="10"/>
  <c r="BH74" i="10"/>
  <c r="BH74" i="14"/>
  <c r="BH70" i="14"/>
  <c r="BH70" i="10"/>
  <c r="BC83" i="8"/>
  <c r="BI27" i="1"/>
  <c r="BI45" i="10"/>
  <c r="BI45" i="14"/>
  <c r="BJ68" i="10"/>
  <c r="BJ68" i="14"/>
  <c r="BI87" i="10"/>
  <c r="BI89" i="10" s="1"/>
  <c r="BI87" i="14"/>
  <c r="BG81" i="14"/>
  <c r="BG81" i="10"/>
  <c r="BF93" i="8"/>
  <c r="BG89" i="9"/>
  <c r="BH51" i="9"/>
  <c r="BH21" i="9"/>
  <c r="BB27" i="9"/>
  <c r="BB33" i="9" s="1"/>
  <c r="BD87" i="10"/>
  <c r="BD87" i="14"/>
  <c r="BC21" i="1"/>
  <c r="BC51" i="1"/>
  <c r="BC39" i="14"/>
  <c r="BC39" i="10"/>
  <c r="BF70" i="14"/>
  <c r="BF70" i="10"/>
  <c r="BF47" i="9"/>
  <c r="BF26" i="9"/>
  <c r="BD69" i="14"/>
  <c r="BD69" i="10"/>
  <c r="BC89" i="8"/>
  <c r="BB68" i="14"/>
  <c r="BB68" i="10"/>
  <c r="BP68" i="10" s="1"/>
  <c r="BD26" i="8"/>
  <c r="BD32" i="8" s="1"/>
  <c r="BD47" i="8"/>
  <c r="BD53" i="8" s="1"/>
  <c r="BD60" i="8" s="1"/>
  <c r="BF17" i="9"/>
  <c r="BF87" i="14"/>
  <c r="BF87" i="10"/>
  <c r="BJ70" i="14"/>
  <c r="BJ70" i="10"/>
  <c r="BD80" i="10"/>
  <c r="BD80" i="14"/>
  <c r="BD22" i="8"/>
  <c r="BD52" i="8"/>
  <c r="BB66" i="10"/>
  <c r="BB66" i="14"/>
  <c r="BB67" i="14"/>
  <c r="BB67" i="10"/>
  <c r="BB11" i="9"/>
  <c r="BB102" i="9" s="1"/>
  <c r="BP8" i="9"/>
  <c r="BP11" i="9" s="1"/>
  <c r="AZ51" i="9"/>
  <c r="AZ21" i="9"/>
  <c r="BB17" i="1"/>
  <c r="BB14" i="14"/>
  <c r="BB14" i="10"/>
  <c r="BD58" i="8"/>
  <c r="BG28" i="9"/>
  <c r="BG89" i="1"/>
  <c r="BG86" i="14"/>
  <c r="BG86" i="10"/>
  <c r="BE69" i="14"/>
  <c r="BE69" i="10"/>
  <c r="BG83" i="1"/>
  <c r="BG63" i="10"/>
  <c r="BG63" i="14"/>
  <c r="BB79" i="14"/>
  <c r="BP79" i="14" s="1"/>
  <c r="BB79" i="10"/>
  <c r="BF81" i="10"/>
  <c r="BF81" i="14"/>
  <c r="BA47" i="1"/>
  <c r="BA26" i="1"/>
  <c r="BA44" i="10"/>
  <c r="BA44" i="14"/>
  <c r="BA26" i="14" s="1"/>
  <c r="BH58" i="9"/>
  <c r="BG79" i="14"/>
  <c r="BG79" i="10"/>
  <c r="BF71" i="10"/>
  <c r="BF71" i="14"/>
  <c r="BI83" i="8"/>
  <c r="BG27" i="1"/>
  <c r="BG45" i="10"/>
  <c r="BG45" i="14"/>
  <c r="BG47" i="14" s="1"/>
  <c r="BK78" i="14"/>
  <c r="BK78" i="10"/>
  <c r="BD15" i="14"/>
  <c r="BD15" i="10"/>
  <c r="BH28" i="9"/>
  <c r="BH78" i="10"/>
  <c r="BH78" i="14"/>
  <c r="BK21" i="8"/>
  <c r="BK33" i="8" s="1"/>
  <c r="BK51" i="8"/>
  <c r="BH87" i="10"/>
  <c r="BH87" i="14"/>
  <c r="BB26" i="8"/>
  <c r="BB47" i="8"/>
  <c r="BJ83" i="8"/>
  <c r="BJ69" i="10"/>
  <c r="BJ69" i="14"/>
  <c r="BD58" i="9"/>
  <c r="BI82" i="10"/>
  <c r="BI82" i="14"/>
  <c r="BD78" i="14"/>
  <c r="BD78" i="10"/>
  <c r="BJ65" i="10"/>
  <c r="BJ65" i="14"/>
  <c r="AZ27" i="9"/>
  <c r="AZ33" i="9" s="1"/>
  <c r="BJ83" i="1"/>
  <c r="BJ63" i="14"/>
  <c r="BJ63" i="10"/>
  <c r="BH28" i="1"/>
  <c r="BH46" i="14"/>
  <c r="BH46" i="10"/>
  <c r="BA28" i="1"/>
  <c r="BA46" i="14"/>
  <c r="BP46" i="14" s="1"/>
  <c r="BA46" i="10"/>
  <c r="AZ68" i="10"/>
  <c r="AZ68" i="14"/>
  <c r="BC21" i="9"/>
  <c r="BC51" i="9"/>
  <c r="BD47" i="9"/>
  <c r="BD26" i="9"/>
  <c r="BD32" i="9" s="1"/>
  <c r="BI11" i="9"/>
  <c r="BA16" i="10"/>
  <c r="BA16" i="14"/>
  <c r="BK66" i="10"/>
  <c r="BK66" i="14"/>
  <c r="BI26" i="9"/>
  <c r="BI47" i="9"/>
  <c r="BG93" i="9"/>
  <c r="BF78" i="10"/>
  <c r="BF78" i="14"/>
  <c r="BE66" i="10"/>
  <c r="BE66" i="14"/>
  <c r="AZ47" i="8"/>
  <c r="AZ26" i="8"/>
  <c r="BA77" i="14"/>
  <c r="BA77" i="10"/>
  <c r="BP77" i="10" s="1"/>
  <c r="BF65" i="10"/>
  <c r="BF65" i="14"/>
  <c r="BD20" i="9"/>
  <c r="BD50" i="9"/>
  <c r="BD41" i="9"/>
  <c r="BE11" i="8"/>
  <c r="BB17" i="9"/>
  <c r="BB29" i="9" s="1"/>
  <c r="BG77" i="14"/>
  <c r="BG77" i="10"/>
  <c r="BA11" i="8"/>
  <c r="BK96" i="9"/>
  <c r="BJ58" i="8"/>
  <c r="BF83" i="9"/>
  <c r="BI17" i="9"/>
  <c r="BK65" i="14"/>
  <c r="BK65" i="10"/>
  <c r="BH28" i="8"/>
  <c r="BG28" i="8"/>
  <c r="BK22" i="8"/>
  <c r="BK52" i="8"/>
  <c r="BD17" i="1"/>
  <c r="BD14" i="14"/>
  <c r="BD14" i="10"/>
  <c r="BB57" i="10"/>
  <c r="BB57" i="14"/>
  <c r="AZ57" i="10"/>
  <c r="AZ57" i="14"/>
  <c r="BE11" i="1"/>
  <c r="BE8" i="10"/>
  <c r="BE8" i="14"/>
  <c r="BG96" i="1"/>
  <c r="BG95" i="14"/>
  <c r="BG96" i="14" s="1"/>
  <c r="BG97" i="14" s="1"/>
  <c r="BG95" i="10"/>
  <c r="BG96" i="10" s="1"/>
  <c r="BK67" i="14"/>
  <c r="BK67" i="10"/>
  <c r="BK11" i="8"/>
  <c r="BK28" i="9"/>
  <c r="BA58" i="8"/>
  <c r="BH57" i="10"/>
  <c r="BH57" i="14"/>
  <c r="BA52" i="9"/>
  <c r="BA22" i="9"/>
  <c r="BK47" i="8"/>
  <c r="BK53" i="8" s="1"/>
  <c r="BK26" i="8"/>
  <c r="BB20" i="9"/>
  <c r="BB50" i="9"/>
  <c r="BB41" i="9"/>
  <c r="BE15" i="10"/>
  <c r="BE21" i="10" s="1"/>
  <c r="BE15" i="14"/>
  <c r="BE17" i="14" s="1"/>
  <c r="BE18" i="14" s="1"/>
  <c r="BC28" i="1"/>
  <c r="BC46" i="14"/>
  <c r="BC46" i="10"/>
  <c r="BF75" i="14"/>
  <c r="BF75" i="10"/>
  <c r="BF22" i="9"/>
  <c r="BF52" i="9"/>
  <c r="BB28" i="1"/>
  <c r="BB46" i="10"/>
  <c r="BB46" i="14"/>
  <c r="BJ26" i="9"/>
  <c r="BJ47" i="9"/>
  <c r="BE21" i="9"/>
  <c r="BE51" i="9"/>
  <c r="BF27" i="9"/>
  <c r="BC14" i="14"/>
  <c r="BC17" i="1"/>
  <c r="BC14" i="10"/>
  <c r="BH47" i="8"/>
  <c r="BH26" i="8"/>
  <c r="BF26" i="8"/>
  <c r="BF47" i="8"/>
  <c r="BI51" i="9"/>
  <c r="BI21" i="9"/>
  <c r="BH27" i="1"/>
  <c r="BH45" i="14"/>
  <c r="BH45" i="10"/>
  <c r="BJ57" i="10"/>
  <c r="BJ57" i="14"/>
  <c r="BC93" i="9"/>
  <c r="BE72" i="14"/>
  <c r="BE72" i="10"/>
  <c r="BA11" i="1"/>
  <c r="BA8" i="10"/>
  <c r="BA8" i="14"/>
  <c r="BE83" i="9"/>
  <c r="BJ89" i="9"/>
  <c r="BK96" i="1"/>
  <c r="BK95" i="10"/>
  <c r="BK96" i="10" s="1"/>
  <c r="BK95" i="14"/>
  <c r="BK96" i="14" s="1"/>
  <c r="BK97" i="14" s="1"/>
  <c r="BE28" i="8"/>
  <c r="BE34" i="8" s="1"/>
  <c r="BE27" i="8"/>
  <c r="BE93" i="9"/>
  <c r="BJ82" i="10"/>
  <c r="BJ82" i="14"/>
  <c r="BK41" i="9"/>
  <c r="BK50" i="9"/>
  <c r="BK20" i="9"/>
  <c r="BK32" i="9" s="1"/>
  <c r="BE17" i="9"/>
  <c r="BJ51" i="9"/>
  <c r="BJ21" i="9"/>
  <c r="BI70" i="10"/>
  <c r="BI70" i="14"/>
  <c r="BK82" i="10"/>
  <c r="BK82" i="14"/>
  <c r="BB83" i="9"/>
  <c r="BD17" i="8"/>
  <c r="BD17" i="9"/>
  <c r="BG51" i="8"/>
  <c r="BG21" i="8"/>
  <c r="BB78" i="10"/>
  <c r="BB78" i="14"/>
  <c r="AZ71" i="10"/>
  <c r="AZ71" i="14"/>
  <c r="BG68" i="14"/>
  <c r="BG68" i="10"/>
  <c r="BF57" i="10"/>
  <c r="BF57" i="14"/>
  <c r="BE87" i="14"/>
  <c r="BE87" i="10"/>
  <c r="BF66" i="14"/>
  <c r="BF66" i="10"/>
  <c r="BK28" i="8"/>
  <c r="BA17" i="9"/>
  <c r="AZ22" i="8"/>
  <c r="AZ52" i="8"/>
  <c r="BF58" i="9"/>
  <c r="AZ93" i="8"/>
  <c r="BG27" i="8"/>
  <c r="AZ76" i="10"/>
  <c r="AZ76" i="14"/>
  <c r="AZ64" i="10"/>
  <c r="AZ64" i="14"/>
  <c r="BF10" i="14"/>
  <c r="BF10" i="10"/>
  <c r="AZ58" i="9"/>
  <c r="BC96" i="9"/>
  <c r="BC16" i="10"/>
  <c r="BC17" i="10" s="1"/>
  <c r="BC16" i="14"/>
  <c r="BK57" i="10"/>
  <c r="BK57" i="14"/>
  <c r="BC69" i="10"/>
  <c r="BC69" i="14"/>
  <c r="BI89" i="8"/>
  <c r="BK93" i="1"/>
  <c r="BK91" i="10"/>
  <c r="BK91" i="14"/>
  <c r="BC80" i="10"/>
  <c r="BC80" i="14"/>
  <c r="AZ50" i="9"/>
  <c r="AZ41" i="9"/>
  <c r="AZ20" i="9"/>
  <c r="BA96" i="8"/>
  <c r="BD81" i="14"/>
  <c r="BD81" i="10"/>
  <c r="BB91" i="14"/>
  <c r="BB93" i="1"/>
  <c r="BB91" i="10"/>
  <c r="BH21" i="8"/>
  <c r="BH33" i="8" s="1"/>
  <c r="BH51" i="8"/>
  <c r="BE51" i="1"/>
  <c r="BE21" i="1"/>
  <c r="BE33" i="1" s="1"/>
  <c r="BE39" i="14"/>
  <c r="BE39" i="10"/>
  <c r="BI68" i="14"/>
  <c r="BI68" i="10"/>
  <c r="BH11" i="8"/>
  <c r="BG66" i="10"/>
  <c r="BG66" i="14"/>
  <c r="BC27" i="8"/>
  <c r="BE83" i="1"/>
  <c r="BE63" i="14"/>
  <c r="BE63" i="10"/>
  <c r="BK83" i="1"/>
  <c r="BK63" i="10"/>
  <c r="BK63" i="14"/>
  <c r="BF67" i="14"/>
  <c r="BF67" i="10"/>
  <c r="BA71" i="10"/>
  <c r="BA71" i="14"/>
  <c r="BK17" i="1"/>
  <c r="BK14" i="14"/>
  <c r="BK14" i="10"/>
  <c r="BF79" i="10"/>
  <c r="BF79" i="14"/>
  <c r="BF11" i="8"/>
  <c r="BG102" i="8" s="1"/>
  <c r="AZ88" i="14"/>
  <c r="AZ88" i="10"/>
  <c r="BG73" i="14"/>
  <c r="BG73" i="10"/>
  <c r="BF92" i="14"/>
  <c r="BF92" i="10"/>
  <c r="BC11" i="8"/>
  <c r="BD102" i="8" s="1"/>
  <c r="BF26" i="1"/>
  <c r="BF47" i="1"/>
  <c r="BF29" i="1" s="1"/>
  <c r="BF44" i="14"/>
  <c r="BF44" i="10"/>
  <c r="BD93" i="9"/>
  <c r="BE50" i="8"/>
  <c r="BE41" i="8"/>
  <c r="BE20" i="8"/>
  <c r="AZ27" i="1"/>
  <c r="AZ33" i="1" s="1"/>
  <c r="AZ45" i="14"/>
  <c r="AZ45" i="10"/>
  <c r="BB76" i="14"/>
  <c r="BB76" i="10"/>
  <c r="BK27" i="9"/>
  <c r="AZ47" i="9"/>
  <c r="AZ26" i="9"/>
  <c r="BF28" i="9"/>
  <c r="BC58" i="8"/>
  <c r="BC60" i="8" s="1"/>
  <c r="BC98" i="8" s="1"/>
  <c r="BB17" i="8"/>
  <c r="BH41" i="9"/>
  <c r="BH20" i="9"/>
  <c r="BH50" i="9"/>
  <c r="BC92" i="10"/>
  <c r="BC92" i="14"/>
  <c r="BK96" i="8"/>
  <c r="BH83" i="1"/>
  <c r="BH63" i="10"/>
  <c r="BH63" i="14"/>
  <c r="BB11" i="1"/>
  <c r="BB8" i="14"/>
  <c r="BP8" i="14" s="1"/>
  <c r="BB8" i="10"/>
  <c r="BP8" i="1"/>
  <c r="BP11" i="1" s="1"/>
  <c r="BD83" i="1"/>
  <c r="BD63" i="10"/>
  <c r="BD63" i="14"/>
  <c r="BI66" i="10"/>
  <c r="BI66" i="14"/>
  <c r="BG11" i="1"/>
  <c r="BG8" i="10"/>
  <c r="BG8" i="14"/>
  <c r="BG11" i="14" s="1"/>
  <c r="BG12" i="14" s="1"/>
  <c r="BG50" i="1"/>
  <c r="BG41" i="1"/>
  <c r="BG53" i="1" s="1"/>
  <c r="BG20" i="1"/>
  <c r="BG38" i="10"/>
  <c r="BG38" i="14"/>
  <c r="BH11" i="9"/>
  <c r="BI58" i="9"/>
  <c r="BH89" i="9"/>
  <c r="BI17" i="1"/>
  <c r="BI14" i="10"/>
  <c r="BI20" i="10" s="1"/>
  <c r="BI14" i="14"/>
  <c r="BI89" i="1"/>
  <c r="BI86" i="14"/>
  <c r="BI86" i="10"/>
  <c r="BB96" i="8"/>
  <c r="BD65" i="10"/>
  <c r="BD65" i="14"/>
  <c r="BA92" i="10"/>
  <c r="BA92" i="14"/>
  <c r="BC65" i="14"/>
  <c r="BC65" i="10"/>
  <c r="BC67" i="10"/>
  <c r="BC67" i="14"/>
  <c r="BH83" i="9"/>
  <c r="BK52" i="9"/>
  <c r="BK22" i="9"/>
  <c r="BK34" i="9" s="1"/>
  <c r="BD68" i="10"/>
  <c r="BD68" i="14"/>
  <c r="BK64" i="10"/>
  <c r="BK64" i="14"/>
  <c r="BF27" i="1"/>
  <c r="BF45" i="14"/>
  <c r="BF27" i="14" s="1"/>
  <c r="BF45" i="10"/>
  <c r="BF27" i="10" s="1"/>
  <c r="BJ11" i="1"/>
  <c r="BK102" i="1" s="1"/>
  <c r="BJ8" i="14"/>
  <c r="BJ8" i="10"/>
  <c r="BK73" i="10"/>
  <c r="BK73" i="14"/>
  <c r="BD73" i="10"/>
  <c r="BD73" i="14"/>
  <c r="BE68" i="14"/>
  <c r="BE68" i="10"/>
  <c r="BI88" i="10"/>
  <c r="BI88" i="14"/>
  <c r="BK79" i="14"/>
  <c r="BK79" i="10"/>
  <c r="BA17" i="8"/>
  <c r="BK58" i="1"/>
  <c r="BK56" i="10"/>
  <c r="BK58" i="10" s="1"/>
  <c r="BK56" i="14"/>
  <c r="BK58" i="14" s="1"/>
  <c r="BK59" i="14" s="1"/>
  <c r="BC71" i="10"/>
  <c r="BC71" i="14"/>
  <c r="BI28" i="9"/>
  <c r="BD16" i="14"/>
  <c r="BD16" i="10"/>
  <c r="BA64" i="14"/>
  <c r="BA64" i="10"/>
  <c r="BP64" i="10" s="1"/>
  <c r="BK28" i="1"/>
  <c r="BK34" i="1" s="1"/>
  <c r="BK46" i="10"/>
  <c r="BK46" i="14"/>
  <c r="BF17" i="1"/>
  <c r="BF14" i="14"/>
  <c r="BF14" i="10"/>
  <c r="BA66" i="10"/>
  <c r="BP66" i="10" s="1"/>
  <c r="BA66" i="14"/>
  <c r="BP66" i="14" s="1"/>
  <c r="AZ51" i="8"/>
  <c r="AZ21" i="8"/>
  <c r="AZ96" i="1"/>
  <c r="AZ95" i="14"/>
  <c r="AZ96" i="14" s="1"/>
  <c r="AZ97" i="14" s="1"/>
  <c r="AZ95" i="10"/>
  <c r="AZ96" i="10" s="1"/>
  <c r="BG17" i="9"/>
  <c r="BK70" i="14"/>
  <c r="BK70" i="10"/>
  <c r="BJ75" i="14"/>
  <c r="BJ75" i="10"/>
  <c r="BC64" i="14"/>
  <c r="BC64" i="10"/>
  <c r="BI58" i="1"/>
  <c r="BI56" i="10"/>
  <c r="BI56" i="14"/>
  <c r="AZ80" i="14"/>
  <c r="BP80" i="14" s="1"/>
  <c r="AZ80" i="10"/>
  <c r="BP80" i="10" s="1"/>
  <c r="BI28" i="1"/>
  <c r="BI46" i="10"/>
  <c r="BI46" i="14"/>
  <c r="BE26" i="9"/>
  <c r="BE47" i="9"/>
  <c r="BI67" i="10"/>
  <c r="BI67" i="14"/>
  <c r="BA58" i="1"/>
  <c r="BA56" i="10"/>
  <c r="BA56" i="14"/>
  <c r="BJ81" i="14"/>
  <c r="BJ81" i="10"/>
  <c r="AZ83" i="8"/>
  <c r="BE92" i="10"/>
  <c r="BE93" i="10" s="1"/>
  <c r="BE92" i="14"/>
  <c r="BB69" i="10"/>
  <c r="BP69" i="10" s="1"/>
  <c r="BB69" i="14"/>
  <c r="AZ28" i="1"/>
  <c r="AZ46" i="10"/>
  <c r="AZ46" i="14"/>
  <c r="BH92" i="14"/>
  <c r="BH92" i="10"/>
  <c r="BD41" i="1"/>
  <c r="BD23" i="1" s="1"/>
  <c r="BD20" i="1"/>
  <c r="BD32" i="1" s="1"/>
  <c r="BD50" i="1"/>
  <c r="BD38" i="10"/>
  <c r="BD38" i="14"/>
  <c r="BB65" i="14"/>
  <c r="BB65" i="10"/>
  <c r="BP65" i="10" s="1"/>
  <c r="BF89" i="8"/>
  <c r="BJ88" i="14"/>
  <c r="BJ88" i="10"/>
  <c r="BJ89" i="10" s="1"/>
  <c r="BK81" i="10"/>
  <c r="BK81" i="14"/>
  <c r="BG11" i="9"/>
  <c r="BC74" i="14"/>
  <c r="BC74" i="10"/>
  <c r="BA95" i="14"/>
  <c r="BA96" i="14" s="1"/>
  <c r="BA97" i="14" s="1"/>
  <c r="BA96" i="1"/>
  <c r="BA95" i="10"/>
  <c r="BA96" i="10" s="1"/>
  <c r="BE22" i="9"/>
  <c r="BE52" i="9"/>
  <c r="BE89" i="1"/>
  <c r="BE86" i="10"/>
  <c r="BE86" i="14"/>
  <c r="BC93" i="1"/>
  <c r="BC91" i="14"/>
  <c r="BC93" i="14" s="1"/>
  <c r="BC94" i="14" s="1"/>
  <c r="BC91" i="10"/>
  <c r="BG17" i="8"/>
  <c r="AZ20" i="1"/>
  <c r="AZ50" i="1"/>
  <c r="AZ38" i="14"/>
  <c r="AZ38" i="10"/>
  <c r="AZ41" i="1"/>
  <c r="AZ53" i="1" s="1"/>
  <c r="AZ60" i="1" s="1"/>
  <c r="AZ98" i="1" s="1"/>
  <c r="BJ27" i="8"/>
  <c r="BI81" i="10"/>
  <c r="BI81" i="14"/>
  <c r="BA80" i="10"/>
  <c r="BA80" i="14"/>
  <c r="AZ96" i="9"/>
  <c r="BK11" i="1"/>
  <c r="BK8" i="14"/>
  <c r="BK8" i="10"/>
  <c r="BI83" i="9"/>
  <c r="BH27" i="9"/>
  <c r="BJ21" i="1"/>
  <c r="BJ51" i="1"/>
  <c r="BJ39" i="10"/>
  <c r="BJ39" i="14"/>
  <c r="AZ89" i="9"/>
  <c r="AZ73" i="14"/>
  <c r="BP73" i="14" s="1"/>
  <c r="AZ73" i="10"/>
  <c r="BP73" i="10" s="1"/>
  <c r="BJ28" i="1"/>
  <c r="BJ46" i="10"/>
  <c r="BJ46" i="14"/>
  <c r="BJ71" i="10"/>
  <c r="BJ71" i="14"/>
  <c r="BD77" i="14"/>
  <c r="BD77" i="10"/>
  <c r="BC10" i="14"/>
  <c r="BC10" i="10"/>
  <c r="BI96" i="9"/>
  <c r="BI92" i="14"/>
  <c r="BI92" i="10"/>
  <c r="BA83" i="1"/>
  <c r="BA63" i="10"/>
  <c r="BA63" i="14"/>
  <c r="BJ14" i="10"/>
  <c r="BJ20" i="10" s="1"/>
  <c r="BJ17" i="1"/>
  <c r="BJ14" i="14"/>
  <c r="BG11" i="8"/>
  <c r="BI78" i="10"/>
  <c r="BI78" i="14"/>
  <c r="BA50" i="8"/>
  <c r="BA41" i="8"/>
  <c r="BA20" i="8"/>
  <c r="BA32" i="8" s="1"/>
  <c r="BC50" i="9"/>
  <c r="BC41" i="9"/>
  <c r="BC20" i="9"/>
  <c r="BI73" i="14"/>
  <c r="BI73" i="10"/>
  <c r="AZ11" i="8"/>
  <c r="BB93" i="8"/>
  <c r="BJ93" i="8"/>
  <c r="BA65" i="14"/>
  <c r="BA65" i="10"/>
  <c r="BB92" i="14"/>
  <c r="BB92" i="10"/>
  <c r="BB93" i="10" s="1"/>
  <c r="BD93" i="1"/>
  <c r="BD91" i="10"/>
  <c r="BD91" i="14"/>
  <c r="BD93" i="14" s="1"/>
  <c r="BD94" i="14" s="1"/>
  <c r="BC44" i="14"/>
  <c r="BC26" i="1"/>
  <c r="BC44" i="10"/>
  <c r="BC47" i="1"/>
  <c r="BE67" i="10"/>
  <c r="BE67" i="14"/>
  <c r="BI17" i="8"/>
  <c r="BH93" i="1"/>
  <c r="BH91" i="14"/>
  <c r="BH93" i="14" s="1"/>
  <c r="BH94" i="14" s="1"/>
  <c r="BH91" i="10"/>
  <c r="BD27" i="1"/>
  <c r="BD45" i="14"/>
  <c r="BD45" i="10"/>
  <c r="BD27" i="10" s="1"/>
  <c r="BK75" i="10"/>
  <c r="BK75" i="14"/>
  <c r="BD83" i="8"/>
  <c r="BG72" i="14"/>
  <c r="BG72" i="10"/>
  <c r="BJ72" i="10"/>
  <c r="BJ72" i="14"/>
  <c r="BJ77" i="10"/>
  <c r="BJ77" i="14"/>
  <c r="BA89" i="1"/>
  <c r="BA86" i="10"/>
  <c r="BA89" i="10" s="1"/>
  <c r="BA86" i="14"/>
  <c r="BC26" i="8"/>
  <c r="BC47" i="8"/>
  <c r="BJ9" i="14"/>
  <c r="BJ9" i="10"/>
  <c r="BK74" i="14"/>
  <c r="BK74" i="10"/>
  <c r="BI65" i="10"/>
  <c r="BI65" i="14"/>
  <c r="BG92" i="10"/>
  <c r="BG92" i="14"/>
  <c r="AZ82" i="14"/>
  <c r="AZ82" i="10"/>
  <c r="BJ27" i="9"/>
  <c r="BJ33" i="9" s="1"/>
  <c r="BJ52" i="9"/>
  <c r="BJ22" i="9"/>
  <c r="BJ34" i="9" s="1"/>
  <c r="BF88" i="10"/>
  <c r="BF88" i="14"/>
  <c r="AZ20" i="8"/>
  <c r="AZ41" i="8"/>
  <c r="AZ53" i="8" s="1"/>
  <c r="AZ50" i="8"/>
  <c r="BF83" i="1"/>
  <c r="BF63" i="10"/>
  <c r="BF63" i="14"/>
  <c r="BJ78" i="14"/>
  <c r="BJ78" i="10"/>
  <c r="BH96" i="8"/>
  <c r="BI64" i="14"/>
  <c r="BI64" i="10"/>
  <c r="BJ26" i="8"/>
  <c r="BJ47" i="8"/>
  <c r="BJ53" i="8" s="1"/>
  <c r="BJ60" i="8" s="1"/>
  <c r="BH47" i="1"/>
  <c r="BH26" i="1"/>
  <c r="BH44" i="14"/>
  <c r="BH44" i="10"/>
  <c r="BD71" i="14"/>
  <c r="BD71" i="10"/>
  <c r="BF77" i="14"/>
  <c r="BF77" i="10"/>
  <c r="BD72" i="10"/>
  <c r="BD72" i="14"/>
  <c r="BI89" i="9"/>
  <c r="BG96" i="9"/>
  <c r="BJ74" i="14"/>
  <c r="BJ74" i="10"/>
  <c r="BB40" i="14"/>
  <c r="BB52" i="14" s="1"/>
  <c r="BB52" i="1"/>
  <c r="BB22" i="1"/>
  <c r="BB34" i="1" s="1"/>
  <c r="BB40" i="10"/>
  <c r="BA58" i="9"/>
  <c r="BK87" i="10"/>
  <c r="BK87" i="14"/>
  <c r="BJ27" i="1"/>
  <c r="BJ33" i="1" s="1"/>
  <c r="BJ45" i="14"/>
  <c r="BJ45" i="10"/>
  <c r="BJ51" i="10" s="1"/>
  <c r="BK26" i="1"/>
  <c r="BK44" i="14"/>
  <c r="BK47" i="1"/>
  <c r="BK29" i="1" s="1"/>
  <c r="BK44" i="10"/>
  <c r="BJ10" i="10"/>
  <c r="BJ10" i="14"/>
  <c r="BF21" i="1"/>
  <c r="BF33" i="1" s="1"/>
  <c r="BF51" i="1"/>
  <c r="BF39" i="10"/>
  <c r="BF21" i="10" s="1"/>
  <c r="BF39" i="14"/>
  <c r="BC96" i="1"/>
  <c r="BC95" i="10"/>
  <c r="BC96" i="10" s="1"/>
  <c r="BC95" i="14"/>
  <c r="BC96" i="14" s="1"/>
  <c r="BC97" i="14" s="1"/>
  <c r="BK72" i="14"/>
  <c r="BK72" i="10"/>
  <c r="BH67" i="10"/>
  <c r="BH67" i="14"/>
  <c r="BC81" i="14"/>
  <c r="BC81" i="10"/>
  <c r="BE9" i="10"/>
  <c r="BE9" i="14"/>
  <c r="BG71" i="14"/>
  <c r="BG71" i="10"/>
  <c r="BE17" i="8"/>
  <c r="BI11" i="1"/>
  <c r="BI102" i="1" s="1"/>
  <c r="BI8" i="14"/>
  <c r="BI8" i="10"/>
  <c r="BI15" i="10"/>
  <c r="BI15" i="14"/>
  <c r="BD74" i="14"/>
  <c r="BD74" i="10"/>
  <c r="AZ16" i="14"/>
  <c r="AZ16" i="10"/>
  <c r="AZ28" i="10" s="1"/>
  <c r="BA27" i="9"/>
  <c r="AZ75" i="14"/>
  <c r="AZ75" i="10"/>
  <c r="BA52" i="1"/>
  <c r="BA22" i="1"/>
  <c r="BA40" i="10"/>
  <c r="BA40" i="14"/>
  <c r="BA22" i="14" s="1"/>
  <c r="BG74" i="14"/>
  <c r="BG74" i="10"/>
  <c r="BJ28" i="8"/>
  <c r="AZ26" i="1"/>
  <c r="AZ47" i="1"/>
  <c r="AZ44" i="10"/>
  <c r="AZ44" i="14"/>
  <c r="BD27" i="8"/>
  <c r="BB11" i="8"/>
  <c r="BC102" i="8" s="1"/>
  <c r="BP8" i="8"/>
  <c r="BD11" i="9"/>
  <c r="BA67" i="10"/>
  <c r="BA67" i="14"/>
  <c r="BJ67" i="14"/>
  <c r="BJ67" i="10"/>
  <c r="BK89" i="9"/>
  <c r="AZ58" i="1"/>
  <c r="AZ56" i="10"/>
  <c r="AZ58" i="10" s="1"/>
  <c r="AZ56" i="14"/>
  <c r="BD10" i="10"/>
  <c r="BD10" i="14"/>
  <c r="BI74" i="14"/>
  <c r="BI74" i="10"/>
  <c r="BG20" i="8"/>
  <c r="BG32" i="8" s="1"/>
  <c r="BG50" i="8"/>
  <c r="BG41" i="8"/>
  <c r="BG53" i="8" s="1"/>
  <c r="BG60" i="8" s="1"/>
  <c r="BI11" i="8"/>
  <c r="BK22" i="1"/>
  <c r="BK52" i="1"/>
  <c r="BK40" i="14"/>
  <c r="BK40" i="10"/>
  <c r="BH9" i="14"/>
  <c r="BH9" i="10"/>
  <c r="BC77" i="14"/>
  <c r="BC77" i="10"/>
  <c r="BG89" i="8"/>
  <c r="BC52" i="8"/>
  <c r="BC22" i="8"/>
  <c r="BJ22" i="1"/>
  <c r="BJ52" i="1"/>
  <c r="BJ40" i="14"/>
  <c r="BJ52" i="14" s="1"/>
  <c r="BJ40" i="10"/>
  <c r="BE52" i="1"/>
  <c r="BE40" i="14"/>
  <c r="BE22" i="1"/>
  <c r="BE40" i="10"/>
  <c r="BA74" i="14"/>
  <c r="BA74" i="10"/>
  <c r="BH73" i="10"/>
  <c r="BH73" i="14"/>
  <c r="BI47" i="1"/>
  <c r="BI26" i="1"/>
  <c r="BI44" i="14"/>
  <c r="BI44" i="10"/>
  <c r="BF83" i="8"/>
  <c r="BF68" i="14"/>
  <c r="BF68" i="10"/>
  <c r="BC22" i="1"/>
  <c r="BC34" i="1" s="1"/>
  <c r="BC52" i="1"/>
  <c r="BC40" i="10"/>
  <c r="BC40" i="14"/>
  <c r="BC89" i="1"/>
  <c r="BC86" i="10"/>
  <c r="BC86" i="14"/>
  <c r="BC89" i="14" s="1"/>
  <c r="BC90" i="14" s="1"/>
  <c r="BI93" i="1"/>
  <c r="BI91" i="10"/>
  <c r="BI91" i="14"/>
  <c r="BG47" i="8"/>
  <c r="BG26" i="8"/>
  <c r="BF9" i="14"/>
  <c r="BF9" i="10"/>
  <c r="BA9" i="14"/>
  <c r="BA11" i="14" s="1"/>
  <c r="BA12" i="14" s="1"/>
  <c r="BA9" i="10"/>
  <c r="BA11" i="10" s="1"/>
  <c r="BE47" i="8"/>
  <c r="BE26" i="8"/>
  <c r="BD88" i="14"/>
  <c r="BD88" i="10"/>
  <c r="BG65" i="14"/>
  <c r="BG65" i="10"/>
  <c r="BD76" i="14"/>
  <c r="BD76" i="10"/>
  <c r="BJ96" i="1"/>
  <c r="BJ95" i="10"/>
  <c r="BJ96" i="10" s="1"/>
  <c r="BJ95" i="14"/>
  <c r="BJ96" i="14" s="1"/>
  <c r="BJ97" i="14" s="1"/>
  <c r="BH11" i="1"/>
  <c r="BH8" i="14"/>
  <c r="BH8" i="10"/>
  <c r="BB81" i="14"/>
  <c r="BB81" i="10"/>
  <c r="BB64" i="14"/>
  <c r="BB64" i="10"/>
  <c r="BA79" i="14"/>
  <c r="BA79" i="10"/>
  <c r="BF16" i="10"/>
  <c r="BF28" i="10" s="1"/>
  <c r="BF16" i="14"/>
  <c r="AZ93" i="9"/>
  <c r="BF80" i="10"/>
  <c r="BF80" i="14"/>
  <c r="BJ26" i="1"/>
  <c r="BJ47" i="1"/>
  <c r="BJ44" i="14"/>
  <c r="BJ44" i="10"/>
  <c r="BJ17" i="8"/>
  <c r="BJ23" i="8" s="1"/>
  <c r="BC79" i="10"/>
  <c r="BC79" i="14"/>
  <c r="BH68" i="10"/>
  <c r="BH68" i="14"/>
  <c r="BJ41" i="9"/>
  <c r="BJ50" i="9"/>
  <c r="BJ20" i="9"/>
  <c r="BJ32" i="9" s="1"/>
  <c r="BE58" i="9"/>
  <c r="BD11" i="8"/>
  <c r="BE102" i="8" s="1"/>
  <c r="BI75" i="14"/>
  <c r="BI75" i="10"/>
  <c r="BE76" i="10"/>
  <c r="BE76" i="14"/>
  <c r="BG51" i="1"/>
  <c r="BG21" i="1"/>
  <c r="BG39" i="14"/>
  <c r="BG39" i="10"/>
  <c r="BG21" i="10" s="1"/>
  <c r="BB58" i="8"/>
  <c r="BH76" i="10"/>
  <c r="BH76" i="14"/>
  <c r="BE96" i="1"/>
  <c r="BE95" i="14"/>
  <c r="BE96" i="14" s="1"/>
  <c r="BE97" i="14" s="1"/>
  <c r="BE95" i="10"/>
  <c r="BE96" i="10" s="1"/>
  <c r="BD27" i="9"/>
  <c r="BD33" i="9" s="1"/>
  <c r="BD28" i="9"/>
  <c r="BK93" i="9"/>
  <c r="BH81" i="14"/>
  <c r="BH81" i="10"/>
  <c r="BD70" i="14"/>
  <c r="BD70" i="10"/>
  <c r="BB50" i="1"/>
  <c r="BB20" i="1"/>
  <c r="BB41" i="1"/>
  <c r="BB23" i="1" s="1"/>
  <c r="BB38" i="10"/>
  <c r="BB20" i="10" s="1"/>
  <c r="BB38" i="14"/>
  <c r="BE89" i="9"/>
  <c r="BB89" i="9"/>
  <c r="BB80" i="14"/>
  <c r="BB80" i="10"/>
  <c r="BG88" i="14"/>
  <c r="BG88" i="10"/>
  <c r="BB27" i="1"/>
  <c r="BB45" i="10"/>
  <c r="BB27" i="10" s="1"/>
  <c r="BB45" i="14"/>
  <c r="AZ87" i="14"/>
  <c r="AZ87" i="10"/>
  <c r="BB88" i="10"/>
  <c r="BB88" i="14"/>
  <c r="BE11" i="9"/>
  <c r="BE102" i="9" s="1"/>
  <c r="BG10" i="14"/>
  <c r="BG10" i="10"/>
  <c r="BF28" i="8"/>
  <c r="BI20" i="8"/>
  <c r="BI50" i="8"/>
  <c r="BI41" i="8"/>
  <c r="BE83" i="8"/>
  <c r="BG16" i="10"/>
  <c r="BG16" i="14"/>
  <c r="BG28" i="14" s="1"/>
  <c r="BC68" i="10"/>
  <c r="BC68" i="14"/>
  <c r="BE73" i="14"/>
  <c r="BE73" i="10"/>
  <c r="BD96" i="8"/>
  <c r="BE65" i="14"/>
  <c r="BE65" i="10"/>
  <c r="BJ28" i="9"/>
  <c r="BH72" i="14"/>
  <c r="BH72" i="10"/>
  <c r="BE89" i="8"/>
  <c r="AZ9" i="10"/>
  <c r="AZ9" i="14"/>
  <c r="BC72" i="14"/>
  <c r="BC72" i="10"/>
  <c r="AZ58" i="8"/>
  <c r="AZ60" i="8" s="1"/>
  <c r="AZ98" i="8" s="1"/>
  <c r="BA15" i="14"/>
  <c r="BA15" i="10"/>
  <c r="BI96" i="1"/>
  <c r="BI95" i="14"/>
  <c r="BI96" i="14" s="1"/>
  <c r="BI97" i="14" s="1"/>
  <c r="BI95" i="10"/>
  <c r="BI96" i="10" s="1"/>
  <c r="BE26" i="1"/>
  <c r="BE47" i="1"/>
  <c r="BE44" i="10"/>
  <c r="BE26" i="10" s="1"/>
  <c r="BE44" i="14"/>
  <c r="BE70" i="14"/>
  <c r="BE70" i="10"/>
  <c r="BK80" i="14"/>
  <c r="BK80" i="10"/>
  <c r="BG58" i="8"/>
  <c r="BD28" i="1"/>
  <c r="BD46" i="14"/>
  <c r="BD52" i="14" s="1"/>
  <c r="BD46" i="10"/>
  <c r="BD28" i="10" s="1"/>
  <c r="BC20" i="8"/>
  <c r="BC32" i="8" s="1"/>
  <c r="BC50" i="8"/>
  <c r="BC41" i="8"/>
  <c r="BC53" i="8" s="1"/>
  <c r="BF76" i="10"/>
  <c r="BF76" i="14"/>
  <c r="BE58" i="1"/>
  <c r="BE56" i="14"/>
  <c r="BE56" i="10"/>
  <c r="BE58" i="10" s="1"/>
  <c r="BG69" i="10"/>
  <c r="BG69" i="14"/>
  <c r="BF89" i="1"/>
  <c r="BF86" i="10"/>
  <c r="BF86" i="14"/>
  <c r="BF89" i="14" s="1"/>
  <c r="BF90" i="14" s="1"/>
  <c r="AZ67" i="10"/>
  <c r="BP67" i="10" s="1"/>
  <c r="AZ67" i="14"/>
  <c r="BP67" i="14" s="1"/>
  <c r="BB52" i="9"/>
  <c r="BB22" i="9"/>
  <c r="BJ79" i="10"/>
  <c r="BJ79" i="14"/>
  <c r="BH20" i="8"/>
  <c r="BH32" i="8" s="1"/>
  <c r="BH41" i="8"/>
  <c r="BH53" i="8" s="1"/>
  <c r="BH50" i="8"/>
  <c r="BA28" i="8"/>
  <c r="BA34" i="8" s="1"/>
  <c r="BD79" i="10"/>
  <c r="BD79" i="14"/>
  <c r="BI51" i="1"/>
  <c r="BI39" i="14"/>
  <c r="BI21" i="1"/>
  <c r="BI33" i="1" s="1"/>
  <c r="BI39" i="10"/>
  <c r="BC21" i="8"/>
  <c r="BC51" i="8"/>
  <c r="BG83" i="9"/>
  <c r="BK27" i="1"/>
  <c r="BK45" i="10"/>
  <c r="BK45" i="14"/>
  <c r="BD52" i="9"/>
  <c r="BD22" i="9"/>
  <c r="BJ96" i="8"/>
  <c r="BP9" i="8"/>
  <c r="BC47" i="9"/>
  <c r="BC26" i="9"/>
  <c r="BA83" i="9"/>
  <c r="AZ93" i="1"/>
  <c r="AZ91" i="14"/>
  <c r="AZ91" i="10"/>
  <c r="BD75" i="10"/>
  <c r="BD75" i="14"/>
  <c r="AZ52" i="1"/>
  <c r="AZ40" i="10"/>
  <c r="AZ22" i="1"/>
  <c r="AZ40" i="14"/>
  <c r="AZ17" i="8"/>
  <c r="AZ29" i="8" s="1"/>
  <c r="BJ64" i="10"/>
  <c r="BJ64" i="14"/>
  <c r="BK17" i="9"/>
  <c r="BK9" i="10"/>
  <c r="BK9" i="14"/>
  <c r="BF51" i="9"/>
  <c r="BF21" i="9"/>
  <c r="BB50" i="8"/>
  <c r="BB20" i="8"/>
  <c r="BB32" i="8" s="1"/>
  <c r="BB41" i="8"/>
  <c r="BB53" i="8" s="1"/>
  <c r="BB60" i="8" s="1"/>
  <c r="BG9" i="14"/>
  <c r="BG9" i="10"/>
  <c r="BF72" i="10"/>
  <c r="BF72" i="14"/>
  <c r="AZ70" i="14"/>
  <c r="AZ70" i="10"/>
  <c r="BH88" i="14"/>
  <c r="BH89" i="14" s="1"/>
  <c r="BH90" i="14" s="1"/>
  <c r="BH88" i="10"/>
  <c r="BH89" i="10" s="1"/>
  <c r="BB51" i="1"/>
  <c r="BB21" i="1"/>
  <c r="BB39" i="14"/>
  <c r="BB39" i="10"/>
  <c r="BE96" i="9"/>
  <c r="BB93" i="9"/>
  <c r="BJ11" i="9"/>
  <c r="BA57" i="14"/>
  <c r="BP57" i="14" s="1"/>
  <c r="BA57" i="10"/>
  <c r="BA58" i="10" s="1"/>
  <c r="BG78" i="14"/>
  <c r="BG78" i="10"/>
  <c r="BI72" i="10"/>
  <c r="BI72" i="14"/>
  <c r="BH71" i="14"/>
  <c r="BH71" i="10"/>
  <c r="BG93" i="1"/>
  <c r="BG91" i="10"/>
  <c r="BG93" i="10" s="1"/>
  <c r="BG91" i="14"/>
  <c r="BG93" i="14" s="1"/>
  <c r="BG94" i="14" s="1"/>
  <c r="BG96" i="8"/>
  <c r="BC83" i="9"/>
  <c r="BA96" i="9"/>
  <c r="BJ92" i="14"/>
  <c r="BJ93" i="14" s="1"/>
  <c r="BJ94" i="14" s="1"/>
  <c r="BJ92" i="10"/>
  <c r="BG52" i="9"/>
  <c r="BG22" i="9"/>
  <c r="BA93" i="8"/>
  <c r="BF58" i="8"/>
  <c r="BA72" i="14"/>
  <c r="BA72" i="10"/>
  <c r="AZ92" i="14"/>
  <c r="AZ92" i="10"/>
  <c r="BB75" i="10"/>
  <c r="BB75" i="14"/>
  <c r="BP75" i="14" s="1"/>
  <c r="BH89" i="1"/>
  <c r="BH86" i="10"/>
  <c r="BH86" i="14"/>
  <c r="AZ81" i="10"/>
  <c r="AZ81" i="14"/>
  <c r="BF58" i="1"/>
  <c r="BF56" i="10"/>
  <c r="BF58" i="10" s="1"/>
  <c r="BF56" i="14"/>
  <c r="BF58" i="14" s="1"/>
  <c r="BF59" i="14" s="1"/>
  <c r="BA28" i="9"/>
  <c r="BH52" i="9"/>
  <c r="BH22" i="9"/>
  <c r="AZ28" i="9"/>
  <c r="BB27" i="8"/>
  <c r="BA17" i="1"/>
  <c r="BA29" i="1" s="1"/>
  <c r="BA14" i="10"/>
  <c r="BA26" i="10" s="1"/>
  <c r="BA14" i="14"/>
  <c r="BA20" i="14" s="1"/>
  <c r="BJ89" i="1"/>
  <c r="BJ86" i="10"/>
  <c r="BJ86" i="14"/>
  <c r="BE57" i="10"/>
  <c r="BE57" i="14"/>
  <c r="BE71" i="10"/>
  <c r="BE71" i="14"/>
  <c r="BD96" i="1"/>
  <c r="BD95" i="10"/>
  <c r="BD96" i="10" s="1"/>
  <c r="BD95" i="14"/>
  <c r="BD96" i="14" s="1"/>
  <c r="BD97" i="14" s="1"/>
  <c r="BA47" i="8"/>
  <c r="BA26" i="8"/>
  <c r="BH16" i="10"/>
  <c r="BH16" i="14"/>
  <c r="BG52" i="8"/>
  <c r="BG22" i="8"/>
  <c r="BG34" i="8" s="1"/>
  <c r="BE77" i="10"/>
  <c r="BE77" i="14"/>
  <c r="BA51" i="1"/>
  <c r="BA21" i="1"/>
  <c r="BA39" i="10"/>
  <c r="BA39" i="14"/>
  <c r="BE16" i="10"/>
  <c r="BE16" i="14"/>
  <c r="BE22" i="14" s="1"/>
  <c r="BH10" i="14"/>
  <c r="BH10" i="10"/>
  <c r="BK89" i="1"/>
  <c r="BK86" i="10"/>
  <c r="BK86" i="14"/>
  <c r="BJ80" i="10"/>
  <c r="BJ80" i="14"/>
  <c r="BC9" i="14"/>
  <c r="BC9" i="10"/>
  <c r="BC15" i="10"/>
  <c r="BC15" i="14"/>
  <c r="BG87" i="14"/>
  <c r="BG87" i="10"/>
  <c r="BD89" i="8"/>
  <c r="BK76" i="14"/>
  <c r="BK76" i="10"/>
  <c r="BK77" i="14"/>
  <c r="BK77" i="10"/>
  <c r="BD28" i="8"/>
  <c r="BE93" i="1"/>
  <c r="BE91" i="10"/>
  <c r="BE91" i="14"/>
  <c r="BB58" i="1"/>
  <c r="BB56" i="14"/>
  <c r="BB58" i="14" s="1"/>
  <c r="BB59" i="14" s="1"/>
  <c r="BB56" i="10"/>
  <c r="BI93" i="8"/>
  <c r="BD83" i="9"/>
  <c r="BF52" i="8"/>
  <c r="BF22" i="8"/>
  <c r="BF34" i="8" s="1"/>
  <c r="BB21" i="8"/>
  <c r="BB51" i="8"/>
  <c r="BJ58" i="1"/>
  <c r="BJ56" i="10"/>
  <c r="BJ58" i="10" s="1"/>
  <c r="BJ56" i="14"/>
  <c r="BB73" i="14"/>
  <c r="BB73" i="10"/>
  <c r="BF82" i="14"/>
  <c r="BF82" i="10"/>
  <c r="BI26" i="8"/>
  <c r="BI32" i="8" s="1"/>
  <c r="BI47" i="8"/>
  <c r="BI29" i="8" s="1"/>
  <c r="BH66" i="14"/>
  <c r="BH66" i="10"/>
  <c r="BG27" i="9"/>
  <c r="BC89" i="9"/>
  <c r="BA51" i="9"/>
  <c r="BA21" i="9"/>
  <c r="BA81" i="14"/>
  <c r="BA81" i="10"/>
  <c r="BP81" i="10" s="1"/>
  <c r="BE81" i="10"/>
  <c r="BE81" i="14"/>
  <c r="BA73" i="10"/>
  <c r="BA73" i="14"/>
  <c r="BB22" i="8"/>
  <c r="BB34" i="8" s="1"/>
  <c r="BB52" i="8"/>
  <c r="BK26" i="9"/>
  <c r="BK47" i="9"/>
  <c r="BK29" i="9" s="1"/>
  <c r="BJ83" i="9"/>
  <c r="BK21" i="9"/>
  <c r="BK51" i="9"/>
  <c r="BP10" i="9"/>
  <c r="BF69" i="14"/>
  <c r="BF69" i="10"/>
  <c r="AZ89" i="1"/>
  <c r="AZ86" i="10"/>
  <c r="AZ89" i="10" s="1"/>
  <c r="AZ86" i="14"/>
  <c r="BF22" i="1"/>
  <c r="BF52" i="1"/>
  <c r="BF40" i="14"/>
  <c r="BF40" i="10"/>
  <c r="BF52" i="10" s="1"/>
  <c r="BI27" i="8"/>
  <c r="BD51" i="1"/>
  <c r="BD21" i="1"/>
  <c r="BD33" i="1" s="1"/>
  <c r="BD39" i="14"/>
  <c r="BD39" i="10"/>
  <c r="BE82" i="10"/>
  <c r="BE82" i="14"/>
  <c r="BA21" i="8"/>
  <c r="BA51" i="8"/>
  <c r="BE58" i="8"/>
  <c r="BK58" i="9"/>
  <c r="BB89" i="8"/>
  <c r="AZ79" i="10"/>
  <c r="AZ79" i="14"/>
  <c r="BG22" i="1"/>
  <c r="BG52" i="1"/>
  <c r="BG40" i="14"/>
  <c r="BG40" i="10"/>
  <c r="BJ50" i="1"/>
  <c r="BJ20" i="1"/>
  <c r="BJ41" i="1"/>
  <c r="BJ53" i="1" s="1"/>
  <c r="BJ38" i="14"/>
  <c r="BJ38" i="10"/>
  <c r="BE93" i="8"/>
  <c r="BC58" i="9"/>
  <c r="BI76" i="14"/>
  <c r="BI76" i="10"/>
  <c r="BB9" i="10"/>
  <c r="BB9" i="14"/>
  <c r="BP9" i="14" s="1"/>
  <c r="BP9" i="1"/>
  <c r="BC11" i="9"/>
  <c r="BK71" i="10"/>
  <c r="BK71" i="14"/>
  <c r="BH52" i="8"/>
  <c r="BH22" i="8"/>
  <c r="BH34" i="8" s="1"/>
  <c r="BA87" i="14"/>
  <c r="BA87" i="10"/>
  <c r="BB83" i="1"/>
  <c r="BB63" i="10"/>
  <c r="BB63" i="14"/>
  <c r="BF11" i="9"/>
  <c r="AZ72" i="14"/>
  <c r="AZ72" i="10"/>
  <c r="BP72" i="10" s="1"/>
  <c r="BK92" i="10"/>
  <c r="BK92" i="14"/>
  <c r="BH58" i="1"/>
  <c r="BH56" i="10"/>
  <c r="BH56" i="14"/>
  <c r="BG58" i="1"/>
  <c r="BG56" i="14"/>
  <c r="BG56" i="10"/>
  <c r="BG58" i="10" s="1"/>
  <c r="BF96" i="1"/>
  <c r="BF95" i="10"/>
  <c r="BF96" i="10" s="1"/>
  <c r="BF95" i="14"/>
  <c r="BF96" i="14" s="1"/>
  <c r="BF97" i="14" s="1"/>
  <c r="BG80" i="10"/>
  <c r="BG80" i="14"/>
  <c r="BH17" i="1"/>
  <c r="BH23" i="1" s="1"/>
  <c r="BH14" i="10"/>
  <c r="BH26" i="10" s="1"/>
  <c r="BH14" i="14"/>
  <c r="BH26" i="14" s="1"/>
  <c r="BG93" i="8"/>
  <c r="BF51" i="8"/>
  <c r="BF21" i="8"/>
  <c r="BE41" i="9"/>
  <c r="BE50" i="9"/>
  <c r="BE20" i="9"/>
  <c r="BE75" i="14"/>
  <c r="BE75" i="10"/>
  <c r="AZ74" i="10"/>
  <c r="AZ74" i="14"/>
  <c r="BK15" i="14"/>
  <c r="BK15" i="10"/>
  <c r="BE79" i="10"/>
  <c r="BE79" i="14"/>
  <c r="BE27" i="1"/>
  <c r="BE45" i="10"/>
  <c r="BE45" i="14"/>
  <c r="BC63" i="10"/>
  <c r="BC83" i="1"/>
  <c r="BC63" i="14"/>
  <c r="BD93" i="8"/>
  <c r="BB72" i="14"/>
  <c r="BB72" i="10"/>
  <c r="BC22" i="9"/>
  <c r="BC52" i="9"/>
  <c r="BI71" i="10"/>
  <c r="BI71" i="14"/>
  <c r="BP10" i="8"/>
  <c r="BH58" i="8"/>
  <c r="BD9" i="10"/>
  <c r="BD11" i="10" s="1"/>
  <c r="BD9" i="14"/>
  <c r="BD11" i="14" s="1"/>
  <c r="BD12" i="14" s="1"/>
  <c r="AZ17" i="1"/>
  <c r="AZ14" i="10"/>
  <c r="AZ14" i="14"/>
  <c r="BJ11" i="8"/>
  <c r="BB47" i="1"/>
  <c r="BB29" i="1" s="1"/>
  <c r="BB26" i="1"/>
  <c r="BB44" i="10"/>
  <c r="BB44" i="14"/>
  <c r="BB26" i="14" s="1"/>
  <c r="BK68" i="10"/>
  <c r="BK68" i="14"/>
  <c r="BC27" i="1"/>
  <c r="BC45" i="14"/>
  <c r="BC45" i="10"/>
  <c r="BD82" i="14"/>
  <c r="BD82" i="10"/>
  <c r="BF20" i="1"/>
  <c r="BF32" i="1" s="1"/>
  <c r="BF50" i="1"/>
  <c r="BF41" i="1"/>
  <c r="BF23" i="1" s="1"/>
  <c r="BF35" i="1" s="1"/>
  <c r="BF38" i="14"/>
  <c r="BF38" i="10"/>
  <c r="BH75" i="14"/>
  <c r="BH75" i="10"/>
  <c r="BJ89" i="8"/>
  <c r="BI83" i="1"/>
  <c r="BI63" i="10"/>
  <c r="BI63" i="14"/>
  <c r="BA27" i="1"/>
  <c r="BA45" i="10"/>
  <c r="BA45" i="14"/>
  <c r="BB71" i="10"/>
  <c r="BB71" i="14"/>
  <c r="BH15" i="10"/>
  <c r="BH27" i="10" s="1"/>
  <c r="BH15" i="14"/>
  <c r="BH21" i="14" s="1"/>
  <c r="BF64" i="10"/>
  <c r="BF64" i="14"/>
  <c r="AZ89" i="8"/>
  <c r="BE64" i="10"/>
  <c r="BE64" i="14"/>
  <c r="BA11" i="9"/>
  <c r="BA82" i="10"/>
  <c r="BP82" i="10" s="1"/>
  <c r="BA82" i="14"/>
  <c r="BP82" i="14" s="1"/>
  <c r="BE78" i="14"/>
  <c r="BE78" i="10"/>
  <c r="BA78" i="10"/>
  <c r="BA78" i="14"/>
  <c r="BH93" i="8"/>
  <c r="AZ27" i="8"/>
  <c r="BB87" i="14"/>
  <c r="BB87" i="10"/>
  <c r="BP87" i="10" s="1"/>
  <c r="BI41" i="9"/>
  <c r="BI53" i="9" s="1"/>
  <c r="BI60" i="9" s="1"/>
  <c r="BI98" i="9" s="1"/>
  <c r="BI50" i="9"/>
  <c r="BI20" i="9"/>
  <c r="BC27" i="9"/>
  <c r="BF8" i="10"/>
  <c r="BF11" i="1"/>
  <c r="BF102" i="1" s="1"/>
  <c r="BF8" i="14"/>
  <c r="BA70" i="14"/>
  <c r="BA70" i="10"/>
  <c r="BC88" i="10"/>
  <c r="BC88" i="14"/>
  <c r="BH65" i="14"/>
  <c r="BH65" i="10"/>
  <c r="BJ58" i="9"/>
  <c r="BJ22" i="8"/>
  <c r="BJ52" i="8"/>
  <c r="BE88" i="14"/>
  <c r="BE89" i="14" s="1"/>
  <c r="BE90" i="14" s="1"/>
  <c r="BE88" i="10"/>
  <c r="BH41" i="1"/>
  <c r="BH50" i="1"/>
  <c r="BH20" i="1"/>
  <c r="BH38" i="10"/>
  <c r="BH38" i="14"/>
  <c r="BH20" i="14" s="1"/>
  <c r="BB74" i="10"/>
  <c r="BB74" i="14"/>
  <c r="BD89" i="1"/>
  <c r="BD86" i="10"/>
  <c r="BD86" i="14"/>
  <c r="BI9" i="14"/>
  <c r="BI9" i="10"/>
  <c r="BF15" i="10"/>
  <c r="BF15" i="14"/>
  <c r="BC28" i="8"/>
  <c r="BE80" i="10"/>
  <c r="BE80" i="14"/>
  <c r="BI93" i="9"/>
  <c r="BC76" i="14"/>
  <c r="BC76" i="10"/>
  <c r="BK69" i="14"/>
  <c r="BK69" i="10"/>
  <c r="BB83" i="8"/>
  <c r="BD64" i="14"/>
  <c r="BD64" i="10"/>
  <c r="BH51" i="1"/>
  <c r="BH21" i="1"/>
  <c r="BH39" i="14"/>
  <c r="BH39" i="10"/>
  <c r="BH21" i="10" s="1"/>
  <c r="BD57" i="10"/>
  <c r="BD57" i="14"/>
  <c r="BD58" i="14" s="1"/>
  <c r="BD59" i="14" s="1"/>
  <c r="BC82" i="10"/>
  <c r="BC82" i="14"/>
  <c r="BE21" i="8"/>
  <c r="BE33" i="8" s="1"/>
  <c r="BE51" i="8"/>
  <c r="BG58" i="9"/>
  <c r="BH82" i="10"/>
  <c r="BH82" i="14"/>
  <c r="BJ15" i="10"/>
  <c r="BJ15" i="14"/>
  <c r="BA69" i="14"/>
  <c r="BA69" i="10"/>
  <c r="BB16" i="14"/>
  <c r="BB28" i="14" s="1"/>
  <c r="BB16" i="10"/>
  <c r="BB17" i="10" s="1"/>
  <c r="BF17" i="8"/>
  <c r="BG67" i="14"/>
  <c r="BG67" i="10"/>
  <c r="BB15" i="10"/>
  <c r="BB15" i="14"/>
  <c r="BC58" i="1"/>
  <c r="BC56" i="14"/>
  <c r="BC56" i="10"/>
  <c r="BF89" i="9"/>
  <c r="BA20" i="1"/>
  <c r="BA32" i="1" s="1"/>
  <c r="BA50" i="1"/>
  <c r="BA41" i="1"/>
  <c r="BA38" i="14"/>
  <c r="BA38" i="10"/>
  <c r="AZ10" i="10"/>
  <c r="AZ10" i="14"/>
  <c r="AZ11" i="14" s="1"/>
  <c r="BK16" i="14"/>
  <c r="BK28" i="14" s="1"/>
  <c r="BK16" i="10"/>
  <c r="BK17" i="10" s="1"/>
  <c r="BB96" i="1"/>
  <c r="BB95" i="10"/>
  <c r="BB95" i="14"/>
  <c r="BB96" i="14" s="1"/>
  <c r="BB97" i="14" s="1"/>
  <c r="BB82" i="14"/>
  <c r="BB82" i="10"/>
  <c r="BK17" i="8"/>
  <c r="BK29" i="8" s="1"/>
  <c r="BD96" i="9"/>
  <c r="BI57" i="10"/>
  <c r="BI57" i="14"/>
  <c r="BF93" i="9"/>
  <c r="BC75" i="14"/>
  <c r="BC75" i="10"/>
  <c r="BA27" i="8"/>
  <c r="BA33" i="8" s="1"/>
  <c r="BK10" i="10"/>
  <c r="BK10" i="14"/>
  <c r="BI58" i="8"/>
  <c r="BK51" i="1"/>
  <c r="BK21" i="1"/>
  <c r="BK33" i="1" s="1"/>
  <c r="BK39" i="10"/>
  <c r="BK39" i="14"/>
  <c r="BK41" i="1"/>
  <c r="BK53" i="1" s="1"/>
  <c r="BK20" i="1"/>
  <c r="BK50" i="1"/>
  <c r="BK38" i="14"/>
  <c r="BK38" i="10"/>
  <c r="BK50" i="10" s="1"/>
  <c r="AZ11" i="1"/>
  <c r="AZ102" i="1" s="1"/>
  <c r="AZ8" i="10"/>
  <c r="AZ8" i="14"/>
  <c r="BE17" i="1"/>
  <c r="BE14" i="14"/>
  <c r="BE20" i="14" s="1"/>
  <c r="BE14" i="10"/>
  <c r="BE17" i="10" s="1"/>
  <c r="BG28" i="1"/>
  <c r="BG46" i="10"/>
  <c r="BG46" i="14"/>
  <c r="BC28" i="9"/>
  <c r="BG15" i="10"/>
  <c r="BG15" i="14"/>
  <c r="BC66" i="10"/>
  <c r="BC66" i="14"/>
  <c r="BJ76" i="10"/>
  <c r="BJ76" i="14"/>
  <c r="BE28" i="1"/>
  <c r="BE46" i="14"/>
  <c r="BE46" i="10"/>
  <c r="BF73" i="14"/>
  <c r="BF73" i="10"/>
  <c r="BK88" i="10"/>
  <c r="BK89" i="10" s="1"/>
  <c r="BK88" i="14"/>
  <c r="BF27" i="8"/>
  <c r="BF33" i="8" s="1"/>
  <c r="AZ34" i="1"/>
  <c r="AZ32" i="1"/>
  <c r="BK32" i="8"/>
  <c r="BC23" i="8"/>
  <c r="BG29" i="8"/>
  <c r="BA53" i="1"/>
  <c r="BC29" i="8"/>
  <c r="BC53" i="1"/>
  <c r="BG32" i="1"/>
  <c r="BD33" i="8"/>
  <c r="BG33" i="8"/>
  <c r="BI50" i="14"/>
  <c r="BP3" i="14"/>
  <c r="BG32" i="9"/>
  <c r="BI51" i="14"/>
  <c r="BI20" i="14"/>
  <c r="BF23" i="9"/>
  <c r="AX71" i="14"/>
  <c r="AX71" i="10"/>
  <c r="AA20" i="1"/>
  <c r="AA38" i="14"/>
  <c r="AA38" i="10"/>
  <c r="AA50" i="1"/>
  <c r="AA41" i="1"/>
  <c r="J57" i="14"/>
  <c r="J57" i="10"/>
  <c r="L28" i="1"/>
  <c r="L46" i="14"/>
  <c r="L46" i="10"/>
  <c r="O45" i="14"/>
  <c r="O27" i="1"/>
  <c r="O45" i="10"/>
  <c r="Z16" i="10"/>
  <c r="Z16" i="14"/>
  <c r="T57" i="10"/>
  <c r="T57" i="14"/>
  <c r="AD44" i="10"/>
  <c r="AD47" i="1"/>
  <c r="AD44" i="14"/>
  <c r="AD26" i="1"/>
  <c r="AP16" i="10"/>
  <c r="AP16" i="14"/>
  <c r="AR82" i="10"/>
  <c r="AR82" i="14"/>
  <c r="D11" i="1"/>
  <c r="D102" i="1" s="1"/>
  <c r="D8" i="14"/>
  <c r="D8" i="10"/>
  <c r="O79" i="14"/>
  <c r="O79" i="10"/>
  <c r="V16" i="14"/>
  <c r="V16" i="10"/>
  <c r="AJ40" i="14"/>
  <c r="AJ22" i="1"/>
  <c r="AJ40" i="10"/>
  <c r="AJ52" i="1"/>
  <c r="AK63" i="14"/>
  <c r="AK83" i="1"/>
  <c r="AK63" i="10"/>
  <c r="N91" i="10"/>
  <c r="N91" i="14"/>
  <c r="N93" i="1"/>
  <c r="AV82" i="10"/>
  <c r="AV82" i="14"/>
  <c r="AE38" i="10"/>
  <c r="AE41" i="1"/>
  <c r="AE38" i="14"/>
  <c r="AE20" i="1"/>
  <c r="AE50" i="1"/>
  <c r="Y11" i="9"/>
  <c r="AT66" i="10"/>
  <c r="AT66" i="14"/>
  <c r="W69" i="10"/>
  <c r="W69" i="14"/>
  <c r="L92" i="10"/>
  <c r="L92" i="14"/>
  <c r="S78" i="14"/>
  <c r="S78" i="10"/>
  <c r="E50" i="1"/>
  <c r="E38" i="10"/>
  <c r="E41" i="1"/>
  <c r="E20" i="1"/>
  <c r="E38" i="14"/>
  <c r="BT9" i="8"/>
  <c r="H89" i="9"/>
  <c r="AR46" i="14"/>
  <c r="AR28" i="1"/>
  <c r="AR46" i="10"/>
  <c r="AY69" i="10"/>
  <c r="AY69" i="14"/>
  <c r="E71" i="14"/>
  <c r="E71" i="10"/>
  <c r="N15" i="14"/>
  <c r="N15" i="10"/>
  <c r="AJ75" i="10"/>
  <c r="AJ75" i="14"/>
  <c r="D70" i="10"/>
  <c r="D70" i="14"/>
  <c r="AS74" i="14"/>
  <c r="AS74" i="10"/>
  <c r="X89" i="8"/>
  <c r="AG89" i="8"/>
  <c r="AB74" i="14"/>
  <c r="AB74" i="10"/>
  <c r="AL87" i="10"/>
  <c r="AL87" i="14"/>
  <c r="AI21" i="8"/>
  <c r="AI51" i="8"/>
  <c r="AB27" i="9"/>
  <c r="AD28" i="1"/>
  <c r="AD46" i="10"/>
  <c r="AD46" i="14"/>
  <c r="AD52" i="14" s="1"/>
  <c r="AH79" i="14"/>
  <c r="AH79" i="10"/>
  <c r="H21" i="8"/>
  <c r="H51" i="8"/>
  <c r="AA81" i="14"/>
  <c r="AA81" i="10"/>
  <c r="K10" i="14"/>
  <c r="K10" i="10"/>
  <c r="AF57" i="14"/>
  <c r="AF57" i="10"/>
  <c r="AC15" i="14"/>
  <c r="AC15" i="10"/>
  <c r="AF40" i="10"/>
  <c r="AF22" i="1"/>
  <c r="AF52" i="1"/>
  <c r="AF40" i="14"/>
  <c r="W58" i="8"/>
  <c r="G10" i="14"/>
  <c r="G10" i="10"/>
  <c r="E93" i="8"/>
  <c r="Y8" i="10"/>
  <c r="Y8" i="14"/>
  <c r="Y11" i="1"/>
  <c r="AR57" i="14"/>
  <c r="AR57" i="10"/>
  <c r="I11" i="8"/>
  <c r="AO9" i="14"/>
  <c r="BQ9" i="14" s="1"/>
  <c r="AO9" i="10"/>
  <c r="BQ9" i="1"/>
  <c r="O86" i="14"/>
  <c r="O89" i="1"/>
  <c r="O86" i="10"/>
  <c r="AU47" i="8"/>
  <c r="AU26" i="8"/>
  <c r="I9" i="10"/>
  <c r="I9" i="14"/>
  <c r="AD86" i="14"/>
  <c r="AD89" i="1"/>
  <c r="AD86" i="10"/>
  <c r="AK67" i="14"/>
  <c r="AK67" i="10"/>
  <c r="AD70" i="14"/>
  <c r="AD70" i="10"/>
  <c r="U65" i="10"/>
  <c r="U65" i="14"/>
  <c r="AN17" i="9"/>
  <c r="BO14" i="9"/>
  <c r="BW14" i="9"/>
  <c r="AG70" i="14"/>
  <c r="AG70" i="10"/>
  <c r="AV70" i="14"/>
  <c r="AV70" i="10"/>
  <c r="Z81" i="14"/>
  <c r="Z81" i="10"/>
  <c r="AD65" i="10"/>
  <c r="AD65" i="14"/>
  <c r="P77" i="10"/>
  <c r="P77" i="14"/>
  <c r="W56" i="14"/>
  <c r="W56" i="10"/>
  <c r="W58" i="1"/>
  <c r="T91" i="10"/>
  <c r="T93" i="1"/>
  <c r="T91" i="14"/>
  <c r="S88" i="10"/>
  <c r="S88" i="14"/>
  <c r="AJ69" i="10"/>
  <c r="AJ69" i="14"/>
  <c r="X70" i="14"/>
  <c r="X70" i="10"/>
  <c r="H58" i="1"/>
  <c r="H56" i="14"/>
  <c r="H56" i="10"/>
  <c r="Z40" i="14"/>
  <c r="Z22" i="1"/>
  <c r="Z40" i="10"/>
  <c r="Z52" i="1"/>
  <c r="AR27" i="8"/>
  <c r="M58" i="9"/>
  <c r="AY93" i="9"/>
  <c r="W40" i="14"/>
  <c r="W40" i="10"/>
  <c r="W52" i="1"/>
  <c r="W22" i="1"/>
  <c r="O71" i="14"/>
  <c r="O71" i="10"/>
  <c r="E68" i="14"/>
  <c r="E68" i="10"/>
  <c r="L74" i="14"/>
  <c r="L74" i="10"/>
  <c r="AC38" i="14"/>
  <c r="AC38" i="10"/>
  <c r="AC50" i="1"/>
  <c r="AC41" i="1"/>
  <c r="AC20" i="1"/>
  <c r="N28" i="1"/>
  <c r="N46" i="14"/>
  <c r="N46" i="10"/>
  <c r="AA11" i="8"/>
  <c r="AF10" i="10"/>
  <c r="AF10" i="14"/>
  <c r="W14" i="14"/>
  <c r="W17" i="1"/>
  <c r="W29" i="1" s="1"/>
  <c r="W14" i="10"/>
  <c r="N87" i="10"/>
  <c r="N87" i="14"/>
  <c r="AM67" i="10"/>
  <c r="AM67" i="14"/>
  <c r="AK87" i="10"/>
  <c r="AK87" i="14"/>
  <c r="AN14" i="14"/>
  <c r="BQ14" i="14" s="1"/>
  <c r="AN17" i="1"/>
  <c r="AN14" i="10"/>
  <c r="BW14" i="1"/>
  <c r="BO14" i="1"/>
  <c r="AA67" i="14"/>
  <c r="AA67" i="10"/>
  <c r="AK57" i="14"/>
  <c r="AK57" i="10"/>
  <c r="AW65" i="14"/>
  <c r="AW65" i="10"/>
  <c r="D57" i="14"/>
  <c r="D57" i="10"/>
  <c r="P40" i="10"/>
  <c r="P22" i="1"/>
  <c r="P52" i="1"/>
  <c r="P40" i="14"/>
  <c r="AR63" i="10"/>
  <c r="AR83" i="1"/>
  <c r="AR63" i="14"/>
  <c r="BO92" i="8"/>
  <c r="AX28" i="9"/>
  <c r="G89" i="1"/>
  <c r="G86" i="14"/>
  <c r="G86" i="10"/>
  <c r="AA79" i="14"/>
  <c r="AA79" i="10"/>
  <c r="Y40" i="14"/>
  <c r="Y40" i="10"/>
  <c r="Y22" i="1"/>
  <c r="Y52" i="1"/>
  <c r="AN9" i="14"/>
  <c r="AN9" i="10"/>
  <c r="O69" i="14"/>
  <c r="O69" i="10"/>
  <c r="AR89" i="8"/>
  <c r="AY15" i="14"/>
  <c r="AY15" i="10"/>
  <c r="G57" i="14"/>
  <c r="G57" i="10"/>
  <c r="AG15" i="14"/>
  <c r="AG15" i="10"/>
  <c r="K27" i="9"/>
  <c r="AE28" i="8"/>
  <c r="R75" i="14"/>
  <c r="R75" i="10"/>
  <c r="AF47" i="1"/>
  <c r="AF26" i="1"/>
  <c r="AF44" i="14"/>
  <c r="AF44" i="10"/>
  <c r="R92" i="14"/>
  <c r="R92" i="10"/>
  <c r="AO52" i="1"/>
  <c r="AO40" i="14"/>
  <c r="AO22" i="1"/>
  <c r="AO40" i="10"/>
  <c r="S16" i="10"/>
  <c r="S16" i="14"/>
  <c r="R17" i="8"/>
  <c r="E16" i="14"/>
  <c r="E16" i="10"/>
  <c r="AK16" i="10"/>
  <c r="AK16" i="14"/>
  <c r="AG17" i="8"/>
  <c r="V11" i="9"/>
  <c r="F81" i="10"/>
  <c r="F81" i="14"/>
  <c r="N67" i="10"/>
  <c r="N67" i="14"/>
  <c r="AL15" i="14"/>
  <c r="AL15" i="10"/>
  <c r="AL80" i="14"/>
  <c r="AL80" i="10"/>
  <c r="AY44" i="14"/>
  <c r="AY26" i="1"/>
  <c r="AY44" i="10"/>
  <c r="AY47" i="1"/>
  <c r="W28" i="8"/>
  <c r="I75" i="14"/>
  <c r="I75" i="10"/>
  <c r="P95" i="14"/>
  <c r="P96" i="14" s="1"/>
  <c r="P97" i="14" s="1"/>
  <c r="P95" i="10"/>
  <c r="P96" i="10" s="1"/>
  <c r="P96" i="1"/>
  <c r="R27" i="9"/>
  <c r="AC11" i="8"/>
  <c r="X73" i="14"/>
  <c r="X73" i="10"/>
  <c r="AB16" i="14"/>
  <c r="AB16" i="10"/>
  <c r="AJ66" i="14"/>
  <c r="AJ66" i="10"/>
  <c r="AW72" i="14"/>
  <c r="AW72" i="10"/>
  <c r="AP47" i="8"/>
  <c r="AP26" i="8"/>
  <c r="H41" i="8"/>
  <c r="H20" i="8"/>
  <c r="H50" i="8"/>
  <c r="AR39" i="14"/>
  <c r="AR21" i="1"/>
  <c r="AR39" i="10"/>
  <c r="AR51" i="1"/>
  <c r="Z15" i="10"/>
  <c r="Z15" i="14"/>
  <c r="X78" i="14"/>
  <c r="X78" i="10"/>
  <c r="F72" i="14"/>
  <c r="F72" i="10"/>
  <c r="N44" i="14"/>
  <c r="N26" i="1"/>
  <c r="N47" i="1"/>
  <c r="N44" i="10"/>
  <c r="AF68" i="14"/>
  <c r="AF68" i="10"/>
  <c r="AH14" i="14"/>
  <c r="AH14" i="10"/>
  <c r="AH17" i="1"/>
  <c r="AR17" i="1"/>
  <c r="AR14" i="10"/>
  <c r="AR14" i="14"/>
  <c r="AT47" i="8"/>
  <c r="AT26" i="8"/>
  <c r="AB56" i="14"/>
  <c r="AB56" i="10"/>
  <c r="AB58" i="1"/>
  <c r="AR28" i="8"/>
  <c r="F8" i="14"/>
  <c r="BT8" i="14" s="1"/>
  <c r="F11" i="1"/>
  <c r="F8" i="10"/>
  <c r="BT8" i="1"/>
  <c r="L87" i="14"/>
  <c r="L87" i="10"/>
  <c r="N86" i="14"/>
  <c r="N89" i="1"/>
  <c r="N86" i="10"/>
  <c r="AW26" i="8"/>
  <c r="AW47" i="8"/>
  <c r="E64" i="14"/>
  <c r="E64" i="10"/>
  <c r="AU63" i="14"/>
  <c r="AU63" i="10"/>
  <c r="AU83" i="1"/>
  <c r="AT92" i="14"/>
  <c r="AT93" i="14" s="1"/>
  <c r="AT94" i="14" s="1"/>
  <c r="AT92" i="10"/>
  <c r="AJ52" i="8"/>
  <c r="AJ22" i="8"/>
  <c r="Q21" i="8"/>
  <c r="Q51" i="8"/>
  <c r="K28" i="9"/>
  <c r="I58" i="1"/>
  <c r="I56" i="14"/>
  <c r="I56" i="10"/>
  <c r="AT17" i="1"/>
  <c r="AT14" i="10"/>
  <c r="AT14" i="14"/>
  <c r="X52" i="8"/>
  <c r="X22" i="8"/>
  <c r="AI57" i="10"/>
  <c r="AI57" i="14"/>
  <c r="V71" i="14"/>
  <c r="V71" i="10"/>
  <c r="Q27" i="8"/>
  <c r="AD39" i="14"/>
  <c r="AD21" i="1"/>
  <c r="AD39" i="10"/>
  <c r="AD51" i="1"/>
  <c r="P44" i="10"/>
  <c r="P47" i="1"/>
  <c r="P44" i="14"/>
  <c r="P26" i="1"/>
  <c r="AM83" i="8"/>
  <c r="Q86" i="10"/>
  <c r="Q86" i="14"/>
  <c r="Q89" i="1"/>
  <c r="AC79" i="14"/>
  <c r="AC79" i="10"/>
  <c r="F14" i="14"/>
  <c r="F14" i="10"/>
  <c r="F17" i="1"/>
  <c r="Z63" i="14"/>
  <c r="Z63" i="10"/>
  <c r="Z83" i="1"/>
  <c r="AH83" i="1"/>
  <c r="AH63" i="10"/>
  <c r="AH63" i="14"/>
  <c r="AH44" i="14"/>
  <c r="AH26" i="1"/>
  <c r="AH44" i="10"/>
  <c r="AH26" i="10" s="1"/>
  <c r="AH47" i="1"/>
  <c r="AH29" i="1" s="1"/>
  <c r="AB88" i="14"/>
  <c r="AB88" i="10"/>
  <c r="L80" i="14"/>
  <c r="L80" i="10"/>
  <c r="W26" i="1"/>
  <c r="W47" i="1"/>
  <c r="W44" i="10"/>
  <c r="W44" i="14"/>
  <c r="AX70" i="14"/>
  <c r="AX70" i="10"/>
  <c r="R64" i="10"/>
  <c r="R64" i="14"/>
  <c r="AA96" i="8"/>
  <c r="AI86" i="14"/>
  <c r="AI86" i="10"/>
  <c r="AI89" i="1"/>
  <c r="AM74" i="10"/>
  <c r="AM74" i="14"/>
  <c r="AI77" i="14"/>
  <c r="AI77" i="10"/>
  <c r="BQ9" i="8"/>
  <c r="AA82" i="14"/>
  <c r="AA82" i="10"/>
  <c r="Y17" i="8"/>
  <c r="J11" i="8"/>
  <c r="Q57" i="14"/>
  <c r="Q57" i="10"/>
  <c r="AU44" i="14"/>
  <c r="AU26" i="1"/>
  <c r="AU44" i="10"/>
  <c r="AU47" i="1"/>
  <c r="O66" i="10"/>
  <c r="O66" i="14"/>
  <c r="AI14" i="14"/>
  <c r="AI17" i="1"/>
  <c r="AI14" i="10"/>
  <c r="AI26" i="10" s="1"/>
  <c r="Y83" i="8"/>
  <c r="H72" i="10"/>
  <c r="H72" i="14"/>
  <c r="AT93" i="1"/>
  <c r="AT91" i="14"/>
  <c r="AT91" i="10"/>
  <c r="AF41" i="1"/>
  <c r="AF38" i="14"/>
  <c r="AF38" i="10"/>
  <c r="AF50" i="10" s="1"/>
  <c r="AF50" i="1"/>
  <c r="AF20" i="1"/>
  <c r="AC74" i="14"/>
  <c r="AC74" i="10"/>
  <c r="W22" i="9"/>
  <c r="W52" i="9"/>
  <c r="AY38" i="14"/>
  <c r="AY38" i="10"/>
  <c r="AY50" i="1"/>
  <c r="AY41" i="1"/>
  <c r="AY20" i="1"/>
  <c r="I74" i="14"/>
  <c r="I74" i="10"/>
  <c r="AK52" i="8"/>
  <c r="AK22" i="8"/>
  <c r="AD40" i="10"/>
  <c r="AD40" i="14"/>
  <c r="AD22" i="1"/>
  <c r="AD52" i="1"/>
  <c r="AA93" i="1"/>
  <c r="AA91" i="14"/>
  <c r="AA91" i="10"/>
  <c r="Q89" i="8"/>
  <c r="AD71" i="14"/>
  <c r="AD71" i="10"/>
  <c r="AY76" i="14"/>
  <c r="AY76" i="10"/>
  <c r="AU95" i="14"/>
  <c r="AU96" i="14" s="1"/>
  <c r="AU97" i="14" s="1"/>
  <c r="AU95" i="10"/>
  <c r="AU96" i="10" s="1"/>
  <c r="AU96" i="1"/>
  <c r="BW16" i="8"/>
  <c r="BO16" i="8"/>
  <c r="AB10" i="14"/>
  <c r="AB10" i="10"/>
  <c r="AS79" i="14"/>
  <c r="AS79" i="10"/>
  <c r="AK73" i="14"/>
  <c r="AK73" i="10"/>
  <c r="AL68" i="10"/>
  <c r="AL68" i="14"/>
  <c r="K47" i="9"/>
  <c r="K26" i="9"/>
  <c r="H78" i="10"/>
  <c r="H78" i="14"/>
  <c r="M81" i="14"/>
  <c r="M81" i="10"/>
  <c r="AE10" i="10"/>
  <c r="AE10" i="14"/>
  <c r="D58" i="8"/>
  <c r="D82" i="14"/>
  <c r="D82" i="10"/>
  <c r="AL45" i="14"/>
  <c r="AL27" i="14" s="1"/>
  <c r="AL45" i="10"/>
  <c r="AL27" i="1"/>
  <c r="H81" i="14"/>
  <c r="H81" i="10"/>
  <c r="N74" i="10"/>
  <c r="N74" i="14"/>
  <c r="AX15" i="14"/>
  <c r="AX15" i="10"/>
  <c r="X57" i="10"/>
  <c r="X57" i="14"/>
  <c r="W82" i="14"/>
  <c r="W82" i="10"/>
  <c r="AM64" i="10"/>
  <c r="AM64" i="14"/>
  <c r="AG66" i="14"/>
  <c r="AG66" i="10"/>
  <c r="AO75" i="10"/>
  <c r="AO75" i="14"/>
  <c r="AL17" i="1"/>
  <c r="AL14" i="10"/>
  <c r="AL26" i="10" s="1"/>
  <c r="AL14" i="14"/>
  <c r="V72" i="14"/>
  <c r="V72" i="10"/>
  <c r="K73" i="14"/>
  <c r="K73" i="10"/>
  <c r="AN78" i="10"/>
  <c r="AN78" i="14"/>
  <c r="BO78" i="1"/>
  <c r="AO27" i="1"/>
  <c r="AO45" i="14"/>
  <c r="AO45" i="10"/>
  <c r="O77" i="10"/>
  <c r="O77" i="14"/>
  <c r="P78" i="14"/>
  <c r="P78" i="10"/>
  <c r="AY40" i="14"/>
  <c r="AY52" i="14" s="1"/>
  <c r="AY22" i="1"/>
  <c r="AY52" i="1"/>
  <c r="AY40" i="10"/>
  <c r="S82" i="10"/>
  <c r="S82" i="14"/>
  <c r="AY73" i="14"/>
  <c r="AY73" i="10"/>
  <c r="U91" i="10"/>
  <c r="U91" i="14"/>
  <c r="U93" i="1"/>
  <c r="N22" i="8"/>
  <c r="N52" i="8"/>
  <c r="U68" i="14"/>
  <c r="U68" i="10"/>
  <c r="AL93" i="8"/>
  <c r="R77" i="14"/>
  <c r="R77" i="10"/>
  <c r="AM80" i="10"/>
  <c r="AM80" i="14"/>
  <c r="AG79" i="14"/>
  <c r="AG79" i="10"/>
  <c r="AO22" i="9"/>
  <c r="AO52" i="9"/>
  <c r="AC67" i="14"/>
  <c r="AC67" i="10"/>
  <c r="F89" i="9"/>
  <c r="H51" i="1"/>
  <c r="H39" i="10"/>
  <c r="H21" i="1"/>
  <c r="H39" i="14"/>
  <c r="R70" i="10"/>
  <c r="R70" i="14"/>
  <c r="AJ63" i="14"/>
  <c r="AJ63" i="10"/>
  <c r="AJ83" i="1"/>
  <c r="AB95" i="14"/>
  <c r="AB95" i="10"/>
  <c r="AB96" i="10" s="1"/>
  <c r="AB96" i="1"/>
  <c r="E56" i="14"/>
  <c r="E56" i="10"/>
  <c r="E58" i="1"/>
  <c r="O72" i="10"/>
  <c r="O72" i="14"/>
  <c r="G66" i="10"/>
  <c r="G66" i="14"/>
  <c r="AV88" i="14"/>
  <c r="AV88" i="10"/>
  <c r="Q76" i="14"/>
  <c r="Q76" i="10"/>
  <c r="T39" i="14"/>
  <c r="T39" i="10"/>
  <c r="T51" i="1"/>
  <c r="T21" i="1"/>
  <c r="Y65" i="14"/>
  <c r="Y65" i="10"/>
  <c r="N10" i="10"/>
  <c r="N10" i="14"/>
  <c r="AY77" i="14"/>
  <c r="AY77" i="10"/>
  <c r="X16" i="14"/>
  <c r="X16" i="10"/>
  <c r="G16" i="10"/>
  <c r="G16" i="14"/>
  <c r="P69" i="14"/>
  <c r="P69" i="10"/>
  <c r="AR16" i="14"/>
  <c r="AR16" i="10"/>
  <c r="AU38" i="14"/>
  <c r="AU38" i="10"/>
  <c r="AU50" i="1"/>
  <c r="AU20" i="1"/>
  <c r="AU41" i="1"/>
  <c r="AF27" i="8"/>
  <c r="Y41" i="9"/>
  <c r="Y20" i="9"/>
  <c r="Y50" i="9"/>
  <c r="AI16" i="14"/>
  <c r="AI16" i="10"/>
  <c r="F47" i="8"/>
  <c r="F26" i="8"/>
  <c r="AM9" i="14"/>
  <c r="AM9" i="10"/>
  <c r="U56" i="14"/>
  <c r="U56" i="10"/>
  <c r="U58" i="1"/>
  <c r="AL9" i="14"/>
  <c r="AL9" i="10"/>
  <c r="M51" i="1"/>
  <c r="M39" i="14"/>
  <c r="M39" i="10"/>
  <c r="M21" i="1"/>
  <c r="V17" i="1"/>
  <c r="V14" i="10"/>
  <c r="V14" i="14"/>
  <c r="AB46" i="14"/>
  <c r="AB28" i="1"/>
  <c r="AB46" i="10"/>
  <c r="L56" i="10"/>
  <c r="L56" i="14"/>
  <c r="L58" i="1"/>
  <c r="AT82" i="14"/>
  <c r="AT82" i="10"/>
  <c r="AJ9" i="10"/>
  <c r="AJ9" i="14"/>
  <c r="V15" i="10"/>
  <c r="V15" i="14"/>
  <c r="R63" i="14"/>
  <c r="R63" i="10"/>
  <c r="R83" i="1"/>
  <c r="AY67" i="14"/>
  <c r="AY67" i="10"/>
  <c r="J92" i="14"/>
  <c r="J92" i="10"/>
  <c r="AG93" i="9"/>
  <c r="AF11" i="8"/>
  <c r="M56" i="14"/>
  <c r="M56" i="10"/>
  <c r="M58" i="1"/>
  <c r="G47" i="8"/>
  <c r="G26" i="8"/>
  <c r="AM44" i="14"/>
  <c r="AM26" i="1"/>
  <c r="AM44" i="10"/>
  <c r="AM47" i="1"/>
  <c r="AB65" i="14"/>
  <c r="BR65" i="14" s="1"/>
  <c r="AB65" i="10"/>
  <c r="K11" i="8"/>
  <c r="AC78" i="10"/>
  <c r="AC78" i="14"/>
  <c r="D14" i="14"/>
  <c r="D17" i="1"/>
  <c r="D14" i="10"/>
  <c r="AT75" i="14"/>
  <c r="AT75" i="10"/>
  <c r="X45" i="14"/>
  <c r="X45" i="10"/>
  <c r="X51" i="10" s="1"/>
  <c r="X27" i="1"/>
  <c r="AE22" i="8"/>
  <c r="AE34" i="8" s="1"/>
  <c r="AE52" i="8"/>
  <c r="AY50" i="8"/>
  <c r="AY20" i="8"/>
  <c r="AY41" i="8"/>
  <c r="K45" i="10"/>
  <c r="K45" i="14"/>
  <c r="K27" i="1"/>
  <c r="AM14" i="10"/>
  <c r="AM14" i="14"/>
  <c r="AM17" i="1"/>
  <c r="L65" i="14"/>
  <c r="L65" i="10"/>
  <c r="AB39" i="14"/>
  <c r="AB21" i="1"/>
  <c r="AB39" i="10"/>
  <c r="AB51" i="1"/>
  <c r="R16" i="14"/>
  <c r="R16" i="10"/>
  <c r="Q58" i="8"/>
  <c r="AN92" i="14"/>
  <c r="AN92" i="10"/>
  <c r="BO92" i="10" s="1"/>
  <c r="BO92" i="1"/>
  <c r="R58" i="8"/>
  <c r="W72" i="14"/>
  <c r="W72" i="10"/>
  <c r="AF65" i="10"/>
  <c r="AF65" i="14"/>
  <c r="F82" i="10"/>
  <c r="F82" i="14"/>
  <c r="Q63" i="14"/>
  <c r="Q63" i="10"/>
  <c r="Q83" i="1"/>
  <c r="AO15" i="14"/>
  <c r="AO15" i="10"/>
  <c r="AE93" i="8"/>
  <c r="G70" i="10"/>
  <c r="G70" i="14"/>
  <c r="J16" i="10"/>
  <c r="J16" i="14"/>
  <c r="AK69" i="14"/>
  <c r="AK69" i="10"/>
  <c r="H73" i="14"/>
  <c r="H73" i="10"/>
  <c r="AK88" i="10"/>
  <c r="AK88" i="14"/>
  <c r="AQ82" i="14"/>
  <c r="AQ82" i="10"/>
  <c r="N80" i="14"/>
  <c r="N80" i="10"/>
  <c r="G71" i="14"/>
  <c r="G71" i="10"/>
  <c r="AA57" i="14"/>
  <c r="AA57" i="10"/>
  <c r="X51" i="8"/>
  <c r="X21" i="8"/>
  <c r="J56" i="14"/>
  <c r="J58" i="14" s="1"/>
  <c r="J56" i="10"/>
  <c r="J58" i="1"/>
  <c r="K80" i="14"/>
  <c r="K80" i="10"/>
  <c r="O10" i="10"/>
  <c r="O10" i="14"/>
  <c r="AE71" i="14"/>
  <c r="AE71" i="10"/>
  <c r="P82" i="14"/>
  <c r="P82" i="10"/>
  <c r="AH93" i="8"/>
  <c r="AM22" i="8"/>
  <c r="AM52" i="8"/>
  <c r="F17" i="8"/>
  <c r="F76" i="14"/>
  <c r="F76" i="10"/>
  <c r="S79" i="14"/>
  <c r="S79" i="10"/>
  <c r="AB52" i="8"/>
  <c r="AB22" i="8"/>
  <c r="H67" i="14"/>
  <c r="H67" i="10"/>
  <c r="G82" i="10"/>
  <c r="G82" i="14"/>
  <c r="AG58" i="9"/>
  <c r="T76" i="10"/>
  <c r="T76" i="14"/>
  <c r="AO78" i="10"/>
  <c r="BQ78" i="10" s="1"/>
  <c r="AO78" i="14"/>
  <c r="AH80" i="10"/>
  <c r="AH80" i="14"/>
  <c r="AL67" i="10"/>
  <c r="AL67" i="14"/>
  <c r="G73" i="14"/>
  <c r="G73" i="10"/>
  <c r="N77" i="10"/>
  <c r="N77" i="14"/>
  <c r="Z65" i="10"/>
  <c r="Z65" i="14"/>
  <c r="Y21" i="9"/>
  <c r="Y51" i="9"/>
  <c r="AW89" i="1"/>
  <c r="AW86" i="10"/>
  <c r="AW86" i="14"/>
  <c r="Y86" i="10"/>
  <c r="Y86" i="14"/>
  <c r="Y89" i="1"/>
  <c r="W16" i="14"/>
  <c r="W16" i="10"/>
  <c r="F66" i="14"/>
  <c r="F66" i="10"/>
  <c r="Q17" i="1"/>
  <c r="Q14" i="10"/>
  <c r="Q14" i="14"/>
  <c r="AQ15" i="14"/>
  <c r="AQ15" i="10"/>
  <c r="AE95" i="14"/>
  <c r="AE96" i="14" s="1"/>
  <c r="AE97" i="14" s="1"/>
  <c r="AE96" i="1"/>
  <c r="AE95" i="10"/>
  <c r="AE96" i="10" s="1"/>
  <c r="AH64" i="10"/>
  <c r="AH64" i="14"/>
  <c r="J41" i="1"/>
  <c r="J38" i="14"/>
  <c r="J20" i="1"/>
  <c r="J38" i="10"/>
  <c r="J50" i="1"/>
  <c r="R79" i="10"/>
  <c r="R79" i="14"/>
  <c r="AS16" i="14"/>
  <c r="AS16" i="10"/>
  <c r="AN46" i="10"/>
  <c r="AN46" i="14"/>
  <c r="AN28" i="1"/>
  <c r="BO46" i="1"/>
  <c r="T51" i="8"/>
  <c r="T21" i="8"/>
  <c r="S38" i="14"/>
  <c r="S38" i="10"/>
  <c r="S41" i="1"/>
  <c r="S50" i="1"/>
  <c r="S20" i="1"/>
  <c r="T64" i="14"/>
  <c r="T64" i="10"/>
  <c r="AQ65" i="10"/>
  <c r="AQ65" i="14"/>
  <c r="I83" i="1"/>
  <c r="I63" i="14"/>
  <c r="I63" i="10"/>
  <c r="AQ67" i="10"/>
  <c r="AQ67" i="14"/>
  <c r="AH70" i="14"/>
  <c r="AH70" i="10"/>
  <c r="W52" i="8"/>
  <c r="W22" i="8"/>
  <c r="W34" i="8" s="1"/>
  <c r="F52" i="1"/>
  <c r="F40" i="10"/>
  <c r="F40" i="14"/>
  <c r="F22" i="1"/>
  <c r="D83" i="8"/>
  <c r="AK40" i="10"/>
  <c r="AK52" i="1"/>
  <c r="AK40" i="14"/>
  <c r="AK22" i="14" s="1"/>
  <c r="AK22" i="1"/>
  <c r="AO67" i="14"/>
  <c r="AO67" i="10"/>
  <c r="AE22" i="1"/>
  <c r="AE52" i="1"/>
  <c r="AE40" i="14"/>
  <c r="AE40" i="10"/>
  <c r="V73" i="10"/>
  <c r="V73" i="14"/>
  <c r="P17" i="8"/>
  <c r="E45" i="14"/>
  <c r="E45" i="10"/>
  <c r="E27" i="1"/>
  <c r="Z20" i="8"/>
  <c r="Z41" i="8"/>
  <c r="Z50" i="8"/>
  <c r="V10" i="10"/>
  <c r="V10" i="14"/>
  <c r="R14" i="14"/>
  <c r="R17" i="1"/>
  <c r="R14" i="10"/>
  <c r="R17" i="10" s="1"/>
  <c r="E89" i="1"/>
  <c r="E86" i="14"/>
  <c r="E89" i="14" s="1"/>
  <c r="E90" i="14" s="1"/>
  <c r="E86" i="10"/>
  <c r="J45" i="10"/>
  <c r="J27" i="1"/>
  <c r="J45" i="14"/>
  <c r="AR58" i="8"/>
  <c r="Q73" i="14"/>
  <c r="Q73" i="10"/>
  <c r="U74" i="10"/>
  <c r="U74" i="14"/>
  <c r="AT38" i="14"/>
  <c r="AT20" i="1"/>
  <c r="AT38" i="10"/>
  <c r="AT50" i="1"/>
  <c r="AT41" i="1"/>
  <c r="O95" i="10"/>
  <c r="O96" i="10" s="1"/>
  <c r="O95" i="14"/>
  <c r="O96" i="14" s="1"/>
  <c r="O97" i="14" s="1"/>
  <c r="O96" i="1"/>
  <c r="AS51" i="8"/>
  <c r="AS21" i="8"/>
  <c r="V57" i="14"/>
  <c r="V57" i="10"/>
  <c r="AJ27" i="8"/>
  <c r="AN65" i="14"/>
  <c r="AN65" i="10"/>
  <c r="BO65" i="1"/>
  <c r="N17" i="8"/>
  <c r="AH72" i="10"/>
  <c r="AH72" i="14"/>
  <c r="K14" i="14"/>
  <c r="K17" i="1"/>
  <c r="K14" i="10"/>
  <c r="D76" i="14"/>
  <c r="D76" i="10"/>
  <c r="BT76" i="10" s="1"/>
  <c r="AR67" i="10"/>
  <c r="AR67" i="14"/>
  <c r="Y64" i="14"/>
  <c r="Y64" i="10"/>
  <c r="AV92" i="14"/>
  <c r="AV92" i="10"/>
  <c r="AI78" i="10"/>
  <c r="AI78" i="14"/>
  <c r="P80" i="10"/>
  <c r="P80" i="14"/>
  <c r="AK74" i="10"/>
  <c r="AK74" i="14"/>
  <c r="AP9" i="10"/>
  <c r="AP9" i="14"/>
  <c r="BO9" i="14" s="1"/>
  <c r="BO9" i="1"/>
  <c r="Q50" i="8"/>
  <c r="Q41" i="8"/>
  <c r="Q20" i="8"/>
  <c r="AS58" i="1"/>
  <c r="AS56" i="10"/>
  <c r="AS56" i="14"/>
  <c r="T27" i="8"/>
  <c r="AD57" i="10"/>
  <c r="AD57" i="14"/>
  <c r="X86" i="14"/>
  <c r="X86" i="10"/>
  <c r="X89" i="1"/>
  <c r="T92" i="14"/>
  <c r="T92" i="10"/>
  <c r="AM15" i="14"/>
  <c r="AM15" i="10"/>
  <c r="Y11" i="8"/>
  <c r="E46" i="10"/>
  <c r="E28" i="1"/>
  <c r="E46" i="14"/>
  <c r="H68" i="14"/>
  <c r="H68" i="10"/>
  <c r="W57" i="14"/>
  <c r="W57" i="10"/>
  <c r="AJ45" i="10"/>
  <c r="AJ27" i="1"/>
  <c r="AJ45" i="14"/>
  <c r="AV95" i="14"/>
  <c r="AV96" i="14" s="1"/>
  <c r="AV97" i="14" s="1"/>
  <c r="AV96" i="1"/>
  <c r="AV95" i="10"/>
  <c r="AV96" i="10" s="1"/>
  <c r="AX46" i="10"/>
  <c r="AX46" i="14"/>
  <c r="AX28" i="1"/>
  <c r="AU93" i="8"/>
  <c r="AT11" i="8"/>
  <c r="V28" i="1"/>
  <c r="V46" i="10"/>
  <c r="V46" i="14"/>
  <c r="F41" i="8"/>
  <c r="F20" i="8"/>
  <c r="F50" i="8"/>
  <c r="AJ28" i="9"/>
  <c r="AL69" i="10"/>
  <c r="AL69" i="14"/>
  <c r="AJ89" i="8"/>
  <c r="AD16" i="14"/>
  <c r="AD16" i="10"/>
  <c r="X64" i="14"/>
  <c r="X64" i="10"/>
  <c r="X21" i="1"/>
  <c r="X33" i="1" s="1"/>
  <c r="X51" i="1"/>
  <c r="X39" i="14"/>
  <c r="X39" i="10"/>
  <c r="E89" i="8"/>
  <c r="AF83" i="8"/>
  <c r="AV79" i="14"/>
  <c r="AV79" i="10"/>
  <c r="AK20" i="1"/>
  <c r="AK41" i="1"/>
  <c r="AK23" i="1" s="1"/>
  <c r="AK38" i="14"/>
  <c r="AK38" i="10"/>
  <c r="AK50" i="1"/>
  <c r="Y44" i="14"/>
  <c r="Y26" i="1"/>
  <c r="Y44" i="10"/>
  <c r="Y47" i="1"/>
  <c r="V22" i="1"/>
  <c r="V40" i="10"/>
  <c r="V52" i="10" s="1"/>
  <c r="V40" i="14"/>
  <c r="V52" i="1"/>
  <c r="AD47" i="8"/>
  <c r="AD26" i="8"/>
  <c r="AD87" i="14"/>
  <c r="AD87" i="10"/>
  <c r="AO47" i="1"/>
  <c r="AO44" i="14"/>
  <c r="AO26" i="1"/>
  <c r="AO44" i="10"/>
  <c r="AO26" i="10" s="1"/>
  <c r="AV87" i="10"/>
  <c r="AV87" i="14"/>
  <c r="V8" i="14"/>
  <c r="V11" i="1"/>
  <c r="V8" i="10"/>
  <c r="L72" i="10"/>
  <c r="L72" i="14"/>
  <c r="AY95" i="14"/>
  <c r="AY96" i="14" s="1"/>
  <c r="AY97" i="14" s="1"/>
  <c r="AY96" i="1"/>
  <c r="AY95" i="10"/>
  <c r="AY96" i="10" s="1"/>
  <c r="AG39" i="10"/>
  <c r="AG21" i="10" s="1"/>
  <c r="AG51" i="1"/>
  <c r="AG21" i="1"/>
  <c r="AG39" i="14"/>
  <c r="AF15" i="10"/>
  <c r="AF15" i="14"/>
  <c r="AT17" i="8"/>
  <c r="AR51" i="8"/>
  <c r="AR21" i="8"/>
  <c r="AV80" i="14"/>
  <c r="AV80" i="10"/>
  <c r="O63" i="14"/>
  <c r="O63" i="10"/>
  <c r="O83" i="1"/>
  <c r="X11" i="1"/>
  <c r="X8" i="10"/>
  <c r="X8" i="14"/>
  <c r="N45" i="14"/>
  <c r="N27" i="1"/>
  <c r="N45" i="10"/>
  <c r="AR9" i="10"/>
  <c r="AR9" i="14"/>
  <c r="AL86" i="14"/>
  <c r="AL89" i="1"/>
  <c r="AL86" i="10"/>
  <c r="AY39" i="14"/>
  <c r="AY21" i="1"/>
  <c r="AY39" i="10"/>
  <c r="AY51" i="1"/>
  <c r="AB45" i="10"/>
  <c r="AB27" i="1"/>
  <c r="AB45" i="14"/>
  <c r="D96" i="8"/>
  <c r="AX86" i="14"/>
  <c r="AX89" i="1"/>
  <c r="AX86" i="10"/>
  <c r="O88" i="10"/>
  <c r="O88" i="14"/>
  <c r="AO46" i="14"/>
  <c r="AO46" i="10"/>
  <c r="BQ46" i="10" s="1"/>
  <c r="AO28" i="1"/>
  <c r="AY28" i="1"/>
  <c r="AY46" i="14"/>
  <c r="AY46" i="10"/>
  <c r="AQ38" i="14"/>
  <c r="AQ20" i="1"/>
  <c r="AQ41" i="1"/>
  <c r="AQ38" i="10"/>
  <c r="AQ50" i="1"/>
  <c r="AV46" i="10"/>
  <c r="AV28" i="1"/>
  <c r="AV46" i="14"/>
  <c r="AX78" i="10"/>
  <c r="AX78" i="14"/>
  <c r="AM16" i="10"/>
  <c r="AM16" i="14"/>
  <c r="T52" i="8"/>
  <c r="T22" i="8"/>
  <c r="AG72" i="10"/>
  <c r="AG72" i="14"/>
  <c r="V41" i="1"/>
  <c r="V50" i="1"/>
  <c r="V38" i="14"/>
  <c r="V20" i="14" s="1"/>
  <c r="V20" i="1"/>
  <c r="V38" i="10"/>
  <c r="V20" i="10" s="1"/>
  <c r="AN40" i="10"/>
  <c r="AN52" i="1"/>
  <c r="BO40" i="1"/>
  <c r="AN22" i="1"/>
  <c r="AN40" i="14"/>
  <c r="AR44" i="14"/>
  <c r="AR26" i="1"/>
  <c r="AR44" i="10"/>
  <c r="AR26" i="10" s="1"/>
  <c r="AR47" i="1"/>
  <c r="AR29" i="1" s="1"/>
  <c r="P64" i="14"/>
  <c r="P64" i="10"/>
  <c r="M65" i="14"/>
  <c r="M65" i="10"/>
  <c r="AI92" i="10"/>
  <c r="AI92" i="14"/>
  <c r="AL74" i="14"/>
  <c r="AL74" i="10"/>
  <c r="P65" i="14"/>
  <c r="P65" i="10"/>
  <c r="Q79" i="10"/>
  <c r="Q79" i="14"/>
  <c r="AK92" i="10"/>
  <c r="AK92" i="14"/>
  <c r="AK66" i="14"/>
  <c r="AK66" i="10"/>
  <c r="AU70" i="14"/>
  <c r="AU70" i="10"/>
  <c r="AX10" i="14"/>
  <c r="AX10" i="10"/>
  <c r="V68" i="10"/>
  <c r="V68" i="14"/>
  <c r="X27" i="8"/>
  <c r="M67" i="14"/>
  <c r="M67" i="10"/>
  <c r="Z68" i="14"/>
  <c r="Z68" i="10"/>
  <c r="AC72" i="14"/>
  <c r="AC72" i="10"/>
  <c r="R46" i="10"/>
  <c r="R28" i="10" s="1"/>
  <c r="R46" i="14"/>
  <c r="R28" i="1"/>
  <c r="H71" i="10"/>
  <c r="H71" i="14"/>
  <c r="AA44" i="14"/>
  <c r="AA26" i="1"/>
  <c r="AA44" i="10"/>
  <c r="AA47" i="1"/>
  <c r="X9" i="14"/>
  <c r="X9" i="10"/>
  <c r="AL11" i="8"/>
  <c r="AL28" i="1"/>
  <c r="AL46" i="14"/>
  <c r="AL46" i="10"/>
  <c r="N95" i="10"/>
  <c r="N96" i="10" s="1"/>
  <c r="N95" i="14"/>
  <c r="N96" i="14" s="1"/>
  <c r="N97" i="14" s="1"/>
  <c r="N96" i="1"/>
  <c r="W17" i="9"/>
  <c r="AS26" i="8"/>
  <c r="AS47" i="8"/>
  <c r="AO20" i="1"/>
  <c r="AO38" i="10"/>
  <c r="AO38" i="14"/>
  <c r="AO50" i="1"/>
  <c r="AO41" i="1"/>
  <c r="AE16" i="10"/>
  <c r="AE16" i="14"/>
  <c r="AP75" i="10"/>
  <c r="AP75" i="14"/>
  <c r="K68" i="14"/>
  <c r="K68" i="10"/>
  <c r="AL76" i="10"/>
  <c r="AL76" i="14"/>
  <c r="U15" i="10"/>
  <c r="U15" i="14"/>
  <c r="AY28" i="9"/>
  <c r="N39" i="10"/>
  <c r="N39" i="14"/>
  <c r="N21" i="1"/>
  <c r="N51" i="1"/>
  <c r="S63" i="14"/>
  <c r="S63" i="10"/>
  <c r="S83" i="1"/>
  <c r="AD10" i="14"/>
  <c r="BR10" i="14" s="1"/>
  <c r="AD10" i="10"/>
  <c r="BR10" i="1"/>
  <c r="AQ71" i="10"/>
  <c r="AQ71" i="14"/>
  <c r="AY88" i="10"/>
  <c r="AY88" i="14"/>
  <c r="AV15" i="10"/>
  <c r="AV15" i="14"/>
  <c r="AN10" i="14"/>
  <c r="AN10" i="10"/>
  <c r="AL72" i="10"/>
  <c r="AL72" i="14"/>
  <c r="S28" i="8"/>
  <c r="AE44" i="10"/>
  <c r="AE44" i="14"/>
  <c r="AE26" i="1"/>
  <c r="AE32" i="1" s="1"/>
  <c r="AE47" i="1"/>
  <c r="AV74" i="10"/>
  <c r="AV74" i="14"/>
  <c r="AP38" i="10"/>
  <c r="AP20" i="1"/>
  <c r="AP50" i="1"/>
  <c r="AP41" i="1"/>
  <c r="AP38" i="14"/>
  <c r="AM63" i="10"/>
  <c r="AM83" i="1"/>
  <c r="AM63" i="14"/>
  <c r="N78" i="14"/>
  <c r="N78" i="10"/>
  <c r="Y69" i="10"/>
  <c r="Y69" i="14"/>
  <c r="AX74" i="14"/>
  <c r="AX74" i="10"/>
  <c r="AH56" i="14"/>
  <c r="AH56" i="10"/>
  <c r="AH58" i="10" s="1"/>
  <c r="AH58" i="1"/>
  <c r="AW10" i="10"/>
  <c r="AW10" i="14"/>
  <c r="M17" i="9"/>
  <c r="AG28" i="8"/>
  <c r="AS93" i="8"/>
  <c r="E57" i="14"/>
  <c r="E57" i="10"/>
  <c r="AE66" i="14"/>
  <c r="AE66" i="10"/>
  <c r="AB28" i="8"/>
  <c r="AH92" i="10"/>
  <c r="AH92" i="14"/>
  <c r="AR68" i="14"/>
  <c r="AR68" i="10"/>
  <c r="AR8" i="14"/>
  <c r="AR8" i="10"/>
  <c r="AR11" i="1"/>
  <c r="G45" i="14"/>
  <c r="G27" i="1"/>
  <c r="G45" i="10"/>
  <c r="AT76" i="14"/>
  <c r="AT76" i="10"/>
  <c r="AB9" i="14"/>
  <c r="AB9" i="10"/>
  <c r="AV81" i="10"/>
  <c r="AV81" i="14"/>
  <c r="T78" i="14"/>
  <c r="T78" i="10"/>
  <c r="AM65" i="10"/>
  <c r="AM65" i="14"/>
  <c r="AH73" i="14"/>
  <c r="AH73" i="10"/>
  <c r="Y96" i="8"/>
  <c r="AB63" i="14"/>
  <c r="AB63" i="10"/>
  <c r="AB83" i="1"/>
  <c r="W38" i="14"/>
  <c r="W50" i="1"/>
  <c r="W20" i="1"/>
  <c r="W41" i="1"/>
  <c r="W38" i="10"/>
  <c r="W20" i="10" s="1"/>
  <c r="D56" i="10"/>
  <c r="D58" i="1"/>
  <c r="D56" i="14"/>
  <c r="AS39" i="14"/>
  <c r="AS39" i="10"/>
  <c r="AS21" i="1"/>
  <c r="AS51" i="1"/>
  <c r="O15" i="14"/>
  <c r="O15" i="10"/>
  <c r="O27" i="10" s="1"/>
  <c r="H96" i="1"/>
  <c r="H95" i="10"/>
  <c r="H96" i="10" s="1"/>
  <c r="H95" i="14"/>
  <c r="H96" i="14" s="1"/>
  <c r="H97" i="14" s="1"/>
  <c r="AT83" i="9"/>
  <c r="AF76" i="14"/>
  <c r="AF76" i="10"/>
  <c r="AY83" i="8"/>
  <c r="AL11" i="1"/>
  <c r="AL8" i="10"/>
  <c r="AL8" i="14"/>
  <c r="E88" i="14"/>
  <c r="E88" i="10"/>
  <c r="AB26" i="1"/>
  <c r="AB44" i="10"/>
  <c r="AB44" i="14"/>
  <c r="AB47" i="1"/>
  <c r="R95" i="14"/>
  <c r="R96" i="1"/>
  <c r="R95" i="10"/>
  <c r="AL50" i="8"/>
  <c r="AL20" i="8"/>
  <c r="AL41" i="8"/>
  <c r="AS63" i="14"/>
  <c r="AS63" i="10"/>
  <c r="AS83" i="1"/>
  <c r="Q9" i="10"/>
  <c r="Q9" i="14"/>
  <c r="AS68" i="14"/>
  <c r="AS68" i="10"/>
  <c r="H92" i="14"/>
  <c r="H92" i="10"/>
  <c r="AA51" i="1"/>
  <c r="AA21" i="1"/>
  <c r="AA39" i="14"/>
  <c r="AA39" i="10"/>
  <c r="AG67" i="14"/>
  <c r="AG67" i="10"/>
  <c r="AJ39" i="14"/>
  <c r="AJ51" i="1"/>
  <c r="AJ39" i="10"/>
  <c r="AJ21" i="1"/>
  <c r="AJ33" i="1" s="1"/>
  <c r="AE14" i="10"/>
  <c r="AE17" i="1"/>
  <c r="AE14" i="14"/>
  <c r="L47" i="1"/>
  <c r="L44" i="10"/>
  <c r="L44" i="14"/>
  <c r="L26" i="1"/>
  <c r="AR75" i="14"/>
  <c r="AR75" i="10"/>
  <c r="AT74" i="14"/>
  <c r="AT74" i="10"/>
  <c r="AW41" i="9"/>
  <c r="AW20" i="9"/>
  <c r="AW50" i="9"/>
  <c r="P71" i="14"/>
  <c r="P71" i="10"/>
  <c r="AF21" i="8"/>
  <c r="AF51" i="8"/>
  <c r="P79" i="14"/>
  <c r="P79" i="10"/>
  <c r="AA10" i="14"/>
  <c r="AA10" i="10"/>
  <c r="T15" i="10"/>
  <c r="T15" i="14"/>
  <c r="J88" i="14"/>
  <c r="J88" i="10"/>
  <c r="AJ14" i="14"/>
  <c r="AJ17" i="1"/>
  <c r="AJ14" i="10"/>
  <c r="W64" i="10"/>
  <c r="W64" i="14"/>
  <c r="AS67" i="10"/>
  <c r="AS67" i="14"/>
  <c r="AA9" i="14"/>
  <c r="AA9" i="10"/>
  <c r="F71" i="14"/>
  <c r="F71" i="10"/>
  <c r="AS64" i="10"/>
  <c r="AS64" i="14"/>
  <c r="I38" i="14"/>
  <c r="I38" i="10"/>
  <c r="I20" i="1"/>
  <c r="I50" i="1"/>
  <c r="I41" i="1"/>
  <c r="AJ96" i="8"/>
  <c r="D11" i="8"/>
  <c r="AO14" i="14"/>
  <c r="AO14" i="10"/>
  <c r="AO17" i="1"/>
  <c r="BO70" i="8"/>
  <c r="AB73" i="10"/>
  <c r="AB73" i="14"/>
  <c r="AH16" i="10"/>
  <c r="AH16" i="14"/>
  <c r="K93" i="1"/>
  <c r="K91" i="14"/>
  <c r="K91" i="10"/>
  <c r="K88" i="14"/>
  <c r="K88" i="10"/>
  <c r="AF63" i="14"/>
  <c r="AF63" i="10"/>
  <c r="AF83" i="1"/>
  <c r="J80" i="14"/>
  <c r="J80" i="10"/>
  <c r="E91" i="10"/>
  <c r="E91" i="14"/>
  <c r="E93" i="1"/>
  <c r="AP11" i="9"/>
  <c r="BO8" i="9"/>
  <c r="R72" i="10"/>
  <c r="R72" i="14"/>
  <c r="X72" i="14"/>
  <c r="X72" i="10"/>
  <c r="AT79" i="10"/>
  <c r="AT79" i="14"/>
  <c r="W11" i="8"/>
  <c r="E52" i="8"/>
  <c r="E22" i="8"/>
  <c r="D91" i="14"/>
  <c r="D93" i="1"/>
  <c r="D91" i="10"/>
  <c r="E92" i="14"/>
  <c r="E92" i="10"/>
  <c r="U75" i="14"/>
  <c r="U75" i="10"/>
  <c r="X82" i="14"/>
  <c r="X82" i="10"/>
  <c r="AQ21" i="8"/>
  <c r="AQ51" i="8"/>
  <c r="AP73" i="14"/>
  <c r="AP73" i="10"/>
  <c r="L83" i="8"/>
  <c r="AX75" i="10"/>
  <c r="AX75" i="14"/>
  <c r="AX14" i="14"/>
  <c r="AX14" i="10"/>
  <c r="AX17" i="1"/>
  <c r="AP10" i="14"/>
  <c r="BO10" i="14" s="1"/>
  <c r="AP10" i="10"/>
  <c r="BO10" i="1"/>
  <c r="K93" i="9"/>
  <c r="H26" i="1"/>
  <c r="H44" i="14"/>
  <c r="H44" i="10"/>
  <c r="H47" i="1"/>
  <c r="AS9" i="14"/>
  <c r="AS9" i="10"/>
  <c r="AM66" i="14"/>
  <c r="AM66" i="10"/>
  <c r="AT83" i="8"/>
  <c r="Y16" i="14"/>
  <c r="Y16" i="10"/>
  <c r="Z9" i="14"/>
  <c r="Z9" i="10"/>
  <c r="E87" i="14"/>
  <c r="E87" i="10"/>
  <c r="AB17" i="9"/>
  <c r="AR26" i="8"/>
  <c r="AR47" i="8"/>
  <c r="AM46" i="14"/>
  <c r="AM28" i="1"/>
  <c r="AM46" i="10"/>
  <c r="AH46" i="14"/>
  <c r="AH28" i="14" s="1"/>
  <c r="AH28" i="1"/>
  <c r="AH46" i="10"/>
  <c r="U17" i="1"/>
  <c r="U14" i="14"/>
  <c r="U14" i="10"/>
  <c r="S86" i="14"/>
  <c r="S89" i="1"/>
  <c r="S86" i="10"/>
  <c r="AC70" i="10"/>
  <c r="AC70" i="14"/>
  <c r="AK44" i="14"/>
  <c r="AK44" i="10"/>
  <c r="AK47" i="1"/>
  <c r="AK26" i="1"/>
  <c r="AQ64" i="14"/>
  <c r="AQ64" i="10"/>
  <c r="AL78" i="14"/>
  <c r="AL78" i="10"/>
  <c r="R27" i="8"/>
  <c r="AS87" i="10"/>
  <c r="AS87" i="14"/>
  <c r="D16" i="14"/>
  <c r="D16" i="10"/>
  <c r="AG17" i="1"/>
  <c r="AG14" i="10"/>
  <c r="AG14" i="14"/>
  <c r="H50" i="1"/>
  <c r="H38" i="14"/>
  <c r="H50" i="14" s="1"/>
  <c r="H20" i="1"/>
  <c r="H38" i="10"/>
  <c r="H41" i="1"/>
  <c r="P46" i="10"/>
  <c r="P46" i="14"/>
  <c r="P28" i="1"/>
  <c r="N22" i="1"/>
  <c r="N34" i="1" s="1"/>
  <c r="N52" i="1"/>
  <c r="N40" i="14"/>
  <c r="N52" i="14" s="1"/>
  <c r="N40" i="10"/>
  <c r="Y15" i="10"/>
  <c r="Y15" i="14"/>
  <c r="K40" i="10"/>
  <c r="K22" i="1"/>
  <c r="K52" i="1"/>
  <c r="K40" i="14"/>
  <c r="AY57" i="14"/>
  <c r="AY57" i="10"/>
  <c r="I65" i="14"/>
  <c r="I65" i="10"/>
  <c r="AP67" i="14"/>
  <c r="AP67" i="10"/>
  <c r="AX82" i="14"/>
  <c r="AX82" i="10"/>
  <c r="Z69" i="10"/>
  <c r="Z69" i="14"/>
  <c r="AY70" i="10"/>
  <c r="AY70" i="14"/>
  <c r="AD15" i="10"/>
  <c r="AD15" i="14"/>
  <c r="AD21" i="14" s="1"/>
  <c r="G9" i="14"/>
  <c r="G9" i="10"/>
  <c r="AI26" i="9"/>
  <c r="AI47" i="9"/>
  <c r="BO71" i="8"/>
  <c r="AE56" i="10"/>
  <c r="AE56" i="14"/>
  <c r="AE58" i="1"/>
  <c r="AF28" i="8"/>
  <c r="T26" i="8"/>
  <c r="T47" i="8"/>
  <c r="AK83" i="8"/>
  <c r="X68" i="10"/>
  <c r="X68" i="14"/>
  <c r="AV78" i="10"/>
  <c r="AV78" i="14"/>
  <c r="AA88" i="14"/>
  <c r="AA88" i="10"/>
  <c r="E8" i="10"/>
  <c r="E11" i="1"/>
  <c r="E8" i="14"/>
  <c r="AP14" i="14"/>
  <c r="AP17" i="1"/>
  <c r="AP14" i="10"/>
  <c r="J46" i="14"/>
  <c r="J46" i="10"/>
  <c r="J28" i="1"/>
  <c r="AS71" i="10"/>
  <c r="AS71" i="14"/>
  <c r="W92" i="10"/>
  <c r="W92" i="14"/>
  <c r="AS15" i="10"/>
  <c r="AS15" i="14"/>
  <c r="W96" i="8"/>
  <c r="H65" i="10"/>
  <c r="H65" i="14"/>
  <c r="P58" i="8"/>
  <c r="AJ58" i="8"/>
  <c r="AH66" i="14"/>
  <c r="AH66" i="10"/>
  <c r="AE93" i="1"/>
  <c r="AE91" i="14"/>
  <c r="AE91" i="10"/>
  <c r="AF72" i="10"/>
  <c r="AF72" i="14"/>
  <c r="AD73" i="14"/>
  <c r="AD73" i="10"/>
  <c r="Q21" i="9"/>
  <c r="Q51" i="9"/>
  <c r="Y20" i="8"/>
  <c r="Y41" i="8"/>
  <c r="Y50" i="8"/>
  <c r="AR72" i="14"/>
  <c r="AR72" i="10"/>
  <c r="AQ14" i="14"/>
  <c r="AQ14" i="10"/>
  <c r="AQ17" i="1"/>
  <c r="AB87" i="10"/>
  <c r="AB87" i="14"/>
  <c r="AH9" i="10"/>
  <c r="AH9" i="14"/>
  <c r="N70" i="14"/>
  <c r="N70" i="10"/>
  <c r="J67" i="10"/>
  <c r="J67" i="14"/>
  <c r="AL50" i="1"/>
  <c r="AL38" i="10"/>
  <c r="AL41" i="1"/>
  <c r="AL38" i="14"/>
  <c r="AL20" i="1"/>
  <c r="AV8" i="14"/>
  <c r="AV8" i="10"/>
  <c r="AV11" i="1"/>
  <c r="AW102" i="1" s="1"/>
  <c r="L77" i="10"/>
  <c r="L77" i="14"/>
  <c r="AQ46" i="14"/>
  <c r="AQ28" i="1"/>
  <c r="AQ46" i="10"/>
  <c r="AU56" i="10"/>
  <c r="AU56" i="14"/>
  <c r="AU58" i="1"/>
  <c r="AW39" i="14"/>
  <c r="AW21" i="1"/>
  <c r="AW51" i="1"/>
  <c r="AW39" i="10"/>
  <c r="AQ77" i="14"/>
  <c r="AQ77" i="10"/>
  <c r="J74" i="10"/>
  <c r="J74" i="14"/>
  <c r="AP28" i="1"/>
  <c r="AP46" i="14"/>
  <c r="AP46" i="10"/>
  <c r="AJ65" i="14"/>
  <c r="AJ65" i="10"/>
  <c r="AY10" i="14"/>
  <c r="AY10" i="10"/>
  <c r="AO74" i="10"/>
  <c r="AO74" i="14"/>
  <c r="AD11" i="8"/>
  <c r="BR8" i="8"/>
  <c r="AW68" i="14"/>
  <c r="AW68" i="10"/>
  <c r="AD67" i="14"/>
  <c r="AD67" i="10"/>
  <c r="Z44" i="14"/>
  <c r="Z44" i="10"/>
  <c r="Z26" i="1"/>
  <c r="Z47" i="1"/>
  <c r="Z53" i="1" s="1"/>
  <c r="AJ67" i="14"/>
  <c r="AJ67" i="10"/>
  <c r="Q89" i="9"/>
  <c r="AH71" i="14"/>
  <c r="AH71" i="10"/>
  <c r="AY82" i="10"/>
  <c r="AY82" i="14"/>
  <c r="L16" i="14"/>
  <c r="L16" i="10"/>
  <c r="AM11" i="1"/>
  <c r="AM8" i="14"/>
  <c r="AM8" i="10"/>
  <c r="R87" i="14"/>
  <c r="R87" i="10"/>
  <c r="P8" i="14"/>
  <c r="P11" i="1"/>
  <c r="P8" i="10"/>
  <c r="AN47" i="8"/>
  <c r="BO44" i="8"/>
  <c r="AN26" i="8"/>
  <c r="BO82" i="9"/>
  <c r="AO87" i="10"/>
  <c r="AO87" i="14"/>
  <c r="W89" i="9"/>
  <c r="AT27" i="8"/>
  <c r="AB8" i="10"/>
  <c r="AB8" i="14"/>
  <c r="AB11" i="1"/>
  <c r="U89" i="9"/>
  <c r="AQ68" i="14"/>
  <c r="AQ68" i="10"/>
  <c r="AF39" i="14"/>
  <c r="AF21" i="1"/>
  <c r="AF51" i="1"/>
  <c r="AF39" i="10"/>
  <c r="AJ88" i="10"/>
  <c r="AJ88" i="14"/>
  <c r="S66" i="14"/>
  <c r="S66" i="10"/>
  <c r="D88" i="14"/>
  <c r="D88" i="10"/>
  <c r="AU83" i="9"/>
  <c r="BS9" i="9"/>
  <c r="AT88" i="14"/>
  <c r="AT88" i="10"/>
  <c r="AT78" i="10"/>
  <c r="AT78" i="14"/>
  <c r="AB72" i="10"/>
  <c r="AB72" i="14"/>
  <c r="AB66" i="10"/>
  <c r="AB66" i="14"/>
  <c r="AG96" i="8"/>
  <c r="AC75" i="14"/>
  <c r="AC75" i="10"/>
  <c r="AD79" i="14"/>
  <c r="AD79" i="10"/>
  <c r="AH65" i="10"/>
  <c r="AH65" i="14"/>
  <c r="AV52" i="9"/>
  <c r="AV22" i="9"/>
  <c r="X69" i="10"/>
  <c r="X69" i="14"/>
  <c r="AA8" i="14"/>
  <c r="AA11" i="1"/>
  <c r="AA8" i="10"/>
  <c r="J65" i="10"/>
  <c r="J65" i="14"/>
  <c r="O14" i="14"/>
  <c r="O17" i="1"/>
  <c r="O14" i="10"/>
  <c r="J71" i="14"/>
  <c r="J71" i="10"/>
  <c r="AO81" i="10"/>
  <c r="AO81" i="14"/>
  <c r="AR92" i="10"/>
  <c r="AR92" i="14"/>
  <c r="Q66" i="14"/>
  <c r="Q66" i="10"/>
  <c r="AG71" i="14"/>
  <c r="AG71" i="10"/>
  <c r="AG92" i="10"/>
  <c r="AG92" i="14"/>
  <c r="E89" i="9"/>
  <c r="H15" i="14"/>
  <c r="H15" i="10"/>
  <c r="AX83" i="8"/>
  <c r="AA52" i="1"/>
  <c r="AA40" i="10"/>
  <c r="AA40" i="14"/>
  <c r="AA22" i="1"/>
  <c r="AT80" i="14"/>
  <c r="AT80" i="10"/>
  <c r="AU87" i="14"/>
  <c r="AU87" i="10"/>
  <c r="D46" i="10"/>
  <c r="D46" i="14"/>
  <c r="D28" i="1"/>
  <c r="AL77" i="10"/>
  <c r="AL77" i="14"/>
  <c r="AJ10" i="10"/>
  <c r="AJ10" i="14"/>
  <c r="AP11" i="8"/>
  <c r="BO8" i="8"/>
  <c r="AJ89" i="1"/>
  <c r="AJ86" i="10"/>
  <c r="AJ86" i="14"/>
  <c r="AQ57" i="14"/>
  <c r="AQ57" i="10"/>
  <c r="AQ58" i="10" s="1"/>
  <c r="AV65" i="14"/>
  <c r="AV65" i="10"/>
  <c r="AR66" i="14"/>
  <c r="AR66" i="10"/>
  <c r="V77" i="14"/>
  <c r="V77" i="10"/>
  <c r="AM39" i="10"/>
  <c r="AM39" i="14"/>
  <c r="AM21" i="1"/>
  <c r="AM51" i="1"/>
  <c r="AF95" i="14"/>
  <c r="AF96" i="14" s="1"/>
  <c r="AF97" i="14" s="1"/>
  <c r="AF96" i="1"/>
  <c r="AF95" i="10"/>
  <c r="AF96" i="10" s="1"/>
  <c r="AV21" i="1"/>
  <c r="AV39" i="14"/>
  <c r="AV39" i="10"/>
  <c r="AV51" i="1"/>
  <c r="AK9" i="10"/>
  <c r="AK9" i="14"/>
  <c r="T83" i="1"/>
  <c r="T63" i="14"/>
  <c r="T63" i="10"/>
  <c r="O28" i="9"/>
  <c r="D66" i="14"/>
  <c r="D66" i="10"/>
  <c r="AO58" i="8"/>
  <c r="J15" i="14"/>
  <c r="J15" i="10"/>
  <c r="K28" i="8"/>
  <c r="X50" i="8"/>
  <c r="X41" i="8"/>
  <c r="X20" i="8"/>
  <c r="AQ27" i="8"/>
  <c r="S69" i="14"/>
  <c r="S69" i="10"/>
  <c r="AQ74" i="10"/>
  <c r="AQ74" i="14"/>
  <c r="AF74" i="14"/>
  <c r="AF74" i="10"/>
  <c r="H58" i="8"/>
  <c r="AV68" i="14"/>
  <c r="AV68" i="10"/>
  <c r="W77" i="14"/>
  <c r="W77" i="10"/>
  <c r="AB27" i="8"/>
  <c r="V83" i="8"/>
  <c r="AX87" i="14"/>
  <c r="AX87" i="10"/>
  <c r="W28" i="9"/>
  <c r="W34" i="9" s="1"/>
  <c r="S87" i="14"/>
  <c r="S87" i="10"/>
  <c r="AS11" i="8"/>
  <c r="N83" i="9"/>
  <c r="AI9" i="14"/>
  <c r="AI9" i="10"/>
  <c r="AT22" i="8"/>
  <c r="AT52" i="8"/>
  <c r="X66" i="14"/>
  <c r="X66" i="10"/>
  <c r="T74" i="10"/>
  <c r="T74" i="14"/>
  <c r="G69" i="14"/>
  <c r="G69" i="10"/>
  <c r="O68" i="10"/>
  <c r="O68" i="14"/>
  <c r="AT89" i="9"/>
  <c r="AE21" i="8"/>
  <c r="AE51" i="8"/>
  <c r="AP68" i="14"/>
  <c r="AP68" i="10"/>
  <c r="AI73" i="14"/>
  <c r="AI73" i="10"/>
  <c r="AI72" i="10"/>
  <c r="AI72" i="14"/>
  <c r="I93" i="9"/>
  <c r="AB22" i="9"/>
  <c r="AB52" i="9"/>
  <c r="S27" i="9"/>
  <c r="E73" i="14"/>
  <c r="E73" i="10"/>
  <c r="AA64" i="10"/>
  <c r="AA64" i="14"/>
  <c r="L68" i="10"/>
  <c r="L68" i="14"/>
  <c r="Z64" i="14"/>
  <c r="Z64" i="10"/>
  <c r="F80" i="10"/>
  <c r="F80" i="14"/>
  <c r="AG82" i="14"/>
  <c r="AG82" i="10"/>
  <c r="BO64" i="8"/>
  <c r="D75" i="14"/>
  <c r="D75" i="10"/>
  <c r="I93" i="8"/>
  <c r="AR22" i="1"/>
  <c r="AR52" i="1"/>
  <c r="AR40" i="14"/>
  <c r="AR40" i="10"/>
  <c r="F20" i="1"/>
  <c r="F41" i="1"/>
  <c r="F50" i="1"/>
  <c r="F38" i="14"/>
  <c r="F38" i="10"/>
  <c r="AA16" i="14"/>
  <c r="AA16" i="10"/>
  <c r="AE39" i="14"/>
  <c r="AE39" i="10"/>
  <c r="AE21" i="1"/>
  <c r="AE51" i="1"/>
  <c r="AT57" i="10"/>
  <c r="AT57" i="14"/>
  <c r="AS76" i="14"/>
  <c r="AS76" i="10"/>
  <c r="AI74" i="14"/>
  <c r="AI74" i="10"/>
  <c r="G77" i="14"/>
  <c r="G77" i="10"/>
  <c r="L63" i="14"/>
  <c r="L83" i="1"/>
  <c r="L63" i="10"/>
  <c r="H9" i="14"/>
  <c r="H9" i="10"/>
  <c r="AR56" i="14"/>
  <c r="AR58" i="1"/>
  <c r="AR56" i="10"/>
  <c r="AW67" i="14"/>
  <c r="AW67" i="10"/>
  <c r="R10" i="10"/>
  <c r="R10" i="14"/>
  <c r="BS10" i="14" s="1"/>
  <c r="BS10" i="1"/>
  <c r="AU8" i="14"/>
  <c r="AU11" i="1"/>
  <c r="AU8" i="10"/>
  <c r="R47" i="1"/>
  <c r="R44" i="14"/>
  <c r="R26" i="1"/>
  <c r="R44" i="10"/>
  <c r="O73" i="10"/>
  <c r="O73" i="14"/>
  <c r="AP87" i="14"/>
  <c r="AP87" i="10"/>
  <c r="W86" i="10"/>
  <c r="W86" i="14"/>
  <c r="W89" i="1"/>
  <c r="BO64" i="9"/>
  <c r="H64" i="14"/>
  <c r="H64" i="10"/>
  <c r="L95" i="14"/>
  <c r="L96" i="14" s="1"/>
  <c r="L97" i="14" s="1"/>
  <c r="L96" i="1"/>
  <c r="L95" i="10"/>
  <c r="L96" i="10" s="1"/>
  <c r="AI81" i="10"/>
  <c r="AI81" i="14"/>
  <c r="Y88" i="14"/>
  <c r="Y88" i="10"/>
  <c r="Q27" i="9"/>
  <c r="Y28" i="8"/>
  <c r="I96" i="8"/>
  <c r="K27" i="8"/>
  <c r="X22" i="9"/>
  <c r="X52" i="9"/>
  <c r="J91" i="10"/>
  <c r="J91" i="14"/>
  <c r="J93" i="1"/>
  <c r="AP27" i="9"/>
  <c r="I51" i="8"/>
  <c r="I21" i="8"/>
  <c r="AJ72" i="10"/>
  <c r="AJ72" i="14"/>
  <c r="D44" i="14"/>
  <c r="D26" i="1"/>
  <c r="D44" i="10"/>
  <c r="D26" i="10" s="1"/>
  <c r="D47" i="1"/>
  <c r="D29" i="1" s="1"/>
  <c r="Z27" i="9"/>
  <c r="R15" i="10"/>
  <c r="R15" i="14"/>
  <c r="AV72" i="14"/>
  <c r="AV72" i="10"/>
  <c r="U87" i="14"/>
  <c r="U87" i="10"/>
  <c r="I28" i="8"/>
  <c r="AV47" i="9"/>
  <c r="AV26" i="9"/>
  <c r="J22" i="1"/>
  <c r="J40" i="14"/>
  <c r="J40" i="10"/>
  <c r="J22" i="10" s="1"/>
  <c r="J52" i="1"/>
  <c r="O58" i="9"/>
  <c r="P45" i="10"/>
  <c r="P45" i="14"/>
  <c r="P27" i="1"/>
  <c r="AP56" i="14"/>
  <c r="AP56" i="10"/>
  <c r="AP58" i="1"/>
  <c r="AW75" i="14"/>
  <c r="AW75" i="10"/>
  <c r="AX22" i="1"/>
  <c r="AX40" i="10"/>
  <c r="AX52" i="1"/>
  <c r="AX40" i="14"/>
  <c r="J63" i="14"/>
  <c r="J63" i="10"/>
  <c r="J83" i="1"/>
  <c r="AE69" i="10"/>
  <c r="AE69" i="14"/>
  <c r="AG95" i="10"/>
  <c r="AG96" i="10" s="1"/>
  <c r="AG95" i="14"/>
  <c r="AG96" i="14" s="1"/>
  <c r="AG97" i="14" s="1"/>
  <c r="AG96" i="1"/>
  <c r="AQ17" i="9"/>
  <c r="Q80" i="14"/>
  <c r="Q80" i="10"/>
  <c r="J87" i="10"/>
  <c r="J87" i="14"/>
  <c r="T58" i="8"/>
  <c r="AM77" i="14"/>
  <c r="AM77" i="10"/>
  <c r="AP95" i="14"/>
  <c r="AP96" i="14" s="1"/>
  <c r="AP97" i="14" s="1"/>
  <c r="AP96" i="1"/>
  <c r="AP95" i="10"/>
  <c r="E80" i="10"/>
  <c r="E80" i="14"/>
  <c r="AS38" i="10"/>
  <c r="AS20" i="1"/>
  <c r="AS41" i="1"/>
  <c r="AS38" i="14"/>
  <c r="AS50" i="1"/>
  <c r="AW11" i="1"/>
  <c r="AW8" i="10"/>
  <c r="AW8" i="14"/>
  <c r="Q28" i="9"/>
  <c r="S71" i="14"/>
  <c r="S71" i="10"/>
  <c r="AX65" i="14"/>
  <c r="AX65" i="10"/>
  <c r="U8" i="14"/>
  <c r="U8" i="10"/>
  <c r="U11" i="1"/>
  <c r="AK76" i="14"/>
  <c r="AK76" i="10"/>
  <c r="U73" i="14"/>
  <c r="U73" i="10"/>
  <c r="G64" i="10"/>
  <c r="G64" i="14"/>
  <c r="AC10" i="14"/>
  <c r="AC10" i="10"/>
  <c r="V9" i="14"/>
  <c r="V9" i="10"/>
  <c r="AT93" i="9"/>
  <c r="P27" i="8"/>
  <c r="AV83" i="9"/>
  <c r="Q70" i="14"/>
  <c r="Q70" i="10"/>
  <c r="AC26" i="8"/>
  <c r="AC47" i="8"/>
  <c r="P17" i="9"/>
  <c r="AT86" i="14"/>
  <c r="AT86" i="10"/>
  <c r="AT89" i="1"/>
  <c r="AW93" i="1"/>
  <c r="AW91" i="10"/>
  <c r="AW91" i="14"/>
  <c r="AN58" i="8"/>
  <c r="BO56" i="8"/>
  <c r="Z41" i="9"/>
  <c r="Z50" i="9"/>
  <c r="Z20" i="9"/>
  <c r="AU72" i="14"/>
  <c r="AU72" i="10"/>
  <c r="AL89" i="9"/>
  <c r="P58" i="1"/>
  <c r="P56" i="10"/>
  <c r="P56" i="14"/>
  <c r="E11" i="9"/>
  <c r="AW21" i="9"/>
  <c r="AW51" i="9"/>
  <c r="Q17" i="8"/>
  <c r="Y47" i="8"/>
  <c r="Y29" i="8" s="1"/>
  <c r="Y26" i="8"/>
  <c r="AN72" i="10"/>
  <c r="AN72" i="14"/>
  <c r="BO72" i="1"/>
  <c r="P75" i="10"/>
  <c r="P75" i="14"/>
  <c r="D41" i="8"/>
  <c r="D50" i="8"/>
  <c r="D20" i="8"/>
  <c r="L76" i="10"/>
  <c r="L76" i="14"/>
  <c r="D69" i="14"/>
  <c r="D69" i="10"/>
  <c r="AQ45" i="14"/>
  <c r="AQ27" i="14" s="1"/>
  <c r="AQ27" i="1"/>
  <c r="AQ45" i="10"/>
  <c r="G67" i="14"/>
  <c r="G67" i="10"/>
  <c r="AN17" i="8"/>
  <c r="BO14" i="8"/>
  <c r="BW14" i="8"/>
  <c r="AJ26" i="8"/>
  <c r="AJ47" i="8"/>
  <c r="AP88" i="14"/>
  <c r="AP88" i="10"/>
  <c r="T27" i="1"/>
  <c r="T45" i="14"/>
  <c r="T45" i="10"/>
  <c r="T27" i="10" s="1"/>
  <c r="S75" i="10"/>
  <c r="S75" i="14"/>
  <c r="E47" i="8"/>
  <c r="E26" i="8"/>
  <c r="AG56" i="14"/>
  <c r="AG56" i="10"/>
  <c r="AG58" i="1"/>
  <c r="L69" i="14"/>
  <c r="L69" i="10"/>
  <c r="T86" i="14"/>
  <c r="T86" i="10"/>
  <c r="T89" i="1"/>
  <c r="AR64" i="14"/>
  <c r="AR64" i="10"/>
  <c r="X28" i="8"/>
  <c r="M17" i="8"/>
  <c r="AV40" i="10"/>
  <c r="AV52" i="1"/>
  <c r="AV40" i="14"/>
  <c r="AV22" i="1"/>
  <c r="X63" i="14"/>
  <c r="X83" i="1"/>
  <c r="X63" i="10"/>
  <c r="AW92" i="14"/>
  <c r="AW92" i="10"/>
  <c r="AB68" i="14"/>
  <c r="AB68" i="10"/>
  <c r="AJ74" i="14"/>
  <c r="AJ74" i="10"/>
  <c r="AX67" i="10"/>
  <c r="AX67" i="14"/>
  <c r="AR11" i="8"/>
  <c r="AL44" i="14"/>
  <c r="AL44" i="10"/>
  <c r="AL47" i="10" s="1"/>
  <c r="AL47" i="1"/>
  <c r="AL26" i="1"/>
  <c r="I68" i="10"/>
  <c r="I68" i="14"/>
  <c r="AO58" i="1"/>
  <c r="AO56" i="14"/>
  <c r="AO56" i="10"/>
  <c r="Q71" i="10"/>
  <c r="Q71" i="14"/>
  <c r="Z21" i="1"/>
  <c r="Z39" i="14"/>
  <c r="Z39" i="10"/>
  <c r="Z21" i="10" s="1"/>
  <c r="Z51" i="1"/>
  <c r="Y67" i="10"/>
  <c r="Y67" i="14"/>
  <c r="AA58" i="8"/>
  <c r="AC65" i="14"/>
  <c r="AC65" i="10"/>
  <c r="L82" i="14"/>
  <c r="L82" i="10"/>
  <c r="L70" i="10"/>
  <c r="L70" i="14"/>
  <c r="S17" i="8"/>
  <c r="AH57" i="10"/>
  <c r="AH57" i="14"/>
  <c r="F57" i="10"/>
  <c r="F57" i="14"/>
  <c r="U92" i="14"/>
  <c r="U93" i="14" s="1"/>
  <c r="U94" i="14" s="1"/>
  <c r="U92" i="10"/>
  <c r="AM17" i="8"/>
  <c r="AH96" i="1"/>
  <c r="AH95" i="10"/>
  <c r="AH96" i="10" s="1"/>
  <c r="AH95" i="14"/>
  <c r="AH96" i="14" s="1"/>
  <c r="AH97" i="14" s="1"/>
  <c r="AX57" i="14"/>
  <c r="AX57" i="10"/>
  <c r="AB71" i="10"/>
  <c r="AB71" i="14"/>
  <c r="AX27" i="8"/>
  <c r="AF77" i="14"/>
  <c r="AF77" i="10"/>
  <c r="P86" i="10"/>
  <c r="P86" i="14"/>
  <c r="P89" i="1"/>
  <c r="H28" i="1"/>
  <c r="H46" i="14"/>
  <c r="H46" i="10"/>
  <c r="J27" i="8"/>
  <c r="AS58" i="8"/>
  <c r="AX11" i="8"/>
  <c r="AS66" i="14"/>
  <c r="AS66" i="10"/>
  <c r="AX47" i="8"/>
  <c r="AX26" i="8"/>
  <c r="AG80" i="10"/>
  <c r="AG80" i="14"/>
  <c r="L73" i="14"/>
  <c r="L73" i="10"/>
  <c r="V58" i="1"/>
  <c r="V56" i="14"/>
  <c r="V56" i="10"/>
  <c r="AG69" i="10"/>
  <c r="AG69" i="14"/>
  <c r="N58" i="8"/>
  <c r="M22" i="1"/>
  <c r="M52" i="1"/>
  <c r="M40" i="14"/>
  <c r="M40" i="10"/>
  <c r="Y70" i="14"/>
  <c r="Y70" i="10"/>
  <c r="N92" i="14"/>
  <c r="N92" i="10"/>
  <c r="T96" i="1"/>
  <c r="T95" i="10"/>
  <c r="T96" i="10" s="1"/>
  <c r="T95" i="14"/>
  <c r="T96" i="14" s="1"/>
  <c r="T97" i="14" s="1"/>
  <c r="K66" i="14"/>
  <c r="K66" i="10"/>
  <c r="AK15" i="14"/>
  <c r="AK15" i="10"/>
  <c r="BS10" i="9"/>
  <c r="AV14" i="10"/>
  <c r="AV17" i="1"/>
  <c r="AV14" i="14"/>
  <c r="AW93" i="8"/>
  <c r="AV27" i="8"/>
  <c r="AB11" i="9"/>
  <c r="AJ92" i="14"/>
  <c r="AJ92" i="10"/>
  <c r="D68" i="14"/>
  <c r="D68" i="10"/>
  <c r="AG91" i="14"/>
  <c r="AG93" i="1"/>
  <c r="AG91" i="10"/>
  <c r="V88" i="10"/>
  <c r="V88" i="14"/>
  <c r="AH39" i="14"/>
  <c r="AH21" i="1"/>
  <c r="AH39" i="10"/>
  <c r="AH51" i="1"/>
  <c r="O51" i="8"/>
  <c r="O21" i="8"/>
  <c r="AA28" i="1"/>
  <c r="AA46" i="10"/>
  <c r="AA46" i="14"/>
  <c r="N50" i="8"/>
  <c r="N20" i="8"/>
  <c r="N41" i="8"/>
  <c r="S93" i="9"/>
  <c r="K47" i="8"/>
  <c r="K26" i="8"/>
  <c r="AS46" i="14"/>
  <c r="AS28" i="14" s="1"/>
  <c r="AS28" i="1"/>
  <c r="AS46" i="10"/>
  <c r="H82" i="14"/>
  <c r="H82" i="10"/>
  <c r="G39" i="14"/>
  <c r="G21" i="1"/>
  <c r="G39" i="10"/>
  <c r="G51" i="1"/>
  <c r="AR17" i="8"/>
  <c r="F79" i="14"/>
  <c r="F79" i="10"/>
  <c r="L22" i="1"/>
  <c r="L40" i="14"/>
  <c r="L52" i="1"/>
  <c r="L40" i="10"/>
  <c r="L52" i="10" s="1"/>
  <c r="U57" i="14"/>
  <c r="U57" i="10"/>
  <c r="P92" i="14"/>
  <c r="P92" i="10"/>
  <c r="AL28" i="8"/>
  <c r="AX66" i="14"/>
  <c r="AX66" i="10"/>
  <c r="AW14" i="10"/>
  <c r="AW14" i="14"/>
  <c r="AW17" i="1"/>
  <c r="AP91" i="14"/>
  <c r="AP91" i="10"/>
  <c r="AP93" i="1"/>
  <c r="M75" i="14"/>
  <c r="M75" i="10"/>
  <c r="AX41" i="8"/>
  <c r="AX50" i="8"/>
  <c r="AX20" i="8"/>
  <c r="AE58" i="8"/>
  <c r="X46" i="14"/>
  <c r="X46" i="10"/>
  <c r="X28" i="1"/>
  <c r="AX9" i="14"/>
  <c r="AX9" i="10"/>
  <c r="H14" i="14"/>
  <c r="H17" i="1"/>
  <c r="H14" i="10"/>
  <c r="Z52" i="9"/>
  <c r="Z22" i="9"/>
  <c r="Q45" i="14"/>
  <c r="Q27" i="1"/>
  <c r="Q45" i="10"/>
  <c r="Q65" i="10"/>
  <c r="Q65" i="14"/>
  <c r="J51" i="8"/>
  <c r="J21" i="8"/>
  <c r="AN11" i="9"/>
  <c r="Y50" i="1"/>
  <c r="Y20" i="1"/>
  <c r="Y38" i="10"/>
  <c r="Y38" i="14"/>
  <c r="Y41" i="1"/>
  <c r="AI44" i="10"/>
  <c r="AI26" i="1"/>
  <c r="AI47" i="1"/>
  <c r="AI44" i="14"/>
  <c r="AH78" i="14"/>
  <c r="AH78" i="10"/>
  <c r="AX91" i="14"/>
  <c r="AX93" i="1"/>
  <c r="AX91" i="10"/>
  <c r="AB17" i="8"/>
  <c r="AX22" i="8"/>
  <c r="AX52" i="8"/>
  <c r="AR77" i="14"/>
  <c r="AR77" i="10"/>
  <c r="L39" i="14"/>
  <c r="L39" i="10"/>
  <c r="L51" i="1"/>
  <c r="L21" i="1"/>
  <c r="AT11" i="1"/>
  <c r="AU102" i="1" s="1"/>
  <c r="AT8" i="10"/>
  <c r="AT8" i="14"/>
  <c r="AC27" i="1"/>
  <c r="AC45" i="10"/>
  <c r="AC45" i="14"/>
  <c r="AT27" i="1"/>
  <c r="AT45" i="10"/>
  <c r="AT45" i="14"/>
  <c r="K71" i="14"/>
  <c r="K71" i="10"/>
  <c r="AD83" i="8"/>
  <c r="AO47" i="8"/>
  <c r="AO26" i="8"/>
  <c r="Q15" i="10"/>
  <c r="Q15" i="14"/>
  <c r="L78" i="14"/>
  <c r="L78" i="10"/>
  <c r="D45" i="14"/>
  <c r="D45" i="10"/>
  <c r="D27" i="1"/>
  <c r="AV9" i="10"/>
  <c r="AV9" i="14"/>
  <c r="S92" i="10"/>
  <c r="S92" i="14"/>
  <c r="R8" i="14"/>
  <c r="BS8" i="14" s="1"/>
  <c r="R11" i="1"/>
  <c r="R8" i="10"/>
  <c r="BS8" i="10" s="1"/>
  <c r="BS8" i="1"/>
  <c r="AG87" i="14"/>
  <c r="AG87" i="10"/>
  <c r="AT73" i="14"/>
  <c r="AT73" i="10"/>
  <c r="Q67" i="14"/>
  <c r="Q67" i="10"/>
  <c r="S46" i="14"/>
  <c r="S28" i="1"/>
  <c r="S46" i="10"/>
  <c r="E14" i="14"/>
  <c r="E14" i="10"/>
  <c r="E17" i="1"/>
  <c r="G41" i="1"/>
  <c r="G50" i="1"/>
  <c r="G38" i="14"/>
  <c r="G20" i="1"/>
  <c r="G38" i="10"/>
  <c r="AQ70" i="10"/>
  <c r="AQ70" i="14"/>
  <c r="E63" i="14"/>
  <c r="E63" i="10"/>
  <c r="E83" i="1"/>
  <c r="I14" i="14"/>
  <c r="I17" i="1"/>
  <c r="I14" i="10"/>
  <c r="I20" i="10" s="1"/>
  <c r="W8" i="14"/>
  <c r="W8" i="10"/>
  <c r="W11" i="1"/>
  <c r="S15" i="14"/>
  <c r="S15" i="10"/>
  <c r="O83" i="8"/>
  <c r="AO96" i="8"/>
  <c r="Z77" i="14"/>
  <c r="Z77" i="10"/>
  <c r="O91" i="14"/>
  <c r="O93" i="1"/>
  <c r="O91" i="10"/>
  <c r="S45" i="14"/>
  <c r="S27" i="14" s="1"/>
  <c r="S45" i="10"/>
  <c r="S27" i="1"/>
  <c r="U28" i="8"/>
  <c r="S73" i="14"/>
  <c r="S73" i="10"/>
  <c r="AY92" i="14"/>
  <c r="AY92" i="10"/>
  <c r="AA27" i="9"/>
  <c r="U40" i="14"/>
  <c r="U22" i="1"/>
  <c r="U40" i="10"/>
  <c r="U52" i="1"/>
  <c r="AC21" i="1"/>
  <c r="AC39" i="14"/>
  <c r="AC21" i="14" s="1"/>
  <c r="AC39" i="10"/>
  <c r="AC51" i="1"/>
  <c r="AF16" i="10"/>
  <c r="AF22" i="10" s="1"/>
  <c r="AF16" i="14"/>
  <c r="I44" i="14"/>
  <c r="I26" i="1"/>
  <c r="I47" i="1"/>
  <c r="I44" i="10"/>
  <c r="M64" i="14"/>
  <c r="M64" i="10"/>
  <c r="R39" i="14"/>
  <c r="R51" i="1"/>
  <c r="R39" i="10"/>
  <c r="R21" i="1"/>
  <c r="M16" i="10"/>
  <c r="M16" i="14"/>
  <c r="AP80" i="14"/>
  <c r="AP80" i="10"/>
  <c r="AX38" i="14"/>
  <c r="AX20" i="1"/>
  <c r="AX38" i="10"/>
  <c r="AX41" i="1"/>
  <c r="AX50" i="1"/>
  <c r="AR69" i="14"/>
  <c r="AR69" i="10"/>
  <c r="T17" i="8"/>
  <c r="F15" i="14"/>
  <c r="F15" i="10"/>
  <c r="AI58" i="8"/>
  <c r="L10" i="14"/>
  <c r="L10" i="10"/>
  <c r="O26" i="1"/>
  <c r="O44" i="10"/>
  <c r="O44" i="14"/>
  <c r="O47" i="1"/>
  <c r="AH86" i="10"/>
  <c r="AH86" i="14"/>
  <c r="AH89" i="1"/>
  <c r="AU81" i="14"/>
  <c r="AU81" i="10"/>
  <c r="AP78" i="14"/>
  <c r="AP78" i="10"/>
  <c r="AU80" i="14"/>
  <c r="AU80" i="10"/>
  <c r="U45" i="14"/>
  <c r="U27" i="1"/>
  <c r="U45" i="10"/>
  <c r="AX73" i="14"/>
  <c r="AX73" i="10"/>
  <c r="AN58" i="1"/>
  <c r="AN56" i="10"/>
  <c r="AN56" i="14"/>
  <c r="BO56" i="1"/>
  <c r="AN67" i="14"/>
  <c r="AN67" i="10"/>
  <c r="BO67" i="1"/>
  <c r="I11" i="1"/>
  <c r="I8" i="14"/>
  <c r="I8" i="10"/>
  <c r="AI38" i="14"/>
  <c r="AI20" i="14" s="1"/>
  <c r="AI20" i="1"/>
  <c r="AI41" i="1"/>
  <c r="AI50" i="1"/>
  <c r="AI38" i="10"/>
  <c r="AX16" i="14"/>
  <c r="AX16" i="10"/>
  <c r="N38" i="10"/>
  <c r="N20" i="1"/>
  <c r="N38" i="14"/>
  <c r="N50" i="1"/>
  <c r="N41" i="1"/>
  <c r="L9" i="10"/>
  <c r="L9" i="14"/>
  <c r="P72" i="10"/>
  <c r="P72" i="14"/>
  <c r="BQ10" i="8"/>
  <c r="AL40" i="10"/>
  <c r="AL52" i="10" s="1"/>
  <c r="AL22" i="1"/>
  <c r="AL52" i="1"/>
  <c r="AL40" i="14"/>
  <c r="AU57" i="14"/>
  <c r="AU57" i="10"/>
  <c r="F68" i="10"/>
  <c r="F68" i="14"/>
  <c r="AO11" i="1"/>
  <c r="AO8" i="10"/>
  <c r="AO8" i="14"/>
  <c r="BQ8" i="1"/>
  <c r="D95" i="10"/>
  <c r="D96" i="10" s="1"/>
  <c r="D95" i="14"/>
  <c r="D96" i="14" s="1"/>
  <c r="D97" i="14" s="1"/>
  <c r="D96" i="1"/>
  <c r="AI15" i="14"/>
  <c r="AI17" i="14" s="1"/>
  <c r="AI18" i="14" s="1"/>
  <c r="AI15" i="10"/>
  <c r="AU11" i="8"/>
  <c r="AI50" i="8"/>
  <c r="AI41" i="8"/>
  <c r="AI20" i="8"/>
  <c r="AQ91" i="14"/>
  <c r="AQ93" i="1"/>
  <c r="AQ91" i="10"/>
  <c r="K15" i="14"/>
  <c r="K15" i="10"/>
  <c r="AK79" i="14"/>
  <c r="AK79" i="10"/>
  <c r="X87" i="14"/>
  <c r="X87" i="10"/>
  <c r="AK8" i="14"/>
  <c r="AK8" i="10"/>
  <c r="AK11" i="1"/>
  <c r="AW58" i="9"/>
  <c r="AI95" i="14"/>
  <c r="AI96" i="14" s="1"/>
  <c r="AI97" i="14" s="1"/>
  <c r="AI96" i="1"/>
  <c r="AI95" i="10"/>
  <c r="AI96" i="10" s="1"/>
  <c r="W51" i="8"/>
  <c r="W21" i="8"/>
  <c r="T8" i="14"/>
  <c r="T8" i="10"/>
  <c r="T11" i="1"/>
  <c r="K9" i="14"/>
  <c r="K9" i="10"/>
  <c r="AX8" i="14"/>
  <c r="AX8" i="10"/>
  <c r="AX11" i="1"/>
  <c r="AS77" i="14"/>
  <c r="AS77" i="10"/>
  <c r="J69" i="10"/>
  <c r="J69" i="14"/>
  <c r="Q11" i="8"/>
  <c r="P76" i="10"/>
  <c r="P76" i="14"/>
  <c r="AI8" i="14"/>
  <c r="AI11" i="1"/>
  <c r="AI8" i="10"/>
  <c r="X92" i="14"/>
  <c r="X92" i="10"/>
  <c r="H96" i="8"/>
  <c r="AH26" i="8"/>
  <c r="AH47" i="8"/>
  <c r="AE67" i="10"/>
  <c r="AE67" i="14"/>
  <c r="G20" i="9"/>
  <c r="G50" i="9"/>
  <c r="G41" i="9"/>
  <c r="AP27" i="8"/>
  <c r="AX80" i="14"/>
  <c r="AX80" i="10"/>
  <c r="AI65" i="14"/>
  <c r="AI65" i="10"/>
  <c r="L28" i="9"/>
  <c r="AS69" i="14"/>
  <c r="AS69" i="10"/>
  <c r="AU46" i="14"/>
  <c r="AU28" i="1"/>
  <c r="AU46" i="10"/>
  <c r="AK10" i="14"/>
  <c r="AK10" i="10"/>
  <c r="AY89" i="8"/>
  <c r="AN66" i="14"/>
  <c r="AN66" i="10"/>
  <c r="BO66" i="1"/>
  <c r="M15" i="14"/>
  <c r="M15" i="10"/>
  <c r="I78" i="10"/>
  <c r="I78" i="14"/>
  <c r="AE77" i="14"/>
  <c r="AE77" i="10"/>
  <c r="I70" i="10"/>
  <c r="I70" i="14"/>
  <c r="AO28" i="9"/>
  <c r="E81" i="14"/>
  <c r="E81" i="10"/>
  <c r="AT15" i="10"/>
  <c r="AT15" i="14"/>
  <c r="AD66" i="14"/>
  <c r="AD66" i="10"/>
  <c r="AO10" i="10"/>
  <c r="AO10" i="14"/>
  <c r="BQ10" i="14" s="1"/>
  <c r="BQ10" i="1"/>
  <c r="AV51" i="8"/>
  <c r="AV21" i="8"/>
  <c r="Z46" i="14"/>
  <c r="Z28" i="1"/>
  <c r="Z46" i="10"/>
  <c r="Z52" i="10" s="1"/>
  <c r="W93" i="8"/>
  <c r="AB15" i="14"/>
  <c r="AB15" i="10"/>
  <c r="AI82" i="14"/>
  <c r="AI82" i="10"/>
  <c r="AV28" i="8"/>
  <c r="K72" i="14"/>
  <c r="K72" i="10"/>
  <c r="AM50" i="1"/>
  <c r="AM41" i="1"/>
  <c r="AM38" i="10"/>
  <c r="AM38" i="14"/>
  <c r="AM20" i="1"/>
  <c r="AH28" i="9"/>
  <c r="K11" i="9"/>
  <c r="AA17" i="8"/>
  <c r="BT8" i="8"/>
  <c r="F11" i="8"/>
  <c r="M74" i="10"/>
  <c r="M74" i="14"/>
  <c r="H91" i="14"/>
  <c r="H93" i="14" s="1"/>
  <c r="H94" i="14" s="1"/>
  <c r="H91" i="10"/>
  <c r="H93" i="1"/>
  <c r="AC73" i="14"/>
  <c r="AC73" i="10"/>
  <c r="AE17" i="8"/>
  <c r="AH15" i="10"/>
  <c r="AH15" i="14"/>
  <c r="AT58" i="1"/>
  <c r="AT56" i="10"/>
  <c r="AT56" i="14"/>
  <c r="S89" i="8"/>
  <c r="U16" i="14"/>
  <c r="U16" i="10"/>
  <c r="N64" i="10"/>
  <c r="N64" i="14"/>
  <c r="AH69" i="10"/>
  <c r="AH69" i="14"/>
  <c r="AT27" i="9"/>
  <c r="AF64" i="14"/>
  <c r="AF64" i="10"/>
  <c r="AJ38" i="10"/>
  <c r="AJ41" i="1"/>
  <c r="AJ38" i="14"/>
  <c r="AJ20" i="1"/>
  <c r="AJ50" i="1"/>
  <c r="AS73" i="10"/>
  <c r="AS73" i="14"/>
  <c r="Q87" i="10"/>
  <c r="Q87" i="14"/>
  <c r="V66" i="14"/>
  <c r="V66" i="10"/>
  <c r="U44" i="14"/>
  <c r="U44" i="10"/>
  <c r="U47" i="1"/>
  <c r="U26" i="1"/>
  <c r="I45" i="14"/>
  <c r="I27" i="1"/>
  <c r="I45" i="10"/>
  <c r="AJ91" i="10"/>
  <c r="AJ91" i="14"/>
  <c r="AJ93" i="14" s="1"/>
  <c r="AJ94" i="14" s="1"/>
  <c r="AJ93" i="1"/>
  <c r="M9" i="14"/>
  <c r="M9" i="10"/>
  <c r="AQ92" i="10"/>
  <c r="AQ92" i="14"/>
  <c r="Z82" i="10"/>
  <c r="Z82" i="14"/>
  <c r="Z67" i="14"/>
  <c r="Z67" i="10"/>
  <c r="AR10" i="14"/>
  <c r="AR10" i="10"/>
  <c r="AW15" i="10"/>
  <c r="AW15" i="14"/>
  <c r="X15" i="14"/>
  <c r="X15" i="10"/>
  <c r="AE86" i="14"/>
  <c r="AE89" i="1"/>
  <c r="AE86" i="10"/>
  <c r="AU10" i="10"/>
  <c r="AU10" i="14"/>
  <c r="AX92" i="14"/>
  <c r="AX92" i="10"/>
  <c r="AC52" i="9"/>
  <c r="AC22" i="9"/>
  <c r="AL58" i="8"/>
  <c r="AW38" i="14"/>
  <c r="AW41" i="1"/>
  <c r="AW50" i="1"/>
  <c r="AW38" i="10"/>
  <c r="AW20" i="1"/>
  <c r="AQ50" i="8"/>
  <c r="AQ41" i="8"/>
  <c r="AQ23" i="8" s="1"/>
  <c r="AQ20" i="8"/>
  <c r="F67" i="14"/>
  <c r="F67" i="10"/>
  <c r="L89" i="8"/>
  <c r="AA20" i="8"/>
  <c r="AA50" i="8"/>
  <c r="AA41" i="8"/>
  <c r="AG57" i="14"/>
  <c r="AG57" i="10"/>
  <c r="AG58" i="10" s="1"/>
  <c r="H45" i="14"/>
  <c r="H27" i="1"/>
  <c r="H45" i="10"/>
  <c r="AM89" i="1"/>
  <c r="AM86" i="10"/>
  <c r="AM86" i="14"/>
  <c r="AQ83" i="8"/>
  <c r="Q78" i="14"/>
  <c r="Q78" i="10"/>
  <c r="AX52" i="9"/>
  <c r="AX22" i="9"/>
  <c r="AX34" i="9" s="1"/>
  <c r="Z14" i="14"/>
  <c r="Z14" i="10"/>
  <c r="Z17" i="1"/>
  <c r="AV76" i="10"/>
  <c r="AV76" i="14"/>
  <c r="AR45" i="10"/>
  <c r="AR45" i="14"/>
  <c r="AR27" i="1"/>
  <c r="E15" i="14"/>
  <c r="E15" i="10"/>
  <c r="X74" i="10"/>
  <c r="X74" i="14"/>
  <c r="AW76" i="10"/>
  <c r="AW76" i="14"/>
  <c r="E66" i="10"/>
  <c r="E66" i="14"/>
  <c r="AB92" i="14"/>
  <c r="AB92" i="10"/>
  <c r="AP77" i="14"/>
  <c r="AP77" i="10"/>
  <c r="AT26" i="1"/>
  <c r="AT44" i="10"/>
  <c r="AT47" i="1"/>
  <c r="AT44" i="14"/>
  <c r="AJ76" i="14"/>
  <c r="AJ76" i="10"/>
  <c r="O87" i="14"/>
  <c r="O87" i="10"/>
  <c r="T20" i="8"/>
  <c r="T41" i="8"/>
  <c r="T53" i="8" s="1"/>
  <c r="T50" i="8"/>
  <c r="M96" i="8"/>
  <c r="U70" i="14"/>
  <c r="U70" i="10"/>
  <c r="V17" i="8"/>
  <c r="M11" i="9"/>
  <c r="AY72" i="14"/>
  <c r="AY72" i="10"/>
  <c r="AG44" i="10"/>
  <c r="AG47" i="1"/>
  <c r="AG44" i="14"/>
  <c r="AG26" i="1"/>
  <c r="AN73" i="14"/>
  <c r="BO73" i="1"/>
  <c r="AN73" i="10"/>
  <c r="M70" i="10"/>
  <c r="M70" i="14"/>
  <c r="AY74" i="14"/>
  <c r="AY74" i="10"/>
  <c r="AP82" i="14"/>
  <c r="AP82" i="10"/>
  <c r="AV27" i="1"/>
  <c r="AV33" i="1" s="1"/>
  <c r="AV45" i="14"/>
  <c r="AV45" i="10"/>
  <c r="W80" i="14"/>
  <c r="W80" i="10"/>
  <c r="AV86" i="14"/>
  <c r="AV89" i="1"/>
  <c r="AV86" i="10"/>
  <c r="AD21" i="8"/>
  <c r="AD51" i="8"/>
  <c r="H66" i="10"/>
  <c r="H66" i="14"/>
  <c r="S77" i="10"/>
  <c r="S77" i="14"/>
  <c r="AK28" i="9"/>
  <c r="AM73" i="14"/>
  <c r="AM73" i="10"/>
  <c r="AL27" i="8"/>
  <c r="V58" i="8"/>
  <c r="W91" i="10"/>
  <c r="W93" i="1"/>
  <c r="W91" i="14"/>
  <c r="AH91" i="10"/>
  <c r="AH93" i="1"/>
  <c r="AH91" i="14"/>
  <c r="AK89" i="8"/>
  <c r="AE87" i="14"/>
  <c r="AE87" i="10"/>
  <c r="I64" i="14"/>
  <c r="I64" i="10"/>
  <c r="AU39" i="14"/>
  <c r="AU39" i="10"/>
  <c r="AU21" i="1"/>
  <c r="AU51" i="1"/>
  <c r="AO66" i="10"/>
  <c r="AO66" i="14"/>
  <c r="BQ66" i="14" s="1"/>
  <c r="Z88" i="10"/>
  <c r="Z88" i="14"/>
  <c r="AJ11" i="1"/>
  <c r="AJ8" i="10"/>
  <c r="AJ8" i="14"/>
  <c r="AP92" i="14"/>
  <c r="AP92" i="10"/>
  <c r="AM70" i="14"/>
  <c r="AM70" i="10"/>
  <c r="R82" i="14"/>
  <c r="R82" i="10"/>
  <c r="I50" i="8"/>
  <c r="I20" i="8"/>
  <c r="I41" i="8"/>
  <c r="AC41" i="8"/>
  <c r="AC20" i="8"/>
  <c r="AC50" i="8"/>
  <c r="AW77" i="14"/>
  <c r="AW77" i="10"/>
  <c r="K69" i="14"/>
  <c r="K69" i="10"/>
  <c r="Y95" i="14"/>
  <c r="Y96" i="14" s="1"/>
  <c r="Y97" i="14" s="1"/>
  <c r="Y95" i="10"/>
  <c r="Y96" i="10" s="1"/>
  <c r="Y96" i="1"/>
  <c r="AH52" i="1"/>
  <c r="AH40" i="14"/>
  <c r="AH22" i="1"/>
  <c r="AH40" i="10"/>
  <c r="R51" i="8"/>
  <c r="R21" i="8"/>
  <c r="R33" i="8" s="1"/>
  <c r="K38" i="14"/>
  <c r="K20" i="1"/>
  <c r="K38" i="10"/>
  <c r="K50" i="1"/>
  <c r="K41" i="1"/>
  <c r="K23" i="1" s="1"/>
  <c r="T68" i="14"/>
  <c r="T68" i="10"/>
  <c r="AU68" i="14"/>
  <c r="AU68" i="10"/>
  <c r="AL83" i="8"/>
  <c r="G56" i="14"/>
  <c r="G56" i="10"/>
  <c r="G58" i="1"/>
  <c r="Q39" i="14"/>
  <c r="Q39" i="10"/>
  <c r="Q21" i="10" s="1"/>
  <c r="Q51" i="1"/>
  <c r="Q21" i="1"/>
  <c r="J66" i="10"/>
  <c r="J66" i="14"/>
  <c r="O75" i="10"/>
  <c r="O75" i="14"/>
  <c r="S83" i="8"/>
  <c r="N9" i="14"/>
  <c r="N9" i="10"/>
  <c r="AF69" i="14"/>
  <c r="AF69" i="10"/>
  <c r="S47" i="8"/>
  <c r="S26" i="8"/>
  <c r="AE96" i="9"/>
  <c r="AB82" i="10"/>
  <c r="AB82" i="14"/>
  <c r="AR52" i="9"/>
  <c r="AR22" i="9"/>
  <c r="AU17" i="8"/>
  <c r="AU29" i="8" s="1"/>
  <c r="AF41" i="8"/>
  <c r="AF50" i="8"/>
  <c r="AF20" i="8"/>
  <c r="S64" i="14"/>
  <c r="S64" i="10"/>
  <c r="AG10" i="14"/>
  <c r="AG10" i="10"/>
  <c r="AP22" i="8"/>
  <c r="AP52" i="8"/>
  <c r="AL58" i="9"/>
  <c r="AY63" i="14"/>
  <c r="AY63" i="10"/>
  <c r="AY83" i="1"/>
  <c r="E9" i="14"/>
  <c r="E9" i="10"/>
  <c r="T83" i="8"/>
  <c r="AT58" i="8"/>
  <c r="L67" i="10"/>
  <c r="L67" i="14"/>
  <c r="AF88" i="14"/>
  <c r="AF88" i="10"/>
  <c r="AH45" i="14"/>
  <c r="AH45" i="10"/>
  <c r="AH27" i="1"/>
  <c r="E74" i="10"/>
  <c r="E74" i="14"/>
  <c r="AG73" i="10"/>
  <c r="AG73" i="14"/>
  <c r="AD11" i="1"/>
  <c r="AD8" i="14"/>
  <c r="AD8" i="10"/>
  <c r="BR8" i="10" s="1"/>
  <c r="BR8" i="1"/>
  <c r="K63" i="14"/>
  <c r="K63" i="10"/>
  <c r="K83" i="1"/>
  <c r="E10" i="14"/>
  <c r="E10" i="10"/>
  <c r="X80" i="10"/>
  <c r="X80" i="14"/>
  <c r="AO50" i="8"/>
  <c r="AO41" i="8"/>
  <c r="AO20" i="8"/>
  <c r="L11" i="8"/>
  <c r="AS52" i="1"/>
  <c r="AS40" i="14"/>
  <c r="AS22" i="1"/>
  <c r="AS40" i="10"/>
  <c r="AT46" i="14"/>
  <c r="AT28" i="1"/>
  <c r="AT46" i="10"/>
  <c r="AI21" i="1"/>
  <c r="AI39" i="10"/>
  <c r="AI51" i="1"/>
  <c r="AI39" i="14"/>
  <c r="T71" i="10"/>
  <c r="T71" i="14"/>
  <c r="AQ56" i="14"/>
  <c r="AQ58" i="1"/>
  <c r="AQ56" i="10"/>
  <c r="F83" i="1"/>
  <c r="F63" i="14"/>
  <c r="F63" i="10"/>
  <c r="Y27" i="9"/>
  <c r="AF78" i="14"/>
  <c r="AF78" i="10"/>
  <c r="F27" i="9"/>
  <c r="AU66" i="14"/>
  <c r="AU66" i="10"/>
  <c r="AX58" i="9"/>
  <c r="V65" i="14"/>
  <c r="V65" i="10"/>
  <c r="G93" i="1"/>
  <c r="G91" i="10"/>
  <c r="G91" i="14"/>
  <c r="AY9" i="10"/>
  <c r="AY9" i="14"/>
  <c r="R9" i="10"/>
  <c r="R9" i="14"/>
  <c r="BS9" i="14" s="1"/>
  <c r="BS9" i="1"/>
  <c r="F10" i="14"/>
  <c r="BT10" i="14" s="1"/>
  <c r="F10" i="10"/>
  <c r="BT10" i="1"/>
  <c r="AH68" i="14"/>
  <c r="AH68" i="10"/>
  <c r="AC58" i="9"/>
  <c r="AQ10" i="14"/>
  <c r="AQ10" i="10"/>
  <c r="AX64" i="14"/>
  <c r="AX64" i="10"/>
  <c r="G80" i="10"/>
  <c r="G80" i="14"/>
  <c r="AA76" i="10"/>
  <c r="AA76" i="14"/>
  <c r="AY68" i="14"/>
  <c r="AY68" i="10"/>
  <c r="G58" i="9"/>
  <c r="T82" i="14"/>
  <c r="T82" i="10"/>
  <c r="AN81" i="14"/>
  <c r="AN81" i="10"/>
  <c r="BO81" i="1"/>
  <c r="AP81" i="10"/>
  <c r="AP81" i="14"/>
  <c r="W66" i="14"/>
  <c r="W66" i="10"/>
  <c r="AP83" i="8"/>
  <c r="BO68" i="9"/>
  <c r="AL88" i="14"/>
  <c r="AL88" i="10"/>
  <c r="Z22" i="8"/>
  <c r="Z52" i="8"/>
  <c r="BO78" i="8"/>
  <c r="M86" i="10"/>
  <c r="M86" i="14"/>
  <c r="M89" i="1"/>
  <c r="AX17" i="8"/>
  <c r="AP57" i="14"/>
  <c r="AP57" i="10"/>
  <c r="AM75" i="14"/>
  <c r="AM75" i="10"/>
  <c r="AJ80" i="14"/>
  <c r="AJ80" i="10"/>
  <c r="AF51" i="9"/>
  <c r="AF21" i="9"/>
  <c r="AU16" i="10"/>
  <c r="AU16" i="14"/>
  <c r="AV63" i="14"/>
  <c r="AV63" i="10"/>
  <c r="AV83" i="1"/>
  <c r="T80" i="10"/>
  <c r="T80" i="14"/>
  <c r="AK64" i="14"/>
  <c r="AK64" i="10"/>
  <c r="J22" i="8"/>
  <c r="J52" i="8"/>
  <c r="M69" i="10"/>
  <c r="M69" i="14"/>
  <c r="R81" i="10"/>
  <c r="R81" i="14"/>
  <c r="D93" i="9"/>
  <c r="L86" i="10"/>
  <c r="L86" i="14"/>
  <c r="L89" i="1"/>
  <c r="X91" i="10"/>
  <c r="X91" i="14"/>
  <c r="X93" i="1"/>
  <c r="Q75" i="14"/>
  <c r="Q75" i="10"/>
  <c r="K51" i="9"/>
  <c r="K21" i="9"/>
  <c r="R40" i="14"/>
  <c r="R40" i="10"/>
  <c r="R52" i="1"/>
  <c r="R22" i="1"/>
  <c r="X56" i="14"/>
  <c r="X56" i="10"/>
  <c r="X58" i="10" s="1"/>
  <c r="X58" i="1"/>
  <c r="T26" i="9"/>
  <c r="T47" i="9"/>
  <c r="Z73" i="14"/>
  <c r="Z73" i="10"/>
  <c r="AG38" i="14"/>
  <c r="AG50" i="14" s="1"/>
  <c r="AG20" i="1"/>
  <c r="AG32" i="1" s="1"/>
  <c r="AG50" i="1"/>
  <c r="AG38" i="10"/>
  <c r="AG41" i="1"/>
  <c r="X27" i="9"/>
  <c r="Y73" i="14"/>
  <c r="Y73" i="10"/>
  <c r="AF8" i="14"/>
  <c r="AF8" i="10"/>
  <c r="AF11" i="1"/>
  <c r="M28" i="9"/>
  <c r="W58" i="9"/>
  <c r="AG75" i="14"/>
  <c r="AG75" i="10"/>
  <c r="G51" i="8"/>
  <c r="G21" i="8"/>
  <c r="D22" i="9"/>
  <c r="D52" i="9"/>
  <c r="AV58" i="8"/>
  <c r="Q16" i="10"/>
  <c r="Q16" i="14"/>
  <c r="D72" i="10"/>
  <c r="D72" i="14"/>
  <c r="Y26" i="9"/>
  <c r="Y47" i="9"/>
  <c r="V87" i="14"/>
  <c r="V87" i="10"/>
  <c r="AL11" i="9"/>
  <c r="AU64" i="10"/>
  <c r="AU64" i="14"/>
  <c r="AL96" i="8"/>
  <c r="O89" i="8"/>
  <c r="AT20" i="8"/>
  <c r="AT32" i="8" s="1"/>
  <c r="AT50" i="8"/>
  <c r="AT41" i="8"/>
  <c r="AT53" i="8" s="1"/>
  <c r="Y58" i="9"/>
  <c r="BO66" i="8"/>
  <c r="T65" i="14"/>
  <c r="T65" i="10"/>
  <c r="AI28" i="9"/>
  <c r="AS52" i="9"/>
  <c r="AS22" i="9"/>
  <c r="S81" i="14"/>
  <c r="S81" i="10"/>
  <c r="M22" i="9"/>
  <c r="M52" i="9"/>
  <c r="AW9" i="14"/>
  <c r="AW9" i="10"/>
  <c r="AV11" i="8"/>
  <c r="I77" i="14"/>
  <c r="I77" i="10"/>
  <c r="L75" i="14"/>
  <c r="L75" i="10"/>
  <c r="AF45" i="14"/>
  <c r="AF27" i="1"/>
  <c r="AF45" i="10"/>
  <c r="AF27" i="10" s="1"/>
  <c r="D74" i="14"/>
  <c r="D74" i="10"/>
  <c r="AF9" i="14"/>
  <c r="AF9" i="10"/>
  <c r="AY80" i="10"/>
  <c r="AY80" i="14"/>
  <c r="AY16" i="14"/>
  <c r="AY16" i="10"/>
  <c r="AT65" i="14"/>
  <c r="AT65" i="10"/>
  <c r="G92" i="10"/>
  <c r="G92" i="14"/>
  <c r="BO46" i="8"/>
  <c r="AN28" i="8"/>
  <c r="X93" i="8"/>
  <c r="S95" i="14"/>
  <c r="S96" i="14" s="1"/>
  <c r="S97" i="14" s="1"/>
  <c r="S96" i="1"/>
  <c r="S95" i="10"/>
  <c r="S96" i="10" s="1"/>
  <c r="P15" i="14"/>
  <c r="P15" i="10"/>
  <c r="T87" i="14"/>
  <c r="T87" i="10"/>
  <c r="AN76" i="14"/>
  <c r="AN76" i="10"/>
  <c r="BO76" i="1"/>
  <c r="L17" i="9"/>
  <c r="X95" i="10"/>
  <c r="X96" i="10" s="1"/>
  <c r="X95" i="14"/>
  <c r="X96" i="14" s="1"/>
  <c r="X97" i="14" s="1"/>
  <c r="X96" i="1"/>
  <c r="D22" i="1"/>
  <c r="D52" i="1"/>
  <c r="D40" i="14"/>
  <c r="D40" i="10"/>
  <c r="AU88" i="14"/>
  <c r="AU88" i="10"/>
  <c r="G95" i="10"/>
  <c r="G96" i="10" s="1"/>
  <c r="G95" i="14"/>
  <c r="G96" i="14" s="1"/>
  <c r="G97" i="14" s="1"/>
  <c r="G96" i="1"/>
  <c r="AQ83" i="1"/>
  <c r="AQ63" i="14"/>
  <c r="AQ63" i="10"/>
  <c r="AY78" i="10"/>
  <c r="AY78" i="14"/>
  <c r="O8" i="14"/>
  <c r="O11" i="1"/>
  <c r="O8" i="10"/>
  <c r="AM71" i="14"/>
  <c r="AM71" i="10"/>
  <c r="AR95" i="14"/>
  <c r="AR96" i="14" s="1"/>
  <c r="AR97" i="14" s="1"/>
  <c r="AR96" i="1"/>
  <c r="AR95" i="10"/>
  <c r="AR96" i="10" s="1"/>
  <c r="AO17" i="8"/>
  <c r="T46" i="14"/>
  <c r="T46" i="10"/>
  <c r="T28" i="1"/>
  <c r="AH81" i="10"/>
  <c r="AH81" i="14"/>
  <c r="AO72" i="14"/>
  <c r="AO72" i="10"/>
  <c r="BQ72" i="10" s="1"/>
  <c r="W71" i="10"/>
  <c r="W71" i="14"/>
  <c r="X76" i="14"/>
  <c r="X76" i="10"/>
  <c r="F16" i="14"/>
  <c r="F16" i="10"/>
  <c r="AQ87" i="10"/>
  <c r="AQ87" i="14"/>
  <c r="AR71" i="14"/>
  <c r="AR71" i="10"/>
  <c r="AA80" i="14"/>
  <c r="AA80" i="10"/>
  <c r="AA72" i="10"/>
  <c r="AA72" i="14"/>
  <c r="R52" i="8"/>
  <c r="R22" i="8"/>
  <c r="T67" i="10"/>
  <c r="T67" i="14"/>
  <c r="AD72" i="10"/>
  <c r="AD72" i="14"/>
  <c r="M72" i="10"/>
  <c r="M72" i="14"/>
  <c r="N11" i="8"/>
  <c r="AI63" i="14"/>
  <c r="AI63" i="10"/>
  <c r="AI83" i="1"/>
  <c r="W70" i="14"/>
  <c r="W70" i="10"/>
  <c r="S56" i="10"/>
  <c r="S56" i="14"/>
  <c r="S58" i="1"/>
  <c r="AF93" i="8"/>
  <c r="T20" i="1"/>
  <c r="T38" i="14"/>
  <c r="T38" i="10"/>
  <c r="T41" i="1"/>
  <c r="T50" i="1"/>
  <c r="AU74" i="14"/>
  <c r="AU74" i="10"/>
  <c r="BO40" i="9"/>
  <c r="AN22" i="9"/>
  <c r="AN52" i="9"/>
  <c r="N82" i="14"/>
  <c r="N82" i="10"/>
  <c r="D73" i="14"/>
  <c r="D73" i="10"/>
  <c r="J70" i="14"/>
  <c r="J70" i="10"/>
  <c r="W79" i="14"/>
  <c r="W79" i="10"/>
  <c r="W51" i="1"/>
  <c r="W39" i="14"/>
  <c r="W21" i="1"/>
  <c r="W39" i="10"/>
  <c r="AA86" i="14"/>
  <c r="AA89" i="1"/>
  <c r="AA86" i="10"/>
  <c r="G87" i="14"/>
  <c r="G87" i="10"/>
  <c r="AH17" i="8"/>
  <c r="AL58" i="1"/>
  <c r="AL56" i="10"/>
  <c r="AL56" i="14"/>
  <c r="AB50" i="8"/>
  <c r="AB41" i="8"/>
  <c r="AB20" i="8"/>
  <c r="D21" i="1"/>
  <c r="D39" i="14"/>
  <c r="D39" i="10"/>
  <c r="D51" i="1"/>
  <c r="AC11" i="9"/>
  <c r="AI91" i="14"/>
  <c r="AI91" i="10"/>
  <c r="AI93" i="1"/>
  <c r="AP17" i="8"/>
  <c r="AP29" i="8" s="1"/>
  <c r="AJ44" i="14"/>
  <c r="AJ26" i="1"/>
  <c r="AJ47" i="1"/>
  <c r="AJ53" i="1" s="1"/>
  <c r="AJ44" i="10"/>
  <c r="G96" i="8"/>
  <c r="AD77" i="14"/>
  <c r="AD77" i="10"/>
  <c r="P83" i="8"/>
  <c r="AT9" i="10"/>
  <c r="AT9" i="14"/>
  <c r="AQ80" i="14"/>
  <c r="AQ80" i="10"/>
  <c r="AA75" i="14"/>
  <c r="AA75" i="10"/>
  <c r="AK70" i="14"/>
  <c r="AK70" i="10"/>
  <c r="AT40" i="10"/>
  <c r="AT52" i="10" s="1"/>
  <c r="AT22" i="1"/>
  <c r="AT52" i="1"/>
  <c r="AT40" i="14"/>
  <c r="J64" i="14"/>
  <c r="J64" i="10"/>
  <c r="L27" i="9"/>
  <c r="Z28" i="8"/>
  <c r="P66" i="10"/>
  <c r="P66" i="14"/>
  <c r="Q96" i="9"/>
  <c r="F58" i="1"/>
  <c r="F56" i="10"/>
  <c r="F56" i="14"/>
  <c r="AX79" i="10"/>
  <c r="AX79" i="14"/>
  <c r="L45" i="14"/>
  <c r="L45" i="10"/>
  <c r="L27" i="1"/>
  <c r="AK26" i="8"/>
  <c r="AK47" i="8"/>
  <c r="AL26" i="8"/>
  <c r="AL47" i="8"/>
  <c r="U72" i="14"/>
  <c r="U72" i="10"/>
  <c r="AU67" i="10"/>
  <c r="AU67" i="14"/>
  <c r="AQ96" i="8"/>
  <c r="Q52" i="8"/>
  <c r="Q22" i="8"/>
  <c r="AH58" i="8"/>
  <c r="AM76" i="10"/>
  <c r="AM76" i="14"/>
  <c r="N81" i="14"/>
  <c r="N81" i="10"/>
  <c r="X58" i="8"/>
  <c r="U17" i="9"/>
  <c r="U28" i="9"/>
  <c r="I92" i="14"/>
  <c r="I92" i="10"/>
  <c r="AT93" i="8"/>
  <c r="Z76" i="10"/>
  <c r="Z76" i="14"/>
  <c r="V86" i="14"/>
  <c r="V89" i="1"/>
  <c r="V86" i="10"/>
  <c r="Z91" i="14"/>
  <c r="Z93" i="1"/>
  <c r="Z91" i="10"/>
  <c r="AA96" i="1"/>
  <c r="AA95" i="14"/>
  <c r="AA96" i="14" s="1"/>
  <c r="AA97" i="14" s="1"/>
  <c r="AA95" i="10"/>
  <c r="AA96" i="10" s="1"/>
  <c r="S40" i="10"/>
  <c r="S22" i="10" s="1"/>
  <c r="S40" i="14"/>
  <c r="S22" i="14" s="1"/>
  <c r="S52" i="1"/>
  <c r="S22" i="1"/>
  <c r="F75" i="14"/>
  <c r="F75" i="10"/>
  <c r="AY52" i="9"/>
  <c r="AY22" i="9"/>
  <c r="AR17" i="9"/>
  <c r="H87" i="14"/>
  <c r="H87" i="10"/>
  <c r="F21" i="8"/>
  <c r="F51" i="8"/>
  <c r="AQ28" i="9"/>
  <c r="Y22" i="8"/>
  <c r="Y52" i="8"/>
  <c r="O20" i="9"/>
  <c r="O50" i="9"/>
  <c r="O41" i="9"/>
  <c r="V92" i="14"/>
  <c r="V92" i="10"/>
  <c r="AW73" i="10"/>
  <c r="AW73" i="14"/>
  <c r="AF14" i="14"/>
  <c r="AF14" i="10"/>
  <c r="AF17" i="1"/>
  <c r="N75" i="14"/>
  <c r="N75" i="10"/>
  <c r="V82" i="14"/>
  <c r="V82" i="10"/>
  <c r="R38" i="14"/>
  <c r="R20" i="1"/>
  <c r="R41" i="1"/>
  <c r="R53" i="1" s="1"/>
  <c r="R50" i="1"/>
  <c r="R38" i="10"/>
  <c r="I16" i="10"/>
  <c r="I16" i="14"/>
  <c r="AA51" i="9"/>
  <c r="AA21" i="9"/>
  <c r="AA71" i="14"/>
  <c r="AA71" i="10"/>
  <c r="R51" i="9"/>
  <c r="R21" i="9"/>
  <c r="AF58" i="9"/>
  <c r="L83" i="9"/>
  <c r="AH76" i="10"/>
  <c r="AH76" i="14"/>
  <c r="V83" i="1"/>
  <c r="V63" i="14"/>
  <c r="V63" i="10"/>
  <c r="J22" i="9"/>
  <c r="J52" i="9"/>
  <c r="Q28" i="8"/>
  <c r="AR80" i="10"/>
  <c r="AR80" i="14"/>
  <c r="AI70" i="10"/>
  <c r="AI70" i="14"/>
  <c r="E58" i="9"/>
  <c r="AF22" i="8"/>
  <c r="AF52" i="8"/>
  <c r="R11" i="9"/>
  <c r="BS8" i="9"/>
  <c r="AK21" i="8"/>
  <c r="AK51" i="8"/>
  <c r="BO79" i="8"/>
  <c r="D67" i="14"/>
  <c r="D67" i="10"/>
  <c r="AS27" i="9"/>
  <c r="AS57" i="14"/>
  <c r="AS57" i="10"/>
  <c r="AM96" i="8"/>
  <c r="AN15" i="14"/>
  <c r="BW15" i="1"/>
  <c r="BO21" i="1" s="1"/>
  <c r="AN15" i="10"/>
  <c r="BO15" i="1"/>
  <c r="O93" i="9"/>
  <c r="AO95" i="14"/>
  <c r="AO96" i="14" s="1"/>
  <c r="AO97" i="14" s="1"/>
  <c r="AO96" i="1"/>
  <c r="AO95" i="10"/>
  <c r="BO10" i="8"/>
  <c r="AD21" i="9"/>
  <c r="AD51" i="9"/>
  <c r="AO80" i="14"/>
  <c r="AO80" i="10"/>
  <c r="AT70" i="14"/>
  <c r="AT70" i="10"/>
  <c r="F78" i="14"/>
  <c r="F78" i="10"/>
  <c r="D17" i="9"/>
  <c r="O27" i="9"/>
  <c r="AR73" i="10"/>
  <c r="AR73" i="14"/>
  <c r="AK82" i="10"/>
  <c r="AK82" i="14"/>
  <c r="AE78" i="14"/>
  <c r="AE78" i="10"/>
  <c r="X40" i="10"/>
  <c r="X22" i="10" s="1"/>
  <c r="X40" i="14"/>
  <c r="X22" i="1"/>
  <c r="X52" i="1"/>
  <c r="Z83" i="8"/>
  <c r="AP72" i="10"/>
  <c r="AP72" i="14"/>
  <c r="N66" i="14"/>
  <c r="N66" i="10"/>
  <c r="U11" i="9"/>
  <c r="Q95" i="14"/>
  <c r="Q96" i="14" s="1"/>
  <c r="Q97" i="14" s="1"/>
  <c r="Q96" i="1"/>
  <c r="Q95" i="10"/>
  <c r="Q96" i="10" s="1"/>
  <c r="W68" i="14"/>
  <c r="W68" i="10"/>
  <c r="P50" i="9"/>
  <c r="P41" i="9"/>
  <c r="P23" i="9" s="1"/>
  <c r="P20" i="9"/>
  <c r="AU40" i="10"/>
  <c r="AU22" i="1"/>
  <c r="AU40" i="14"/>
  <c r="AU52" i="1"/>
  <c r="S28" i="9"/>
  <c r="AB69" i="10"/>
  <c r="AB69" i="14"/>
  <c r="AL92" i="14"/>
  <c r="AL92" i="10"/>
  <c r="AK28" i="8"/>
  <c r="I21" i="1"/>
  <c r="I39" i="10"/>
  <c r="I51" i="1"/>
  <c r="I39" i="14"/>
  <c r="AV66" i="14"/>
  <c r="AV66" i="10"/>
  <c r="AP26" i="9"/>
  <c r="AP47" i="9"/>
  <c r="AC71" i="14"/>
  <c r="AC71" i="10"/>
  <c r="AD74" i="14"/>
  <c r="AD74" i="10"/>
  <c r="AE9" i="10"/>
  <c r="AE9" i="14"/>
  <c r="N96" i="9"/>
  <c r="N73" i="14"/>
  <c r="N73" i="10"/>
  <c r="P52" i="8"/>
  <c r="P22" i="8"/>
  <c r="G75" i="14"/>
  <c r="G75" i="10"/>
  <c r="AJ11" i="9"/>
  <c r="Z70" i="14"/>
  <c r="Z70" i="10"/>
  <c r="O40" i="14"/>
  <c r="O40" i="10"/>
  <c r="O22" i="1"/>
  <c r="O52" i="1"/>
  <c r="AI88" i="14"/>
  <c r="AI88" i="10"/>
  <c r="Q17" i="9"/>
  <c r="AY75" i="14"/>
  <c r="AY75" i="10"/>
  <c r="V69" i="10"/>
  <c r="V69" i="14"/>
  <c r="AT16" i="14"/>
  <c r="AT16" i="10"/>
  <c r="X88" i="14"/>
  <c r="X88" i="10"/>
  <c r="AD14" i="14"/>
  <c r="AD17" i="1"/>
  <c r="AD14" i="10"/>
  <c r="AO51" i="1"/>
  <c r="AO39" i="14"/>
  <c r="AO39" i="10"/>
  <c r="AO21" i="1"/>
  <c r="I47" i="8"/>
  <c r="I26" i="8"/>
  <c r="N63" i="14"/>
  <c r="N63" i="10"/>
  <c r="N83" i="1"/>
  <c r="M63" i="14"/>
  <c r="M63" i="10"/>
  <c r="M83" i="1"/>
  <c r="AU79" i="10"/>
  <c r="AU79" i="14"/>
  <c r="U78" i="14"/>
  <c r="U78" i="10"/>
  <c r="AW28" i="1"/>
  <c r="AW46" i="10"/>
  <c r="AW46" i="14"/>
  <c r="S14" i="14"/>
  <c r="S17" i="1"/>
  <c r="S23" i="1" s="1"/>
  <c r="S14" i="10"/>
  <c r="AS10" i="14"/>
  <c r="AS10" i="10"/>
  <c r="AW17" i="8"/>
  <c r="X65" i="10"/>
  <c r="X65" i="14"/>
  <c r="K67" i="14"/>
  <c r="K67" i="10"/>
  <c r="AM10" i="14"/>
  <c r="AM10" i="10"/>
  <c r="G14" i="14"/>
  <c r="G14" i="10"/>
  <c r="G17" i="1"/>
  <c r="P57" i="10"/>
  <c r="P58" i="10" s="1"/>
  <c r="P57" i="14"/>
  <c r="E67" i="10"/>
  <c r="E67" i="14"/>
  <c r="AW82" i="14"/>
  <c r="AW82" i="10"/>
  <c r="AX81" i="14"/>
  <c r="AX81" i="10"/>
  <c r="H40" i="10"/>
  <c r="H40" i="14"/>
  <c r="H22" i="1"/>
  <c r="H34" i="1" s="1"/>
  <c r="H52" i="1"/>
  <c r="Z79" i="10"/>
  <c r="Z79" i="14"/>
  <c r="BO69" i="8"/>
  <c r="M91" i="14"/>
  <c r="M93" i="1"/>
  <c r="M91" i="10"/>
  <c r="O9" i="14"/>
  <c r="O9" i="10"/>
  <c r="AN44" i="14"/>
  <c r="AN26" i="1"/>
  <c r="AN44" i="10"/>
  <c r="BQ44" i="10" s="1"/>
  <c r="AN47" i="1"/>
  <c r="BO44" i="1"/>
  <c r="T40" i="14"/>
  <c r="T22" i="1"/>
  <c r="T52" i="1"/>
  <c r="T40" i="10"/>
  <c r="AJ56" i="14"/>
  <c r="AJ56" i="10"/>
  <c r="AJ58" i="1"/>
  <c r="W17" i="8"/>
  <c r="M80" i="14"/>
  <c r="M80" i="10"/>
  <c r="AJ64" i="14"/>
  <c r="AJ64" i="10"/>
  <c r="K96" i="1"/>
  <c r="K95" i="10"/>
  <c r="K96" i="10" s="1"/>
  <c r="K95" i="14"/>
  <c r="K96" i="14" s="1"/>
  <c r="K97" i="14" s="1"/>
  <c r="U38" i="14"/>
  <c r="U50" i="14" s="1"/>
  <c r="U38" i="10"/>
  <c r="U41" i="1"/>
  <c r="U53" i="1" s="1"/>
  <c r="U20" i="1"/>
  <c r="U32" i="1" s="1"/>
  <c r="U50" i="1"/>
  <c r="X20" i="1"/>
  <c r="X38" i="14"/>
  <c r="X38" i="10"/>
  <c r="X50" i="1"/>
  <c r="X41" i="1"/>
  <c r="AP70" i="10"/>
  <c r="AP70" i="14"/>
  <c r="AU76" i="14"/>
  <c r="AU76" i="10"/>
  <c r="AR86" i="10"/>
  <c r="AR86" i="14"/>
  <c r="AR89" i="1"/>
  <c r="AU83" i="8"/>
  <c r="Z21" i="8"/>
  <c r="Z51" i="8"/>
  <c r="AV57" i="14"/>
  <c r="AV57" i="10"/>
  <c r="Z78" i="10"/>
  <c r="Z78" i="14"/>
  <c r="J93" i="9"/>
  <c r="Z38" i="14"/>
  <c r="Z50" i="14" s="1"/>
  <c r="Z38" i="10"/>
  <c r="Z50" i="1"/>
  <c r="Z20" i="1"/>
  <c r="Z41" i="1"/>
  <c r="AF91" i="14"/>
  <c r="AF93" i="1"/>
  <c r="AF91" i="10"/>
  <c r="BT10" i="8"/>
  <c r="Q22" i="9"/>
  <c r="Q52" i="9"/>
  <c r="AS50" i="9"/>
  <c r="AS20" i="9"/>
  <c r="AS41" i="9"/>
  <c r="AA65" i="10"/>
  <c r="AA65" i="14"/>
  <c r="W10" i="10"/>
  <c r="W10" i="14"/>
  <c r="AJ27" i="9"/>
  <c r="AG9" i="14"/>
  <c r="AG9" i="10"/>
  <c r="S58" i="8"/>
  <c r="AU27" i="8"/>
  <c r="L93" i="8"/>
  <c r="AL70" i="10"/>
  <c r="AL70" i="14"/>
  <c r="Q56" i="14"/>
  <c r="Q56" i="10"/>
  <c r="Q58" i="1"/>
  <c r="AW74" i="14"/>
  <c r="AW74" i="10"/>
  <c r="Y9" i="10"/>
  <c r="Y9" i="14"/>
  <c r="P96" i="9"/>
  <c r="AV73" i="10"/>
  <c r="AV73" i="14"/>
  <c r="AA68" i="10"/>
  <c r="AA68" i="14"/>
  <c r="M71" i="10"/>
  <c r="M71" i="14"/>
  <c r="AU71" i="14"/>
  <c r="AU71" i="10"/>
  <c r="AF47" i="8"/>
  <c r="AF26" i="8"/>
  <c r="AH77" i="14"/>
  <c r="AH77" i="10"/>
  <c r="AJ16" i="14"/>
  <c r="AJ22" i="14" s="1"/>
  <c r="AJ16" i="10"/>
  <c r="AJ22" i="10" s="1"/>
  <c r="K64" i="14"/>
  <c r="K64" i="10"/>
  <c r="AG21" i="8"/>
  <c r="AG51" i="8"/>
  <c r="S11" i="9"/>
  <c r="AH52" i="8"/>
  <c r="AH22" i="8"/>
  <c r="AA87" i="14"/>
  <c r="AA87" i="10"/>
  <c r="G68" i="14"/>
  <c r="G68" i="10"/>
  <c r="AR52" i="8"/>
  <c r="AR22" i="8"/>
  <c r="AR34" i="8" s="1"/>
  <c r="J83" i="8"/>
  <c r="AO65" i="14"/>
  <c r="AO65" i="10"/>
  <c r="E93" i="9"/>
  <c r="P28" i="8"/>
  <c r="I89" i="8"/>
  <c r="O28" i="8"/>
  <c r="BO69" i="9"/>
  <c r="Z72" i="14"/>
  <c r="Z72" i="10"/>
  <c r="BO65" i="9"/>
  <c r="X51" i="9"/>
  <c r="X21" i="9"/>
  <c r="AY11" i="8"/>
  <c r="AW27" i="9"/>
  <c r="W96" i="1"/>
  <c r="W95" i="10"/>
  <c r="W96" i="10" s="1"/>
  <c r="W95" i="14"/>
  <c r="W96" i="14" s="1"/>
  <c r="W97" i="14" s="1"/>
  <c r="AF28" i="9"/>
  <c r="Q10" i="10"/>
  <c r="Q10" i="14"/>
  <c r="O17" i="8"/>
  <c r="AE82" i="14"/>
  <c r="AE82" i="10"/>
  <c r="BO76" i="8"/>
  <c r="J58" i="9"/>
  <c r="S8" i="14"/>
  <c r="S11" i="1"/>
  <c r="S8" i="10"/>
  <c r="I69" i="14"/>
  <c r="I69" i="10"/>
  <c r="F27" i="8"/>
  <c r="T14" i="10"/>
  <c r="T14" i="14"/>
  <c r="T17" i="1"/>
  <c r="AN16" i="10"/>
  <c r="AN16" i="14"/>
  <c r="BW16" i="1"/>
  <c r="BO16" i="1"/>
  <c r="AE79" i="10"/>
  <c r="AE79" i="14"/>
  <c r="X44" i="14"/>
  <c r="X26" i="1"/>
  <c r="X47" i="1"/>
  <c r="X44" i="10"/>
  <c r="AE83" i="8"/>
  <c r="T93" i="9"/>
  <c r="Q46" i="14"/>
  <c r="Q28" i="1"/>
  <c r="Q46" i="10"/>
  <c r="G44" i="14"/>
  <c r="G26" i="1"/>
  <c r="G44" i="10"/>
  <c r="G47" i="1"/>
  <c r="AY66" i="14"/>
  <c r="AY66" i="10"/>
  <c r="AB89" i="1"/>
  <c r="AB86" i="14"/>
  <c r="AB86" i="10"/>
  <c r="V96" i="8"/>
  <c r="Z75" i="14"/>
  <c r="Z75" i="10"/>
  <c r="AA15" i="10"/>
  <c r="AA21" i="10" s="1"/>
  <c r="AA15" i="14"/>
  <c r="W88" i="14"/>
  <c r="W88" i="10"/>
  <c r="AG64" i="10"/>
  <c r="AG64" i="14"/>
  <c r="AI67" i="14"/>
  <c r="AI67" i="10"/>
  <c r="AP15" i="14"/>
  <c r="AP15" i="10"/>
  <c r="AM28" i="8"/>
  <c r="U83" i="8"/>
  <c r="AW58" i="8"/>
  <c r="U63" i="10"/>
  <c r="U83" i="1"/>
  <c r="U63" i="14"/>
  <c r="AL95" i="14"/>
  <c r="AL96" i="14" s="1"/>
  <c r="AL97" i="14" s="1"/>
  <c r="AL96" i="1"/>
  <c r="AL95" i="10"/>
  <c r="AL96" i="10" s="1"/>
  <c r="AM68" i="10"/>
  <c r="AM68" i="14"/>
  <c r="AC93" i="8"/>
  <c r="H22" i="8"/>
  <c r="H52" i="8"/>
  <c r="AX28" i="8"/>
  <c r="AE75" i="14"/>
  <c r="AE75" i="10"/>
  <c r="AW56" i="10"/>
  <c r="AW58" i="1"/>
  <c r="AW56" i="14"/>
  <c r="Q64" i="14"/>
  <c r="Q64" i="10"/>
  <c r="AL17" i="8"/>
  <c r="AN38" i="10"/>
  <c r="AN50" i="1"/>
  <c r="AN38" i="14"/>
  <c r="BO38" i="1"/>
  <c r="AN41" i="1"/>
  <c r="AN20" i="1"/>
  <c r="Q91" i="14"/>
  <c r="Q91" i="10"/>
  <c r="Q93" i="1"/>
  <c r="AL52" i="8"/>
  <c r="AL22" i="8"/>
  <c r="AM72" i="14"/>
  <c r="AM72" i="10"/>
  <c r="AV17" i="9"/>
  <c r="J95" i="14"/>
  <c r="J96" i="14" s="1"/>
  <c r="J97" i="14" s="1"/>
  <c r="J95" i="10"/>
  <c r="J96" i="10" s="1"/>
  <c r="J96" i="1"/>
  <c r="M92" i="14"/>
  <c r="M92" i="10"/>
  <c r="J73" i="10"/>
  <c r="J73" i="14"/>
  <c r="V44" i="10"/>
  <c r="V47" i="1"/>
  <c r="V29" i="1" s="1"/>
  <c r="V26" i="1"/>
  <c r="V44" i="14"/>
  <c r="AD68" i="14"/>
  <c r="AD68" i="10"/>
  <c r="AJ71" i="14"/>
  <c r="AJ71" i="10"/>
  <c r="N27" i="9"/>
  <c r="G11" i="8"/>
  <c r="Q93" i="9"/>
  <c r="AR58" i="9"/>
  <c r="BO80" i="8"/>
  <c r="AI89" i="8"/>
  <c r="AI89" i="9"/>
  <c r="Z56" i="14"/>
  <c r="Z56" i="10"/>
  <c r="Z58" i="1"/>
  <c r="E96" i="8"/>
  <c r="AU28" i="9"/>
  <c r="R28" i="9"/>
  <c r="AO69" i="14"/>
  <c r="AO69" i="10"/>
  <c r="AC52" i="8"/>
  <c r="AC22" i="8"/>
  <c r="AL50" i="9"/>
  <c r="AL20" i="9"/>
  <c r="AL41" i="9"/>
  <c r="AR78" i="10"/>
  <c r="AR78" i="14"/>
  <c r="AL71" i="10"/>
  <c r="AL71" i="14"/>
  <c r="F70" i="10"/>
  <c r="F70" i="14"/>
  <c r="AY89" i="1"/>
  <c r="AY86" i="14"/>
  <c r="AY86" i="10"/>
  <c r="U89" i="8"/>
  <c r="K89" i="9"/>
  <c r="H47" i="9"/>
  <c r="H26" i="9"/>
  <c r="AD88" i="14"/>
  <c r="AD88" i="10"/>
  <c r="AY91" i="14"/>
  <c r="AY93" i="1"/>
  <c r="AY91" i="10"/>
  <c r="G76" i="10"/>
  <c r="G76" i="14"/>
  <c r="Y80" i="14"/>
  <c r="Y80" i="10"/>
  <c r="P67" i="14"/>
  <c r="P67" i="10"/>
  <c r="Z95" i="14"/>
  <c r="Z96" i="14" s="1"/>
  <c r="Z97" i="14" s="1"/>
  <c r="Z96" i="1"/>
  <c r="Z95" i="10"/>
  <c r="Z96" i="10" s="1"/>
  <c r="AM50" i="8"/>
  <c r="AM20" i="8"/>
  <c r="AM41" i="8"/>
  <c r="AL51" i="8"/>
  <c r="AL21" i="8"/>
  <c r="K22" i="9"/>
  <c r="K52" i="9"/>
  <c r="G79" i="10"/>
  <c r="G79" i="14"/>
  <c r="H16" i="10"/>
  <c r="H16" i="14"/>
  <c r="U81" i="14"/>
  <c r="U81" i="10"/>
  <c r="Q88" i="14"/>
  <c r="Q88" i="10"/>
  <c r="F28" i="8"/>
  <c r="U86" i="14"/>
  <c r="U86" i="10"/>
  <c r="U89" i="1"/>
  <c r="BO71" i="9"/>
  <c r="AV69" i="14"/>
  <c r="AV69" i="10"/>
  <c r="K79" i="10"/>
  <c r="K79" i="14"/>
  <c r="AG26" i="8"/>
  <c r="AG47" i="8"/>
  <c r="L15" i="14"/>
  <c r="L15" i="10"/>
  <c r="O80" i="14"/>
  <c r="O80" i="10"/>
  <c r="F73" i="10"/>
  <c r="F73" i="14"/>
  <c r="AQ16" i="14"/>
  <c r="AQ16" i="10"/>
  <c r="AK58" i="8"/>
  <c r="Q69" i="14"/>
  <c r="Q69" i="10"/>
  <c r="AO70" i="14"/>
  <c r="AO70" i="10"/>
  <c r="AC80" i="14"/>
  <c r="AC80" i="10"/>
  <c r="J79" i="14"/>
  <c r="J79" i="10"/>
  <c r="AB51" i="8"/>
  <c r="AB21" i="8"/>
  <c r="AB33" i="8" s="1"/>
  <c r="D86" i="14"/>
  <c r="D86" i="10"/>
  <c r="D89" i="1"/>
  <c r="AW81" i="10"/>
  <c r="AW81" i="14"/>
  <c r="AA66" i="14"/>
  <c r="AA66" i="10"/>
  <c r="V80" i="10"/>
  <c r="V80" i="14"/>
  <c r="Y21" i="8"/>
  <c r="Y51" i="8"/>
  <c r="S68" i="10"/>
  <c r="S68" i="14"/>
  <c r="AT20" i="9"/>
  <c r="AT32" i="9" s="1"/>
  <c r="AT50" i="9"/>
  <c r="AT41" i="9"/>
  <c r="Q8" i="10"/>
  <c r="Q11" i="1"/>
  <c r="R102" i="1" s="1"/>
  <c r="Q8" i="14"/>
  <c r="T73" i="14"/>
  <c r="T73" i="10"/>
  <c r="Y77" i="10"/>
  <c r="Y77" i="14"/>
  <c r="AX45" i="14"/>
  <c r="AX45" i="10"/>
  <c r="AX27" i="1"/>
  <c r="N89" i="9"/>
  <c r="AB14" i="14"/>
  <c r="AB17" i="1"/>
  <c r="AB29" i="1" s="1"/>
  <c r="AB14" i="10"/>
  <c r="U66" i="14"/>
  <c r="U66" i="10"/>
  <c r="N26" i="8"/>
  <c r="N47" i="8"/>
  <c r="AQ76" i="14"/>
  <c r="AQ76" i="10"/>
  <c r="AC96" i="9"/>
  <c r="E79" i="14"/>
  <c r="E79" i="10"/>
  <c r="AI93" i="9"/>
  <c r="AX72" i="14"/>
  <c r="AX72" i="10"/>
  <c r="AF92" i="14"/>
  <c r="AF92" i="10"/>
  <c r="T72" i="14"/>
  <c r="T72" i="10"/>
  <c r="AC77" i="14"/>
  <c r="AC77" i="10"/>
  <c r="AQ11" i="9"/>
  <c r="M77" i="14"/>
  <c r="M77" i="10"/>
  <c r="AE28" i="9"/>
  <c r="W83" i="9"/>
  <c r="N83" i="8"/>
  <c r="O17" i="9"/>
  <c r="AS89" i="9"/>
  <c r="S83" i="9"/>
  <c r="S93" i="8"/>
  <c r="AH58" i="9"/>
  <c r="AE68" i="14"/>
  <c r="AE68" i="10"/>
  <c r="AW45" i="14"/>
  <c r="AW27" i="14" s="1"/>
  <c r="AW27" i="1"/>
  <c r="AW45" i="10"/>
  <c r="Q77" i="14"/>
  <c r="Q77" i="10"/>
  <c r="AN89" i="8"/>
  <c r="BO86" i="8"/>
  <c r="BO78" i="9"/>
  <c r="BR8" i="9"/>
  <c r="AD11" i="9"/>
  <c r="O46" i="10"/>
  <c r="O46" i="14"/>
  <c r="O28" i="1"/>
  <c r="G72" i="10"/>
  <c r="G72" i="14"/>
  <c r="V75" i="14"/>
  <c r="V75" i="10"/>
  <c r="AD96" i="8"/>
  <c r="AP93" i="9"/>
  <c r="AX89" i="8"/>
  <c r="U20" i="8"/>
  <c r="U41" i="8"/>
  <c r="U50" i="8"/>
  <c r="E70" i="14"/>
  <c r="E70" i="10"/>
  <c r="I79" i="14"/>
  <c r="I79" i="10"/>
  <c r="AD27" i="9"/>
  <c r="M95" i="14"/>
  <c r="M96" i="14" s="1"/>
  <c r="M97" i="14" s="1"/>
  <c r="M96" i="1"/>
  <c r="M95" i="10"/>
  <c r="M96" i="10" s="1"/>
  <c r="AP21" i="1"/>
  <c r="AP39" i="10"/>
  <c r="AP51" i="1"/>
  <c r="AP39" i="14"/>
  <c r="AW69" i="10"/>
  <c r="AW69" i="14"/>
  <c r="Z74" i="10"/>
  <c r="Z74" i="14"/>
  <c r="P41" i="8"/>
  <c r="P20" i="8"/>
  <c r="P50" i="8"/>
  <c r="H70" i="10"/>
  <c r="H70" i="14"/>
  <c r="AH41" i="8"/>
  <c r="AH50" i="8"/>
  <c r="AH20" i="8"/>
  <c r="AK17" i="1"/>
  <c r="AK14" i="10"/>
  <c r="AK14" i="14"/>
  <c r="AB64" i="14"/>
  <c r="AB64" i="10"/>
  <c r="AI75" i="14"/>
  <c r="AI75" i="10"/>
  <c r="AC91" i="14"/>
  <c r="AC93" i="1"/>
  <c r="AC91" i="10"/>
  <c r="T81" i="14"/>
  <c r="T81" i="10"/>
  <c r="AI64" i="14"/>
  <c r="AI64" i="10"/>
  <c r="AD80" i="14"/>
  <c r="AD80" i="10"/>
  <c r="AW96" i="1"/>
  <c r="AW95" i="10"/>
  <c r="AW96" i="10" s="1"/>
  <c r="AW95" i="14"/>
  <c r="AW96" i="14" s="1"/>
  <c r="AW97" i="14" s="1"/>
  <c r="F69" i="14"/>
  <c r="F69" i="10"/>
  <c r="AY64" i="10"/>
  <c r="AY64" i="14"/>
  <c r="G8" i="10"/>
  <c r="G11" i="1"/>
  <c r="G8" i="14"/>
  <c r="G81" i="14"/>
  <c r="G81" i="10"/>
  <c r="AE65" i="10"/>
  <c r="AE65" i="14"/>
  <c r="AB38" i="14"/>
  <c r="AB41" i="1"/>
  <c r="AB50" i="1"/>
  <c r="AB20" i="1"/>
  <c r="AB38" i="10"/>
  <c r="O38" i="10"/>
  <c r="O50" i="1"/>
  <c r="O38" i="14"/>
  <c r="O20" i="1"/>
  <c r="O41" i="1"/>
  <c r="O23" i="1" s="1"/>
  <c r="K70" i="14"/>
  <c r="K70" i="10"/>
  <c r="AV16" i="14"/>
  <c r="AV16" i="10"/>
  <c r="V76" i="14"/>
  <c r="V76" i="10"/>
  <c r="BO87" i="8"/>
  <c r="V47" i="8"/>
  <c r="V26" i="8"/>
  <c r="H27" i="9"/>
  <c r="U67" i="14"/>
  <c r="U67" i="10"/>
  <c r="V28" i="8"/>
  <c r="AS88" i="10"/>
  <c r="AS88" i="14"/>
  <c r="AL39" i="10"/>
  <c r="AL21" i="10" s="1"/>
  <c r="AL51" i="1"/>
  <c r="AL39" i="14"/>
  <c r="AL21" i="1"/>
  <c r="W78" i="14"/>
  <c r="W78" i="10"/>
  <c r="AL83" i="1"/>
  <c r="AL63" i="10"/>
  <c r="AL63" i="14"/>
  <c r="AP96" i="9"/>
  <c r="W87" i="10"/>
  <c r="W87" i="14"/>
  <c r="AG41" i="9"/>
  <c r="AG50" i="9"/>
  <c r="AG20" i="9"/>
  <c r="AR88" i="14"/>
  <c r="AR88" i="10"/>
  <c r="AQ8" i="14"/>
  <c r="AQ11" i="1"/>
  <c r="AQ8" i="10"/>
  <c r="K58" i="9"/>
  <c r="AA52" i="8"/>
  <c r="AA22" i="8"/>
  <c r="AU58" i="9"/>
  <c r="O26" i="9"/>
  <c r="O47" i="9"/>
  <c r="AY96" i="9"/>
  <c r="AF58" i="8"/>
  <c r="R93" i="1"/>
  <c r="R91" i="14"/>
  <c r="R91" i="10"/>
  <c r="AN96" i="9"/>
  <c r="BO95" i="9"/>
  <c r="BO96" i="9" s="1"/>
  <c r="Y75" i="14"/>
  <c r="Y75" i="10"/>
  <c r="AU69" i="14"/>
  <c r="AU69" i="10"/>
  <c r="AT26" i="9"/>
  <c r="AT47" i="9"/>
  <c r="T79" i="10"/>
  <c r="T79" i="14"/>
  <c r="O22" i="9"/>
  <c r="O52" i="9"/>
  <c r="AX26" i="9"/>
  <c r="AX47" i="9"/>
  <c r="G17" i="8"/>
  <c r="G83" i="8"/>
  <c r="I22" i="8"/>
  <c r="I52" i="8"/>
  <c r="W47" i="8"/>
  <c r="W26" i="8"/>
  <c r="AE92" i="14"/>
  <c r="AE92" i="10"/>
  <c r="AB67" i="14"/>
  <c r="AB67" i="10"/>
  <c r="N51" i="8"/>
  <c r="N21" i="8"/>
  <c r="S10" i="14"/>
  <c r="S10" i="10"/>
  <c r="I86" i="14"/>
  <c r="I86" i="10"/>
  <c r="I89" i="1"/>
  <c r="AW40" i="10"/>
  <c r="AW22" i="1"/>
  <c r="AW40" i="14"/>
  <c r="AW52" i="1"/>
  <c r="Z58" i="8"/>
  <c r="AI46" i="14"/>
  <c r="AI46" i="10"/>
  <c r="AI28" i="1"/>
  <c r="P21" i="8"/>
  <c r="P51" i="8"/>
  <c r="AX93" i="8"/>
  <c r="M10" i="10"/>
  <c r="M10" i="14"/>
  <c r="AQ69" i="14"/>
  <c r="AQ69" i="10"/>
  <c r="S9" i="10"/>
  <c r="S9" i="14"/>
  <c r="AA14" i="10"/>
  <c r="AA20" i="10" s="1"/>
  <c r="AA14" i="14"/>
  <c r="AA17" i="1"/>
  <c r="F92" i="14"/>
  <c r="F92" i="10"/>
  <c r="AW79" i="14"/>
  <c r="AW79" i="10"/>
  <c r="AY52" i="8"/>
  <c r="AY22" i="8"/>
  <c r="T51" i="9"/>
  <c r="T21" i="9"/>
  <c r="AI69" i="10"/>
  <c r="AI69" i="14"/>
  <c r="R58" i="1"/>
  <c r="R56" i="14"/>
  <c r="R56" i="10"/>
  <c r="Z86" i="14"/>
  <c r="Z86" i="10"/>
  <c r="Z89" i="1"/>
  <c r="AF17" i="8"/>
  <c r="AI80" i="14"/>
  <c r="AI80" i="10"/>
  <c r="V64" i="14"/>
  <c r="V64" i="10"/>
  <c r="I57" i="14"/>
  <c r="I57" i="10"/>
  <c r="AD17" i="8"/>
  <c r="AY45" i="14"/>
  <c r="AY27" i="1"/>
  <c r="AY45" i="10"/>
  <c r="AN39" i="10"/>
  <c r="AN51" i="1"/>
  <c r="AN21" i="1"/>
  <c r="AN39" i="14"/>
  <c r="BO39" i="1"/>
  <c r="D47" i="8"/>
  <c r="D53" i="8" s="1"/>
  <c r="D60" i="8" s="1"/>
  <c r="D26" i="8"/>
  <c r="AQ88" i="14"/>
  <c r="AQ88" i="10"/>
  <c r="O56" i="10"/>
  <c r="O56" i="14"/>
  <c r="O58" i="1"/>
  <c r="AM95" i="10"/>
  <c r="AM96" i="10" s="1"/>
  <c r="AM95" i="14"/>
  <c r="AM96" i="14" s="1"/>
  <c r="AM97" i="14" s="1"/>
  <c r="AM96" i="1"/>
  <c r="AK27" i="1"/>
  <c r="AK45" i="14"/>
  <c r="AK45" i="10"/>
  <c r="AL27" i="9"/>
  <c r="AC64" i="14"/>
  <c r="AC64" i="10"/>
  <c r="AW57" i="10"/>
  <c r="AW57" i="14"/>
  <c r="AC57" i="14"/>
  <c r="AC57" i="10"/>
  <c r="S21" i="1"/>
  <c r="S51" i="1"/>
  <c r="S39" i="10"/>
  <c r="S39" i="14"/>
  <c r="S51" i="14" s="1"/>
  <c r="K87" i="14"/>
  <c r="K87" i="10"/>
  <c r="AF66" i="14"/>
  <c r="AF66" i="10"/>
  <c r="AO64" i="14"/>
  <c r="AO64" i="10"/>
  <c r="P83" i="9"/>
  <c r="Y58" i="1"/>
  <c r="Y56" i="10"/>
  <c r="Y56" i="14"/>
  <c r="AL57" i="14"/>
  <c r="AL57" i="10"/>
  <c r="AF87" i="14"/>
  <c r="AF87" i="10"/>
  <c r="N65" i="14"/>
  <c r="N65" i="10"/>
  <c r="E11" i="8"/>
  <c r="F39" i="10"/>
  <c r="F21" i="1"/>
  <c r="F39" i="14"/>
  <c r="F51" i="1"/>
  <c r="D28" i="8"/>
  <c r="T69" i="14"/>
  <c r="T69" i="10"/>
  <c r="V27" i="9"/>
  <c r="AM81" i="14"/>
  <c r="AM81" i="10"/>
  <c r="W46" i="14"/>
  <c r="W46" i="10"/>
  <c r="W28" i="1"/>
  <c r="X11" i="8"/>
  <c r="Y102" i="8" s="1"/>
  <c r="AV44" i="10"/>
  <c r="AV47" i="1"/>
  <c r="AV44" i="14"/>
  <c r="AV26" i="1"/>
  <c r="AK20" i="8"/>
  <c r="AK41" i="8"/>
  <c r="AK50" i="8"/>
  <c r="E76" i="14"/>
  <c r="E76" i="10"/>
  <c r="J17" i="9"/>
  <c r="AR96" i="8"/>
  <c r="AU14" i="10"/>
  <c r="AU14" i="14"/>
  <c r="AU17" i="1"/>
  <c r="AK86" i="14"/>
  <c r="AK89" i="1"/>
  <c r="AK86" i="10"/>
  <c r="R76" i="14"/>
  <c r="R76" i="10"/>
  <c r="AY96" i="8"/>
  <c r="F46" i="14"/>
  <c r="F28" i="1"/>
  <c r="F34" i="1" s="1"/>
  <c r="F46" i="10"/>
  <c r="AO57" i="10"/>
  <c r="AO57" i="14"/>
  <c r="R66" i="10"/>
  <c r="R66" i="14"/>
  <c r="AL65" i="14"/>
  <c r="AL65" i="10"/>
  <c r="R65" i="14"/>
  <c r="R65" i="10"/>
  <c r="AY65" i="10"/>
  <c r="AY65" i="14"/>
  <c r="J86" i="14"/>
  <c r="J86" i="10"/>
  <c r="J89" i="1"/>
  <c r="AB89" i="8"/>
  <c r="E40" i="14"/>
  <c r="E40" i="10"/>
  <c r="E52" i="10" s="1"/>
  <c r="E52" i="1"/>
  <c r="E22" i="1"/>
  <c r="AQ39" i="14"/>
  <c r="AQ51" i="14" s="1"/>
  <c r="AQ21" i="1"/>
  <c r="AQ51" i="1"/>
  <c r="AQ39" i="10"/>
  <c r="N27" i="8"/>
  <c r="AP44" i="14"/>
  <c r="AP26" i="14" s="1"/>
  <c r="AP26" i="1"/>
  <c r="AP32" i="1" s="1"/>
  <c r="AP44" i="10"/>
  <c r="AP47" i="1"/>
  <c r="AQ78" i="14"/>
  <c r="AQ78" i="10"/>
  <c r="AU91" i="14"/>
  <c r="AU93" i="1"/>
  <c r="AU91" i="10"/>
  <c r="I72" i="10"/>
  <c r="I72" i="14"/>
  <c r="M14" i="10"/>
  <c r="M17" i="1"/>
  <c r="M14" i="14"/>
  <c r="Y45" i="14"/>
  <c r="Y27" i="1"/>
  <c r="Y45" i="10"/>
  <c r="I10" i="14"/>
  <c r="I11" i="14" s="1"/>
  <c r="I12" i="14" s="1"/>
  <c r="I10" i="10"/>
  <c r="AK80" i="14"/>
  <c r="AK80" i="10"/>
  <c r="K16" i="14"/>
  <c r="K16" i="10"/>
  <c r="D79" i="14"/>
  <c r="D79" i="10"/>
  <c r="AS28" i="9"/>
  <c r="I28" i="1"/>
  <c r="I46" i="14"/>
  <c r="I46" i="10"/>
  <c r="AI10" i="14"/>
  <c r="AI10" i="10"/>
  <c r="Z71" i="14"/>
  <c r="Z71" i="10"/>
  <c r="AF70" i="14"/>
  <c r="AF70" i="10"/>
  <c r="AC87" i="14"/>
  <c r="AC87" i="10"/>
  <c r="AU82" i="14"/>
  <c r="AU82" i="10"/>
  <c r="AD76" i="14"/>
  <c r="AD76" i="10"/>
  <c r="Y10" i="14"/>
  <c r="Y10" i="10"/>
  <c r="M78" i="14"/>
  <c r="M78" i="10"/>
  <c r="O64" i="14"/>
  <c r="O64" i="10"/>
  <c r="M27" i="1"/>
  <c r="M45" i="14"/>
  <c r="M51" i="14" s="1"/>
  <c r="M45" i="10"/>
  <c r="M27" i="10" s="1"/>
  <c r="J9" i="14"/>
  <c r="J9" i="10"/>
  <c r="AR70" i="10"/>
  <c r="AR70" i="14"/>
  <c r="T26" i="1"/>
  <c r="T44" i="14"/>
  <c r="T44" i="10"/>
  <c r="T47" i="1"/>
  <c r="AX88" i="14"/>
  <c r="AX88" i="10"/>
  <c r="AY17" i="8"/>
  <c r="AQ83" i="9"/>
  <c r="AJ21" i="8"/>
  <c r="AJ33" i="8" s="1"/>
  <c r="AJ51" i="8"/>
  <c r="AS95" i="10"/>
  <c r="AS96" i="10" s="1"/>
  <c r="AS96" i="1"/>
  <c r="AS95" i="14"/>
  <c r="AS96" i="14" s="1"/>
  <c r="AS97" i="14" s="1"/>
  <c r="Y63" i="10"/>
  <c r="Y83" i="1"/>
  <c r="Y63" i="14"/>
  <c r="H69" i="14"/>
  <c r="H69" i="10"/>
  <c r="D87" i="14"/>
  <c r="D87" i="10"/>
  <c r="AS72" i="14"/>
  <c r="AS72" i="10"/>
  <c r="F95" i="14"/>
  <c r="F96" i="14" s="1"/>
  <c r="F97" i="14" s="1"/>
  <c r="F95" i="10"/>
  <c r="F96" i="1"/>
  <c r="AW88" i="14"/>
  <c r="AW88" i="10"/>
  <c r="AC8" i="14"/>
  <c r="AC11" i="1"/>
  <c r="AC8" i="10"/>
  <c r="AB79" i="10"/>
  <c r="AB79" i="14"/>
  <c r="Y66" i="14"/>
  <c r="Y66" i="10"/>
  <c r="M68" i="14"/>
  <c r="M68" i="10"/>
  <c r="Y78" i="10"/>
  <c r="Y78" i="14"/>
  <c r="L52" i="8"/>
  <c r="L22" i="8"/>
  <c r="AY81" i="10"/>
  <c r="AY81" i="14"/>
  <c r="T10" i="14"/>
  <c r="T10" i="10"/>
  <c r="AA74" i="14"/>
  <c r="AA74" i="10"/>
  <c r="Y83" i="9"/>
  <c r="AF67" i="14"/>
  <c r="AF67" i="10"/>
  <c r="AI40" i="14"/>
  <c r="AI22" i="14" s="1"/>
  <c r="AI22" i="1"/>
  <c r="AI40" i="10"/>
  <c r="AI52" i="1"/>
  <c r="O57" i="14"/>
  <c r="O57" i="10"/>
  <c r="U93" i="8"/>
  <c r="H89" i="8"/>
  <c r="F74" i="14"/>
  <c r="F74" i="10"/>
  <c r="BO57" i="8"/>
  <c r="Z11" i="8"/>
  <c r="Y27" i="8"/>
  <c r="I52" i="9"/>
  <c r="I22" i="9"/>
  <c r="AX21" i="8"/>
  <c r="AX51" i="8"/>
  <c r="M58" i="8"/>
  <c r="W65" i="10"/>
  <c r="W65" i="14"/>
  <c r="H88" i="14"/>
  <c r="H88" i="10"/>
  <c r="AO92" i="10"/>
  <c r="AO92" i="14"/>
  <c r="H47" i="8"/>
  <c r="H26" i="8"/>
  <c r="H32" i="8" s="1"/>
  <c r="AP86" i="10"/>
  <c r="AP86" i="14"/>
  <c r="AP89" i="1"/>
  <c r="E51" i="9"/>
  <c r="E21" i="9"/>
  <c r="Z10" i="14"/>
  <c r="Z10" i="10"/>
  <c r="AF73" i="10"/>
  <c r="AF73" i="14"/>
  <c r="AU92" i="10"/>
  <c r="AU92" i="14"/>
  <c r="L88" i="14"/>
  <c r="L88" i="10"/>
  <c r="V45" i="10"/>
  <c r="V45" i="14"/>
  <c r="V27" i="1"/>
  <c r="AM57" i="14"/>
  <c r="AM57" i="10"/>
  <c r="G65" i="14"/>
  <c r="G65" i="10"/>
  <c r="G88" i="10"/>
  <c r="G88" i="14"/>
  <c r="R57" i="14"/>
  <c r="R57" i="10"/>
  <c r="AU15" i="14"/>
  <c r="AU15" i="10"/>
  <c r="N69" i="14"/>
  <c r="N69" i="10"/>
  <c r="J89" i="9"/>
  <c r="AQ58" i="9"/>
  <c r="AW50" i="8"/>
  <c r="AW20" i="8"/>
  <c r="AW41" i="8"/>
  <c r="AK81" i="14"/>
  <c r="AK81" i="10"/>
  <c r="AU65" i="14"/>
  <c r="AU65" i="10"/>
  <c r="X17" i="8"/>
  <c r="AD83" i="9"/>
  <c r="AB83" i="8"/>
  <c r="K74" i="10"/>
  <c r="K74" i="14"/>
  <c r="U46" i="14"/>
  <c r="U46" i="10"/>
  <c r="U28" i="1"/>
  <c r="AC22" i="1"/>
  <c r="AC40" i="10"/>
  <c r="AC52" i="1"/>
  <c r="AC40" i="14"/>
  <c r="N76" i="14"/>
  <c r="N76" i="10"/>
  <c r="M44" i="14"/>
  <c r="M44" i="10"/>
  <c r="M26" i="1"/>
  <c r="M47" i="1"/>
  <c r="P73" i="10"/>
  <c r="P73" i="14"/>
  <c r="D9" i="10"/>
  <c r="D9" i="14"/>
  <c r="J76" i="10"/>
  <c r="J76" i="14"/>
  <c r="AJ17" i="8"/>
  <c r="AJ29" i="8" s="1"/>
  <c r="R69" i="10"/>
  <c r="R69" i="14"/>
  <c r="O16" i="14"/>
  <c r="O16" i="10"/>
  <c r="O17" i="10" s="1"/>
  <c r="M38" i="14"/>
  <c r="M20" i="1"/>
  <c r="M38" i="10"/>
  <c r="M50" i="1"/>
  <c r="M41" i="1"/>
  <c r="AD92" i="10"/>
  <c r="AD92" i="14"/>
  <c r="AV38" i="10"/>
  <c r="AV41" i="1"/>
  <c r="AV50" i="1"/>
  <c r="AV38" i="14"/>
  <c r="AV20" i="1"/>
  <c r="AJ15" i="14"/>
  <c r="AJ17" i="14" s="1"/>
  <c r="AJ18" i="14" s="1"/>
  <c r="AJ15" i="10"/>
  <c r="AJ21" i="10" s="1"/>
  <c r="AI79" i="14"/>
  <c r="AI79" i="10"/>
  <c r="D65" i="10"/>
  <c r="D65" i="14"/>
  <c r="AC17" i="1"/>
  <c r="AC14" i="14"/>
  <c r="AC14" i="10"/>
  <c r="J44" i="14"/>
  <c r="J44" i="10"/>
  <c r="J26" i="1"/>
  <c r="J47" i="1"/>
  <c r="Z8" i="14"/>
  <c r="Z8" i="10"/>
  <c r="Z11" i="1"/>
  <c r="Q20" i="1"/>
  <c r="Q38" i="10"/>
  <c r="Q41" i="1"/>
  <c r="Q50" i="1"/>
  <c r="Q38" i="14"/>
  <c r="H75" i="14"/>
  <c r="H75" i="10"/>
  <c r="AE81" i="14"/>
  <c r="AE81" i="10"/>
  <c r="AB81" i="14"/>
  <c r="AB81" i="10"/>
  <c r="AD9" i="14"/>
  <c r="BR9" i="14" s="1"/>
  <c r="AD9" i="10"/>
  <c r="BR9" i="1"/>
  <c r="AU28" i="8"/>
  <c r="AX39" i="14"/>
  <c r="AX39" i="10"/>
  <c r="AX21" i="1"/>
  <c r="AX51" i="1"/>
  <c r="I15" i="10"/>
  <c r="I15" i="14"/>
  <c r="R47" i="8"/>
  <c r="R26" i="8"/>
  <c r="AJ70" i="10"/>
  <c r="AJ70" i="14"/>
  <c r="AD63" i="14"/>
  <c r="AD63" i="10"/>
  <c r="AD83" i="1"/>
  <c r="AR65" i="10"/>
  <c r="AR65" i="14"/>
  <c r="J17" i="8"/>
  <c r="Z45" i="14"/>
  <c r="Z45" i="10"/>
  <c r="Z27" i="1"/>
  <c r="AW21" i="8"/>
  <c r="AW51" i="8"/>
  <c r="V50" i="8"/>
  <c r="V20" i="8"/>
  <c r="V41" i="8"/>
  <c r="AG68" i="10"/>
  <c r="AG68" i="14"/>
  <c r="P91" i="14"/>
  <c r="P93" i="14" s="1"/>
  <c r="P94" i="14" s="1"/>
  <c r="P93" i="1"/>
  <c r="P91" i="10"/>
  <c r="AO91" i="14"/>
  <c r="AO91" i="10"/>
  <c r="AO93" i="1"/>
  <c r="G15" i="14"/>
  <c r="G15" i="10"/>
  <c r="AM40" i="10"/>
  <c r="AM52" i="10" s="1"/>
  <c r="AM52" i="1"/>
  <c r="AM22" i="1"/>
  <c r="AM40" i="14"/>
  <c r="AM52" i="14" s="1"/>
  <c r="P87" i="10"/>
  <c r="P87" i="14"/>
  <c r="Q74" i="14"/>
  <c r="Q74" i="10"/>
  <c r="AU45" i="14"/>
  <c r="AU45" i="10"/>
  <c r="AU27" i="1"/>
  <c r="G40" i="10"/>
  <c r="G52" i="1"/>
  <c r="G22" i="1"/>
  <c r="G40" i="14"/>
  <c r="AT39" i="14"/>
  <c r="AT39" i="10"/>
  <c r="AT21" i="10" s="1"/>
  <c r="AT21" i="1"/>
  <c r="AT51" i="1"/>
  <c r="AP79" i="14"/>
  <c r="AP79" i="10"/>
  <c r="J68" i="14"/>
  <c r="J68" i="10"/>
  <c r="AR74" i="14"/>
  <c r="AR74" i="10"/>
  <c r="AN95" i="14"/>
  <c r="AN95" i="10"/>
  <c r="AN96" i="10" s="1"/>
  <c r="AN96" i="1"/>
  <c r="BO95" i="1"/>
  <c r="BO96" i="1" s="1"/>
  <c r="J10" i="14"/>
  <c r="J10" i="10"/>
  <c r="AY51" i="8"/>
  <c r="AY21" i="8"/>
  <c r="E96" i="1"/>
  <c r="E95" i="14"/>
  <c r="E96" i="14" s="1"/>
  <c r="E97" i="14" s="1"/>
  <c r="E95" i="10"/>
  <c r="E96" i="10" s="1"/>
  <c r="AK75" i="14"/>
  <c r="AK75" i="10"/>
  <c r="L38" i="14"/>
  <c r="L20" i="1"/>
  <c r="L38" i="10"/>
  <c r="L50" i="1"/>
  <c r="L41" i="1"/>
  <c r="M46" i="14"/>
  <c r="M28" i="1"/>
  <c r="M46" i="10"/>
  <c r="AV17" i="8"/>
  <c r="W45" i="10"/>
  <c r="W27" i="1"/>
  <c r="W45" i="14"/>
  <c r="AT81" i="10"/>
  <c r="AT81" i="14"/>
  <c r="F27" i="1"/>
  <c r="F45" i="14"/>
  <c r="F45" i="10"/>
  <c r="H63" i="14"/>
  <c r="H63" i="10"/>
  <c r="H83" i="1"/>
  <c r="D92" i="14"/>
  <c r="D92" i="10"/>
  <c r="AJ87" i="14"/>
  <c r="AJ87" i="10"/>
  <c r="F88" i="14"/>
  <c r="F88" i="10"/>
  <c r="M8" i="14"/>
  <c r="M11" i="1"/>
  <c r="M8" i="10"/>
  <c r="AS17" i="8"/>
  <c r="AH27" i="8"/>
  <c r="AD75" i="14"/>
  <c r="AD75" i="10"/>
  <c r="AX76" i="10"/>
  <c r="AX76" i="14"/>
  <c r="Q68" i="14"/>
  <c r="Q68" i="10"/>
  <c r="AG46" i="10"/>
  <c r="AG46" i="14"/>
  <c r="AG28" i="1"/>
  <c r="AF46" i="14"/>
  <c r="AF28" i="1"/>
  <c r="AF46" i="10"/>
  <c r="AF52" i="10" s="1"/>
  <c r="AX63" i="14"/>
  <c r="AX63" i="10"/>
  <c r="AX83" i="1"/>
  <c r="K44" i="14"/>
  <c r="K44" i="10"/>
  <c r="K26" i="1"/>
  <c r="K47" i="1"/>
  <c r="K29" i="1" s="1"/>
  <c r="AK77" i="14"/>
  <c r="AK77" i="10"/>
  <c r="D11" i="9"/>
  <c r="K39" i="14"/>
  <c r="K21" i="1"/>
  <c r="K39" i="10"/>
  <c r="K51" i="1"/>
  <c r="Q72" i="10"/>
  <c r="Q72" i="14"/>
  <c r="BO16" i="9"/>
  <c r="BW16" i="9"/>
  <c r="AE41" i="8"/>
  <c r="AE23" i="8" s="1"/>
  <c r="AE20" i="8"/>
  <c r="AE50" i="8"/>
  <c r="AM82" i="14"/>
  <c r="AM82" i="10"/>
  <c r="Y82" i="10"/>
  <c r="Y82" i="14"/>
  <c r="V39" i="10"/>
  <c r="V21" i="10" s="1"/>
  <c r="V21" i="1"/>
  <c r="V51" i="1"/>
  <c r="V39" i="14"/>
  <c r="AS44" i="10"/>
  <c r="AS26" i="1"/>
  <c r="AS32" i="1" s="1"/>
  <c r="AS47" i="1"/>
  <c r="AS44" i="14"/>
  <c r="S80" i="14"/>
  <c r="S80" i="10"/>
  <c r="BO9" i="9"/>
  <c r="P10" i="14"/>
  <c r="P10" i="10"/>
  <c r="H76" i="14"/>
  <c r="H76" i="10"/>
  <c r="J39" i="10"/>
  <c r="J39" i="14"/>
  <c r="J21" i="1"/>
  <c r="J51" i="1"/>
  <c r="I40" i="14"/>
  <c r="I40" i="10"/>
  <c r="I22" i="1"/>
  <c r="I52" i="1"/>
  <c r="AD81" i="14"/>
  <c r="AD81" i="10"/>
  <c r="N57" i="10"/>
  <c r="N57" i="14"/>
  <c r="P88" i="10"/>
  <c r="P88" i="14"/>
  <c r="H27" i="8"/>
  <c r="AD28" i="8"/>
  <c r="AQ81" i="14"/>
  <c r="AQ81" i="10"/>
  <c r="R93" i="9"/>
  <c r="AI83" i="8"/>
  <c r="AE83" i="1"/>
  <c r="AE63" i="10"/>
  <c r="AE63" i="14"/>
  <c r="AN8" i="14"/>
  <c r="AN11" i="1"/>
  <c r="BQ102" i="1" s="1"/>
  <c r="AN8" i="10"/>
  <c r="D15" i="14"/>
  <c r="D15" i="10"/>
  <c r="AL91" i="14"/>
  <c r="AL93" i="1"/>
  <c r="AL91" i="10"/>
  <c r="AR11" i="9"/>
  <c r="Z93" i="8"/>
  <c r="AW70" i="10"/>
  <c r="AW70" i="14"/>
  <c r="AX56" i="14"/>
  <c r="AX58" i="14" s="1"/>
  <c r="AX56" i="10"/>
  <c r="AX58" i="10" s="1"/>
  <c r="AX58" i="1"/>
  <c r="AU11" i="9"/>
  <c r="P28" i="9"/>
  <c r="P74" i="14"/>
  <c r="P74" i="10"/>
  <c r="T58" i="1"/>
  <c r="T56" i="14"/>
  <c r="T56" i="10"/>
  <c r="T58" i="10" s="1"/>
  <c r="P39" i="14"/>
  <c r="P39" i="10"/>
  <c r="P51" i="1"/>
  <c r="P21" i="1"/>
  <c r="P33" i="1" s="1"/>
  <c r="AW16" i="14"/>
  <c r="AW16" i="10"/>
  <c r="H74" i="10"/>
  <c r="H74" i="14"/>
  <c r="U9" i="10"/>
  <c r="U9" i="14"/>
  <c r="AI87" i="14"/>
  <c r="AI87" i="10"/>
  <c r="Y87" i="14"/>
  <c r="Y87" i="10"/>
  <c r="X26" i="9"/>
  <c r="X47" i="9"/>
  <c r="AO28" i="8"/>
  <c r="AL64" i="14"/>
  <c r="AL64" i="10"/>
  <c r="I41" i="9"/>
  <c r="I50" i="9"/>
  <c r="I20" i="9"/>
  <c r="D77" i="14"/>
  <c r="D77" i="10"/>
  <c r="BO63" i="9"/>
  <c r="AN83" i="9"/>
  <c r="I95" i="14"/>
  <c r="I96" i="14" s="1"/>
  <c r="I97" i="14" s="1"/>
  <c r="I96" i="1"/>
  <c r="I95" i="10"/>
  <c r="I96" i="10" s="1"/>
  <c r="P26" i="9"/>
  <c r="P47" i="9"/>
  <c r="AA78" i="14"/>
  <c r="AA78" i="10"/>
  <c r="AK50" i="9"/>
  <c r="AK41" i="9"/>
  <c r="AK20" i="9"/>
  <c r="W74" i="14"/>
  <c r="W74" i="10"/>
  <c r="W9" i="14"/>
  <c r="W9" i="10"/>
  <c r="I17" i="8"/>
  <c r="I29" i="8" s="1"/>
  <c r="M28" i="8"/>
  <c r="AM45" i="10"/>
  <c r="AM45" i="14"/>
  <c r="AM27" i="1"/>
  <c r="AH74" i="10"/>
  <c r="AH74" i="14"/>
  <c r="X10" i="10"/>
  <c r="X10" i="14"/>
  <c r="AT28" i="8"/>
  <c r="R78" i="14"/>
  <c r="R78" i="10"/>
  <c r="L17" i="1"/>
  <c r="L14" i="10"/>
  <c r="L14" i="14"/>
  <c r="W63" i="14"/>
  <c r="W63" i="10"/>
  <c r="W83" i="1"/>
  <c r="J8" i="10"/>
  <c r="J8" i="14"/>
  <c r="J11" i="1"/>
  <c r="AS83" i="8"/>
  <c r="AK68" i="14"/>
  <c r="AK68" i="10"/>
  <c r="AX68" i="10"/>
  <c r="AX68" i="14"/>
  <c r="AV56" i="10"/>
  <c r="AV58" i="1"/>
  <c r="AV56" i="14"/>
  <c r="O78" i="10"/>
  <c r="O78" i="14"/>
  <c r="G78" i="14"/>
  <c r="G78" i="10"/>
  <c r="AI76" i="10"/>
  <c r="AI76" i="14"/>
  <c r="H28" i="9"/>
  <c r="V51" i="9"/>
  <c r="V21" i="9"/>
  <c r="V33" i="9" s="1"/>
  <c r="AQ93" i="9"/>
  <c r="U47" i="9"/>
  <c r="U26" i="9"/>
  <c r="BO15" i="8"/>
  <c r="BW15" i="8"/>
  <c r="K17" i="8"/>
  <c r="K29" i="8" s="1"/>
  <c r="O76" i="14"/>
  <c r="O76" i="10"/>
  <c r="AL75" i="10"/>
  <c r="AL75" i="14"/>
  <c r="BO40" i="8"/>
  <c r="AN52" i="8"/>
  <c r="AN22" i="8"/>
  <c r="AS89" i="8"/>
  <c r="BO68" i="8"/>
  <c r="AN77" i="10"/>
  <c r="AN77" i="14"/>
  <c r="BO77" i="1"/>
  <c r="D83" i="9"/>
  <c r="U58" i="8"/>
  <c r="AW78" i="10"/>
  <c r="AW78" i="14"/>
  <c r="AM21" i="9"/>
  <c r="AM51" i="9"/>
  <c r="AS86" i="10"/>
  <c r="AS86" i="14"/>
  <c r="AS89" i="1"/>
  <c r="AR83" i="8"/>
  <c r="AG45" i="10"/>
  <c r="AG45" i="14"/>
  <c r="AG27" i="1"/>
  <c r="AG63" i="14"/>
  <c r="AG63" i="10"/>
  <c r="AG83" i="1"/>
  <c r="K77" i="14"/>
  <c r="K77" i="10"/>
  <c r="AM26" i="8"/>
  <c r="AM47" i="8"/>
  <c r="AP83" i="9"/>
  <c r="AD38" i="10"/>
  <c r="AD20" i="1"/>
  <c r="AD41" i="1"/>
  <c r="AD38" i="14"/>
  <c r="AD50" i="1"/>
  <c r="BO9" i="8"/>
  <c r="F87" i="14"/>
  <c r="F87" i="10"/>
  <c r="AJ83" i="8"/>
  <c r="K65" i="10"/>
  <c r="K65" i="14"/>
  <c r="M27" i="8"/>
  <c r="AW80" i="10"/>
  <c r="AW80" i="14"/>
  <c r="AX44" i="10"/>
  <c r="AX44" i="14"/>
  <c r="AX26" i="1"/>
  <c r="AX47" i="1"/>
  <c r="AX29" i="1" s="1"/>
  <c r="AB93" i="1"/>
  <c r="AB91" i="14"/>
  <c r="AB91" i="10"/>
  <c r="AD47" i="9"/>
  <c r="AD26" i="9"/>
  <c r="AJ77" i="10"/>
  <c r="AJ77" i="14"/>
  <c r="AC58" i="1"/>
  <c r="AC56" i="14"/>
  <c r="AC56" i="10"/>
  <c r="D47" i="9"/>
  <c r="D26" i="9"/>
  <c r="K46" i="10"/>
  <c r="K46" i="14"/>
  <c r="K28" i="1"/>
  <c r="AV75" i="14"/>
  <c r="AV75" i="10"/>
  <c r="J47" i="8"/>
  <c r="J26" i="8"/>
  <c r="AE76" i="10"/>
  <c r="AE76" i="14"/>
  <c r="I88" i="14"/>
  <c r="I88" i="10"/>
  <c r="AX20" i="9"/>
  <c r="AX32" i="9" s="1"/>
  <c r="AX50" i="9"/>
  <c r="AX41" i="9"/>
  <c r="AN86" i="14"/>
  <c r="AN86" i="10"/>
  <c r="AN89" i="1"/>
  <c r="BO86" i="1"/>
  <c r="R68" i="14"/>
  <c r="R68" i="10"/>
  <c r="Z11" i="9"/>
  <c r="S70" i="14"/>
  <c r="S70" i="10"/>
  <c r="AU9" i="14"/>
  <c r="AU9" i="10"/>
  <c r="AU77" i="14"/>
  <c r="AU77" i="10"/>
  <c r="AN50" i="8"/>
  <c r="AN41" i="8"/>
  <c r="BO38" i="8"/>
  <c r="AN20" i="8"/>
  <c r="AG52" i="8"/>
  <c r="AG22" i="8"/>
  <c r="R67" i="10"/>
  <c r="R67" i="14"/>
  <c r="K75" i="14"/>
  <c r="K75" i="10"/>
  <c r="W83" i="8"/>
  <c r="I73" i="14"/>
  <c r="I73" i="10"/>
  <c r="AC96" i="1"/>
  <c r="AC95" i="14"/>
  <c r="AC96" i="14" s="1"/>
  <c r="AC97" i="14" s="1"/>
  <c r="AC95" i="10"/>
  <c r="AC96" i="10" s="1"/>
  <c r="AC16" i="14"/>
  <c r="AC16" i="10"/>
  <c r="AE21" i="9"/>
  <c r="AE51" i="9"/>
  <c r="AA28" i="8"/>
  <c r="AU96" i="9"/>
  <c r="AQ89" i="8"/>
  <c r="K93" i="8"/>
  <c r="AT96" i="1"/>
  <c r="AT95" i="10"/>
  <c r="AT96" i="10" s="1"/>
  <c r="AT95" i="14"/>
  <c r="AT96" i="14" s="1"/>
  <c r="AT97" i="14" s="1"/>
  <c r="Z89" i="9"/>
  <c r="BO87" i="1"/>
  <c r="AN87" i="14"/>
  <c r="AN87" i="10"/>
  <c r="AF89" i="9"/>
  <c r="AJ82" i="10"/>
  <c r="AJ82" i="14"/>
  <c r="AF26" i="9"/>
  <c r="AF47" i="9"/>
  <c r="AL96" i="9"/>
  <c r="M83" i="9"/>
  <c r="AS58" i="9"/>
  <c r="Y74" i="14"/>
  <c r="Y74" i="10"/>
  <c r="AM83" i="9"/>
  <c r="AL93" i="9"/>
  <c r="AV11" i="9"/>
  <c r="D28" i="9"/>
  <c r="AN68" i="14"/>
  <c r="AN68" i="10"/>
  <c r="BO68" i="1"/>
  <c r="H17" i="8"/>
  <c r="AR41" i="9"/>
  <c r="AR20" i="9"/>
  <c r="AR50" i="9"/>
  <c r="AN83" i="8"/>
  <c r="BO63" i="8"/>
  <c r="U27" i="8"/>
  <c r="AG27" i="9"/>
  <c r="AH21" i="9"/>
  <c r="AH51" i="9"/>
  <c r="AM52" i="9"/>
  <c r="AM22" i="9"/>
  <c r="V95" i="10"/>
  <c r="V96" i="10" s="1"/>
  <c r="V95" i="14"/>
  <c r="V96" i="14" s="1"/>
  <c r="V97" i="14" s="1"/>
  <c r="V96" i="1"/>
  <c r="AS27" i="8"/>
  <c r="O82" i="14"/>
  <c r="O82" i="10"/>
  <c r="AA56" i="10"/>
  <c r="AA56" i="14"/>
  <c r="AA58" i="14" s="1"/>
  <c r="AA58" i="1"/>
  <c r="P9" i="14"/>
  <c r="P9" i="10"/>
  <c r="AU58" i="8"/>
  <c r="AM11" i="8"/>
  <c r="AK95" i="14"/>
  <c r="AK96" i="14" s="1"/>
  <c r="AK97" i="14" s="1"/>
  <c r="AK96" i="1"/>
  <c r="AK95" i="10"/>
  <c r="AK96" i="10" s="1"/>
  <c r="J51" i="9"/>
  <c r="J21" i="9"/>
  <c r="E51" i="1"/>
  <c r="E39" i="10"/>
  <c r="E51" i="10" s="1"/>
  <c r="E39" i="14"/>
  <c r="E51" i="14" s="1"/>
  <c r="E21" i="1"/>
  <c r="Z66" i="10"/>
  <c r="Z66" i="14"/>
  <c r="AV41" i="8"/>
  <c r="AV50" i="8"/>
  <c r="AV20" i="8"/>
  <c r="T89" i="8"/>
  <c r="AH83" i="8"/>
  <c r="U10" i="14"/>
  <c r="U10" i="10"/>
  <c r="AP64" i="14"/>
  <c r="AP64" i="10"/>
  <c r="D21" i="8"/>
  <c r="D51" i="8"/>
  <c r="BO72" i="9"/>
  <c r="Y14" i="14"/>
  <c r="Y14" i="10"/>
  <c r="Y17" i="1"/>
  <c r="L91" i="10"/>
  <c r="L91" i="14"/>
  <c r="L93" i="1"/>
  <c r="AS65" i="10"/>
  <c r="AS65" i="14"/>
  <c r="AO68" i="14"/>
  <c r="AO68" i="10"/>
  <c r="O52" i="8"/>
  <c r="O22" i="8"/>
  <c r="N47" i="9"/>
  <c r="N26" i="9"/>
  <c r="AW28" i="9"/>
  <c r="G47" i="9"/>
  <c r="G26" i="9"/>
  <c r="AA58" i="9"/>
  <c r="AE58" i="9"/>
  <c r="AV10" i="14"/>
  <c r="AV10" i="10"/>
  <c r="P50" i="1"/>
  <c r="P41" i="1"/>
  <c r="P38" i="14"/>
  <c r="P38" i="10"/>
  <c r="P20" i="1"/>
  <c r="AK72" i="14"/>
  <c r="AK72" i="10"/>
  <c r="L64" i="14"/>
  <c r="L64" i="10"/>
  <c r="Y46" i="14"/>
  <c r="Y28" i="1"/>
  <c r="Y46" i="10"/>
  <c r="Y52" i="10" s="1"/>
  <c r="K58" i="8"/>
  <c r="Y52" i="9"/>
  <c r="Y22" i="9"/>
  <c r="AP8" i="14"/>
  <c r="BO8" i="1"/>
  <c r="AP11" i="1"/>
  <c r="AP8" i="10"/>
  <c r="AI27" i="9"/>
  <c r="L96" i="9"/>
  <c r="S47" i="9"/>
  <c r="S26" i="9"/>
  <c r="BO70" i="9"/>
  <c r="J28" i="9"/>
  <c r="AE88" i="10"/>
  <c r="AE88" i="14"/>
  <c r="AD27" i="8"/>
  <c r="AH89" i="9"/>
  <c r="AE89" i="8"/>
  <c r="AV93" i="8"/>
  <c r="AG86" i="10"/>
  <c r="AG86" i="14"/>
  <c r="AG89" i="1"/>
  <c r="F22" i="9"/>
  <c r="F52" i="9"/>
  <c r="AY11" i="9"/>
  <c r="F26" i="9"/>
  <c r="F47" i="9"/>
  <c r="I47" i="9"/>
  <c r="I26" i="9"/>
  <c r="AN27" i="9"/>
  <c r="BO45" i="9"/>
  <c r="Z47" i="8"/>
  <c r="Z26" i="8"/>
  <c r="AF71" i="14"/>
  <c r="AF71" i="10"/>
  <c r="AP63" i="14"/>
  <c r="AP63" i="10"/>
  <c r="AP83" i="1"/>
  <c r="W93" i="9"/>
  <c r="P17" i="1"/>
  <c r="P14" i="14"/>
  <c r="P14" i="10"/>
  <c r="AS45" i="14"/>
  <c r="AS45" i="10"/>
  <c r="AS51" i="10" s="1"/>
  <c r="AS27" i="1"/>
  <c r="V52" i="8"/>
  <c r="V22" i="8"/>
  <c r="AD69" i="14"/>
  <c r="AD69" i="10"/>
  <c r="AH27" i="9"/>
  <c r="D78" i="10"/>
  <c r="D78" i="14"/>
  <c r="AA73" i="10"/>
  <c r="AA73" i="14"/>
  <c r="H28" i="8"/>
  <c r="AN57" i="10"/>
  <c r="AN57" i="14"/>
  <c r="BO57" i="1"/>
  <c r="O70" i="14"/>
  <c r="O70" i="10"/>
  <c r="AT71" i="14"/>
  <c r="AT71" i="10"/>
  <c r="AA69" i="10"/>
  <c r="AA69" i="14"/>
  <c r="AY87" i="14"/>
  <c r="AY87" i="10"/>
  <c r="V89" i="8"/>
  <c r="J93" i="8"/>
  <c r="AB80" i="10"/>
  <c r="BR80" i="10" s="1"/>
  <c r="AB80" i="14"/>
  <c r="AL16" i="14"/>
  <c r="AL28" i="14" s="1"/>
  <c r="AL16" i="10"/>
  <c r="AU86" i="14"/>
  <c r="AU86" i="10"/>
  <c r="AU89" i="1"/>
  <c r="Z89" i="8"/>
  <c r="AQ72" i="10"/>
  <c r="AQ72" i="14"/>
  <c r="T28" i="8"/>
  <c r="F9" i="14"/>
  <c r="BT9" i="14" s="1"/>
  <c r="F9" i="10"/>
  <c r="BT9" i="1"/>
  <c r="AF82" i="10"/>
  <c r="AF82" i="14"/>
  <c r="N68" i="10"/>
  <c r="N68" i="14"/>
  <c r="I58" i="9"/>
  <c r="F83" i="8"/>
  <c r="AK21" i="1"/>
  <c r="AK39" i="14"/>
  <c r="AK51" i="1"/>
  <c r="AK39" i="10"/>
  <c r="AB47" i="9"/>
  <c r="AB26" i="9"/>
  <c r="H11" i="9"/>
  <c r="AG40" i="14"/>
  <c r="AG40" i="10"/>
  <c r="AG22" i="1"/>
  <c r="AG52" i="1"/>
  <c r="F91" i="14"/>
  <c r="F91" i="10"/>
  <c r="F93" i="1"/>
  <c r="AG11" i="9"/>
  <c r="T9" i="10"/>
  <c r="T9" i="14"/>
  <c r="E26" i="1"/>
  <c r="E47" i="1"/>
  <c r="E44" i="14"/>
  <c r="E44" i="10"/>
  <c r="E50" i="10" s="1"/>
  <c r="AT22" i="9"/>
  <c r="AT52" i="9"/>
  <c r="K22" i="8"/>
  <c r="K52" i="8"/>
  <c r="X77" i="14"/>
  <c r="X77" i="10"/>
  <c r="J50" i="9"/>
  <c r="J41" i="9"/>
  <c r="J20" i="9"/>
  <c r="AE27" i="9"/>
  <c r="AN75" i="14"/>
  <c r="AN75" i="10"/>
  <c r="BO75" i="1"/>
  <c r="G74" i="10"/>
  <c r="G74" i="14"/>
  <c r="AW11" i="9"/>
  <c r="R71" i="10"/>
  <c r="R71" i="14"/>
  <c r="M21" i="8"/>
  <c r="M51" i="8"/>
  <c r="N79" i="14"/>
  <c r="N79" i="10"/>
  <c r="AE50" i="9"/>
  <c r="AE20" i="9"/>
  <c r="AE41" i="9"/>
  <c r="J89" i="8"/>
  <c r="BO67" i="8"/>
  <c r="AS92" i="14"/>
  <c r="AS92" i="10"/>
  <c r="K57" i="14"/>
  <c r="K57" i="10"/>
  <c r="F77" i="10"/>
  <c r="F77" i="14"/>
  <c r="AA27" i="8"/>
  <c r="X11" i="9"/>
  <c r="Z28" i="9"/>
  <c r="BO81" i="9"/>
  <c r="G93" i="9"/>
  <c r="AU17" i="9"/>
  <c r="R45" i="10"/>
  <c r="R27" i="10" s="1"/>
  <c r="R45" i="14"/>
  <c r="R27" i="1"/>
  <c r="AA70" i="14"/>
  <c r="AA70" i="10"/>
  <c r="AL10" i="14"/>
  <c r="AL10" i="10"/>
  <c r="N71" i="14"/>
  <c r="N71" i="10"/>
  <c r="Z57" i="10"/>
  <c r="Z57" i="14"/>
  <c r="H8" i="10"/>
  <c r="H8" i="14"/>
  <c r="H11" i="1"/>
  <c r="BS9" i="8"/>
  <c r="N16" i="14"/>
  <c r="N16" i="10"/>
  <c r="V89" i="9"/>
  <c r="AW71" i="14"/>
  <c r="AW71" i="10"/>
  <c r="X67" i="14"/>
  <c r="X67" i="10"/>
  <c r="AC21" i="8"/>
  <c r="AC51" i="8"/>
  <c r="AR15" i="14"/>
  <c r="AR15" i="10"/>
  <c r="M73" i="14"/>
  <c r="M73" i="10"/>
  <c r="AG11" i="1"/>
  <c r="AG8" i="14"/>
  <c r="AG8" i="10"/>
  <c r="AF79" i="10"/>
  <c r="AF79" i="14"/>
  <c r="AJ81" i="14"/>
  <c r="AJ81" i="10"/>
  <c r="AH21" i="8"/>
  <c r="AH51" i="8"/>
  <c r="L58" i="8"/>
  <c r="AQ73" i="14"/>
  <c r="AQ73" i="10"/>
  <c r="L47" i="8"/>
  <c r="L26" i="8"/>
  <c r="AM79" i="14"/>
  <c r="AM79" i="10"/>
  <c r="K92" i="10"/>
  <c r="K92" i="14"/>
  <c r="N56" i="14"/>
  <c r="N56" i="10"/>
  <c r="N58" i="1"/>
  <c r="V78" i="14"/>
  <c r="V78" i="10"/>
  <c r="AJ78" i="14"/>
  <c r="AJ78" i="10"/>
  <c r="AS21" i="9"/>
  <c r="AS51" i="9"/>
  <c r="AI93" i="8"/>
  <c r="AJ11" i="8"/>
  <c r="AK56" i="14"/>
  <c r="AK56" i="10"/>
  <c r="AK58" i="1"/>
  <c r="U69" i="10"/>
  <c r="U69" i="14"/>
  <c r="F64" i="10"/>
  <c r="F64" i="14"/>
  <c r="AN11" i="8"/>
  <c r="O67" i="14"/>
  <c r="O67" i="10"/>
  <c r="E28" i="8"/>
  <c r="P68" i="10"/>
  <c r="P68" i="14"/>
  <c r="E27" i="9"/>
  <c r="AQ47" i="8"/>
  <c r="AQ26" i="8"/>
  <c r="M79" i="14"/>
  <c r="M79" i="10"/>
  <c r="E58" i="8"/>
  <c r="Z27" i="8"/>
  <c r="E82" i="14"/>
  <c r="E82" i="10"/>
  <c r="AH47" i="9"/>
  <c r="AH26" i="9"/>
  <c r="O96" i="9"/>
  <c r="I76" i="14"/>
  <c r="I76" i="10"/>
  <c r="AS96" i="9"/>
  <c r="E17" i="8"/>
  <c r="AX77" i="14"/>
  <c r="AX77" i="10"/>
  <c r="AQ52" i="9"/>
  <c r="AQ22" i="9"/>
  <c r="O11" i="9"/>
  <c r="AP45" i="14"/>
  <c r="AP27" i="1"/>
  <c r="AP45" i="10"/>
  <c r="AB21" i="9"/>
  <c r="AB33" i="9" s="1"/>
  <c r="AB51" i="9"/>
  <c r="S72" i="10"/>
  <c r="S72" i="14"/>
  <c r="H11" i="8"/>
  <c r="H102" i="8" s="1"/>
  <c r="X83" i="9"/>
  <c r="F52" i="8"/>
  <c r="F22" i="8"/>
  <c r="AP93" i="8"/>
  <c r="BO66" i="9"/>
  <c r="AI41" i="9"/>
  <c r="AI20" i="9"/>
  <c r="AI50" i="9"/>
  <c r="V93" i="8"/>
  <c r="AL81" i="14"/>
  <c r="AL81" i="10"/>
  <c r="Y89" i="8"/>
  <c r="AI68" i="14"/>
  <c r="AI68" i="10"/>
  <c r="AC68" i="14"/>
  <c r="AC68" i="10"/>
  <c r="W76" i="14"/>
  <c r="W76" i="10"/>
  <c r="AE11" i="8"/>
  <c r="AI21" i="9"/>
  <c r="AI51" i="9"/>
  <c r="AN70" i="10"/>
  <c r="AN70" i="14"/>
  <c r="BO70" i="1"/>
  <c r="AE46" i="14"/>
  <c r="AE28" i="1"/>
  <c r="AE34" i="1" s="1"/>
  <c r="AE46" i="10"/>
  <c r="AK46" i="10"/>
  <c r="AK46" i="14"/>
  <c r="AK28" i="14" s="1"/>
  <c r="AK28" i="1"/>
  <c r="AM87" i="10"/>
  <c r="AM87" i="14"/>
  <c r="R74" i="14"/>
  <c r="R74" i="10"/>
  <c r="AA63" i="14"/>
  <c r="AA63" i="10"/>
  <c r="AA83" i="1"/>
  <c r="L17" i="8"/>
  <c r="BO75" i="8"/>
  <c r="AC17" i="9"/>
  <c r="H10" i="14"/>
  <c r="H10" i="10"/>
  <c r="AQ58" i="8"/>
  <c r="AS14" i="10"/>
  <c r="AS14" i="14"/>
  <c r="AS17" i="1"/>
  <c r="AT69" i="10"/>
  <c r="AT69" i="14"/>
  <c r="AH88" i="14"/>
  <c r="AH88" i="10"/>
  <c r="AD64" i="14"/>
  <c r="AD64" i="10"/>
  <c r="AT10" i="14"/>
  <c r="AT10" i="10"/>
  <c r="BO67" i="9"/>
  <c r="D83" i="1"/>
  <c r="D63" i="14"/>
  <c r="D63" i="10"/>
  <c r="AH96" i="9"/>
  <c r="K21" i="8"/>
  <c r="K33" i="8" s="1"/>
  <c r="K51" i="8"/>
  <c r="AA45" i="14"/>
  <c r="AA27" i="1"/>
  <c r="AA45" i="10"/>
  <c r="AO76" i="14"/>
  <c r="AO76" i="10"/>
  <c r="J17" i="1"/>
  <c r="J14" i="10"/>
  <c r="J14" i="14"/>
  <c r="J26" i="14" s="1"/>
  <c r="AP74" i="14"/>
  <c r="AP74" i="10"/>
  <c r="AN64" i="10"/>
  <c r="AN64" i="14"/>
  <c r="BO64" i="1"/>
  <c r="AC81" i="10"/>
  <c r="AC81" i="14"/>
  <c r="AQ11" i="8"/>
  <c r="AQ102" i="8" s="1"/>
  <c r="U79" i="14"/>
  <c r="U79" i="10"/>
  <c r="AR93" i="8"/>
  <c r="AL73" i="14"/>
  <c r="AL73" i="10"/>
  <c r="AA28" i="9"/>
  <c r="AG22" i="9"/>
  <c r="AG52" i="9"/>
  <c r="AH93" i="9"/>
  <c r="AV93" i="9"/>
  <c r="E27" i="8"/>
  <c r="Z96" i="9"/>
  <c r="AA93" i="8"/>
  <c r="AC83" i="8"/>
  <c r="E69" i="14"/>
  <c r="E69" i="10"/>
  <c r="X81" i="14"/>
  <c r="X81" i="10"/>
  <c r="AL51" i="9"/>
  <c r="AL21" i="9"/>
  <c r="AV93" i="1"/>
  <c r="AV91" i="14"/>
  <c r="AV91" i="10"/>
  <c r="AV93" i="10" s="1"/>
  <c r="AN80" i="14"/>
  <c r="AN80" i="10"/>
  <c r="BO80" i="1"/>
  <c r="AI11" i="8"/>
  <c r="AS78" i="14"/>
  <c r="AS78" i="10"/>
  <c r="J81" i="14"/>
  <c r="J81" i="10"/>
  <c r="AI96" i="8"/>
  <c r="AS93" i="9"/>
  <c r="E96" i="9"/>
  <c r="F58" i="9"/>
  <c r="S52" i="8"/>
  <c r="S22" i="8"/>
  <c r="H77" i="14"/>
  <c r="H77" i="10"/>
  <c r="AC82" i="14"/>
  <c r="AC82" i="10"/>
  <c r="P16" i="10"/>
  <c r="P16" i="14"/>
  <c r="AD82" i="14"/>
  <c r="AD82" i="10"/>
  <c r="X83" i="8"/>
  <c r="G52" i="9"/>
  <c r="G22" i="9"/>
  <c r="O96" i="8"/>
  <c r="AA47" i="8"/>
  <c r="AA26" i="8"/>
  <c r="AH82" i="14"/>
  <c r="AH82" i="10"/>
  <c r="AP50" i="9"/>
  <c r="AP41" i="9"/>
  <c r="AP20" i="9"/>
  <c r="AG50" i="8"/>
  <c r="AG41" i="8"/>
  <c r="AG20" i="8"/>
  <c r="K76" i="14"/>
  <c r="K76" i="10"/>
  <c r="Z93" i="9"/>
  <c r="N96" i="8"/>
  <c r="V27" i="8"/>
  <c r="AR38" i="14"/>
  <c r="AR50" i="14" s="1"/>
  <c r="AR20" i="1"/>
  <c r="AR38" i="10"/>
  <c r="AR41" i="1"/>
  <c r="AR50" i="1"/>
  <c r="H79" i="14"/>
  <c r="H79" i="10"/>
  <c r="AM27" i="8"/>
  <c r="AG76" i="14"/>
  <c r="AG76" i="10"/>
  <c r="AN88" i="10"/>
  <c r="AN88" i="14"/>
  <c r="BO88" i="1"/>
  <c r="I89" i="9"/>
  <c r="Y72" i="10"/>
  <c r="Y72" i="14"/>
  <c r="AN69" i="10"/>
  <c r="AN69" i="14"/>
  <c r="BO69" i="1"/>
  <c r="AO79" i="14"/>
  <c r="AO79" i="10"/>
  <c r="L79" i="10"/>
  <c r="L79" i="14"/>
  <c r="AT87" i="10"/>
  <c r="AT87" i="14"/>
  <c r="AE70" i="14"/>
  <c r="AE70" i="10"/>
  <c r="AR87" i="14"/>
  <c r="AR87" i="10"/>
  <c r="AC26" i="1"/>
  <c r="AC47" i="1"/>
  <c r="AC44" i="10"/>
  <c r="AC44" i="14"/>
  <c r="AS11" i="1"/>
  <c r="AS8" i="14"/>
  <c r="AS8" i="10"/>
  <c r="AE15" i="14"/>
  <c r="AE15" i="10"/>
  <c r="D41" i="1"/>
  <c r="D50" i="1"/>
  <c r="D38" i="14"/>
  <c r="D20" i="1"/>
  <c r="D32" i="1" s="1"/>
  <c r="D38" i="10"/>
  <c r="D50" i="10" s="1"/>
  <c r="AG27" i="8"/>
  <c r="P83" i="1"/>
  <c r="P63" i="14"/>
  <c r="P63" i="10"/>
  <c r="M66" i="14"/>
  <c r="M66" i="10"/>
  <c r="AV71" i="14"/>
  <c r="AV71" i="10"/>
  <c r="AS52" i="8"/>
  <c r="AS22" i="8"/>
  <c r="AK78" i="10"/>
  <c r="AK78" i="14"/>
  <c r="AP71" i="14"/>
  <c r="AP71" i="10"/>
  <c r="AO88" i="14"/>
  <c r="AO88" i="10"/>
  <c r="W15" i="10"/>
  <c r="W15" i="14"/>
  <c r="AI66" i="14"/>
  <c r="AI66" i="10"/>
  <c r="AY17" i="1"/>
  <c r="AY14" i="14"/>
  <c r="AY14" i="10"/>
  <c r="AH41" i="1"/>
  <c r="AH38" i="14"/>
  <c r="AH20" i="1"/>
  <c r="AH38" i="10"/>
  <c r="AH50" i="1"/>
  <c r="AB57" i="14"/>
  <c r="AB58" i="14" s="1"/>
  <c r="AB57" i="10"/>
  <c r="AR76" i="14"/>
  <c r="AR76" i="10"/>
  <c r="AP41" i="8"/>
  <c r="AP53" i="8" s="1"/>
  <c r="AP20" i="8"/>
  <c r="AP50" i="8"/>
  <c r="Y57" i="14"/>
  <c r="Y57" i="10"/>
  <c r="AC89" i="1"/>
  <c r="AC86" i="10"/>
  <c r="AC86" i="14"/>
  <c r="AY71" i="10"/>
  <c r="AY71" i="14"/>
  <c r="U88" i="14"/>
  <c r="U88" i="10"/>
  <c r="AM91" i="10"/>
  <c r="AM93" i="1"/>
  <c r="AM91" i="14"/>
  <c r="Y68" i="14"/>
  <c r="Y68" i="10"/>
  <c r="AN91" i="10"/>
  <c r="AN91" i="14"/>
  <c r="AN93" i="1"/>
  <c r="BO91" i="1"/>
  <c r="AG78" i="14"/>
  <c r="AG78" i="10"/>
  <c r="AU78" i="10"/>
  <c r="AU78" i="14"/>
  <c r="AD45" i="10"/>
  <c r="AD27" i="1"/>
  <c r="AD45" i="14"/>
  <c r="AG88" i="14"/>
  <c r="AG88" i="10"/>
  <c r="AB47" i="8"/>
  <c r="AB26" i="8"/>
  <c r="AB32" i="8" s="1"/>
  <c r="AO63" i="14"/>
  <c r="AO63" i="10"/>
  <c r="AO83" i="1"/>
  <c r="R86" i="14"/>
  <c r="R89" i="1"/>
  <c r="R86" i="10"/>
  <c r="Y39" i="14"/>
  <c r="Y21" i="1"/>
  <c r="Y39" i="10"/>
  <c r="Y51" i="1"/>
  <c r="G93" i="8"/>
  <c r="L8" i="14"/>
  <c r="L11" i="1"/>
  <c r="L8" i="10"/>
  <c r="I82" i="14"/>
  <c r="I82" i="10"/>
  <c r="D71" i="10"/>
  <c r="D71" i="14"/>
  <c r="AU52" i="8"/>
  <c r="AU22" i="8"/>
  <c r="AA22" i="9"/>
  <c r="AA52" i="9"/>
  <c r="AT67" i="10"/>
  <c r="AT67" i="14"/>
  <c r="O81" i="14"/>
  <c r="O81" i="10"/>
  <c r="Y71" i="14"/>
  <c r="Y71" i="10"/>
  <c r="AQ47" i="9"/>
  <c r="AQ29" i="9" s="1"/>
  <c r="AQ26" i="9"/>
  <c r="AJ46" i="14"/>
  <c r="AJ28" i="1"/>
  <c r="AJ46" i="10"/>
  <c r="E77" i="14"/>
  <c r="E77" i="10"/>
  <c r="AV67" i="10"/>
  <c r="AV67" i="14"/>
  <c r="AT72" i="10"/>
  <c r="AT72" i="14"/>
  <c r="P70" i="14"/>
  <c r="P70" i="10"/>
  <c r="AP40" i="14"/>
  <c r="AP22" i="1"/>
  <c r="AP52" i="1"/>
  <c r="AP40" i="10"/>
  <c r="Y79" i="10"/>
  <c r="Y79" i="14"/>
  <c r="AA77" i="14"/>
  <c r="AA77" i="10"/>
  <c r="AG83" i="8"/>
  <c r="S65" i="14"/>
  <c r="S65" i="10"/>
  <c r="BR10" i="8"/>
  <c r="F96" i="8"/>
  <c r="AG58" i="8"/>
  <c r="T27" i="9"/>
  <c r="AI58" i="9"/>
  <c r="W67" i="10"/>
  <c r="W67" i="14"/>
  <c r="G28" i="8"/>
  <c r="AO11" i="8"/>
  <c r="AP102" i="8" s="1"/>
  <c r="BQ8" i="8"/>
  <c r="AT68" i="10"/>
  <c r="AT68" i="14"/>
  <c r="W89" i="8"/>
  <c r="AH52" i="9"/>
  <c r="AH22" i="9"/>
  <c r="AV21" i="9"/>
  <c r="AV51" i="9"/>
  <c r="M57" i="14"/>
  <c r="M58" i="14" s="1"/>
  <c r="M57" i="10"/>
  <c r="R83" i="8"/>
  <c r="N14" i="10"/>
  <c r="N14" i="14"/>
  <c r="N17" i="1"/>
  <c r="N29" i="1" s="1"/>
  <c r="AP28" i="8"/>
  <c r="AK11" i="8"/>
  <c r="AU73" i="14"/>
  <c r="AU73" i="10"/>
  <c r="AY8" i="10"/>
  <c r="AY11" i="1"/>
  <c r="AY8" i="14"/>
  <c r="E65" i="14"/>
  <c r="E65" i="10"/>
  <c r="AC58" i="8"/>
  <c r="AT83" i="1"/>
  <c r="AT63" i="14"/>
  <c r="AT63" i="10"/>
  <c r="Z47" i="9"/>
  <c r="Z26" i="9"/>
  <c r="W41" i="9"/>
  <c r="W20" i="9"/>
  <c r="W50" i="9"/>
  <c r="AB40" i="14"/>
  <c r="AB22" i="1"/>
  <c r="AB52" i="1"/>
  <c r="AB40" i="10"/>
  <c r="AD58" i="9"/>
  <c r="S91" i="14"/>
  <c r="S93" i="1"/>
  <c r="S91" i="10"/>
  <c r="I71" i="10"/>
  <c r="I71" i="14"/>
  <c r="AC9" i="14"/>
  <c r="AC9" i="10"/>
  <c r="AM11" i="9"/>
  <c r="D22" i="8"/>
  <c r="D52" i="8"/>
  <c r="O39" i="14"/>
  <c r="O39" i="10"/>
  <c r="O51" i="1"/>
  <c r="O21" i="1"/>
  <c r="AC76" i="10"/>
  <c r="AC76" i="14"/>
  <c r="G51" i="9"/>
  <c r="G21" i="9"/>
  <c r="L20" i="8"/>
  <c r="L41" i="8"/>
  <c r="L50" i="8"/>
  <c r="AW66" i="14"/>
  <c r="AW66" i="10"/>
  <c r="AQ86" i="10"/>
  <c r="AQ86" i="14"/>
  <c r="AQ89" i="1"/>
  <c r="AR91" i="10"/>
  <c r="AR91" i="14"/>
  <c r="AR93" i="1"/>
  <c r="U64" i="14"/>
  <c r="U64" i="10"/>
  <c r="AE64" i="14"/>
  <c r="AE64" i="10"/>
  <c r="J58" i="8"/>
  <c r="I80" i="10"/>
  <c r="I80" i="14"/>
  <c r="AY93" i="8"/>
  <c r="AJ89" i="9"/>
  <c r="AQ22" i="1"/>
  <c r="AQ40" i="10"/>
  <c r="AQ40" i="14"/>
  <c r="AQ52" i="1"/>
  <c r="O41" i="8"/>
  <c r="O20" i="8"/>
  <c r="O50" i="8"/>
  <c r="AI71" i="14"/>
  <c r="AI71" i="10"/>
  <c r="AY58" i="1"/>
  <c r="AY56" i="14"/>
  <c r="AY56" i="10"/>
  <c r="AS75" i="10"/>
  <c r="AS75" i="14"/>
  <c r="S76" i="14"/>
  <c r="S76" i="10"/>
  <c r="Z80" i="14"/>
  <c r="Z80" i="10"/>
  <c r="N11" i="1"/>
  <c r="N8" i="10"/>
  <c r="N8" i="14"/>
  <c r="N11" i="14" s="1"/>
  <c r="N12" i="14" s="1"/>
  <c r="AG93" i="8"/>
  <c r="V81" i="14"/>
  <c r="V81" i="10"/>
  <c r="AY58" i="9"/>
  <c r="AI22" i="8"/>
  <c r="AI52" i="8"/>
  <c r="K78" i="14"/>
  <c r="K78" i="10"/>
  <c r="BO92" i="9"/>
  <c r="Y93" i="1"/>
  <c r="Y91" i="10"/>
  <c r="Y91" i="14"/>
  <c r="AL89" i="8"/>
  <c r="AR93" i="9"/>
  <c r="AW96" i="9"/>
  <c r="W81" i="10"/>
  <c r="W81" i="14"/>
  <c r="U11" i="8"/>
  <c r="AD52" i="9"/>
  <c r="AD22" i="9"/>
  <c r="R58" i="9"/>
  <c r="BT9" i="9"/>
  <c r="AO93" i="8"/>
  <c r="W73" i="14"/>
  <c r="W73" i="10"/>
  <c r="L89" i="9"/>
  <c r="AJ68" i="14"/>
  <c r="AJ68" i="10"/>
  <c r="AX58" i="8"/>
  <c r="AO27" i="8"/>
  <c r="U58" i="9"/>
  <c r="D64" i="14"/>
  <c r="D64" i="10"/>
  <c r="R88" i="14"/>
  <c r="R88" i="10"/>
  <c r="AB75" i="14"/>
  <c r="AB75" i="10"/>
  <c r="AM17" i="9"/>
  <c r="AM27" i="9"/>
  <c r="AW44" i="14"/>
  <c r="AW26" i="1"/>
  <c r="AW44" i="10"/>
  <c r="AW47" i="1"/>
  <c r="AW53" i="1" s="1"/>
  <c r="AG77" i="14"/>
  <c r="AG77" i="10"/>
  <c r="BO73" i="8"/>
  <c r="BO82" i="8"/>
  <c r="AG26" i="9"/>
  <c r="AG47" i="9"/>
  <c r="AA17" i="9"/>
  <c r="L66" i="14"/>
  <c r="L66" i="10"/>
  <c r="S44" i="14"/>
  <c r="S44" i="10"/>
  <c r="S26" i="1"/>
  <c r="S47" i="1"/>
  <c r="R17" i="9"/>
  <c r="AE17" i="9"/>
  <c r="Y92" i="10"/>
  <c r="Y92" i="14"/>
  <c r="F89" i="8"/>
  <c r="P11" i="8"/>
  <c r="AE96" i="8"/>
  <c r="U76" i="14"/>
  <c r="U76" i="10"/>
  <c r="AU20" i="9"/>
  <c r="AU41" i="9"/>
  <c r="AU50" i="9"/>
  <c r="AY47" i="8"/>
  <c r="AY26" i="8"/>
  <c r="AY32" i="8" s="1"/>
  <c r="AP58" i="9"/>
  <c r="AJ28" i="8"/>
  <c r="AK91" i="14"/>
  <c r="AK93" i="1"/>
  <c r="AK91" i="10"/>
  <c r="H86" i="10"/>
  <c r="H89" i="1"/>
  <c r="H86" i="14"/>
  <c r="AT96" i="9"/>
  <c r="K20" i="8"/>
  <c r="K41" i="8"/>
  <c r="K50" i="8"/>
  <c r="AC89" i="9"/>
  <c r="G27" i="8"/>
  <c r="AA83" i="8"/>
  <c r="AG28" i="9"/>
  <c r="AC28" i="1"/>
  <c r="AC46" i="14"/>
  <c r="AC46" i="10"/>
  <c r="AK27" i="8"/>
  <c r="AO82" i="14"/>
  <c r="AO82" i="10"/>
  <c r="AQ28" i="8"/>
  <c r="D17" i="8"/>
  <c r="AM93" i="8"/>
  <c r="M27" i="9"/>
  <c r="AD93" i="8"/>
  <c r="Q96" i="8"/>
  <c r="H80" i="14"/>
  <c r="H80" i="10"/>
  <c r="AE57" i="14"/>
  <c r="AE57" i="10"/>
  <c r="AX95" i="14"/>
  <c r="AX96" i="14" s="1"/>
  <c r="AX97" i="14" s="1"/>
  <c r="AX96" i="1"/>
  <c r="AX95" i="10"/>
  <c r="AX96" i="10" s="1"/>
  <c r="I11" i="9"/>
  <c r="I83" i="9"/>
  <c r="AD89" i="9"/>
  <c r="T58" i="9"/>
  <c r="W41" i="8"/>
  <c r="W20" i="8"/>
  <c r="W50" i="8"/>
  <c r="AE74" i="14"/>
  <c r="AE74" i="10"/>
  <c r="BO77" i="8"/>
  <c r="G27" i="9"/>
  <c r="H57" i="14"/>
  <c r="H57" i="10"/>
  <c r="AB11" i="8"/>
  <c r="AQ75" i="14"/>
  <c r="AQ75" i="10"/>
  <c r="I66" i="10"/>
  <c r="I66" i="14"/>
  <c r="W27" i="8"/>
  <c r="M88" i="10"/>
  <c r="M88" i="14"/>
  <c r="Q93" i="8"/>
  <c r="D51" i="9"/>
  <c r="D21" i="9"/>
  <c r="D93" i="8"/>
  <c r="AN79" i="14"/>
  <c r="AN79" i="10"/>
  <c r="BO79" i="1"/>
  <c r="AJ41" i="8"/>
  <c r="AJ50" i="8"/>
  <c r="AJ20" i="8"/>
  <c r="AJ32" i="8" s="1"/>
  <c r="AE11" i="9"/>
  <c r="U96" i="8"/>
  <c r="AB83" i="9"/>
  <c r="AG81" i="14"/>
  <c r="AG81" i="10"/>
  <c r="AX27" i="9"/>
  <c r="O51" i="9"/>
  <c r="O21" i="9"/>
  <c r="AK17" i="8"/>
  <c r="E75" i="10"/>
  <c r="E75" i="14"/>
  <c r="O74" i="10"/>
  <c r="O74" i="14"/>
  <c r="AN28" i="9"/>
  <c r="BO46" i="9"/>
  <c r="AM96" i="9"/>
  <c r="AK93" i="9"/>
  <c r="U71" i="14"/>
  <c r="U71" i="10"/>
  <c r="AH20" i="9"/>
  <c r="AH41" i="9"/>
  <c r="AH50" i="9"/>
  <c r="BO72" i="8"/>
  <c r="AR81" i="10"/>
  <c r="AR81" i="14"/>
  <c r="U21" i="8"/>
  <c r="U51" i="8"/>
  <c r="AM78" i="10"/>
  <c r="AM78" i="14"/>
  <c r="AM41" i="9"/>
  <c r="AM50" i="9"/>
  <c r="AM20" i="9"/>
  <c r="AF89" i="1"/>
  <c r="AF86" i="14"/>
  <c r="AF86" i="10"/>
  <c r="AJ58" i="9"/>
  <c r="AM89" i="9"/>
  <c r="AO41" i="9"/>
  <c r="AO20" i="9"/>
  <c r="AO50" i="9"/>
  <c r="AM92" i="14"/>
  <c r="AM92" i="10"/>
  <c r="V50" i="9"/>
  <c r="V41" i="9"/>
  <c r="V20" i="9"/>
  <c r="AS50" i="8"/>
  <c r="AS41" i="8"/>
  <c r="AS20" i="8"/>
  <c r="M82" i="14"/>
  <c r="M82" i="10"/>
  <c r="AV64" i="14"/>
  <c r="AV64" i="10"/>
  <c r="R73" i="14"/>
  <c r="R73" i="10"/>
  <c r="AY58" i="8"/>
  <c r="I93" i="1"/>
  <c r="I91" i="14"/>
  <c r="I91" i="10"/>
  <c r="E20" i="9"/>
  <c r="E41" i="9"/>
  <c r="E50" i="9"/>
  <c r="Z17" i="8"/>
  <c r="AS11" i="9"/>
  <c r="AJ26" i="9"/>
  <c r="AJ47" i="9"/>
  <c r="AQ93" i="8"/>
  <c r="AK47" i="9"/>
  <c r="AK26" i="9"/>
  <c r="E26" i="9"/>
  <c r="E47" i="9"/>
  <c r="AU93" i="9"/>
  <c r="AK71" i="14"/>
  <c r="AK71" i="10"/>
  <c r="AE72" i="14"/>
  <c r="AE72" i="10"/>
  <c r="I67" i="14"/>
  <c r="I67" i="10"/>
  <c r="E28" i="9"/>
  <c r="X58" i="9"/>
  <c r="K83" i="8"/>
  <c r="Q92" i="10"/>
  <c r="Q92" i="14"/>
  <c r="BS92" i="14" s="1"/>
  <c r="AC66" i="14"/>
  <c r="AC66" i="10"/>
  <c r="AI28" i="8"/>
  <c r="S27" i="8"/>
  <c r="AL47" i="9"/>
  <c r="AL26" i="9"/>
  <c r="L93" i="9"/>
  <c r="AP17" i="9"/>
  <c r="AQ21" i="9"/>
  <c r="AQ51" i="9"/>
  <c r="V70" i="10"/>
  <c r="V70" i="14"/>
  <c r="AI96" i="9"/>
  <c r="J96" i="9"/>
  <c r="R22" i="9"/>
  <c r="R34" i="9" s="1"/>
  <c r="R52" i="9"/>
  <c r="F28" i="9"/>
  <c r="F34" i="9" s="1"/>
  <c r="AH11" i="8"/>
  <c r="O89" i="9"/>
  <c r="AN89" i="9"/>
  <c r="BO86" i="9"/>
  <c r="AK96" i="9"/>
  <c r="M21" i="9"/>
  <c r="M51" i="9"/>
  <c r="AJ83" i="9"/>
  <c r="AK27" i="9"/>
  <c r="Q83" i="8"/>
  <c r="AO16" i="10"/>
  <c r="AO16" i="14"/>
  <c r="AA89" i="9"/>
  <c r="AG74" i="10"/>
  <c r="AG74" i="14"/>
  <c r="J27" i="9"/>
  <c r="M11" i="8"/>
  <c r="V83" i="9"/>
  <c r="E72" i="14"/>
  <c r="E72" i="10"/>
  <c r="I87" i="14"/>
  <c r="I87" i="10"/>
  <c r="AY79" i="10"/>
  <c r="AY79" i="14"/>
  <c r="J78" i="14"/>
  <c r="J78" i="10"/>
  <c r="AU21" i="8"/>
  <c r="AU51" i="8"/>
  <c r="AV52" i="8"/>
  <c r="AV22" i="8"/>
  <c r="AV34" i="8" s="1"/>
  <c r="X17" i="1"/>
  <c r="X14" i="10"/>
  <c r="X14" i="14"/>
  <c r="AA92" i="14"/>
  <c r="AA92" i="10"/>
  <c r="AI45" i="14"/>
  <c r="AI27" i="1"/>
  <c r="AI45" i="10"/>
  <c r="AI27" i="10" s="1"/>
  <c r="J11" i="9"/>
  <c r="G89" i="8"/>
  <c r="N17" i="9"/>
  <c r="T89" i="9"/>
  <c r="AE73" i="10"/>
  <c r="AE73" i="14"/>
  <c r="AH67" i="14"/>
  <c r="AH67" i="10"/>
  <c r="S11" i="8"/>
  <c r="BO75" i="9"/>
  <c r="N88" i="10"/>
  <c r="N88" i="14"/>
  <c r="AE8" i="10"/>
  <c r="AE8" i="14"/>
  <c r="AE11" i="1"/>
  <c r="AE102" i="1" s="1"/>
  <c r="K8" i="14"/>
  <c r="K11" i="1"/>
  <c r="K8" i="10"/>
  <c r="I27" i="8"/>
  <c r="G28" i="9"/>
  <c r="V79" i="10"/>
  <c r="V79" i="14"/>
  <c r="AX89" i="9"/>
  <c r="F58" i="8"/>
  <c r="N11" i="9"/>
  <c r="AT51" i="8"/>
  <c r="AT21" i="8"/>
  <c r="AO77" i="14"/>
  <c r="AO77" i="10"/>
  <c r="L71" i="14"/>
  <c r="L71" i="10"/>
  <c r="M76" i="10"/>
  <c r="M76" i="14"/>
  <c r="AR79" i="10"/>
  <c r="AR79" i="14"/>
  <c r="P22" i="9"/>
  <c r="P52" i="9"/>
  <c r="AX69" i="14"/>
  <c r="AX69" i="10"/>
  <c r="AW83" i="1"/>
  <c r="AW63" i="14"/>
  <c r="AW63" i="10"/>
  <c r="J50" i="8"/>
  <c r="J41" i="8"/>
  <c r="J23" i="8" s="1"/>
  <c r="J20" i="8"/>
  <c r="AO86" i="10"/>
  <c r="AO86" i="14"/>
  <c r="AO89" i="1"/>
  <c r="D89" i="8"/>
  <c r="T66" i="14"/>
  <c r="T66" i="10"/>
  <c r="AE80" i="14"/>
  <c r="AE80" i="10"/>
  <c r="T70" i="14"/>
  <c r="T70" i="10"/>
  <c r="G52" i="8"/>
  <c r="G22" i="8"/>
  <c r="N93" i="8"/>
  <c r="AB58" i="8"/>
  <c r="AW96" i="8"/>
  <c r="BR9" i="8"/>
  <c r="R20" i="8"/>
  <c r="R50" i="8"/>
  <c r="R41" i="8"/>
  <c r="AW27" i="8"/>
  <c r="AD96" i="9"/>
  <c r="Q83" i="9"/>
  <c r="AX11" i="9"/>
  <c r="AY102" i="9" s="1"/>
  <c r="J28" i="8"/>
  <c r="AO27" i="9"/>
  <c r="R89" i="9"/>
  <c r="AM89" i="8"/>
  <c r="AB41" i="9"/>
  <c r="AB50" i="9"/>
  <c r="AB20" i="9"/>
  <c r="AK83" i="9"/>
  <c r="AX96" i="9"/>
  <c r="Q81" i="14"/>
  <c r="Q81" i="10"/>
  <c r="K96" i="8"/>
  <c r="AS80" i="10"/>
  <c r="AS80" i="14"/>
  <c r="M52" i="8"/>
  <c r="M22" i="8"/>
  <c r="V47" i="9"/>
  <c r="V26" i="9"/>
  <c r="AJ17" i="9"/>
  <c r="AC96" i="8"/>
  <c r="AB28" i="9"/>
  <c r="T83" i="9"/>
  <c r="L81" i="14"/>
  <c r="L81" i="10"/>
  <c r="AJ21" i="9"/>
  <c r="AJ51" i="9"/>
  <c r="R11" i="8"/>
  <c r="BS8" i="8"/>
  <c r="D89" i="9"/>
  <c r="Y28" i="9"/>
  <c r="AP66" i="14"/>
  <c r="AP66" i="10"/>
  <c r="Y93" i="8"/>
  <c r="H93" i="8"/>
  <c r="AH11" i="9"/>
  <c r="L96" i="8"/>
  <c r="D27" i="8"/>
  <c r="D58" i="9"/>
  <c r="F93" i="9"/>
  <c r="K89" i="8"/>
  <c r="AU41" i="8"/>
  <c r="AU20" i="8"/>
  <c r="AU50" i="8"/>
  <c r="AN26" i="9"/>
  <c r="BO44" i="9"/>
  <c r="AN47" i="9"/>
  <c r="T50" i="9"/>
  <c r="T20" i="9"/>
  <c r="T41" i="9"/>
  <c r="AV58" i="9"/>
  <c r="F17" i="9"/>
  <c r="G11" i="9"/>
  <c r="N93" i="9"/>
  <c r="AW26" i="9"/>
  <c r="AW47" i="9"/>
  <c r="AS17" i="9"/>
  <c r="AY28" i="8"/>
  <c r="AN63" i="10"/>
  <c r="AN63" i="14"/>
  <c r="AN83" i="1"/>
  <c r="BO63" i="1"/>
  <c r="Y93" i="9"/>
  <c r="AJ52" i="9"/>
  <c r="AJ22" i="9"/>
  <c r="AS83" i="9"/>
  <c r="AQ41" i="9"/>
  <c r="AQ20" i="9"/>
  <c r="AQ50" i="9"/>
  <c r="X96" i="9"/>
  <c r="T96" i="9"/>
  <c r="M20" i="9"/>
  <c r="M41" i="9"/>
  <c r="M50" i="9"/>
  <c r="AF11" i="9"/>
  <c r="AM21" i="8"/>
  <c r="AM33" i="8" s="1"/>
  <c r="AM51" i="8"/>
  <c r="M47" i="8"/>
  <c r="M26" i="8"/>
  <c r="BO88" i="8"/>
  <c r="AC83" i="1"/>
  <c r="AC63" i="14"/>
  <c r="AC63" i="10"/>
  <c r="AS96" i="8"/>
  <c r="H58" i="9"/>
  <c r="AR47" i="9"/>
  <c r="AR26" i="9"/>
  <c r="BO81" i="8"/>
  <c r="S41" i="9"/>
  <c r="S50" i="9"/>
  <c r="S20" i="9"/>
  <c r="S67" i="10"/>
  <c r="S67" i="14"/>
  <c r="AT21" i="9"/>
  <c r="AT33" i="9" s="1"/>
  <c r="AT51" i="9"/>
  <c r="AO89" i="9"/>
  <c r="AU89" i="9"/>
  <c r="F21" i="9"/>
  <c r="F51" i="9"/>
  <c r="BO45" i="8"/>
  <c r="AN27" i="8"/>
  <c r="AV96" i="8"/>
  <c r="AT89" i="8"/>
  <c r="AR50" i="8"/>
  <c r="AR41" i="8"/>
  <c r="AR20" i="8"/>
  <c r="AU89" i="8"/>
  <c r="AG51" i="9"/>
  <c r="AG21" i="9"/>
  <c r="AO26" i="9"/>
  <c r="AO47" i="9"/>
  <c r="AD95" i="14"/>
  <c r="AD96" i="14" s="1"/>
  <c r="AD97" i="14" s="1"/>
  <c r="AD96" i="1"/>
  <c r="AD95" i="10"/>
  <c r="BO15" i="9"/>
  <c r="BW15" i="9"/>
  <c r="AJ93" i="9"/>
  <c r="AQ17" i="8"/>
  <c r="P27" i="9"/>
  <c r="AL28" i="9"/>
  <c r="AD41" i="8"/>
  <c r="AD20" i="8"/>
  <c r="AD50" i="8"/>
  <c r="Z83" i="9"/>
  <c r="G83" i="9"/>
  <c r="P21" i="9"/>
  <c r="P51" i="9"/>
  <c r="AO22" i="8"/>
  <c r="AO52" i="8"/>
  <c r="AU21" i="9"/>
  <c r="AU51" i="9"/>
  <c r="R93" i="8"/>
  <c r="BQ10" i="9"/>
  <c r="AS28" i="8"/>
  <c r="L21" i="9"/>
  <c r="L51" i="9"/>
  <c r="U39" i="14"/>
  <c r="U51" i="1"/>
  <c r="U21" i="1"/>
  <c r="U39" i="10"/>
  <c r="AC92" i="14"/>
  <c r="AC93" i="14" s="1"/>
  <c r="AC94" i="14" s="1"/>
  <c r="AC92" i="10"/>
  <c r="U96" i="9"/>
  <c r="AI11" i="9"/>
  <c r="BO39" i="9"/>
  <c r="AN21" i="9"/>
  <c r="AN51" i="9"/>
  <c r="AG83" i="9"/>
  <c r="AK96" i="8"/>
  <c r="X96" i="8"/>
  <c r="AR83" i="9"/>
  <c r="U83" i="9"/>
  <c r="AD91" i="14"/>
  <c r="AD93" i="1"/>
  <c r="AD91" i="10"/>
  <c r="K96" i="9"/>
  <c r="AO17" i="9"/>
  <c r="AN96" i="8"/>
  <c r="BO95" i="8"/>
  <c r="BO96" i="8" s="1"/>
  <c r="G20" i="8"/>
  <c r="G41" i="8"/>
  <c r="G50" i="8"/>
  <c r="AP69" i="10"/>
  <c r="AP69" i="14"/>
  <c r="S57" i="14"/>
  <c r="S57" i="10"/>
  <c r="AG16" i="10"/>
  <c r="AG16" i="14"/>
  <c r="AH11" i="1"/>
  <c r="AH8" i="10"/>
  <c r="AH8" i="14"/>
  <c r="AM69" i="14"/>
  <c r="AM69" i="10"/>
  <c r="V74" i="14"/>
  <c r="V74" i="10"/>
  <c r="Q44" i="14"/>
  <c r="Q26" i="1"/>
  <c r="Q47" i="1"/>
  <c r="Q44" i="10"/>
  <c r="J75" i="10"/>
  <c r="J75" i="14"/>
  <c r="AL83" i="9"/>
  <c r="F47" i="1"/>
  <c r="F29" i="1" s="1"/>
  <c r="F44" i="10"/>
  <c r="F44" i="14"/>
  <c r="F26" i="1"/>
  <c r="AU75" i="14"/>
  <c r="AU75" i="10"/>
  <c r="AP65" i="14"/>
  <c r="AP65" i="10"/>
  <c r="AI56" i="14"/>
  <c r="AI56" i="10"/>
  <c r="AI58" i="1"/>
  <c r="AK89" i="9"/>
  <c r="BS10" i="8"/>
  <c r="AQ9" i="14"/>
  <c r="AQ9" i="10"/>
  <c r="Z92" i="14"/>
  <c r="Z93" i="14" s="1"/>
  <c r="Z94" i="14" s="1"/>
  <c r="Z92" i="10"/>
  <c r="AS70" i="14"/>
  <c r="AS70" i="10"/>
  <c r="AQ44" i="14"/>
  <c r="AQ44" i="10"/>
  <c r="AQ47" i="1"/>
  <c r="AQ26" i="1"/>
  <c r="AX83" i="9"/>
  <c r="AK65" i="14"/>
  <c r="AK65" i="10"/>
  <c r="G58" i="8"/>
  <c r="I83" i="8"/>
  <c r="H83" i="8"/>
  <c r="O92" i="10"/>
  <c r="O92" i="14"/>
  <c r="AB77" i="10"/>
  <c r="AB77" i="14"/>
  <c r="AC69" i="14"/>
  <c r="AC69" i="10"/>
  <c r="AC28" i="8"/>
  <c r="T88" i="14"/>
  <c r="T88" i="10"/>
  <c r="U80" i="14"/>
  <c r="U80" i="10"/>
  <c r="AQ22" i="8"/>
  <c r="AQ52" i="8"/>
  <c r="Y17" i="9"/>
  <c r="AQ96" i="1"/>
  <c r="AQ95" i="10"/>
  <c r="AQ96" i="10" s="1"/>
  <c r="AQ95" i="14"/>
  <c r="AQ96" i="14" s="1"/>
  <c r="AQ97" i="14" s="1"/>
  <c r="L57" i="14"/>
  <c r="L57" i="10"/>
  <c r="Z87" i="10"/>
  <c r="Z87" i="14"/>
  <c r="V91" i="14"/>
  <c r="V91" i="10"/>
  <c r="V93" i="1"/>
  <c r="AT64" i="14"/>
  <c r="AT64" i="10"/>
  <c r="AA89" i="8"/>
  <c r="AJ95" i="10"/>
  <c r="AJ96" i="10" s="1"/>
  <c r="AJ95" i="14"/>
  <c r="AJ96" i="14" s="1"/>
  <c r="AJ97" i="14" s="1"/>
  <c r="AJ96" i="1"/>
  <c r="AJ79" i="10"/>
  <c r="AJ79" i="14"/>
  <c r="Z51" i="9"/>
  <c r="Z21" i="9"/>
  <c r="Z33" i="9" s="1"/>
  <c r="N28" i="8"/>
  <c r="AW64" i="14"/>
  <c r="AW64" i="10"/>
  <c r="Q40" i="14"/>
  <c r="Q22" i="1"/>
  <c r="Q34" i="1" s="1"/>
  <c r="Q40" i="10"/>
  <c r="Q52" i="10" s="1"/>
  <c r="Q52" i="1"/>
  <c r="K86" i="10"/>
  <c r="K89" i="1"/>
  <c r="K86" i="14"/>
  <c r="AE45" i="14"/>
  <c r="AE45" i="10"/>
  <c r="AE27" i="1"/>
  <c r="AN82" i="14"/>
  <c r="AN82" i="10"/>
  <c r="BO82" i="1"/>
  <c r="O65" i="14"/>
  <c r="O65" i="10"/>
  <c r="G63" i="14"/>
  <c r="G63" i="10"/>
  <c r="G83" i="1"/>
  <c r="M87" i="14"/>
  <c r="M87" i="10"/>
  <c r="AP76" i="14"/>
  <c r="AP76" i="10"/>
  <c r="AW87" i="14"/>
  <c r="AW87" i="10"/>
  <c r="AF81" i="10"/>
  <c r="AF81" i="14"/>
  <c r="AH10" i="10"/>
  <c r="AH10" i="14"/>
  <c r="F65" i="14"/>
  <c r="F65" i="10"/>
  <c r="G46" i="14"/>
  <c r="G46" i="10"/>
  <c r="G28" i="1"/>
  <c r="G34" i="1" s="1"/>
  <c r="D10" i="14"/>
  <c r="D10" i="10"/>
  <c r="AC27" i="8"/>
  <c r="AN45" i="14"/>
  <c r="AN45" i="10"/>
  <c r="AN27" i="1"/>
  <c r="BO45" i="1"/>
  <c r="AH87" i="14"/>
  <c r="AH87" i="10"/>
  <c r="O11" i="8"/>
  <c r="U96" i="1"/>
  <c r="U95" i="14"/>
  <c r="U96" i="14" s="1"/>
  <c r="U97" i="14" s="1"/>
  <c r="U95" i="10"/>
  <c r="U96" i="10" s="1"/>
  <c r="V67" i="14"/>
  <c r="V67" i="10"/>
  <c r="AL66" i="10"/>
  <c r="AL66" i="14"/>
  <c r="BO77" i="9"/>
  <c r="BO56" i="9"/>
  <c r="AN58" i="9"/>
  <c r="I58" i="8"/>
  <c r="U26" i="8"/>
  <c r="U47" i="8"/>
  <c r="AO71" i="14"/>
  <c r="AO71" i="10"/>
  <c r="AB58" i="9"/>
  <c r="AW11" i="8"/>
  <c r="J77" i="14"/>
  <c r="J77" i="10"/>
  <c r="S74" i="14"/>
  <c r="S74" i="10"/>
  <c r="H96" i="9"/>
  <c r="P26" i="8"/>
  <c r="P47" i="8"/>
  <c r="AJ20" i="9"/>
  <c r="AJ32" i="9" s="1"/>
  <c r="AJ50" i="9"/>
  <c r="AJ41" i="9"/>
  <c r="AB89" i="9"/>
  <c r="AF56" i="10"/>
  <c r="AF56" i="14"/>
  <c r="AF58" i="1"/>
  <c r="AG65" i="14"/>
  <c r="AG65" i="10"/>
  <c r="AB78" i="14"/>
  <c r="AB78" i="10"/>
  <c r="AQ96" i="9"/>
  <c r="Q47" i="8"/>
  <c r="Q26" i="8"/>
  <c r="AT77" i="10"/>
  <c r="AT77" i="14"/>
  <c r="L28" i="8"/>
  <c r="AC17" i="8"/>
  <c r="AC29" i="8" s="1"/>
  <c r="P93" i="8"/>
  <c r="AG11" i="8"/>
  <c r="U82" i="10"/>
  <c r="U82" i="14"/>
  <c r="AL22" i="9"/>
  <c r="AL52" i="9"/>
  <c r="AE27" i="8"/>
  <c r="AR28" i="9"/>
  <c r="W47" i="9"/>
  <c r="W26" i="9"/>
  <c r="AX17" i="9"/>
  <c r="AC88" i="14"/>
  <c r="AC88" i="10"/>
  <c r="Y76" i="10"/>
  <c r="Y76" i="14"/>
  <c r="V11" i="8"/>
  <c r="BO65" i="8"/>
  <c r="T16" i="14"/>
  <c r="T28" i="14" s="1"/>
  <c r="T16" i="10"/>
  <c r="J72" i="10"/>
  <c r="J72" i="14"/>
  <c r="BO80" i="9"/>
  <c r="AW28" i="8"/>
  <c r="AQ27" i="9"/>
  <c r="AP89" i="9"/>
  <c r="V21" i="8"/>
  <c r="V51" i="8"/>
  <c r="U77" i="10"/>
  <c r="U77" i="14"/>
  <c r="E50" i="8"/>
  <c r="E20" i="8"/>
  <c r="E41" i="8"/>
  <c r="AJ93" i="8"/>
  <c r="AJ73" i="14"/>
  <c r="AJ73" i="10"/>
  <c r="O58" i="8"/>
  <c r="AM93" i="9"/>
  <c r="Q11" i="9"/>
  <c r="M93" i="8"/>
  <c r="AF20" i="9"/>
  <c r="AF32" i="9" s="1"/>
  <c r="AF50" i="9"/>
  <c r="AF41" i="9"/>
  <c r="R96" i="8"/>
  <c r="P11" i="9"/>
  <c r="AV83" i="8"/>
  <c r="S17" i="9"/>
  <c r="L27" i="8"/>
  <c r="Q26" i="9"/>
  <c r="Q47" i="9"/>
  <c r="Q29" i="9" s="1"/>
  <c r="R89" i="8"/>
  <c r="AM58" i="9"/>
  <c r="V22" i="9"/>
  <c r="V52" i="9"/>
  <c r="AP28" i="9"/>
  <c r="X75" i="14"/>
  <c r="X75" i="10"/>
  <c r="O93" i="8"/>
  <c r="AY83" i="9"/>
  <c r="T11" i="9"/>
  <c r="L58" i="9"/>
  <c r="T22" i="9"/>
  <c r="T52" i="9"/>
  <c r="H17" i="9"/>
  <c r="AA96" i="9"/>
  <c r="L11" i="9"/>
  <c r="L102" i="9" s="1"/>
  <c r="X47" i="8"/>
  <c r="X26" i="8"/>
  <c r="K82" i="14"/>
  <c r="K82" i="10"/>
  <c r="AM47" i="9"/>
  <c r="AM26" i="9"/>
  <c r="AM32" i="9" s="1"/>
  <c r="AV27" i="9"/>
  <c r="X79" i="14"/>
  <c r="X79" i="10"/>
  <c r="AY89" i="9"/>
  <c r="F20" i="9"/>
  <c r="F41" i="9"/>
  <c r="F50" i="9"/>
  <c r="AY27" i="8"/>
  <c r="BO74" i="8"/>
  <c r="V96" i="9"/>
  <c r="AF27" i="9"/>
  <c r="AF83" i="9"/>
  <c r="AO83" i="9"/>
  <c r="AY27" i="9"/>
  <c r="F83" i="9"/>
  <c r="AH83" i="9"/>
  <c r="P89" i="9"/>
  <c r="AD93" i="9"/>
  <c r="AF96" i="9"/>
  <c r="G89" i="9"/>
  <c r="G17" i="9"/>
  <c r="T96" i="8"/>
  <c r="AN21" i="8"/>
  <c r="AN51" i="8"/>
  <c r="BO39" i="8"/>
  <c r="AP89" i="8"/>
  <c r="J26" i="9"/>
  <c r="J47" i="9"/>
  <c r="AO96" i="9"/>
  <c r="AV41" i="9"/>
  <c r="AV20" i="9"/>
  <c r="AV32" i="9" s="1"/>
  <c r="AV50" i="9"/>
  <c r="BO73" i="9"/>
  <c r="AR96" i="9"/>
  <c r="AC93" i="9"/>
  <c r="AB93" i="8"/>
  <c r="AK93" i="8"/>
  <c r="R96" i="9"/>
  <c r="AK22" i="9"/>
  <c r="AK34" i="9" s="1"/>
  <c r="AK52" i="9"/>
  <c r="AS82" i="10"/>
  <c r="AS82" i="14"/>
  <c r="AK17" i="9"/>
  <c r="AK29" i="9" s="1"/>
  <c r="E52" i="9"/>
  <c r="E22" i="9"/>
  <c r="U22" i="8"/>
  <c r="U52" i="8"/>
  <c r="AC83" i="9"/>
  <c r="O47" i="8"/>
  <c r="O26" i="8"/>
  <c r="P93" i="9"/>
  <c r="N72" i="10"/>
  <c r="N72" i="14"/>
  <c r="X50" i="9"/>
  <c r="X20" i="9"/>
  <c r="X41" i="9"/>
  <c r="AU26" i="9"/>
  <c r="AU47" i="9"/>
  <c r="D81" i="10"/>
  <c r="D81" i="14"/>
  <c r="AO11" i="9"/>
  <c r="BQ8" i="9"/>
  <c r="AN93" i="8"/>
  <c r="BO91" i="8"/>
  <c r="N58" i="9"/>
  <c r="AV47" i="8"/>
  <c r="AV26" i="8"/>
  <c r="BO76" i="9"/>
  <c r="AY51" i="9"/>
  <c r="AY21" i="9"/>
  <c r="AO58" i="9"/>
  <c r="I51" i="9"/>
  <c r="I21" i="9"/>
  <c r="AY26" i="9"/>
  <c r="AY47" i="9"/>
  <c r="AM28" i="9"/>
  <c r="AD41" i="9"/>
  <c r="AD20" i="9"/>
  <c r="AD50" i="9"/>
  <c r="R80" i="10"/>
  <c r="BS80" i="10" s="1"/>
  <c r="R80" i="14"/>
  <c r="AB70" i="10"/>
  <c r="AB70" i="14"/>
  <c r="AV77" i="10"/>
  <c r="AV77" i="14"/>
  <c r="BR9" i="9"/>
  <c r="M96" i="9"/>
  <c r="K17" i="9"/>
  <c r="K29" i="9" s="1"/>
  <c r="R28" i="8"/>
  <c r="AN71" i="10"/>
  <c r="AN71" i="14"/>
  <c r="BO71" i="1"/>
  <c r="S51" i="8"/>
  <c r="S21" i="8"/>
  <c r="S33" i="8" s="1"/>
  <c r="AG89" i="9"/>
  <c r="O27" i="8"/>
  <c r="O33" i="8" s="1"/>
  <c r="AX21" i="9"/>
  <c r="AX51" i="9"/>
  <c r="AV96" i="9"/>
  <c r="Y96" i="9"/>
  <c r="AH75" i="10"/>
  <c r="AH75" i="14"/>
  <c r="U52" i="9"/>
  <c r="U22" i="9"/>
  <c r="AP96" i="8"/>
  <c r="O83" i="9"/>
  <c r="AD78" i="14"/>
  <c r="AD78" i="10"/>
  <c r="AL17" i="9"/>
  <c r="I28" i="9"/>
  <c r="AE26" i="9"/>
  <c r="AE47" i="9"/>
  <c r="D96" i="9"/>
  <c r="AO21" i="8"/>
  <c r="AO51" i="8"/>
  <c r="F93" i="8"/>
  <c r="F86" i="14"/>
  <c r="F86" i="10"/>
  <c r="F89" i="1"/>
  <c r="AY41" i="9"/>
  <c r="AY20" i="9"/>
  <c r="AY50" i="9"/>
  <c r="R47" i="9"/>
  <c r="R26" i="9"/>
  <c r="BO74" i="1"/>
  <c r="AN74" i="10"/>
  <c r="AN74" i="14"/>
  <c r="Q58" i="9"/>
  <c r="AI17" i="9"/>
  <c r="AS47" i="9"/>
  <c r="AS26" i="9"/>
  <c r="AQ79" i="14"/>
  <c r="AQ79" i="10"/>
  <c r="T75" i="10"/>
  <c r="T75" i="14"/>
  <c r="AK58" i="9"/>
  <c r="AR51" i="9"/>
  <c r="AR21" i="9"/>
  <c r="M26" i="9"/>
  <c r="M47" i="9"/>
  <c r="AW52" i="9"/>
  <c r="AW22" i="9"/>
  <c r="AP58" i="8"/>
  <c r="X17" i="9"/>
  <c r="H50" i="9"/>
  <c r="H20" i="9"/>
  <c r="H32" i="9" s="1"/>
  <c r="H41" i="9"/>
  <c r="AH28" i="8"/>
  <c r="J96" i="8"/>
  <c r="AM88" i="14"/>
  <c r="AM88" i="10"/>
  <c r="AV89" i="8"/>
  <c r="AD52" i="8"/>
  <c r="AD22" i="8"/>
  <c r="W21" i="9"/>
  <c r="W51" i="9"/>
  <c r="P81" i="14"/>
  <c r="P81" i="10"/>
  <c r="AD58" i="8"/>
  <c r="AG96" i="9"/>
  <c r="AI17" i="8"/>
  <c r="T77" i="10"/>
  <c r="T77" i="14"/>
  <c r="AA11" i="9"/>
  <c r="AS81" i="14"/>
  <c r="AS81" i="10"/>
  <c r="M83" i="8"/>
  <c r="D27" i="9"/>
  <c r="I81" i="14"/>
  <c r="I81" i="10"/>
  <c r="N28" i="9"/>
  <c r="T17" i="9"/>
  <c r="AW89" i="9"/>
  <c r="AT11" i="9"/>
  <c r="AM56" i="14"/>
  <c r="AM58" i="1"/>
  <c r="AM56" i="10"/>
  <c r="AQ66" i="14"/>
  <c r="AQ66" i="10"/>
  <c r="AC89" i="8"/>
  <c r="AA83" i="9"/>
  <c r="AQ89" i="9"/>
  <c r="N52" i="9"/>
  <c r="N22" i="9"/>
  <c r="AV28" i="9"/>
  <c r="AL82" i="14"/>
  <c r="AL82" i="10"/>
  <c r="L51" i="8"/>
  <c r="L21" i="8"/>
  <c r="S52" i="9"/>
  <c r="S22" i="9"/>
  <c r="H93" i="9"/>
  <c r="I96" i="9"/>
  <c r="AD28" i="9"/>
  <c r="H21" i="9"/>
  <c r="H33" i="9" s="1"/>
  <c r="H51" i="9"/>
  <c r="U27" i="9"/>
  <c r="M89" i="8"/>
  <c r="J83" i="9"/>
  <c r="BO88" i="9"/>
  <c r="AO93" i="9"/>
  <c r="AX93" i="9"/>
  <c r="AF93" i="9"/>
  <c r="R50" i="9"/>
  <c r="R20" i="9"/>
  <c r="R41" i="9"/>
  <c r="AE89" i="9"/>
  <c r="AO21" i="9"/>
  <c r="AO51" i="9"/>
  <c r="AA20" i="9"/>
  <c r="AA50" i="9"/>
  <c r="AA41" i="9"/>
  <c r="AO83" i="8"/>
  <c r="H83" i="9"/>
  <c r="Q50" i="9"/>
  <c r="Q41" i="9"/>
  <c r="Q20" i="9"/>
  <c r="X89" i="9"/>
  <c r="AH89" i="8"/>
  <c r="AU52" i="9"/>
  <c r="AU22" i="9"/>
  <c r="AU34" i="9" s="1"/>
  <c r="AR89" i="9"/>
  <c r="AY17" i="9"/>
  <c r="AG17" i="9"/>
  <c r="K81" i="10"/>
  <c r="K81" i="14"/>
  <c r="T93" i="8"/>
  <c r="AT17" i="9"/>
  <c r="BO57" i="9"/>
  <c r="X28" i="9"/>
  <c r="N51" i="9"/>
  <c r="N21" i="9"/>
  <c r="N33" i="9" s="1"/>
  <c r="AA93" i="9"/>
  <c r="X71" i="10"/>
  <c r="X71" i="14"/>
  <c r="N50" i="9"/>
  <c r="N20" i="9"/>
  <c r="N41" i="9"/>
  <c r="AT28" i="9"/>
  <c r="AL79" i="14"/>
  <c r="AL79" i="10"/>
  <c r="BO74" i="9"/>
  <c r="BR10" i="9"/>
  <c r="U50" i="9"/>
  <c r="U20" i="9"/>
  <c r="U41" i="9"/>
  <c r="U93" i="9"/>
  <c r="AP21" i="8"/>
  <c r="AP51" i="8"/>
  <c r="AC26" i="9"/>
  <c r="AC47" i="9"/>
  <c r="Y81" i="14"/>
  <c r="Y81" i="10"/>
  <c r="AO89" i="8"/>
  <c r="AB96" i="9"/>
  <c r="AD56" i="14"/>
  <c r="AD56" i="10"/>
  <c r="AD58" i="1"/>
  <c r="W11" i="9"/>
  <c r="AB96" i="8"/>
  <c r="M50" i="8"/>
  <c r="M20" i="8"/>
  <c r="M41" i="8"/>
  <c r="T28" i="9"/>
  <c r="P89" i="8"/>
  <c r="AP22" i="9"/>
  <c r="AP52" i="9"/>
  <c r="AJ57" i="10"/>
  <c r="AJ57" i="14"/>
  <c r="AJ58" i="14" s="1"/>
  <c r="BQ9" i="9"/>
  <c r="AA51" i="8"/>
  <c r="AA21" i="8"/>
  <c r="BO79" i="9"/>
  <c r="S50" i="8"/>
  <c r="S20" i="8"/>
  <c r="S41" i="8"/>
  <c r="E17" i="9"/>
  <c r="AO73" i="14"/>
  <c r="AO73" i="10"/>
  <c r="AN93" i="9"/>
  <c r="BO91" i="9"/>
  <c r="Q82" i="14"/>
  <c r="Q82" i="10"/>
  <c r="K56" i="14"/>
  <c r="K56" i="10"/>
  <c r="K58" i="1"/>
  <c r="N89" i="8"/>
  <c r="P58" i="9"/>
  <c r="Y58" i="8"/>
  <c r="I17" i="9"/>
  <c r="AB93" i="9"/>
  <c r="BO38" i="9"/>
  <c r="AN50" i="9"/>
  <c r="AN41" i="9"/>
  <c r="AN20" i="9"/>
  <c r="BT10" i="9"/>
  <c r="AC51" i="9"/>
  <c r="AC21" i="9"/>
  <c r="AI47" i="8"/>
  <c r="AI26" i="8"/>
  <c r="W96" i="9"/>
  <c r="AF89" i="8"/>
  <c r="X93" i="9"/>
  <c r="Y89" i="9"/>
  <c r="AJ96" i="9"/>
  <c r="AF80" i="10"/>
  <c r="AF80" i="14"/>
  <c r="Z96" i="8"/>
  <c r="W75" i="10"/>
  <c r="W75" i="14"/>
  <c r="Z58" i="9"/>
  <c r="AK21" i="9"/>
  <c r="AK51" i="9"/>
  <c r="F96" i="9"/>
  <c r="AH96" i="8"/>
  <c r="AI27" i="8"/>
  <c r="AI33" i="8" s="1"/>
  <c r="AE52" i="9"/>
  <c r="AE22" i="9"/>
  <c r="S96" i="9"/>
  <c r="AA47" i="9"/>
  <c r="AA26" i="9"/>
  <c r="AD89" i="8"/>
  <c r="AR27" i="9"/>
  <c r="AC27" i="9"/>
  <c r="AC50" i="9"/>
  <c r="AC20" i="9"/>
  <c r="AC41" i="9"/>
  <c r="BO10" i="9"/>
  <c r="AB76" i="14"/>
  <c r="AB76" i="10"/>
  <c r="L47" i="9"/>
  <c r="L26" i="9"/>
  <c r="AX96" i="8"/>
  <c r="AF75" i="14"/>
  <c r="AF75" i="10"/>
  <c r="AU96" i="8"/>
  <c r="K83" i="9"/>
  <c r="V58" i="9"/>
  <c r="V17" i="9"/>
  <c r="I27" i="9"/>
  <c r="AT58" i="9"/>
  <c r="AW17" i="9"/>
  <c r="AF96" i="8"/>
  <c r="D80" i="14"/>
  <c r="D80" i="10"/>
  <c r="E83" i="8"/>
  <c r="AW89" i="8"/>
  <c r="W27" i="9"/>
  <c r="BO87" i="9"/>
  <c r="AU27" i="9"/>
  <c r="E83" i="9"/>
  <c r="AK11" i="9"/>
  <c r="M93" i="9"/>
  <c r="AF17" i="9"/>
  <c r="AD17" i="9"/>
  <c r="F11" i="9"/>
  <c r="BT8" i="9"/>
  <c r="E78" i="14"/>
  <c r="E78" i="10"/>
  <c r="V28" i="9"/>
  <c r="L22" i="9"/>
  <c r="L52" i="9"/>
  <c r="AT96" i="8"/>
  <c r="P96" i="8"/>
  <c r="T11" i="8"/>
  <c r="AW22" i="8"/>
  <c r="AW52" i="8"/>
  <c r="S58" i="9"/>
  <c r="AW83" i="9"/>
  <c r="L41" i="9"/>
  <c r="L50" i="9"/>
  <c r="L20" i="9"/>
  <c r="V93" i="9"/>
  <c r="AE83" i="9"/>
  <c r="M89" i="9"/>
  <c r="G96" i="9"/>
  <c r="AH17" i="9"/>
  <c r="AV89" i="9"/>
  <c r="AI22" i="9"/>
  <c r="AI52" i="9"/>
  <c r="S96" i="8"/>
  <c r="J82" i="14"/>
  <c r="J82" i="10"/>
  <c r="AF52" i="9"/>
  <c r="AF22" i="9"/>
  <c r="AE26" i="8"/>
  <c r="AE47" i="8"/>
  <c r="S51" i="9"/>
  <c r="S21" i="9"/>
  <c r="AE93" i="9"/>
  <c r="U51" i="9"/>
  <c r="U21" i="9"/>
  <c r="AI83" i="9"/>
  <c r="AM58" i="8"/>
  <c r="S89" i="9"/>
  <c r="E21" i="8"/>
  <c r="E51" i="8"/>
  <c r="Z17" i="9"/>
  <c r="AW93" i="9"/>
  <c r="K20" i="9"/>
  <c r="K41" i="9"/>
  <c r="K50" i="9"/>
  <c r="U17" i="8"/>
  <c r="D50" i="9"/>
  <c r="D20" i="9"/>
  <c r="D41" i="9"/>
  <c r="AP21" i="9"/>
  <c r="AP51" i="9"/>
  <c r="AC28" i="9"/>
  <c r="AS93" i="1"/>
  <c r="AS91" i="14"/>
  <c r="AS91" i="10"/>
  <c r="AW83" i="8"/>
  <c r="R83" i="9"/>
  <c r="H22" i="9"/>
  <c r="H52" i="9"/>
  <c r="BC20" i="14"/>
  <c r="AY34" i="1"/>
  <c r="U27" i="10"/>
  <c r="BI93" i="14"/>
  <c r="BI94" i="14" s="1"/>
  <c r="BG26" i="14"/>
  <c r="BH27" i="14"/>
  <c r="BF28" i="14"/>
  <c r="BI41" i="14"/>
  <c r="BI50" i="10"/>
  <c r="BG50" i="10"/>
  <c r="BD27" i="14"/>
  <c r="BA28" i="14"/>
  <c r="BC27" i="10"/>
  <c r="BE52" i="14"/>
  <c r="BJ26" i="14"/>
  <c r="BI17" i="14"/>
  <c r="BI18" i="14" s="1"/>
  <c r="AZ20" i="14"/>
  <c r="BJ17" i="14"/>
  <c r="BJ18" i="14" s="1"/>
  <c r="BJ20" i="14"/>
  <c r="BB51" i="14"/>
  <c r="BH23" i="9"/>
  <c r="BA51" i="14"/>
  <c r="BI52" i="10"/>
  <c r="AZ52" i="10"/>
  <c r="BI28" i="10"/>
  <c r="BF52" i="14"/>
  <c r="BC26" i="10"/>
  <c r="BC34" i="9"/>
  <c r="BC21" i="14"/>
  <c r="BK22" i="14"/>
  <c r="BI11" i="10"/>
  <c r="BC52" i="10"/>
  <c r="BC23" i="9"/>
  <c r="BI32" i="9"/>
  <c r="BG22" i="10"/>
  <c r="BA52" i="14"/>
  <c r="BJ53" i="9"/>
  <c r="BG26" i="10"/>
  <c r="BG20" i="14"/>
  <c r="BB27" i="14"/>
  <c r="BF32" i="9"/>
  <c r="BF93" i="14"/>
  <c r="BF94" i="14" s="1"/>
  <c r="BK51" i="14"/>
  <c r="BC47" i="10"/>
  <c r="BH51" i="10"/>
  <c r="BG41" i="10"/>
  <c r="BB21" i="14"/>
  <c r="BJ58" i="14"/>
  <c r="BJ59" i="14" s="1"/>
  <c r="BG58" i="14"/>
  <c r="BG59" i="14" s="1"/>
  <c r="BA27" i="10"/>
  <c r="BP39" i="14"/>
  <c r="BI26" i="14"/>
  <c r="BH50" i="10"/>
  <c r="BB23" i="9"/>
  <c r="BA20" i="10"/>
  <c r="BF50" i="10"/>
  <c r="BP92" i="14"/>
  <c r="BJ50" i="14"/>
  <c r="BK11" i="14"/>
  <c r="BK12" i="14" s="1"/>
  <c r="BA23" i="9"/>
  <c r="BP69" i="14"/>
  <c r="BE28" i="10"/>
  <c r="BI52" i="14"/>
  <c r="BI28" i="14"/>
  <c r="AZ58" i="14"/>
  <c r="AZ59" i="14" s="1"/>
  <c r="BH47" i="14"/>
  <c r="BC102" i="1"/>
  <c r="BK53" i="9"/>
  <c r="BK60" i="9" s="1"/>
  <c r="BK98" i="9" s="1"/>
  <c r="BH34" i="9"/>
  <c r="BI47" i="14"/>
  <c r="BH29" i="9"/>
  <c r="BD89" i="14"/>
  <c r="BD90" i="14" s="1"/>
  <c r="BC52" i="14"/>
  <c r="BC32" i="9"/>
  <c r="BK51" i="10"/>
  <c r="BP10" i="10"/>
  <c r="BP81" i="14"/>
  <c r="BK27" i="14"/>
  <c r="BH52" i="10"/>
  <c r="BI21" i="14"/>
  <c r="BE51" i="10"/>
  <c r="BE34" i="9"/>
  <c r="BI27" i="10"/>
  <c r="BE11" i="10"/>
  <c r="BE27" i="10"/>
  <c r="BI34" i="9"/>
  <c r="BG50" i="14"/>
  <c r="BG27" i="10"/>
  <c r="AZ21" i="10"/>
  <c r="BD102" i="9"/>
  <c r="BK21" i="14"/>
  <c r="BI27" i="14"/>
  <c r="BD93" i="10"/>
  <c r="BK21" i="10"/>
  <c r="AZ51" i="10"/>
  <c r="BF50" i="14"/>
  <c r="BH93" i="10"/>
  <c r="BK20" i="14"/>
  <c r="BD21" i="10"/>
  <c r="BK27" i="10"/>
  <c r="BC28" i="14"/>
  <c r="BC27" i="14"/>
  <c r="BC33" i="9"/>
  <c r="BF93" i="10"/>
  <c r="BP77" i="14"/>
  <c r="BJ23" i="9"/>
  <c r="BB32" i="9"/>
  <c r="BI102" i="8"/>
  <c r="BP95" i="14"/>
  <c r="BP96" i="14" s="1"/>
  <c r="BC51" i="14"/>
  <c r="BH28" i="14"/>
  <c r="BB53" i="9"/>
  <c r="BB60" i="9" s="1"/>
  <c r="BD23" i="9"/>
  <c r="BB34" i="9"/>
  <c r="BP68" i="14"/>
  <c r="BC89" i="10"/>
  <c r="BJ102" i="8"/>
  <c r="BF33" i="9"/>
  <c r="BE102" i="1"/>
  <c r="BH33" i="9"/>
  <c r="BG34" i="9"/>
  <c r="BB93" i="14"/>
  <c r="BB94" i="14" s="1"/>
  <c r="BF20" i="14"/>
  <c r="BK52" i="10"/>
  <c r="AZ34" i="9"/>
  <c r="BK102" i="8"/>
  <c r="BB96" i="10"/>
  <c r="BK47" i="10"/>
  <c r="BB21" i="10"/>
  <c r="AO32" i="1"/>
  <c r="AU93" i="14"/>
  <c r="AU94" i="14" s="1"/>
  <c r="H33" i="1"/>
  <c r="AK50" i="10"/>
  <c r="T93" i="14"/>
  <c r="T94" i="14" s="1"/>
  <c r="AE29" i="1"/>
  <c r="X33" i="9"/>
  <c r="AV102" i="8"/>
  <c r="J102" i="8"/>
  <c r="AH26" i="14"/>
  <c r="AS58" i="10"/>
  <c r="AB21" i="10"/>
  <c r="AM29" i="1"/>
  <c r="AU52" i="10"/>
  <c r="L33" i="1"/>
  <c r="V23" i="1"/>
  <c r="AD22" i="14"/>
  <c r="AC21" i="10"/>
  <c r="AB51" i="10"/>
  <c r="AB27" i="10"/>
  <c r="AB96" i="14"/>
  <c r="AB97" i="14" s="1"/>
  <c r="AU50" i="10"/>
  <c r="N51" i="14"/>
  <c r="N21" i="14"/>
  <c r="AM53" i="8"/>
  <c r="AM60" i="8" s="1"/>
  <c r="AD23" i="8"/>
  <c r="Q23" i="8"/>
  <c r="AW21" i="14"/>
  <c r="E26" i="10"/>
  <c r="BQ8" i="14"/>
  <c r="V22" i="14"/>
  <c r="V28" i="10"/>
  <c r="AN52" i="10"/>
  <c r="O26" i="10"/>
  <c r="AX11" i="14"/>
  <c r="AX12" i="14" s="1"/>
  <c r="AJ20" i="10"/>
  <c r="T21" i="14"/>
  <c r="AX22" i="10"/>
  <c r="AU50" i="14"/>
  <c r="K41" i="14"/>
  <c r="T34" i="8"/>
  <c r="W22" i="10"/>
  <c r="K20" i="14"/>
  <c r="Z50" i="10"/>
  <c r="Y28" i="14"/>
  <c r="AT20" i="14"/>
  <c r="AX26" i="14"/>
  <c r="K102" i="9"/>
  <c r="AU102" i="8"/>
  <c r="AV93" i="14"/>
  <c r="AV94" i="14" s="1"/>
  <c r="J3" i="13"/>
  <c r="Q3" i="13"/>
  <c r="W3" i="13" s="1"/>
  <c r="M3" i="13"/>
  <c r="T3" i="13"/>
  <c r="Z3" i="13" s="1"/>
  <c r="N3" i="13"/>
  <c r="U3" i="13"/>
  <c r="AA3" i="13" s="1"/>
  <c r="K3" i="13"/>
  <c r="R3" i="13"/>
  <c r="X3" i="13" s="1"/>
  <c r="BS3" i="10"/>
  <c r="BS4" i="10"/>
  <c r="BT3" i="10"/>
  <c r="BT4" i="10"/>
  <c r="BP3" i="10"/>
  <c r="BP4" i="10"/>
  <c r="BP86" i="10"/>
  <c r="BP39" i="10"/>
  <c r="BP63" i="10"/>
  <c r="BR4" i="10"/>
  <c r="BR3" i="10"/>
  <c r="BQ87" i="10"/>
  <c r="BQ3" i="10"/>
  <c r="BQ4" i="10"/>
  <c r="BR15" i="9"/>
  <c r="BZ15" i="9"/>
  <c r="BR39" i="9"/>
  <c r="BR3" i="9"/>
  <c r="BR4" i="9"/>
  <c r="BR14" i="9"/>
  <c r="BZ14" i="9"/>
  <c r="BR16" i="9"/>
  <c r="BZ16" i="9"/>
  <c r="BR40" i="9"/>
  <c r="BR44" i="9"/>
  <c r="BR45" i="9"/>
  <c r="BR46" i="9"/>
  <c r="BR66" i="9"/>
  <c r="BR67" i="9"/>
  <c r="BR68" i="9"/>
  <c r="BR63" i="9"/>
  <c r="BR75" i="9"/>
  <c r="BR77" i="9"/>
  <c r="BR80" i="9"/>
  <c r="BR74" i="9"/>
  <c r="BR65" i="9"/>
  <c r="BR69" i="9"/>
  <c r="BR76" i="9"/>
  <c r="BR79" i="9"/>
  <c r="BR82" i="9"/>
  <c r="BR87" i="9"/>
  <c r="BR95" i="9"/>
  <c r="BR96" i="9" s="1"/>
  <c r="BR57" i="9"/>
  <c r="BR72" i="9"/>
  <c r="BR73" i="9"/>
  <c r="BR86" i="9"/>
  <c r="BR88" i="9"/>
  <c r="BR91" i="9"/>
  <c r="BR92" i="9"/>
  <c r="BR38" i="9"/>
  <c r="BR64" i="9"/>
  <c r="BR70" i="9"/>
  <c r="BR71" i="9"/>
  <c r="BR78" i="9"/>
  <c r="BR81" i="9"/>
  <c r="BR56" i="9"/>
  <c r="BP14" i="9"/>
  <c r="BP15" i="9"/>
  <c r="BX15" i="9"/>
  <c r="BP3" i="9"/>
  <c r="BP4" i="9"/>
  <c r="BX14" i="9"/>
  <c r="BP16" i="9"/>
  <c r="BX16" i="9"/>
  <c r="BP40" i="9"/>
  <c r="BP44" i="9"/>
  <c r="BP45" i="9"/>
  <c r="BP46" i="9"/>
  <c r="BP66" i="9"/>
  <c r="BP67" i="9"/>
  <c r="BP68" i="9"/>
  <c r="BP56" i="9"/>
  <c r="BP63" i="9"/>
  <c r="BP64" i="9"/>
  <c r="BP75" i="9"/>
  <c r="BP80" i="9"/>
  <c r="BP74" i="9"/>
  <c r="BP79" i="9"/>
  <c r="BP38" i="9"/>
  <c r="BP65" i="9"/>
  <c r="BP69" i="9"/>
  <c r="BP76" i="9"/>
  <c r="BP87" i="9"/>
  <c r="BP91" i="9"/>
  <c r="BP92" i="9"/>
  <c r="BP39" i="9"/>
  <c r="BP73" i="9"/>
  <c r="BP77" i="9"/>
  <c r="BP82" i="9"/>
  <c r="BP88" i="9"/>
  <c r="BP70" i="9"/>
  <c r="BP72" i="9"/>
  <c r="BP81" i="9"/>
  <c r="BP86" i="9"/>
  <c r="BP95" i="9"/>
  <c r="BP96" i="9" s="1"/>
  <c r="BP57" i="9"/>
  <c r="BP71" i="9"/>
  <c r="BP78" i="9"/>
  <c r="BS3" i="9"/>
  <c r="BS4" i="9"/>
  <c r="CA14" i="9"/>
  <c r="BS16" i="9"/>
  <c r="CA16" i="9"/>
  <c r="BS40" i="9"/>
  <c r="BS44" i="9"/>
  <c r="BS45" i="9"/>
  <c r="BS46" i="9"/>
  <c r="BS66" i="9"/>
  <c r="BS67" i="9"/>
  <c r="BS68" i="9"/>
  <c r="BS63" i="9"/>
  <c r="BS80" i="9"/>
  <c r="BS74" i="9"/>
  <c r="BS82" i="9"/>
  <c r="BS92" i="9"/>
  <c r="BS57" i="9"/>
  <c r="BS65" i="9"/>
  <c r="BS69" i="9"/>
  <c r="BS70" i="9"/>
  <c r="BS75" i="9"/>
  <c r="BS79" i="9"/>
  <c r="BS87" i="9"/>
  <c r="BS91" i="9"/>
  <c r="BS73" i="9"/>
  <c r="BS77" i="9"/>
  <c r="BS86" i="9"/>
  <c r="BS95" i="9"/>
  <c r="BS96" i="9" s="1"/>
  <c r="BS38" i="9"/>
  <c r="BS72" i="9"/>
  <c r="BS76" i="9"/>
  <c r="BS64" i="9"/>
  <c r="BS71" i="9"/>
  <c r="BS78" i="9"/>
  <c r="BS81" i="9"/>
  <c r="BS88" i="9"/>
  <c r="BS39" i="9"/>
  <c r="BS56" i="9"/>
  <c r="BS14" i="9"/>
  <c r="BS15" i="9"/>
  <c r="CA15" i="9"/>
  <c r="BQ4" i="9"/>
  <c r="BQ14" i="9"/>
  <c r="BY14" i="9"/>
  <c r="BQ16" i="9"/>
  <c r="BY16" i="9"/>
  <c r="BQ40" i="9"/>
  <c r="BQ44" i="9"/>
  <c r="BQ45" i="9"/>
  <c r="BQ46" i="9"/>
  <c r="BQ66" i="9"/>
  <c r="BQ67" i="9"/>
  <c r="BQ68" i="9"/>
  <c r="BQ69" i="9"/>
  <c r="BQ80" i="9"/>
  <c r="BQ72" i="9"/>
  <c r="BQ73" i="9"/>
  <c r="BQ74" i="9"/>
  <c r="BQ95" i="9"/>
  <c r="BQ96" i="9" s="1"/>
  <c r="BQ65" i="9"/>
  <c r="BQ70" i="9"/>
  <c r="BQ75" i="9"/>
  <c r="BQ87" i="9"/>
  <c r="BQ88" i="9"/>
  <c r="BQ91" i="9"/>
  <c r="BQ77" i="9"/>
  <c r="BQ78" i="9"/>
  <c r="BQ86" i="9"/>
  <c r="BQ39" i="9"/>
  <c r="BQ76" i="9"/>
  <c r="BQ79" i="9"/>
  <c r="BQ92" i="9"/>
  <c r="BQ56" i="9"/>
  <c r="BQ64" i="9"/>
  <c r="BQ71" i="9"/>
  <c r="BQ81" i="9"/>
  <c r="BQ82" i="9"/>
  <c r="BQ57" i="9"/>
  <c r="BQ3" i="9"/>
  <c r="BQ15" i="9"/>
  <c r="BY15" i="9"/>
  <c r="BQ38" i="9"/>
  <c r="BQ63" i="9"/>
  <c r="BT15" i="9"/>
  <c r="CB15" i="9"/>
  <c r="BT38" i="9"/>
  <c r="BT63" i="9"/>
  <c r="BT3" i="9"/>
  <c r="BT4" i="9"/>
  <c r="BT14" i="9"/>
  <c r="CB14" i="9"/>
  <c r="BT16" i="9"/>
  <c r="CB16" i="9"/>
  <c r="BT40" i="9"/>
  <c r="BT44" i="9"/>
  <c r="BT45" i="9"/>
  <c r="BT46" i="9"/>
  <c r="BT66" i="9"/>
  <c r="BT67" i="9"/>
  <c r="BT68" i="9"/>
  <c r="BT80" i="9"/>
  <c r="BT39" i="9"/>
  <c r="BT70" i="9"/>
  <c r="BT73" i="9"/>
  <c r="BT74" i="9"/>
  <c r="BT65" i="9"/>
  <c r="BT69" i="9"/>
  <c r="BT75" i="9"/>
  <c r="BT76" i="9"/>
  <c r="BT79" i="9"/>
  <c r="BT87" i="9"/>
  <c r="BT77" i="9"/>
  <c r="BT82" i="9"/>
  <c r="BT86" i="9"/>
  <c r="BT91" i="9"/>
  <c r="BT57" i="9"/>
  <c r="BT72" i="9"/>
  <c r="BT88" i="9"/>
  <c r="BT92" i="9"/>
  <c r="BT95" i="9"/>
  <c r="BT96" i="9" s="1"/>
  <c r="BT64" i="9"/>
  <c r="BT71" i="9"/>
  <c r="BT78" i="9"/>
  <c r="BT81" i="9"/>
  <c r="BT56" i="9"/>
  <c r="BQ3" i="8"/>
  <c r="BQ4" i="8"/>
  <c r="BQ14" i="8"/>
  <c r="BQ15" i="8"/>
  <c r="BY15" i="8"/>
  <c r="BQ16" i="8"/>
  <c r="BY16" i="8"/>
  <c r="BQ69" i="8"/>
  <c r="BY14" i="8"/>
  <c r="BQ38" i="8"/>
  <c r="BQ39" i="8"/>
  <c r="BQ40" i="8"/>
  <c r="BQ44" i="8"/>
  <c r="BQ45" i="8"/>
  <c r="BQ46" i="8"/>
  <c r="BQ63" i="8"/>
  <c r="BQ64" i="8"/>
  <c r="BQ65" i="8"/>
  <c r="BQ66" i="8"/>
  <c r="BQ73" i="8"/>
  <c r="BQ74" i="8"/>
  <c r="BQ75" i="8"/>
  <c r="BQ57" i="8"/>
  <c r="BQ76" i="8"/>
  <c r="BQ82" i="8"/>
  <c r="BQ86" i="8"/>
  <c r="BQ68" i="8"/>
  <c r="BQ70" i="8"/>
  <c r="BQ80" i="8"/>
  <c r="BQ88" i="8"/>
  <c r="BQ71" i="8"/>
  <c r="BQ72" i="8"/>
  <c r="BQ56" i="8"/>
  <c r="BQ77" i="8"/>
  <c r="BQ78" i="8"/>
  <c r="BQ79" i="8"/>
  <c r="BQ92" i="8"/>
  <c r="BQ67" i="8"/>
  <c r="BQ81" i="8"/>
  <c r="BQ87" i="8"/>
  <c r="BQ91" i="8"/>
  <c r="BQ95" i="8"/>
  <c r="BQ96" i="8" s="1"/>
  <c r="BT14" i="8"/>
  <c r="BT38" i="8"/>
  <c r="BT39" i="8"/>
  <c r="BT40" i="8"/>
  <c r="BT44" i="8"/>
  <c r="BT45" i="8"/>
  <c r="BT46" i="8"/>
  <c r="BT63" i="8"/>
  <c r="BT64" i="8"/>
  <c r="BT65" i="8"/>
  <c r="BT66" i="8"/>
  <c r="BT72" i="8"/>
  <c r="BT73" i="8"/>
  <c r="BT74" i="8"/>
  <c r="BT75" i="8"/>
  <c r="BT67" i="8"/>
  <c r="BT71" i="8"/>
  <c r="BT76" i="8"/>
  <c r="BT82" i="8"/>
  <c r="BT86" i="8"/>
  <c r="BT68" i="8"/>
  <c r="BT80" i="8"/>
  <c r="BT87" i="8"/>
  <c r="BT91" i="8"/>
  <c r="BT92" i="8"/>
  <c r="BT95" i="8"/>
  <c r="BT96" i="8" s="1"/>
  <c r="BT70" i="8"/>
  <c r="BT78" i="8"/>
  <c r="BT88" i="8"/>
  <c r="BT56" i="8"/>
  <c r="BT77" i="8"/>
  <c r="BT79" i="8"/>
  <c r="BT81" i="8"/>
  <c r="BT69" i="8"/>
  <c r="BT57" i="8"/>
  <c r="BT3" i="8"/>
  <c r="BT4" i="8"/>
  <c r="CB14" i="8"/>
  <c r="BT15" i="8"/>
  <c r="CB15" i="8"/>
  <c r="BT16" i="8"/>
  <c r="CB16" i="8"/>
  <c r="BS4" i="8"/>
  <c r="BS70" i="8"/>
  <c r="BS3" i="8"/>
  <c r="BS14" i="8"/>
  <c r="CA14" i="8"/>
  <c r="BS15" i="8"/>
  <c r="CA15" i="8"/>
  <c r="BS16" i="8"/>
  <c r="CA16" i="8"/>
  <c r="BS38" i="8"/>
  <c r="BS39" i="8"/>
  <c r="BS40" i="8"/>
  <c r="BS44" i="8"/>
  <c r="BS45" i="8"/>
  <c r="BS46" i="8"/>
  <c r="BS63" i="8"/>
  <c r="BS64" i="8"/>
  <c r="BS65" i="8"/>
  <c r="BS66" i="8"/>
  <c r="BS73" i="8"/>
  <c r="BS74" i="8"/>
  <c r="BS75" i="8"/>
  <c r="BS81" i="8"/>
  <c r="BS82" i="8"/>
  <c r="BS86" i="8"/>
  <c r="BS76" i="8"/>
  <c r="BS80" i="8"/>
  <c r="BS87" i="8"/>
  <c r="BS91" i="8"/>
  <c r="BS71" i="8"/>
  <c r="BS72" i="8"/>
  <c r="BS78" i="8"/>
  <c r="BS79" i="8"/>
  <c r="BS56" i="8"/>
  <c r="BS57" i="8"/>
  <c r="BS68" i="8"/>
  <c r="BS77" i="8"/>
  <c r="BS95" i="8"/>
  <c r="BS96" i="8" s="1"/>
  <c r="BS67" i="8"/>
  <c r="BS69" i="8"/>
  <c r="BS88" i="8"/>
  <c r="BS92" i="8"/>
  <c r="BP14" i="8"/>
  <c r="BP38" i="8"/>
  <c r="BP39" i="8"/>
  <c r="BP40" i="8"/>
  <c r="BP44" i="8"/>
  <c r="BP45" i="8"/>
  <c r="BP46" i="8"/>
  <c r="BP63" i="8"/>
  <c r="BP64" i="8"/>
  <c r="BP65" i="8"/>
  <c r="BP66" i="8"/>
  <c r="BP67" i="8"/>
  <c r="BP72" i="8"/>
  <c r="BP73" i="8"/>
  <c r="BP74" i="8"/>
  <c r="BP75" i="8"/>
  <c r="BP82" i="8"/>
  <c r="BP86" i="8"/>
  <c r="BP76" i="8"/>
  <c r="BP80" i="8"/>
  <c r="BP87" i="8"/>
  <c r="BP91" i="8"/>
  <c r="BP70" i="8"/>
  <c r="BP71" i="8"/>
  <c r="BP77" i="8"/>
  <c r="BP78" i="8"/>
  <c r="BP79" i="8"/>
  <c r="BP88" i="8"/>
  <c r="BP56" i="8"/>
  <c r="BP68" i="8"/>
  <c r="BP69" i="8"/>
  <c r="BP81" i="8"/>
  <c r="BP92" i="8"/>
  <c r="BP95" i="8"/>
  <c r="BP96" i="8" s="1"/>
  <c r="BP57" i="8"/>
  <c r="BP3" i="8"/>
  <c r="BP4" i="8"/>
  <c r="BX14" i="8"/>
  <c r="BP15" i="8"/>
  <c r="BX15" i="8"/>
  <c r="BP16" i="8"/>
  <c r="BX16" i="8"/>
  <c r="BR4" i="8"/>
  <c r="BZ14" i="8"/>
  <c r="BR15" i="8"/>
  <c r="BZ15" i="8"/>
  <c r="BR16" i="8"/>
  <c r="BZ16" i="8"/>
  <c r="BR3" i="8"/>
  <c r="BR14" i="8"/>
  <c r="BR38" i="8"/>
  <c r="BR39" i="8"/>
  <c r="BR40" i="8"/>
  <c r="BR44" i="8"/>
  <c r="BR45" i="8"/>
  <c r="BR46" i="8"/>
  <c r="BR63" i="8"/>
  <c r="BR64" i="8"/>
  <c r="BR65" i="8"/>
  <c r="BR66" i="8"/>
  <c r="BR72" i="8"/>
  <c r="BR73" i="8"/>
  <c r="BR74" i="8"/>
  <c r="BR75" i="8"/>
  <c r="BR67" i="8"/>
  <c r="BR71" i="8"/>
  <c r="BR81" i="8"/>
  <c r="BR82" i="8"/>
  <c r="BR86" i="8"/>
  <c r="BR68" i="8"/>
  <c r="BR79" i="8"/>
  <c r="BR80" i="8"/>
  <c r="BR87" i="8"/>
  <c r="BR91" i="8"/>
  <c r="BR76" i="8"/>
  <c r="BR78" i="8"/>
  <c r="BR92" i="8"/>
  <c r="BR95" i="8"/>
  <c r="BR96" i="8" s="1"/>
  <c r="BR56" i="8"/>
  <c r="BR70" i="8"/>
  <c r="BR77" i="8"/>
  <c r="BR88" i="8"/>
  <c r="BR57" i="8"/>
  <c r="BR69" i="8"/>
  <c r="BT4" i="1"/>
  <c r="BT3" i="1"/>
  <c r="BS3" i="1"/>
  <c r="BS4" i="1"/>
  <c r="BR3" i="1"/>
  <c r="BR4" i="1"/>
  <c r="BQ3" i="1"/>
  <c r="BQ4" i="1"/>
  <c r="BP3" i="1"/>
  <c r="BP4" i="1"/>
  <c r="CB16" i="1"/>
  <c r="CB15" i="1"/>
  <c r="CB14" i="1"/>
  <c r="CA16" i="1"/>
  <c r="CA15" i="1"/>
  <c r="CA14" i="1"/>
  <c r="BZ16" i="1"/>
  <c r="BZ15" i="1"/>
  <c r="BZ14" i="1"/>
  <c r="BY16" i="1"/>
  <c r="BY15" i="1"/>
  <c r="BY14" i="1"/>
  <c r="BX16" i="1"/>
  <c r="BX15" i="1"/>
  <c r="BX14" i="1"/>
  <c r="BT45" i="1"/>
  <c r="BT57" i="1"/>
  <c r="BT82" i="1"/>
  <c r="BT65" i="1"/>
  <c r="BT81" i="1"/>
  <c r="BT63" i="1"/>
  <c r="BT40" i="1"/>
  <c r="BT73" i="1"/>
  <c r="BT74" i="1"/>
  <c r="BT64" i="1"/>
  <c r="BT44" i="1"/>
  <c r="BT80" i="1"/>
  <c r="BT75" i="1"/>
  <c r="BT66" i="1"/>
  <c r="BT67" i="1"/>
  <c r="BT87" i="1"/>
  <c r="BT68" i="1"/>
  <c r="BT88" i="1"/>
  <c r="BT46" i="1"/>
  <c r="BT76" i="1"/>
  <c r="BT69" i="1"/>
  <c r="BT38" i="1"/>
  <c r="BT77" i="1"/>
  <c r="BT39" i="1"/>
  <c r="BT95" i="1"/>
  <c r="BT96" i="1" s="1"/>
  <c r="BT70" i="1"/>
  <c r="BT78" i="1"/>
  <c r="BT92" i="1"/>
  <c r="BT79" i="1"/>
  <c r="BT71" i="1"/>
  <c r="BT91" i="1"/>
  <c r="BT56" i="1"/>
  <c r="BT86" i="1"/>
  <c r="BT72" i="1"/>
  <c r="BS68" i="1"/>
  <c r="BS80" i="1"/>
  <c r="BS44" i="1"/>
  <c r="BS46" i="1"/>
  <c r="BS63" i="1"/>
  <c r="BS66" i="1"/>
  <c r="BS56" i="1"/>
  <c r="BS45" i="1"/>
  <c r="BS69" i="1"/>
  <c r="BS40" i="1"/>
  <c r="BS70" i="1"/>
  <c r="BS88" i="1"/>
  <c r="BS67" i="1"/>
  <c r="BS65" i="1"/>
  <c r="BS71" i="1"/>
  <c r="BS57" i="1"/>
  <c r="BS39" i="1"/>
  <c r="BS74" i="1"/>
  <c r="BS77" i="1"/>
  <c r="BS87" i="1"/>
  <c r="BS38" i="1"/>
  <c r="BS73" i="1"/>
  <c r="BS75" i="1"/>
  <c r="BS95" i="1"/>
  <c r="BS96" i="1" s="1"/>
  <c r="BS86" i="1"/>
  <c r="BS78" i="1"/>
  <c r="BS64" i="1"/>
  <c r="BS81" i="1"/>
  <c r="BS92" i="1"/>
  <c r="BS82" i="1"/>
  <c r="BS79" i="1"/>
  <c r="BS72" i="1"/>
  <c r="BS76" i="1"/>
  <c r="BS91" i="1"/>
  <c r="BR66" i="1"/>
  <c r="BR64" i="1"/>
  <c r="BR67" i="1"/>
  <c r="BR44" i="1"/>
  <c r="BR38" i="1"/>
  <c r="BR56" i="1"/>
  <c r="BR46" i="1"/>
  <c r="BR45" i="1"/>
  <c r="BR57" i="1"/>
  <c r="BR39" i="1"/>
  <c r="BR95" i="1"/>
  <c r="BR96" i="1" s="1"/>
  <c r="BR92" i="1"/>
  <c r="BR91" i="1"/>
  <c r="BR88" i="1"/>
  <c r="BR87" i="1"/>
  <c r="BR86" i="1"/>
  <c r="BR82" i="1"/>
  <c r="BR81" i="1"/>
  <c r="BR80" i="1"/>
  <c r="BR79" i="1"/>
  <c r="BR78" i="1"/>
  <c r="BR77" i="1"/>
  <c r="BR76" i="1"/>
  <c r="BR75" i="1"/>
  <c r="BR74" i="1"/>
  <c r="BR73" i="1"/>
  <c r="BR72" i="1"/>
  <c r="BR71" i="1"/>
  <c r="BR70" i="1"/>
  <c r="BR69" i="1"/>
  <c r="BR68" i="1"/>
  <c r="BR65" i="1"/>
  <c r="BR63" i="1"/>
  <c r="BR40" i="1"/>
  <c r="BQ92" i="1"/>
  <c r="BQ87" i="1"/>
  <c r="BQ79" i="1"/>
  <c r="BQ65" i="1"/>
  <c r="BQ74" i="1"/>
  <c r="BQ95" i="1"/>
  <c r="BQ96" i="1" s="1"/>
  <c r="BQ86" i="1"/>
  <c r="BQ78" i="1"/>
  <c r="BQ71" i="1"/>
  <c r="BQ38" i="1"/>
  <c r="BQ44" i="1"/>
  <c r="BQ82" i="1"/>
  <c r="BQ77" i="1"/>
  <c r="BQ75" i="1"/>
  <c r="BQ46" i="1"/>
  <c r="BQ73" i="1"/>
  <c r="BQ39" i="1"/>
  <c r="BQ76" i="1"/>
  <c r="BQ88" i="1"/>
  <c r="BQ64" i="1"/>
  <c r="BQ81" i="1"/>
  <c r="BQ72" i="1"/>
  <c r="BQ63" i="1"/>
  <c r="BQ40" i="1"/>
  <c r="BQ70" i="1"/>
  <c r="BQ45" i="1"/>
  <c r="BQ91" i="1"/>
  <c r="BQ69" i="1"/>
  <c r="BQ56" i="1"/>
  <c r="BQ57" i="1"/>
  <c r="BQ67" i="1"/>
  <c r="BQ66" i="1"/>
  <c r="BQ80" i="1"/>
  <c r="BQ68" i="1"/>
  <c r="BP78" i="1"/>
  <c r="BP56" i="1"/>
  <c r="BP79" i="1"/>
  <c r="BP95" i="1"/>
  <c r="BP96" i="1" s="1"/>
  <c r="BP72" i="1"/>
  <c r="BP77" i="1"/>
  <c r="BP64" i="1"/>
  <c r="BP81" i="1"/>
  <c r="BP46" i="1"/>
  <c r="BP71" i="1"/>
  <c r="BP38" i="1"/>
  <c r="BP45" i="1"/>
  <c r="BP91" i="1"/>
  <c r="BP57" i="1"/>
  <c r="BP70" i="1"/>
  <c r="BP44" i="1"/>
  <c r="BP82" i="1"/>
  <c r="BP76" i="1"/>
  <c r="BP88" i="1"/>
  <c r="BP69" i="1"/>
  <c r="BP75" i="1"/>
  <c r="BP87" i="1"/>
  <c r="BP68" i="1"/>
  <c r="BP67" i="1"/>
  <c r="BP74" i="1"/>
  <c r="BP65" i="1"/>
  <c r="BP40" i="1"/>
  <c r="BP66" i="1"/>
  <c r="BP86" i="1"/>
  <c r="BP39" i="1"/>
  <c r="BP63" i="1"/>
  <c r="BP80" i="1"/>
  <c r="BP73" i="1"/>
  <c r="BP92" i="1"/>
  <c r="BT15" i="1"/>
  <c r="BT14" i="1"/>
  <c r="BT16" i="1"/>
  <c r="BS14" i="1"/>
  <c r="BS16" i="1"/>
  <c r="BS15" i="1"/>
  <c r="BR16" i="1"/>
  <c r="BR15" i="1"/>
  <c r="BR14" i="1"/>
  <c r="BQ14" i="1"/>
  <c r="BQ16" i="1"/>
  <c r="BQ15" i="1"/>
  <c r="BP15" i="1"/>
  <c r="BP16" i="1"/>
  <c r="BP14" i="1"/>
  <c r="X73" i="12" a="1"/>
  <c r="F71" i="12" a="1"/>
  <c r="E44" i="12" a="1"/>
  <c r="G75" i="12" a="1"/>
  <c r="D71" i="12" a="1"/>
  <c r="I91" i="12" a="1"/>
  <c r="X87" i="12" a="1"/>
  <c r="I45" i="12" a="1"/>
  <c r="I74" i="12" a="1"/>
  <c r="E86" i="12" a="1"/>
  <c r="G80" i="12" a="1"/>
  <c r="E65" i="12" a="1"/>
  <c r="D66" i="12" a="1"/>
  <c r="X77" i="12" a="1"/>
  <c r="G14" i="12" a="1"/>
  <c r="I69" i="12" a="1"/>
  <c r="D95" i="12" a="1"/>
  <c r="I71" i="12" a="1"/>
  <c r="E71" i="12" a="1"/>
  <c r="X63" i="12" a="1"/>
  <c r="D81" i="12" a="1"/>
  <c r="G66" i="12" a="1"/>
  <c r="H39" i="12" a="1"/>
  <c r="F14" i="12" a="1"/>
  <c r="G46" i="12" a="1"/>
  <c r="E74" i="12" a="1"/>
  <c r="D77" i="12" a="1"/>
  <c r="F64" i="12" a="1"/>
  <c r="F56" i="12" a="1"/>
  <c r="F87" i="12" a="1"/>
  <c r="D86" i="12" a="1"/>
  <c r="D10" i="12" a="1"/>
  <c r="E92" i="12" a="1"/>
  <c r="X81" i="12" a="1"/>
  <c r="X75" i="12" a="1"/>
  <c r="F69" i="12" a="1"/>
  <c r="H10" i="12" a="1"/>
  <c r="X66" i="12" a="1"/>
  <c r="H15" i="12" a="1"/>
  <c r="I80" i="12" a="1"/>
  <c r="AA8" i="12" a="1"/>
  <c r="G9" i="12" a="1"/>
  <c r="G44" i="12" a="1"/>
  <c r="D69" i="12" a="1"/>
  <c r="I64" i="12" a="1"/>
  <c r="F57" i="12" a="1"/>
  <c r="G77" i="12" a="1"/>
  <c r="D38" i="12" a="1"/>
  <c r="F16" i="12" a="1"/>
  <c r="I82" i="12" a="1"/>
  <c r="Z8" i="12" a="1"/>
  <c r="F67" i="12" a="1"/>
  <c r="G86" i="12" a="1"/>
  <c r="H69" i="12" a="1"/>
  <c r="D44" i="12" a="1"/>
  <c r="E15" i="12" a="1"/>
  <c r="G95" i="12" a="1"/>
  <c r="F9" i="12" a="1"/>
  <c r="D65" i="12" a="1"/>
  <c r="F44" i="12" a="1"/>
  <c r="X10" i="12" a="1"/>
  <c r="D91" i="12" a="1"/>
  <c r="I70" i="12" a="1"/>
  <c r="E9" i="12" a="1"/>
  <c r="D82" i="12" a="1"/>
  <c r="Y78" i="12" a="1"/>
  <c r="E69" i="12" a="1"/>
  <c r="E82" i="12" a="1"/>
  <c r="D40" i="12" a="1"/>
  <c r="E81" i="12" a="1"/>
  <c r="I81" i="12" a="1"/>
  <c r="Y72" i="12" a="1"/>
  <c r="I46" i="12" a="1"/>
  <c r="H87" i="12" a="1"/>
  <c r="E39" i="12" a="1"/>
  <c r="I65" i="12" a="1"/>
  <c r="E57" i="12" a="1"/>
  <c r="E56" i="12" a="1"/>
  <c r="E67" i="12" a="1"/>
  <c r="H88" i="12" a="1"/>
  <c r="F76" i="12" a="1"/>
  <c r="G67" i="12" a="1"/>
  <c r="G82" i="12" a="1"/>
  <c r="I15" i="12" a="1"/>
  <c r="H72" i="12" a="1"/>
  <c r="H80" i="12" a="1"/>
  <c r="G74" i="12" a="1"/>
  <c r="I72" i="12" a="1"/>
  <c r="F65" i="12" a="1"/>
  <c r="Y44" i="12" a="1"/>
  <c r="H78" i="12" a="1"/>
  <c r="D80" i="12" a="1"/>
  <c r="G65" i="12" a="1"/>
  <c r="F15" i="12" a="1"/>
  <c r="H9" i="12" a="1"/>
  <c r="G39" i="12" a="1"/>
  <c r="X15" i="12" a="1"/>
  <c r="F74" i="12" a="1"/>
  <c r="G71" i="12" a="1"/>
  <c r="D45" i="12" a="1"/>
  <c r="I8" i="12" a="1"/>
  <c r="I57" i="12" a="1"/>
  <c r="F70" i="12" a="1"/>
  <c r="E38" i="12" a="1"/>
  <c r="H92" i="12" a="1"/>
  <c r="F78" i="12" a="1"/>
  <c r="E63" i="12" a="1"/>
  <c r="E76" i="12" a="1"/>
  <c r="H56" i="12" a="1"/>
  <c r="H14" i="12" a="1"/>
  <c r="D9" i="12" a="1"/>
  <c r="G57" i="12" a="1"/>
  <c r="G38" i="12" a="1"/>
  <c r="I44" i="12" a="1"/>
  <c r="E46" i="12" a="1"/>
  <c r="E10" i="12" a="1"/>
  <c r="X39" i="12" a="1"/>
  <c r="AA80" i="12" a="1"/>
  <c r="G76" i="12" a="1"/>
  <c r="H38" i="12" a="1"/>
  <c r="I10" i="12" a="1"/>
  <c r="G70" i="12" a="1"/>
  <c r="D87" i="12" a="1"/>
  <c r="D56" i="12" a="1"/>
  <c r="F63" i="12" a="1"/>
  <c r="I66" i="12" a="1"/>
  <c r="E8" i="12" a="1"/>
  <c r="H82" i="12" a="1"/>
  <c r="E68" i="12" a="1"/>
  <c r="I16" i="12" a="1"/>
  <c r="G8" i="12" a="1"/>
  <c r="H70" i="12" a="1"/>
  <c r="D92" i="12" a="1"/>
  <c r="I73" i="12" a="1"/>
  <c r="H8" i="12" a="1"/>
  <c r="F73" i="12" a="1"/>
  <c r="D46" i="12" a="1"/>
  <c r="F10" i="12" a="1"/>
  <c r="G45" i="12" a="1"/>
  <c r="E95" i="12" a="1"/>
  <c r="I67" i="12" a="1"/>
  <c r="D79" i="12" a="1"/>
  <c r="E80" i="12" a="1"/>
  <c r="G16" i="12" a="1"/>
  <c r="H16" i="12" a="1"/>
  <c r="I40" i="12" a="1"/>
  <c r="F80" i="12" a="1"/>
  <c r="F95" i="12" a="1"/>
  <c r="H75" i="12" a="1"/>
  <c r="H76" i="12" a="1"/>
  <c r="F66" i="12" a="1"/>
  <c r="F92" i="12" a="1"/>
  <c r="I77" i="12" a="1"/>
  <c r="D72" i="12" a="1"/>
  <c r="H71" i="12" a="1"/>
  <c r="F68" i="12" a="1"/>
  <c r="H77" i="12" a="1"/>
  <c r="F8" i="12" a="1"/>
  <c r="H65" i="12" a="1"/>
  <c r="D8" i="12" a="1"/>
  <c r="I68" i="12" a="1"/>
  <c r="X86" i="12" a="1"/>
  <c r="E40" i="12" a="1"/>
  <c r="E78" i="12" a="1"/>
  <c r="I63" i="12" a="1"/>
  <c r="G91" i="12" a="1"/>
  <c r="D15" i="12" a="1"/>
  <c r="E66" i="12" a="1"/>
  <c r="I38" i="12" a="1"/>
  <c r="H63" i="12" a="1"/>
  <c r="D64" i="12" a="1"/>
  <c r="X80" i="12" a="1"/>
  <c r="D57" i="12" a="1"/>
  <c r="E75" i="12" a="1"/>
  <c r="F38" i="12" a="1"/>
  <c r="G73" i="12" a="1"/>
  <c r="I14" i="12" a="1"/>
  <c r="H68" i="12" a="1"/>
  <c r="H44" i="12" a="1"/>
  <c r="G68" i="12" a="1"/>
  <c r="Y46" i="12" a="1"/>
  <c r="F81" i="12" a="1"/>
  <c r="H81" i="12" a="1"/>
  <c r="W92" i="12" a="1"/>
  <c r="G69" i="12" a="1"/>
  <c r="G78" i="12" a="1"/>
  <c r="D74" i="12" a="1"/>
  <c r="F75" i="12" a="1"/>
  <c r="E77" i="12" a="1"/>
  <c r="I78" i="12" a="1"/>
  <c r="H73" i="12" a="1"/>
  <c r="F46" i="12" a="1"/>
  <c r="G15" i="12" a="1"/>
  <c r="G72" i="12" a="1"/>
  <c r="G92" i="12" a="1"/>
  <c r="I75" i="12" a="1"/>
  <c r="D78" i="12" a="1"/>
  <c r="F88" i="12" a="1"/>
  <c r="AB76" i="12" a="1"/>
  <c r="G79" i="12" a="1"/>
  <c r="D14" i="12" a="1"/>
  <c r="E64" i="12" a="1"/>
  <c r="X64" i="12" a="1"/>
  <c r="I92" i="12" a="1"/>
  <c r="H86" i="12" a="1"/>
  <c r="E88" i="12" a="1"/>
  <c r="H40" i="12" a="1"/>
  <c r="G40" i="12" a="1"/>
  <c r="I88" i="12" a="1"/>
  <c r="H57" i="12" a="1"/>
  <c r="G63" i="12" a="1"/>
  <c r="X82" i="12" a="1"/>
  <c r="X65" i="12" a="1"/>
  <c r="H66" i="12" a="1"/>
  <c r="I95" i="12" a="1"/>
  <c r="F79" i="12" a="1"/>
  <c r="X68" i="12" a="1"/>
  <c r="F82" i="12" a="1"/>
  <c r="I87" i="12" a="1"/>
  <c r="G10" i="12" a="1"/>
  <c r="E16" i="12" a="1"/>
  <c r="D16" i="12" a="1"/>
  <c r="G81" i="12" a="1"/>
  <c r="D73" i="12" a="1"/>
  <c r="F40" i="12" a="1"/>
  <c r="H79" i="12" a="1"/>
  <c r="E87" i="12" a="1"/>
  <c r="D88" i="12" a="1"/>
  <c r="F45" i="12" a="1"/>
  <c r="H45" i="12" a="1"/>
  <c r="D70" i="12" a="1"/>
  <c r="H74" i="12" a="1"/>
  <c r="D63" i="12" a="1"/>
  <c r="I39" i="12" a="1"/>
  <c r="D68" i="12" a="1"/>
  <c r="I9" i="12" a="1"/>
  <c r="E45" i="12" a="1"/>
  <c r="F77" i="12" a="1"/>
  <c r="D76" i="12" a="1"/>
  <c r="E73" i="12" a="1"/>
  <c r="H95" i="12" a="1"/>
  <c r="E72" i="12" a="1"/>
  <c r="F86" i="12" a="1"/>
  <c r="I76" i="12" a="1"/>
  <c r="Z80" i="12" a="1"/>
  <c r="I56" i="12" a="1"/>
  <c r="I86" i="12" a="1"/>
  <c r="X67" i="12" a="1"/>
  <c r="E70" i="12" a="1"/>
  <c r="F39" i="12" a="1"/>
  <c r="H91" i="12" a="1"/>
  <c r="H64" i="12" a="1"/>
  <c r="X69" i="12" a="1"/>
  <c r="H46" i="12" a="1"/>
  <c r="G64" i="12" a="1"/>
  <c r="Y87" i="12" a="1"/>
  <c r="F91" i="12" a="1"/>
  <c r="E79" i="12" a="1"/>
  <c r="G88" i="12" a="1"/>
  <c r="E91" i="12" a="1"/>
  <c r="D75" i="12" a="1"/>
  <c r="G87" i="12" a="1"/>
  <c r="H67" i="12" a="1"/>
  <c r="F72" i="12" a="1"/>
  <c r="D67" i="12" a="1"/>
  <c r="X72" i="12" a="1"/>
  <c r="D39" i="12" a="1"/>
  <c r="G56" i="12" a="1"/>
  <c r="I79" i="12" a="1"/>
  <c r="E14" i="12" a="1"/>
  <c r="BF102" i="8" l="1"/>
  <c r="BD47" i="14"/>
  <c r="BP14" i="14"/>
  <c r="BK17" i="14"/>
  <c r="BK18" i="14" s="1"/>
  <c r="BE47" i="10"/>
  <c r="BB47" i="14"/>
  <c r="BB29" i="14" s="1"/>
  <c r="BP40" i="14"/>
  <c r="BP22" i="14" s="1"/>
  <c r="AZ27" i="10"/>
  <c r="AZ33" i="10" s="1"/>
  <c r="BB53" i="1"/>
  <c r="BB60" i="1" s="1"/>
  <c r="BK32" i="1"/>
  <c r="BH41" i="14"/>
  <c r="BH41" i="10"/>
  <c r="BP71" i="14"/>
  <c r="BP72" i="14"/>
  <c r="BF102" i="9"/>
  <c r="BE93" i="14"/>
  <c r="BE94" i="14" s="1"/>
  <c r="BA41" i="14"/>
  <c r="BH22" i="14"/>
  <c r="BJ102" i="9"/>
  <c r="BP91" i="10"/>
  <c r="BD34" i="9"/>
  <c r="BI41" i="10"/>
  <c r="BI53" i="10" s="1"/>
  <c r="BI60" i="10" s="1"/>
  <c r="BI98" i="10" s="1"/>
  <c r="BG51" i="14"/>
  <c r="BP44" i="14"/>
  <c r="BP47" i="14" s="1"/>
  <c r="AZ32" i="9"/>
  <c r="BD29" i="9"/>
  <c r="BF47" i="10"/>
  <c r="AZ22" i="10"/>
  <c r="BC22" i="10"/>
  <c r="BC102" i="9"/>
  <c r="BD50" i="10"/>
  <c r="BK28" i="10"/>
  <c r="BF47" i="14"/>
  <c r="BJ22" i="14"/>
  <c r="BG51" i="10"/>
  <c r="AZ21" i="14"/>
  <c r="BE23" i="1"/>
  <c r="BK60" i="1"/>
  <c r="BK98" i="1" s="1"/>
  <c r="BC58" i="14"/>
  <c r="BC59" i="14" s="1"/>
  <c r="BH58" i="14"/>
  <c r="BH59" i="14" s="1"/>
  <c r="BG89" i="10"/>
  <c r="BH17" i="10"/>
  <c r="BJ47" i="10"/>
  <c r="BA34" i="1"/>
  <c r="BF26" i="14"/>
  <c r="BX14" i="14"/>
  <c r="BA93" i="14"/>
  <c r="BA94" i="14" s="1"/>
  <c r="BD50" i="14"/>
  <c r="BG27" i="14"/>
  <c r="BA47" i="14"/>
  <c r="BA50" i="14"/>
  <c r="BJ41" i="14"/>
  <c r="BC20" i="10"/>
  <c r="BI34" i="10"/>
  <c r="BB35" i="1"/>
  <c r="AZ22" i="14"/>
  <c r="AZ29" i="1"/>
  <c r="BE50" i="10"/>
  <c r="BH50" i="14"/>
  <c r="BA29" i="9"/>
  <c r="BP56" i="14"/>
  <c r="BP102" i="9"/>
  <c r="BC28" i="10"/>
  <c r="BE20" i="10"/>
  <c r="BE32" i="10" s="1"/>
  <c r="BC60" i="1"/>
  <c r="BE28" i="14"/>
  <c r="BH53" i="1"/>
  <c r="BH60" i="1" s="1"/>
  <c r="BX15" i="10"/>
  <c r="BF51" i="10"/>
  <c r="BA58" i="14"/>
  <c r="BA59" i="14" s="1"/>
  <c r="BE32" i="8"/>
  <c r="BK60" i="8"/>
  <c r="BG52" i="10"/>
  <c r="BI58" i="14"/>
  <c r="BI59" i="14" s="1"/>
  <c r="BJ27" i="10"/>
  <c r="BP70" i="10"/>
  <c r="BX14" i="10"/>
  <c r="BE27" i="14"/>
  <c r="BE33" i="14" s="1"/>
  <c r="BP74" i="10"/>
  <c r="BK93" i="10"/>
  <c r="BP87" i="14"/>
  <c r="BD41" i="14"/>
  <c r="BH83" i="14"/>
  <c r="BH84" i="14" s="1"/>
  <c r="BB58" i="10"/>
  <c r="BB33" i="1"/>
  <c r="BK11" i="10"/>
  <c r="BK102" i="10" s="1"/>
  <c r="BP64" i="14"/>
  <c r="BE29" i="8"/>
  <c r="BF51" i="14"/>
  <c r="BB22" i="10"/>
  <c r="BC26" i="14"/>
  <c r="BC11" i="14"/>
  <c r="BA93" i="10"/>
  <c r="BG60" i="1"/>
  <c r="BG98" i="1" s="1"/>
  <c r="AZ27" i="14"/>
  <c r="AZ33" i="14" s="1"/>
  <c r="BP88" i="14"/>
  <c r="BP89" i="14" s="1"/>
  <c r="BP71" i="10"/>
  <c r="BE21" i="14"/>
  <c r="BK93" i="14"/>
  <c r="BK94" i="14" s="1"/>
  <c r="BC17" i="14"/>
  <c r="BC18" i="14" s="1"/>
  <c r="BP76" i="14"/>
  <c r="BE23" i="9"/>
  <c r="BA102" i="1"/>
  <c r="BB28" i="10"/>
  <c r="BB34" i="10" s="1"/>
  <c r="BP57" i="10"/>
  <c r="BP102" i="8"/>
  <c r="BP16" i="10"/>
  <c r="BA52" i="10"/>
  <c r="BP79" i="10"/>
  <c r="BG89" i="14"/>
  <c r="BG90" i="14" s="1"/>
  <c r="BF29" i="9"/>
  <c r="BD89" i="10"/>
  <c r="BI89" i="14"/>
  <c r="BI90" i="14" s="1"/>
  <c r="BI23" i="1"/>
  <c r="BP70" i="14"/>
  <c r="BC11" i="10"/>
  <c r="BJ32" i="8"/>
  <c r="BJ93" i="10"/>
  <c r="BE32" i="1"/>
  <c r="BK98" i="8"/>
  <c r="BI22" i="14"/>
  <c r="AB50" i="14"/>
  <c r="AF20" i="10"/>
  <c r="AR32" i="8"/>
  <c r="T51" i="10"/>
  <c r="S33" i="9"/>
  <c r="F50" i="14"/>
  <c r="T29" i="9"/>
  <c r="J29" i="9"/>
  <c r="Q29" i="8"/>
  <c r="AF58" i="10"/>
  <c r="AE51" i="14"/>
  <c r="G32" i="8"/>
  <c r="AO34" i="8"/>
  <c r="I33" i="8"/>
  <c r="BR66" i="10"/>
  <c r="AB52" i="10"/>
  <c r="AH20" i="14"/>
  <c r="AE28" i="14"/>
  <c r="AL28" i="10"/>
  <c r="Z53" i="8"/>
  <c r="Z60" i="8" s="1"/>
  <c r="AD32" i="1"/>
  <c r="CB15" i="10"/>
  <c r="K33" i="1"/>
  <c r="K50" i="14"/>
  <c r="BS87" i="10"/>
  <c r="BR87" i="10"/>
  <c r="AQ33" i="1"/>
  <c r="AI28" i="14"/>
  <c r="AW33" i="1"/>
  <c r="O23" i="9"/>
  <c r="AL29" i="8"/>
  <c r="AP17" i="14"/>
  <c r="AP18" i="14" s="1"/>
  <c r="Z32" i="1"/>
  <c r="T52" i="10"/>
  <c r="AD29" i="1"/>
  <c r="BR71" i="14"/>
  <c r="D21" i="14"/>
  <c r="W41" i="14"/>
  <c r="X93" i="14"/>
  <c r="X94" i="14" s="1"/>
  <c r="G58" i="14"/>
  <c r="AT26" i="14"/>
  <c r="AR33" i="1"/>
  <c r="H47" i="10"/>
  <c r="AU11" i="14"/>
  <c r="AU12" i="14" s="1"/>
  <c r="AI50" i="10"/>
  <c r="M28" i="14"/>
  <c r="M34" i="14" s="1"/>
  <c r="X28" i="10"/>
  <c r="M41" i="14"/>
  <c r="AV34" i="1"/>
  <c r="AQ27" i="10"/>
  <c r="V102" i="1"/>
  <c r="F23" i="1"/>
  <c r="AT102" i="8"/>
  <c r="J27" i="10"/>
  <c r="AP28" i="10"/>
  <c r="H50" i="10"/>
  <c r="AF33" i="8"/>
  <c r="AE26" i="10"/>
  <c r="D58" i="14"/>
  <c r="AY41" i="10"/>
  <c r="X51" i="14"/>
  <c r="E28" i="14"/>
  <c r="AM26" i="10"/>
  <c r="AY32" i="1"/>
  <c r="Z22" i="14"/>
  <c r="AT32" i="14"/>
  <c r="AQ29" i="1"/>
  <c r="AJ34" i="8"/>
  <c r="AG51" i="10"/>
  <c r="AL89" i="10"/>
  <c r="AY50" i="14"/>
  <c r="AW60" i="1"/>
  <c r="AW98" i="1" s="1"/>
  <c r="BS70" i="14"/>
  <c r="K51" i="14"/>
  <c r="AM22" i="14"/>
  <c r="BS76" i="14"/>
  <c r="N53" i="1"/>
  <c r="N60" i="1" s="1"/>
  <c r="N98" i="1" s="1"/>
  <c r="E20" i="10"/>
  <c r="E32" i="10" s="1"/>
  <c r="J52" i="10"/>
  <c r="AM58" i="14"/>
  <c r="BS44" i="10"/>
  <c r="N11" i="10"/>
  <c r="P21" i="10"/>
  <c r="BS57" i="14"/>
  <c r="AN29" i="1"/>
  <c r="AJ93" i="10"/>
  <c r="O29" i="1"/>
  <c r="U93" i="10"/>
  <c r="F20" i="10"/>
  <c r="W32" i="1"/>
  <c r="AV29" i="8"/>
  <c r="I93" i="10"/>
  <c r="AS102" i="1"/>
  <c r="I27" i="10"/>
  <c r="Z20" i="10"/>
  <c r="R33" i="9"/>
  <c r="AV27" i="10"/>
  <c r="AT26" i="10"/>
  <c r="BP11" i="8"/>
  <c r="BJ102" i="1"/>
  <c r="BJ26" i="10"/>
  <c r="BE34" i="14"/>
  <c r="BC33" i="8"/>
  <c r="BX16" i="10"/>
  <c r="BD52" i="10"/>
  <c r="BC83" i="10"/>
  <c r="BC58" i="10"/>
  <c r="BB47" i="10"/>
  <c r="BG22" i="14"/>
  <c r="BG34" i="14" s="1"/>
  <c r="BA33" i="9"/>
  <c r="BP92" i="10"/>
  <c r="BP93" i="10" s="1"/>
  <c r="BJ83" i="10"/>
  <c r="BE83" i="14"/>
  <c r="BE84" i="14" s="1"/>
  <c r="BF22" i="14"/>
  <c r="BH11" i="10"/>
  <c r="BA83" i="14"/>
  <c r="BA84" i="14" s="1"/>
  <c r="BK22" i="10"/>
  <c r="BK34" i="10" s="1"/>
  <c r="BA22" i="10"/>
  <c r="BA34" i="10" s="1"/>
  <c r="BJ27" i="14"/>
  <c r="BJ33" i="14" s="1"/>
  <c r="BJ83" i="14"/>
  <c r="BJ84" i="14" s="1"/>
  <c r="BJ51" i="14"/>
  <c r="BP38" i="10"/>
  <c r="BE29" i="9"/>
  <c r="BI58" i="10"/>
  <c r="BF17" i="10"/>
  <c r="BF29" i="10" s="1"/>
  <c r="BA29" i="8"/>
  <c r="BC83" i="14"/>
  <c r="BC84" i="14" s="1"/>
  <c r="BG11" i="10"/>
  <c r="BB11" i="10"/>
  <c r="AZ29" i="9"/>
  <c r="BE53" i="8"/>
  <c r="BE60" i="8" s="1"/>
  <c r="BP78" i="14"/>
  <c r="BK23" i="9"/>
  <c r="BF34" i="9"/>
  <c r="BH58" i="10"/>
  <c r="BD20" i="10"/>
  <c r="BH47" i="10"/>
  <c r="BA50" i="10"/>
  <c r="BC41" i="10"/>
  <c r="BB89" i="14"/>
  <c r="BB90" i="14" s="1"/>
  <c r="BI33" i="9"/>
  <c r="BJ89" i="14"/>
  <c r="BJ90" i="14" s="1"/>
  <c r="BG20" i="10"/>
  <c r="BG32" i="10" s="1"/>
  <c r="BD53" i="1"/>
  <c r="BD60" i="1" s="1"/>
  <c r="BD22" i="10"/>
  <c r="BP78" i="10"/>
  <c r="BJ28" i="10"/>
  <c r="AZ51" i="14"/>
  <c r="BG17" i="14"/>
  <c r="BG18" i="14" s="1"/>
  <c r="AZ11" i="10"/>
  <c r="AZ102" i="10" s="1"/>
  <c r="BE58" i="14"/>
  <c r="BE59" i="14" s="1"/>
  <c r="BJ11" i="14"/>
  <c r="BJ12" i="14" s="1"/>
  <c r="BJ11" i="10"/>
  <c r="AZ23" i="9"/>
  <c r="BA17" i="10"/>
  <c r="BJ17" i="10"/>
  <c r="BJ60" i="1"/>
  <c r="BJ98" i="1" s="1"/>
  <c r="BI29" i="1"/>
  <c r="BA28" i="10"/>
  <c r="BH53" i="9"/>
  <c r="BH60" i="9" s="1"/>
  <c r="BH98" i="9" s="1"/>
  <c r="BP76" i="10"/>
  <c r="BG23" i="9"/>
  <c r="BG29" i="9"/>
  <c r="K26" i="14"/>
  <c r="AD41" i="10"/>
  <c r="I21" i="14"/>
  <c r="AL41" i="14"/>
  <c r="AC32" i="8"/>
  <c r="BQ66" i="10"/>
  <c r="BQ67" i="10"/>
  <c r="AV52" i="14"/>
  <c r="AP28" i="14"/>
  <c r="Y23" i="8"/>
  <c r="AD34" i="1"/>
  <c r="P102" i="1"/>
  <c r="R22" i="14"/>
  <c r="AR11" i="14"/>
  <c r="AR12" i="14" s="1"/>
  <c r="AR22" i="10"/>
  <c r="E28" i="10"/>
  <c r="BP56" i="10"/>
  <c r="BA83" i="10"/>
  <c r="BG83" i="10"/>
  <c r="AZ83" i="10"/>
  <c r="AZ17" i="10"/>
  <c r="BP14" i="10"/>
  <c r="BK41" i="10"/>
  <c r="BG23" i="8"/>
  <c r="BG35" i="8" s="1"/>
  <c r="BG47" i="10"/>
  <c r="BG53" i="10" s="1"/>
  <c r="BG60" i="10" s="1"/>
  <c r="BG98" i="10" s="1"/>
  <c r="BG28" i="10"/>
  <c r="BG34" i="10" s="1"/>
  <c r="BD51" i="14"/>
  <c r="BD21" i="14"/>
  <c r="AZ89" i="14"/>
  <c r="AZ90" i="14" s="1"/>
  <c r="BP86" i="14"/>
  <c r="BC53" i="9"/>
  <c r="BC60" i="9" s="1"/>
  <c r="BC98" i="9" s="1"/>
  <c r="BC29" i="9"/>
  <c r="BE26" i="14"/>
  <c r="BE50" i="14"/>
  <c r="BE47" i="14"/>
  <c r="BE53" i="14" s="1"/>
  <c r="BE54" i="14" s="1"/>
  <c r="BA17" i="14"/>
  <c r="BA18" i="14" s="1"/>
  <c r="BP15" i="14"/>
  <c r="BX15" i="14"/>
  <c r="BP21" i="14" s="1"/>
  <c r="BA27" i="14"/>
  <c r="BB51" i="10"/>
  <c r="BP45" i="10"/>
  <c r="BP27" i="10" s="1"/>
  <c r="BP38" i="14"/>
  <c r="BP41" i="14" s="1"/>
  <c r="BB41" i="14"/>
  <c r="BB53" i="14" s="1"/>
  <c r="BB54" i="14" s="1"/>
  <c r="BB50" i="14"/>
  <c r="BB20" i="14"/>
  <c r="BH83" i="10"/>
  <c r="BJ22" i="10"/>
  <c r="BJ52" i="10"/>
  <c r="BG98" i="8"/>
  <c r="BF21" i="14"/>
  <c r="BF41" i="14"/>
  <c r="BF23" i="14" s="1"/>
  <c r="BK26" i="14"/>
  <c r="BK50" i="14"/>
  <c r="BK47" i="14"/>
  <c r="BB41" i="10"/>
  <c r="BB52" i="10"/>
  <c r="BA89" i="14"/>
  <c r="BA90" i="14" s="1"/>
  <c r="BC50" i="14"/>
  <c r="BC47" i="14"/>
  <c r="BC53" i="14" s="1"/>
  <c r="BC60" i="14" s="1"/>
  <c r="BC98" i="14" s="1"/>
  <c r="BC93" i="10"/>
  <c r="BA34" i="9"/>
  <c r="BP40" i="10"/>
  <c r="BP46" i="10"/>
  <c r="BD53" i="9"/>
  <c r="BD60" i="9" s="1"/>
  <c r="BD98" i="9" s="1"/>
  <c r="BK102" i="9"/>
  <c r="BE53" i="9"/>
  <c r="BE60" i="9" s="1"/>
  <c r="BE98" i="9" s="1"/>
  <c r="BP74" i="14"/>
  <c r="BP83" i="14" s="1"/>
  <c r="BD41" i="10"/>
  <c r="BJ21" i="14"/>
  <c r="BG53" i="9"/>
  <c r="BG60" i="9" s="1"/>
  <c r="BG98" i="9" s="1"/>
  <c r="BA102" i="9"/>
  <c r="BC22" i="14"/>
  <c r="BF53" i="9"/>
  <c r="BF60" i="9" s="1"/>
  <c r="BF98" i="9" s="1"/>
  <c r="BD29" i="1"/>
  <c r="BD35" i="1" s="1"/>
  <c r="BB22" i="14"/>
  <c r="BB34" i="14" s="1"/>
  <c r="BG52" i="14"/>
  <c r="BG102" i="9"/>
  <c r="BB102" i="1"/>
  <c r="BB50" i="10"/>
  <c r="BA98" i="9"/>
  <c r="BG41" i="14"/>
  <c r="BG23" i="14" s="1"/>
  <c r="BH51" i="14"/>
  <c r="BP102" i="1"/>
  <c r="AZ20" i="10"/>
  <c r="BI17" i="10"/>
  <c r="BP45" i="14"/>
  <c r="AZ26" i="14"/>
  <c r="BE51" i="14"/>
  <c r="BD17" i="10"/>
  <c r="BD29" i="10" s="1"/>
  <c r="BG23" i="1"/>
  <c r="BG35" i="1" s="1"/>
  <c r="BH29" i="1"/>
  <c r="BH35" i="1" s="1"/>
  <c r="BE23" i="8"/>
  <c r="BP44" i="10"/>
  <c r="BJ47" i="14"/>
  <c r="AZ93" i="10"/>
  <c r="BI21" i="10"/>
  <c r="BA21" i="14"/>
  <c r="BF26" i="10"/>
  <c r="AZ41" i="10"/>
  <c r="AZ53" i="10" s="1"/>
  <c r="AZ60" i="10" s="1"/>
  <c r="AZ98" i="10" s="1"/>
  <c r="BF20" i="10"/>
  <c r="BJ60" i="9"/>
  <c r="BJ98" i="9" s="1"/>
  <c r="BH17" i="14"/>
  <c r="BH18" i="14" s="1"/>
  <c r="BB98" i="1"/>
  <c r="BH98" i="1"/>
  <c r="BH33" i="1"/>
  <c r="BI11" i="14"/>
  <c r="BI12" i="14" s="1"/>
  <c r="BH32" i="1"/>
  <c r="BF11" i="10"/>
  <c r="BB83" i="10"/>
  <c r="BB83" i="14"/>
  <c r="BB84" i="14" s="1"/>
  <c r="BF83" i="14"/>
  <c r="BF84" i="14" s="1"/>
  <c r="BK89" i="14"/>
  <c r="BK90" i="14" s="1"/>
  <c r="BA41" i="10"/>
  <c r="BA23" i="10" s="1"/>
  <c r="BB33" i="8"/>
  <c r="AZ83" i="14"/>
  <c r="AZ84" i="14" s="1"/>
  <c r="AZ93" i="14"/>
  <c r="AZ94" i="14" s="1"/>
  <c r="BF89" i="10"/>
  <c r="BI53" i="8"/>
  <c r="BI60" i="8" s="1"/>
  <c r="BI98" i="8" s="1"/>
  <c r="BG33" i="1"/>
  <c r="BH11" i="14"/>
  <c r="BH12" i="14" s="1"/>
  <c r="BG83" i="14"/>
  <c r="BG84" i="14" s="1"/>
  <c r="BF11" i="14"/>
  <c r="BF12" i="14" s="1"/>
  <c r="BI26" i="10"/>
  <c r="BI32" i="10" s="1"/>
  <c r="BE22" i="10"/>
  <c r="BK41" i="14"/>
  <c r="AZ50" i="10"/>
  <c r="BD83" i="14"/>
  <c r="BD84" i="14" s="1"/>
  <c r="BD83" i="10"/>
  <c r="BI83" i="10"/>
  <c r="BE83" i="10"/>
  <c r="BI93" i="10"/>
  <c r="BJ21" i="10"/>
  <c r="AZ50" i="14"/>
  <c r="BE89" i="10"/>
  <c r="BP65" i="14"/>
  <c r="AZ52" i="14"/>
  <c r="BE32" i="9"/>
  <c r="BD28" i="14"/>
  <c r="BD34" i="14" s="1"/>
  <c r="BK83" i="14"/>
  <c r="BK84" i="14" s="1"/>
  <c r="BH102" i="9"/>
  <c r="BH102" i="1"/>
  <c r="BK33" i="9"/>
  <c r="BK26" i="10"/>
  <c r="BK83" i="10"/>
  <c r="BH102" i="8"/>
  <c r="BI83" i="14"/>
  <c r="BI84" i="14" s="1"/>
  <c r="BF32" i="8"/>
  <c r="BE33" i="9"/>
  <c r="BF83" i="10"/>
  <c r="BE11" i="14"/>
  <c r="BE12" i="14" s="1"/>
  <c r="BD17" i="14"/>
  <c r="BD18" i="14" s="1"/>
  <c r="BI23" i="9"/>
  <c r="AZ32" i="8"/>
  <c r="BA60" i="1"/>
  <c r="BA98" i="1" s="1"/>
  <c r="BA47" i="10"/>
  <c r="BA53" i="10" s="1"/>
  <c r="BA60" i="10" s="1"/>
  <c r="BA98" i="10" s="1"/>
  <c r="BI51" i="10"/>
  <c r="BE41" i="14"/>
  <c r="BB26" i="10"/>
  <c r="BK23" i="8"/>
  <c r="BK35" i="8" s="1"/>
  <c r="BB102" i="8"/>
  <c r="BH20" i="10"/>
  <c r="BH32" i="10" s="1"/>
  <c r="BC51" i="10"/>
  <c r="BH23" i="8"/>
  <c r="AZ34" i="8"/>
  <c r="BG17" i="10"/>
  <c r="BC21" i="10"/>
  <c r="BJ98" i="8"/>
  <c r="BA23" i="1"/>
  <c r="BA35" i="1" s="1"/>
  <c r="BC32" i="1"/>
  <c r="AZ33" i="8"/>
  <c r="BK34" i="8"/>
  <c r="BD23" i="8"/>
  <c r="R21" i="10"/>
  <c r="AW34" i="1"/>
  <c r="W51" i="10"/>
  <c r="BP11" i="14"/>
  <c r="BR78" i="10"/>
  <c r="BO88" i="14"/>
  <c r="P23" i="1"/>
  <c r="V32" i="8"/>
  <c r="T34" i="1"/>
  <c r="G93" i="10"/>
  <c r="AT34" i="1"/>
  <c r="S89" i="14"/>
  <c r="S90" i="14" s="1"/>
  <c r="AP20" i="14"/>
  <c r="AO26" i="14"/>
  <c r="AO32" i="14" s="1"/>
  <c r="R28" i="14"/>
  <c r="T21" i="10"/>
  <c r="AO47" i="10"/>
  <c r="X29" i="8"/>
  <c r="E41" i="10"/>
  <c r="AH21" i="10"/>
  <c r="S89" i="10"/>
  <c r="AL50" i="10"/>
  <c r="H26" i="10"/>
  <c r="AO20" i="10"/>
  <c r="T23" i="8"/>
  <c r="E74" i="12"/>
  <c r="E87" i="12"/>
  <c r="E38" i="12"/>
  <c r="E81" i="12"/>
  <c r="E70" i="12"/>
  <c r="E72" i="12"/>
  <c r="E75" i="12"/>
  <c r="E57" i="12"/>
  <c r="E68" i="12"/>
  <c r="E16" i="12"/>
  <c r="E44" i="12"/>
  <c r="E65" i="12"/>
  <c r="E8" i="12"/>
  <c r="E67" i="12"/>
  <c r="E82" i="12"/>
  <c r="E71" i="12"/>
  <c r="E88" i="12"/>
  <c r="E80" i="12"/>
  <c r="E92" i="12"/>
  <c r="E78" i="12"/>
  <c r="E14" i="12"/>
  <c r="E26" i="12" s="1"/>
  <c r="E77" i="12"/>
  <c r="E86" i="12"/>
  <c r="E63" i="12"/>
  <c r="E73" i="12"/>
  <c r="E76" i="12"/>
  <c r="E91" i="12"/>
  <c r="E10" i="12"/>
  <c r="E39" i="12"/>
  <c r="E66" i="12"/>
  <c r="E95" i="12"/>
  <c r="E96" i="12" s="1"/>
  <c r="E15" i="12"/>
  <c r="E64" i="12"/>
  <c r="E9" i="12"/>
  <c r="E56" i="12"/>
  <c r="E45" i="12"/>
  <c r="E40" i="12"/>
  <c r="E69" i="12"/>
  <c r="E46" i="12"/>
  <c r="E47" i="12" s="1"/>
  <c r="E79" i="12"/>
  <c r="BP95" i="10"/>
  <c r="BI102" i="9"/>
  <c r="BD20" i="14"/>
  <c r="BD32" i="14" s="1"/>
  <c r="BP63" i="14"/>
  <c r="BB11" i="14"/>
  <c r="BB12" i="14" s="1"/>
  <c r="BA21" i="10"/>
  <c r="AZ53" i="9"/>
  <c r="AZ60" i="9" s="1"/>
  <c r="AZ98" i="9" s="1"/>
  <c r="BI29" i="9"/>
  <c r="AZ41" i="14"/>
  <c r="BK20" i="10"/>
  <c r="BG102" i="1"/>
  <c r="BE52" i="10"/>
  <c r="BI35" i="1"/>
  <c r="AZ23" i="8"/>
  <c r="AZ35" i="8" s="1"/>
  <c r="BA23" i="8"/>
  <c r="BA53" i="8"/>
  <c r="BA60" i="8" s="1"/>
  <c r="BA98" i="8" s="1"/>
  <c r="BJ41" i="10"/>
  <c r="BI47" i="10"/>
  <c r="BF22" i="10"/>
  <c r="BF41" i="10"/>
  <c r="BF53" i="10" s="1"/>
  <c r="BF60" i="10" s="1"/>
  <c r="BF98" i="10" s="1"/>
  <c r="AZ26" i="10"/>
  <c r="AZ32" i="10" s="1"/>
  <c r="BB98" i="8"/>
  <c r="BE98" i="8"/>
  <c r="BJ23" i="1"/>
  <c r="BJ34" i="8"/>
  <c r="BB23" i="8"/>
  <c r="BE53" i="1"/>
  <c r="BE60" i="1" s="1"/>
  <c r="BE98" i="1" s="1"/>
  <c r="BE29" i="1"/>
  <c r="BE35" i="1" s="1"/>
  <c r="BJ29" i="8"/>
  <c r="BJ35" i="8" s="1"/>
  <c r="AZ102" i="8"/>
  <c r="BA102" i="8"/>
  <c r="AZ23" i="1"/>
  <c r="AZ35" i="1" s="1"/>
  <c r="BI32" i="1"/>
  <c r="BI33" i="8"/>
  <c r="BF53" i="8"/>
  <c r="BF60" i="8" s="1"/>
  <c r="BF98" i="8" s="1"/>
  <c r="AZ28" i="14"/>
  <c r="BF17" i="14"/>
  <c r="BF18" i="14" s="1"/>
  <c r="BD51" i="10"/>
  <c r="BD47" i="10"/>
  <c r="BK52" i="14"/>
  <c r="BE41" i="10"/>
  <c r="AZ47" i="14"/>
  <c r="BA51" i="10"/>
  <c r="BC35" i="8"/>
  <c r="BH60" i="8"/>
  <c r="BH98" i="8" s="1"/>
  <c r="BB32" i="1"/>
  <c r="BJ34" i="1"/>
  <c r="BP8" i="10"/>
  <c r="BF29" i="8"/>
  <c r="BF35" i="8" s="1"/>
  <c r="BB29" i="8"/>
  <c r="BC23" i="1"/>
  <c r="BH34" i="1"/>
  <c r="BP16" i="14"/>
  <c r="BP17" i="14" s="1"/>
  <c r="BB89" i="10"/>
  <c r="BB98" i="9"/>
  <c r="BH22" i="10"/>
  <c r="BG21" i="14"/>
  <c r="BJ50" i="10"/>
  <c r="BX16" i="14"/>
  <c r="BC98" i="1"/>
  <c r="BD98" i="1"/>
  <c r="BF53" i="1"/>
  <c r="BF60" i="1" s="1"/>
  <c r="BF98" i="1" s="1"/>
  <c r="BG34" i="1"/>
  <c r="BA33" i="1"/>
  <c r="BE34" i="1"/>
  <c r="BC29" i="1"/>
  <c r="BD34" i="1"/>
  <c r="BJ29" i="1"/>
  <c r="BK23" i="1"/>
  <c r="BK35" i="1" s="1"/>
  <c r="BH29" i="8"/>
  <c r="BH35" i="8" s="1"/>
  <c r="BC33" i="1"/>
  <c r="BP88" i="10"/>
  <c r="BB17" i="14"/>
  <c r="BB18" i="14" s="1"/>
  <c r="AZ47" i="10"/>
  <c r="BD98" i="8"/>
  <c r="BJ33" i="8"/>
  <c r="BH28" i="10"/>
  <c r="BI23" i="8"/>
  <c r="BI35" i="8" s="1"/>
  <c r="BC34" i="8"/>
  <c r="BP9" i="10"/>
  <c r="BJ32" i="1"/>
  <c r="BD34" i="8"/>
  <c r="BD29" i="8"/>
  <c r="BD35" i="8" s="1"/>
  <c r="BI53" i="1"/>
  <c r="BI60" i="1" s="1"/>
  <c r="BI98" i="1" s="1"/>
  <c r="BF34" i="1"/>
  <c r="AG22" i="14"/>
  <c r="BS66" i="10"/>
  <c r="BQ76" i="14"/>
  <c r="AF53" i="8"/>
  <c r="K50" i="10"/>
  <c r="M22" i="14"/>
  <c r="AW11" i="14"/>
  <c r="AW12" i="14" s="1"/>
  <c r="Y34" i="8"/>
  <c r="BT46" i="14"/>
  <c r="AF51" i="14"/>
  <c r="AL53" i="1"/>
  <c r="N22" i="10"/>
  <c r="H53" i="1"/>
  <c r="H60" i="1" s="1"/>
  <c r="D93" i="10"/>
  <c r="K93" i="10"/>
  <c r="AY28" i="10"/>
  <c r="N51" i="10"/>
  <c r="AK20" i="14"/>
  <c r="V58" i="14"/>
  <c r="R20" i="14"/>
  <c r="AR17" i="10"/>
  <c r="AY22" i="10"/>
  <c r="AX17" i="14"/>
  <c r="AX18" i="14" s="1"/>
  <c r="W50" i="14"/>
  <c r="BR39" i="10"/>
  <c r="AR21" i="10"/>
  <c r="AD102" i="8"/>
  <c r="AY29" i="1"/>
  <c r="BT16" i="10"/>
  <c r="BS75" i="14"/>
  <c r="AY21" i="14"/>
  <c r="D58" i="10"/>
  <c r="AA102" i="8"/>
  <c r="AC20" i="14"/>
  <c r="Z34" i="1"/>
  <c r="BR15" i="14"/>
  <c r="E20" i="14"/>
  <c r="AE20" i="14"/>
  <c r="AG28" i="10"/>
  <c r="AC11" i="10"/>
  <c r="G53" i="9"/>
  <c r="P89" i="10"/>
  <c r="D28" i="10"/>
  <c r="T29" i="8"/>
  <c r="AK29" i="1"/>
  <c r="U17" i="10"/>
  <c r="AP53" i="1"/>
  <c r="AP60" i="1" s="1"/>
  <c r="AP98" i="1" s="1"/>
  <c r="AV21" i="10"/>
  <c r="AY28" i="14"/>
  <c r="V34" i="1"/>
  <c r="BQ67" i="14"/>
  <c r="F22" i="10"/>
  <c r="AN28" i="14"/>
  <c r="CB14" i="14"/>
  <c r="Y53" i="9"/>
  <c r="Y60" i="9" s="1"/>
  <c r="Y98" i="9" s="1"/>
  <c r="AO27" i="14"/>
  <c r="AY53" i="1"/>
  <c r="AU53" i="1"/>
  <c r="AY26" i="10"/>
  <c r="Y22" i="14"/>
  <c r="BT70" i="14"/>
  <c r="AE53" i="1"/>
  <c r="AE60" i="1" s="1"/>
  <c r="AE98" i="1" s="1"/>
  <c r="Z17" i="10"/>
  <c r="BQ68" i="10"/>
  <c r="W53" i="8"/>
  <c r="W60" i="8" s="1"/>
  <c r="G26" i="10"/>
  <c r="X34" i="1"/>
  <c r="T52" i="14"/>
  <c r="AR27" i="10"/>
  <c r="AI53" i="1"/>
  <c r="AI60" i="1" s="1"/>
  <c r="AI98" i="1" s="1"/>
  <c r="AX23" i="1"/>
  <c r="AX35" i="1" s="1"/>
  <c r="R33" i="1"/>
  <c r="I32" i="1"/>
  <c r="BS15" i="10"/>
  <c r="K52" i="14"/>
  <c r="AR53" i="8"/>
  <c r="AR60" i="8" s="1"/>
  <c r="G51" i="14"/>
  <c r="W102" i="1"/>
  <c r="AK32" i="1"/>
  <c r="AT50" i="14"/>
  <c r="AM26" i="14"/>
  <c r="V27" i="10"/>
  <c r="AO33" i="1"/>
  <c r="AL20" i="14"/>
  <c r="AT17" i="14"/>
  <c r="AT18" i="14" s="1"/>
  <c r="AR51" i="14"/>
  <c r="BQ14" i="10"/>
  <c r="E23" i="1"/>
  <c r="AE20" i="10"/>
  <c r="AA53" i="1"/>
  <c r="E23" i="8"/>
  <c r="K28" i="10"/>
  <c r="AV23" i="8"/>
  <c r="AN58" i="14"/>
  <c r="H17" i="14"/>
  <c r="H18" i="14" s="1"/>
  <c r="AV51" i="10"/>
  <c r="AP20" i="10"/>
  <c r="Y32" i="1"/>
  <c r="G22" i="14"/>
  <c r="F20" i="14"/>
  <c r="AD52" i="10"/>
  <c r="S23" i="9"/>
  <c r="AU34" i="8"/>
  <c r="AC29" i="1"/>
  <c r="E33" i="9"/>
  <c r="BO17" i="1"/>
  <c r="BO51" i="1"/>
  <c r="BI32" i="14"/>
  <c r="BO93" i="1"/>
  <c r="CB16" i="10"/>
  <c r="N52" i="10"/>
  <c r="D20" i="10"/>
  <c r="AY51" i="10"/>
  <c r="N34" i="8"/>
  <c r="AB34" i="9"/>
  <c r="AP29" i="9"/>
  <c r="AA29" i="8"/>
  <c r="AI32" i="9"/>
  <c r="P93" i="10"/>
  <c r="E34" i="1"/>
  <c r="Y33" i="9"/>
  <c r="V23" i="9"/>
  <c r="AG102" i="8"/>
  <c r="AH53" i="1"/>
  <c r="AH60" i="1" s="1"/>
  <c r="AH98" i="1" s="1"/>
  <c r="Y52" i="14"/>
  <c r="AW51" i="14"/>
  <c r="L58" i="10"/>
  <c r="AA33" i="1"/>
  <c r="BS71" i="10"/>
  <c r="AG33" i="1"/>
  <c r="J51" i="14"/>
  <c r="J32" i="1"/>
  <c r="P23" i="8"/>
  <c r="BQ95" i="10"/>
  <c r="BQ96" i="10" s="1"/>
  <c r="AH51" i="10"/>
  <c r="BT14" i="14"/>
  <c r="AR47" i="10"/>
  <c r="Y53" i="8"/>
  <c r="Z28" i="10"/>
  <c r="AY21" i="10"/>
  <c r="AC34" i="9"/>
  <c r="K53" i="9"/>
  <c r="K60" i="9" s="1"/>
  <c r="K98" i="9" s="1"/>
  <c r="AV34" i="9"/>
  <c r="AM58" i="10"/>
  <c r="AI29" i="9"/>
  <c r="R34" i="8"/>
  <c r="O29" i="8"/>
  <c r="AR34" i="9"/>
  <c r="K89" i="10"/>
  <c r="L58" i="14"/>
  <c r="O93" i="14"/>
  <c r="O94" i="14" s="1"/>
  <c r="AG33" i="9"/>
  <c r="H102" i="9"/>
  <c r="R23" i="8"/>
  <c r="BS92" i="10"/>
  <c r="I93" i="14"/>
  <c r="I94" i="14" s="1"/>
  <c r="AK29" i="8"/>
  <c r="AK93" i="14"/>
  <c r="AK94" i="14" s="1"/>
  <c r="AR93" i="14"/>
  <c r="AR94" i="14" s="1"/>
  <c r="AB52" i="14"/>
  <c r="BQ11" i="8"/>
  <c r="L11" i="10"/>
  <c r="BS86" i="10"/>
  <c r="AY17" i="14"/>
  <c r="AY18" i="14" s="1"/>
  <c r="BT38" i="14"/>
  <c r="BT20" i="14" s="1"/>
  <c r="AC50" i="14"/>
  <c r="BQ69" i="10"/>
  <c r="AA51" i="14"/>
  <c r="AK34" i="1"/>
  <c r="AI53" i="9"/>
  <c r="N28" i="10"/>
  <c r="BO87" i="14"/>
  <c r="AG34" i="8"/>
  <c r="AX26" i="10"/>
  <c r="AM29" i="8"/>
  <c r="AI89" i="10"/>
  <c r="AS50" i="14"/>
  <c r="W47" i="14"/>
  <c r="J47" i="10"/>
  <c r="O17" i="14"/>
  <c r="O18" i="14" s="1"/>
  <c r="AW53" i="8"/>
  <c r="AW60" i="8" s="1"/>
  <c r="AW98" i="8" s="1"/>
  <c r="AW52" i="14"/>
  <c r="AB53" i="1"/>
  <c r="AB60" i="1" s="1"/>
  <c r="AB98" i="1" s="1"/>
  <c r="G11" i="10"/>
  <c r="G32" i="1"/>
  <c r="T102" i="1"/>
  <c r="U20" i="10"/>
  <c r="V102" i="9"/>
  <c r="AB23" i="8"/>
  <c r="K33" i="9"/>
  <c r="T32" i="8"/>
  <c r="AT32" i="1"/>
  <c r="AL102" i="1"/>
  <c r="I50" i="14"/>
  <c r="S28" i="10"/>
  <c r="AR29" i="8"/>
  <c r="J93" i="10"/>
  <c r="AR22" i="14"/>
  <c r="J28" i="14"/>
  <c r="W50" i="10"/>
  <c r="X33" i="8"/>
  <c r="AY50" i="10"/>
  <c r="Z93" i="10"/>
  <c r="AE50" i="14"/>
  <c r="V22" i="10"/>
  <c r="V34" i="10" s="1"/>
  <c r="BQ45" i="10"/>
  <c r="BQ47" i="10" s="1"/>
  <c r="D28" i="14"/>
  <c r="AK50" i="14"/>
  <c r="U102" i="1"/>
  <c r="Z22" i="10"/>
  <c r="K32" i="9"/>
  <c r="S93" i="10"/>
  <c r="AY23" i="1"/>
  <c r="AY35" i="1" s="1"/>
  <c r="E50" i="14"/>
  <c r="AM32" i="1"/>
  <c r="AM50" i="10"/>
  <c r="AQ21" i="14"/>
  <c r="AF21" i="14"/>
  <c r="BO38" i="10"/>
  <c r="V53" i="1"/>
  <c r="V60" i="1" s="1"/>
  <c r="V98" i="1" s="1"/>
  <c r="AP33" i="9"/>
  <c r="AC23" i="9"/>
  <c r="M23" i="8"/>
  <c r="AT34" i="9"/>
  <c r="P29" i="8"/>
  <c r="BO82" i="14"/>
  <c r="T89" i="14"/>
  <c r="T90" i="14" s="1"/>
  <c r="AQ47" i="10"/>
  <c r="BR91" i="10"/>
  <c r="U33" i="1"/>
  <c r="BO17" i="9"/>
  <c r="AG102" i="9"/>
  <c r="AQ23" i="9"/>
  <c r="AU32" i="8"/>
  <c r="AI47" i="14"/>
  <c r="AI29" i="14" s="1"/>
  <c r="AI30" i="14" s="1"/>
  <c r="BT72" i="10"/>
  <c r="AS53" i="8"/>
  <c r="AS60" i="8" s="1"/>
  <c r="AS98" i="8" s="1"/>
  <c r="AB102" i="8"/>
  <c r="S32" i="1"/>
  <c r="AY58" i="10"/>
  <c r="L11" i="14"/>
  <c r="L12" i="14" s="1"/>
  <c r="BS86" i="14"/>
  <c r="BS63" i="10"/>
  <c r="D53" i="1"/>
  <c r="D60" i="1" s="1"/>
  <c r="D98" i="1" s="1"/>
  <c r="AP53" i="9"/>
  <c r="AP60" i="9" s="1"/>
  <c r="AP98" i="9" s="1"/>
  <c r="J17" i="10"/>
  <c r="AK47" i="10"/>
  <c r="AI33" i="9"/>
  <c r="BT82" i="10"/>
  <c r="N58" i="14"/>
  <c r="AG11" i="10"/>
  <c r="L93" i="10"/>
  <c r="AN32" i="8"/>
  <c r="AT34" i="8"/>
  <c r="H33" i="8"/>
  <c r="L32" i="1"/>
  <c r="AT51" i="14"/>
  <c r="G27" i="10"/>
  <c r="BS69" i="10"/>
  <c r="V27" i="14"/>
  <c r="M33" i="1"/>
  <c r="AU29" i="1"/>
  <c r="AK53" i="8"/>
  <c r="W28" i="10"/>
  <c r="W34" i="10" s="1"/>
  <c r="AK27" i="10"/>
  <c r="P33" i="8"/>
  <c r="BR67" i="10"/>
  <c r="O20" i="14"/>
  <c r="BS77" i="10"/>
  <c r="N29" i="8"/>
  <c r="AN20" i="14"/>
  <c r="X47" i="14"/>
  <c r="T20" i="14"/>
  <c r="R32" i="1"/>
  <c r="AF17" i="14"/>
  <c r="AF18" i="14" s="1"/>
  <c r="V89" i="14"/>
  <c r="V90" i="14" s="1"/>
  <c r="AJ26" i="10"/>
  <c r="AJ32" i="10" s="1"/>
  <c r="AJ11" i="10"/>
  <c r="AV89" i="10"/>
  <c r="AH17" i="14"/>
  <c r="AH18" i="14" s="1"/>
  <c r="AM50" i="14"/>
  <c r="AX20" i="14"/>
  <c r="I20" i="14"/>
  <c r="T51" i="14"/>
  <c r="J34" i="1"/>
  <c r="AR34" i="1"/>
  <c r="AM21" i="10"/>
  <c r="AB11" i="14"/>
  <c r="AB12" i="14" s="1"/>
  <c r="AA50" i="10"/>
  <c r="Y102" i="1"/>
  <c r="AT29" i="8"/>
  <c r="M52" i="14"/>
  <c r="AA33" i="8"/>
  <c r="AP33" i="8"/>
  <c r="AE29" i="9"/>
  <c r="T89" i="10"/>
  <c r="R102" i="8"/>
  <c r="BY14" i="10"/>
  <c r="AO27" i="10"/>
  <c r="AE50" i="10"/>
  <c r="AT47" i="14"/>
  <c r="AT29" i="14" s="1"/>
  <c r="AN20" i="10"/>
  <c r="AV22" i="14"/>
  <c r="BO74" i="10"/>
  <c r="D11" i="14"/>
  <c r="D12" i="14" s="1"/>
  <c r="V93" i="10"/>
  <c r="AQ47" i="14"/>
  <c r="AD32" i="8"/>
  <c r="T53" i="9"/>
  <c r="AU53" i="8"/>
  <c r="AU60" i="8" s="1"/>
  <c r="AU98" i="8" s="1"/>
  <c r="AJ33" i="9"/>
  <c r="BQ77" i="10"/>
  <c r="BT72" i="14"/>
  <c r="H58" i="10"/>
  <c r="Q102" i="8"/>
  <c r="AQ52" i="14"/>
  <c r="S93" i="14"/>
  <c r="S94" i="14" s="1"/>
  <c r="W23" i="9"/>
  <c r="AP34" i="1"/>
  <c r="AD33" i="1"/>
  <c r="AH50" i="10"/>
  <c r="BS63" i="14"/>
  <c r="AE17" i="10"/>
  <c r="AC32" i="1"/>
  <c r="AE28" i="10"/>
  <c r="AF102" i="8"/>
  <c r="BT82" i="14"/>
  <c r="E32" i="1"/>
  <c r="CA14" i="10"/>
  <c r="Y29" i="1"/>
  <c r="AD20" i="14"/>
  <c r="K32" i="1"/>
  <c r="F52" i="14"/>
  <c r="R93" i="14"/>
  <c r="R94" i="14" s="1"/>
  <c r="N32" i="8"/>
  <c r="K34" i="9"/>
  <c r="D52" i="10"/>
  <c r="Z26" i="10"/>
  <c r="AX93" i="10"/>
  <c r="AM20" i="10"/>
  <c r="AM32" i="10" s="1"/>
  <c r="M21" i="10"/>
  <c r="M33" i="10" s="1"/>
  <c r="G33" i="1"/>
  <c r="V11" i="10"/>
  <c r="AI53" i="8"/>
  <c r="BO79" i="14"/>
  <c r="E32" i="8"/>
  <c r="AS32" i="8"/>
  <c r="AL102" i="8"/>
  <c r="AP52" i="10"/>
  <c r="AY41" i="14"/>
  <c r="O22" i="10"/>
  <c r="AT23" i="8"/>
  <c r="U102" i="8"/>
  <c r="AO102" i="9"/>
  <c r="Q32" i="8"/>
  <c r="AF58" i="14"/>
  <c r="V93" i="14"/>
  <c r="V94" i="14" s="1"/>
  <c r="Y23" i="9"/>
  <c r="BO51" i="9"/>
  <c r="M23" i="9"/>
  <c r="N89" i="14"/>
  <c r="N90" i="14" s="1"/>
  <c r="AN102" i="9"/>
  <c r="N26" i="14"/>
  <c r="AH32" i="1"/>
  <c r="W21" i="14"/>
  <c r="Z33" i="8"/>
  <c r="Z34" i="9"/>
  <c r="AY89" i="14"/>
  <c r="AY90" i="14" s="1"/>
  <c r="U29" i="9"/>
  <c r="V21" i="14"/>
  <c r="M28" i="10"/>
  <c r="AV20" i="14"/>
  <c r="BQ92" i="10"/>
  <c r="K22" i="14"/>
  <c r="AV28" i="10"/>
  <c r="O20" i="10"/>
  <c r="AW27" i="10"/>
  <c r="AX27" i="14"/>
  <c r="AY93" i="14"/>
  <c r="AY94" i="14" s="1"/>
  <c r="Q28" i="14"/>
  <c r="BT16" i="14"/>
  <c r="AW11" i="10"/>
  <c r="Y32" i="9"/>
  <c r="R34" i="1"/>
  <c r="AG26" i="14"/>
  <c r="AB21" i="14"/>
  <c r="AR58" i="10"/>
  <c r="AE23" i="1"/>
  <c r="AE35" i="1" s="1"/>
  <c r="AU32" i="1"/>
  <c r="AD22" i="10"/>
  <c r="F53" i="8"/>
  <c r="F60" i="8" s="1"/>
  <c r="F98" i="8" s="1"/>
  <c r="BO81" i="14"/>
  <c r="AP21" i="14"/>
  <c r="BQ88" i="14"/>
  <c r="D33" i="8"/>
  <c r="AI32" i="1"/>
  <c r="AU93" i="10"/>
  <c r="G34" i="8"/>
  <c r="BZ14" i="10"/>
  <c r="BT79" i="14"/>
  <c r="AT28" i="14"/>
  <c r="BT68" i="10"/>
  <c r="BQ71" i="10"/>
  <c r="BH35" i="9"/>
  <c r="W32" i="9"/>
  <c r="BQ86" i="14"/>
  <c r="BS74" i="10"/>
  <c r="BR40" i="10"/>
  <c r="U32" i="8"/>
  <c r="W89" i="10"/>
  <c r="AI21" i="10"/>
  <c r="AI33" i="10" s="1"/>
  <c r="AU41" i="10"/>
  <c r="AA23" i="8"/>
  <c r="AA35" i="8" s="1"/>
  <c r="BQ56" i="10"/>
  <c r="AX11" i="10"/>
  <c r="AP23" i="1"/>
  <c r="BO67" i="14"/>
  <c r="N33" i="1"/>
  <c r="AE22" i="14"/>
  <c r="AE26" i="14"/>
  <c r="AE32" i="14" s="1"/>
  <c r="AS34" i="8"/>
  <c r="BT77" i="10"/>
  <c r="F33" i="1"/>
  <c r="BR77" i="10"/>
  <c r="AN41" i="10"/>
  <c r="AP21" i="10"/>
  <c r="AF11" i="14"/>
  <c r="AF12" i="14" s="1"/>
  <c r="AB93" i="14"/>
  <c r="AB94" i="14" s="1"/>
  <c r="AW50" i="10"/>
  <c r="I33" i="1"/>
  <c r="AJ50" i="10"/>
  <c r="M27" i="14"/>
  <c r="AU34" i="1"/>
  <c r="AI50" i="14"/>
  <c r="Q27" i="14"/>
  <c r="AC53" i="8"/>
  <c r="AC60" i="8" s="1"/>
  <c r="AC98" i="8" s="1"/>
  <c r="P51" i="14"/>
  <c r="Y93" i="14"/>
  <c r="Y94" i="14" s="1"/>
  <c r="AU53" i="9"/>
  <c r="AU60" i="9" s="1"/>
  <c r="AU98" i="9" s="1"/>
  <c r="I53" i="9"/>
  <c r="AW23" i="1"/>
  <c r="J33" i="8"/>
  <c r="BT66" i="10"/>
  <c r="AO53" i="1"/>
  <c r="AO60" i="1" s="1"/>
  <c r="AO98" i="1" s="1"/>
  <c r="I29" i="1"/>
  <c r="BW14" i="10"/>
  <c r="BO20" i="10" s="1"/>
  <c r="AJ51" i="14"/>
  <c r="M32" i="8"/>
  <c r="F51" i="10"/>
  <c r="AA102" i="1"/>
  <c r="AQ51" i="10"/>
  <c r="I102" i="8"/>
  <c r="AC89" i="14"/>
  <c r="AC90" i="14" s="1"/>
  <c r="T102" i="9"/>
  <c r="AI34" i="9"/>
  <c r="G33" i="8"/>
  <c r="BS76" i="10"/>
  <c r="E93" i="14"/>
  <c r="E94" i="14" s="1"/>
  <c r="AK35" i="1"/>
  <c r="AH23" i="1"/>
  <c r="AH35" i="1" s="1"/>
  <c r="E33" i="8"/>
  <c r="AK52" i="10"/>
  <c r="AB22" i="10"/>
  <c r="K17" i="14"/>
  <c r="K18" i="14" s="1"/>
  <c r="AT102" i="1"/>
  <c r="AH23" i="9"/>
  <c r="AO29" i="9"/>
  <c r="AG53" i="9"/>
  <c r="AG60" i="9" s="1"/>
  <c r="AG98" i="9" s="1"/>
  <c r="BQ68" i="14"/>
  <c r="AU11" i="10"/>
  <c r="AV102" i="10" s="1"/>
  <c r="J11" i="14"/>
  <c r="J12" i="14" s="1"/>
  <c r="AC41" i="14"/>
  <c r="AP89" i="10"/>
  <c r="BR64" i="14"/>
  <c r="AK33" i="9"/>
  <c r="BQ82" i="10"/>
  <c r="BR68" i="10"/>
  <c r="AL34" i="8"/>
  <c r="AB89" i="14"/>
  <c r="AB90" i="14" s="1"/>
  <c r="AO21" i="14"/>
  <c r="BR74" i="10"/>
  <c r="I41" i="14"/>
  <c r="AY34" i="9"/>
  <c r="AK32" i="8"/>
  <c r="N102" i="8"/>
  <c r="AG102" i="1"/>
  <c r="BO81" i="10"/>
  <c r="AY11" i="14"/>
  <c r="AY12" i="14" s="1"/>
  <c r="E11" i="14"/>
  <c r="E12" i="14" s="1"/>
  <c r="BO73" i="14"/>
  <c r="Z29" i="1"/>
  <c r="X21" i="10"/>
  <c r="AJ50" i="14"/>
  <c r="BS72" i="14"/>
  <c r="I11" i="10"/>
  <c r="F17" i="14"/>
  <c r="F18" i="14" s="1"/>
  <c r="R41" i="14"/>
  <c r="D51" i="10"/>
  <c r="AW20" i="10"/>
  <c r="G51" i="10"/>
  <c r="H28" i="14"/>
  <c r="X34" i="8"/>
  <c r="AT89" i="14"/>
  <c r="AT90" i="14" s="1"/>
  <c r="AP58" i="14"/>
  <c r="R17" i="14"/>
  <c r="R18" i="14" s="1"/>
  <c r="R26" i="14"/>
  <c r="R32" i="14" s="1"/>
  <c r="AX89" i="14"/>
  <c r="AX90" i="14" s="1"/>
  <c r="O34" i="9"/>
  <c r="AV51" i="14"/>
  <c r="AR93" i="10"/>
  <c r="AF21" i="10"/>
  <c r="AM11" i="14"/>
  <c r="AM12" i="14" s="1"/>
  <c r="AU58" i="10"/>
  <c r="AQ20" i="14"/>
  <c r="BR73" i="10"/>
  <c r="AD21" i="10"/>
  <c r="BS46" i="14"/>
  <c r="AG17" i="10"/>
  <c r="AH34" i="1"/>
  <c r="AQ102" i="9"/>
  <c r="I53" i="1"/>
  <c r="I60" i="1" s="1"/>
  <c r="I98" i="1" s="1"/>
  <c r="AJ29" i="1"/>
  <c r="BS79" i="10"/>
  <c r="AW53" i="9"/>
  <c r="AW60" i="9" s="1"/>
  <c r="AO50" i="14"/>
  <c r="BR72" i="10"/>
  <c r="V41" i="14"/>
  <c r="AO47" i="14"/>
  <c r="AD29" i="8"/>
  <c r="AX52" i="10"/>
  <c r="W58" i="14"/>
  <c r="AM17" i="14"/>
  <c r="AM18" i="14" s="1"/>
  <c r="K26" i="10"/>
  <c r="AK22" i="10"/>
  <c r="T33" i="8"/>
  <c r="BS79" i="14"/>
  <c r="AB34" i="8"/>
  <c r="AM34" i="8"/>
  <c r="BR65" i="10"/>
  <c r="V17" i="14"/>
  <c r="V18" i="14" s="1"/>
  <c r="G22" i="10"/>
  <c r="AO34" i="9"/>
  <c r="BO75" i="14"/>
  <c r="AI29" i="1"/>
  <c r="BS64" i="10"/>
  <c r="BR79" i="10"/>
  <c r="P29" i="1"/>
  <c r="P35" i="1" s="1"/>
  <c r="G102" i="1"/>
  <c r="N47" i="10"/>
  <c r="Z17" i="14"/>
  <c r="Z18" i="14" s="1"/>
  <c r="H23" i="8"/>
  <c r="AG29" i="8"/>
  <c r="G58" i="10"/>
  <c r="W20" i="14"/>
  <c r="AC23" i="1"/>
  <c r="AN29" i="9"/>
  <c r="N21" i="10"/>
  <c r="AR28" i="14"/>
  <c r="AD50" i="10"/>
  <c r="AA41" i="14"/>
  <c r="E17" i="10"/>
  <c r="E23" i="10" s="1"/>
  <c r="X21" i="14"/>
  <c r="AS29" i="8"/>
  <c r="I27" i="14"/>
  <c r="U28" i="14"/>
  <c r="J89" i="14"/>
  <c r="J90" i="14" s="1"/>
  <c r="AY27" i="14"/>
  <c r="AF23" i="8"/>
  <c r="BO22" i="1"/>
  <c r="AM34" i="1"/>
  <c r="AT50" i="10"/>
  <c r="AR51" i="10"/>
  <c r="AL34" i="1"/>
  <c r="BR14" i="14"/>
  <c r="AG32" i="8"/>
  <c r="T22" i="14"/>
  <c r="T34" i="14" s="1"/>
  <c r="S17" i="14"/>
  <c r="S18" i="14" s="1"/>
  <c r="X89" i="14"/>
  <c r="X90" i="14" s="1"/>
  <c r="P32" i="9"/>
  <c r="X22" i="14"/>
  <c r="F58" i="14"/>
  <c r="P27" i="10"/>
  <c r="AM102" i="9"/>
  <c r="AV27" i="14"/>
  <c r="Z28" i="14"/>
  <c r="AT27" i="14"/>
  <c r="G32" i="9"/>
  <c r="K21" i="14"/>
  <c r="I26" i="10"/>
  <c r="G20" i="10"/>
  <c r="AC51" i="14"/>
  <c r="L21" i="10"/>
  <c r="AL47" i="14"/>
  <c r="AL53" i="14" s="1"/>
  <c r="D47" i="14"/>
  <c r="R50" i="10"/>
  <c r="AA22" i="10"/>
  <c r="AM33" i="1"/>
  <c r="BS66" i="14"/>
  <c r="AV102" i="1"/>
  <c r="AI34" i="1"/>
  <c r="BT79" i="10"/>
  <c r="O32" i="1"/>
  <c r="T23" i="1"/>
  <c r="W29" i="8"/>
  <c r="F58" i="10"/>
  <c r="AH93" i="14"/>
  <c r="AH94" i="14" s="1"/>
  <c r="AA52" i="10"/>
  <c r="AS102" i="8"/>
  <c r="AB102" i="1"/>
  <c r="Q33" i="9"/>
  <c r="AS21" i="10"/>
  <c r="AB47" i="10"/>
  <c r="AM28" i="14"/>
  <c r="F32" i="8"/>
  <c r="BD32" i="10"/>
  <c r="BO11" i="9"/>
  <c r="BO93" i="8"/>
  <c r="AV11" i="14"/>
  <c r="AV12" i="14" s="1"/>
  <c r="BT102" i="1"/>
  <c r="BS39" i="10"/>
  <c r="R50" i="14"/>
  <c r="AC22" i="10"/>
  <c r="AF17" i="10"/>
  <c r="S52" i="10"/>
  <c r="BZ15" i="14"/>
  <c r="F23" i="8"/>
  <c r="T60" i="8"/>
  <c r="T98" i="8" s="1"/>
  <c r="AA28" i="10"/>
  <c r="F102" i="1"/>
  <c r="AW23" i="9"/>
  <c r="X34" i="9"/>
  <c r="I34" i="9"/>
  <c r="U34" i="8"/>
  <c r="F33" i="9"/>
  <c r="T60" i="9"/>
  <c r="T98" i="9" s="1"/>
  <c r="AA93" i="10"/>
  <c r="AO17" i="10"/>
  <c r="AH34" i="9"/>
  <c r="AN93" i="14"/>
  <c r="AN94" i="14" s="1"/>
  <c r="AP27" i="10"/>
  <c r="AL11" i="14"/>
  <c r="AL12" i="14" s="1"/>
  <c r="AH33" i="9"/>
  <c r="BT88" i="14"/>
  <c r="G21" i="14"/>
  <c r="Z27" i="14"/>
  <c r="AU20" i="14"/>
  <c r="F51" i="14"/>
  <c r="AX27" i="10"/>
  <c r="BO70" i="14"/>
  <c r="AN50" i="10"/>
  <c r="AL58" i="10"/>
  <c r="AF32" i="8"/>
  <c r="S17" i="10"/>
  <c r="BS67" i="10"/>
  <c r="BT45" i="14"/>
  <c r="V58" i="10"/>
  <c r="R29" i="1"/>
  <c r="AQ28" i="10"/>
  <c r="AL32" i="1"/>
  <c r="W93" i="10"/>
  <c r="P52" i="10"/>
  <c r="AH52" i="14"/>
  <c r="E93" i="10"/>
  <c r="AJ26" i="14"/>
  <c r="AS41" i="10"/>
  <c r="BT57" i="14"/>
  <c r="BR72" i="14"/>
  <c r="BQ40" i="14"/>
  <c r="AF27" i="14"/>
  <c r="V52" i="14"/>
  <c r="AP11" i="10"/>
  <c r="V17" i="10"/>
  <c r="T33" i="1"/>
  <c r="BQ75" i="10"/>
  <c r="P47" i="10"/>
  <c r="AI58" i="14"/>
  <c r="L28" i="14"/>
  <c r="AA32" i="1"/>
  <c r="AN53" i="1"/>
  <c r="AN60" i="1" s="1"/>
  <c r="AN98" i="1" s="1"/>
  <c r="AF20" i="14"/>
  <c r="AC26" i="14"/>
  <c r="AC102" i="8"/>
  <c r="K47" i="10"/>
  <c r="BT95" i="10"/>
  <c r="BT96" i="10" s="1"/>
  <c r="D20" i="14"/>
  <c r="AJ21" i="14"/>
  <c r="T41" i="14"/>
  <c r="CB16" i="14"/>
  <c r="AN23" i="9"/>
  <c r="AI26" i="14"/>
  <c r="AI32" i="14" s="1"/>
  <c r="AI32" i="8"/>
  <c r="M53" i="9"/>
  <c r="M60" i="9" s="1"/>
  <c r="M98" i="9" s="1"/>
  <c r="AI58" i="10"/>
  <c r="AT33" i="8"/>
  <c r="AQ34" i="1"/>
  <c r="Y21" i="10"/>
  <c r="K34" i="8"/>
  <c r="M26" i="14"/>
  <c r="D32" i="8"/>
  <c r="L34" i="1"/>
  <c r="AY20" i="14"/>
  <c r="W26" i="14"/>
  <c r="AU23" i="1"/>
  <c r="S20" i="14"/>
  <c r="N17" i="10"/>
  <c r="N29" i="10" s="1"/>
  <c r="S32" i="8"/>
  <c r="BO88" i="10"/>
  <c r="AA32" i="8"/>
  <c r="AL17" i="14"/>
  <c r="AL18" i="14" s="1"/>
  <c r="Y34" i="1"/>
  <c r="AD11" i="10"/>
  <c r="M20" i="14"/>
  <c r="F102" i="8"/>
  <c r="AL21" i="14"/>
  <c r="AL33" i="14" s="1"/>
  <c r="AK20" i="10"/>
  <c r="G53" i="1"/>
  <c r="G60" i="1" s="1"/>
  <c r="G98" i="1" s="1"/>
  <c r="BT38" i="10"/>
  <c r="CA15" i="10"/>
  <c r="BS27" i="10" s="1"/>
  <c r="BS15" i="14"/>
  <c r="AO20" i="14"/>
  <c r="AY60" i="1"/>
  <c r="AY98" i="1" s="1"/>
  <c r="P51" i="10"/>
  <c r="AO11" i="14"/>
  <c r="AO12" i="14" s="1"/>
  <c r="Z52" i="14"/>
  <c r="N26" i="10"/>
  <c r="AC52" i="14"/>
  <c r="AL51" i="10"/>
  <c r="AF23" i="9"/>
  <c r="AS29" i="9"/>
  <c r="BT75" i="10"/>
  <c r="AQ34" i="9"/>
  <c r="BS45" i="14"/>
  <c r="BO87" i="10"/>
  <c r="K28" i="14"/>
  <c r="J102" i="1"/>
  <c r="BT92" i="14"/>
  <c r="Q34" i="9"/>
  <c r="K53" i="1"/>
  <c r="K60" i="1" s="1"/>
  <c r="K98" i="1" s="1"/>
  <c r="BT80" i="10"/>
  <c r="AL83" i="10"/>
  <c r="W102" i="8"/>
  <c r="BT64" i="10"/>
  <c r="AR20" i="14"/>
  <c r="AR17" i="14"/>
  <c r="AR18" i="14" s="1"/>
  <c r="AX47" i="10"/>
  <c r="AM27" i="14"/>
  <c r="Q23" i="1"/>
  <c r="BT87" i="10"/>
  <c r="S51" i="10"/>
  <c r="AN21" i="14"/>
  <c r="I58" i="10"/>
  <c r="AA20" i="14"/>
  <c r="H52" i="14"/>
  <c r="AI17" i="10"/>
  <c r="AF34" i="8"/>
  <c r="U29" i="1"/>
  <c r="E34" i="8"/>
  <c r="AH22" i="14"/>
  <c r="L26" i="14"/>
  <c r="AR102" i="1"/>
  <c r="V11" i="14"/>
  <c r="V12" i="14" s="1"/>
  <c r="BR87" i="14"/>
  <c r="Y26" i="10"/>
  <c r="AX34" i="1"/>
  <c r="Z102" i="8"/>
  <c r="S41" i="10"/>
  <c r="AS28" i="10"/>
  <c r="J53" i="1"/>
  <c r="J60" i="1" s="1"/>
  <c r="J98" i="1" s="1"/>
  <c r="J93" i="14"/>
  <c r="J94" i="14" s="1"/>
  <c r="AY22" i="14"/>
  <c r="AY34" i="14" s="1"/>
  <c r="AL20" i="10"/>
  <c r="AY47" i="14"/>
  <c r="W26" i="10"/>
  <c r="W32" i="10" s="1"/>
  <c r="AD28" i="14"/>
  <c r="AD34" i="14" s="1"/>
  <c r="AR52" i="10"/>
  <c r="AD26" i="14"/>
  <c r="AD32" i="14" s="1"/>
  <c r="AF41" i="10"/>
  <c r="AF23" i="10" s="1"/>
  <c r="AV41" i="14"/>
  <c r="AI23" i="1"/>
  <c r="BQ81" i="10"/>
  <c r="Q47" i="14"/>
  <c r="E102" i="1"/>
  <c r="H47" i="14"/>
  <c r="BO56" i="14"/>
  <c r="AL60" i="1"/>
  <c r="AL98" i="1" s="1"/>
  <c r="T27" i="14"/>
  <c r="T33" i="14" s="1"/>
  <c r="AO33" i="9"/>
  <c r="D33" i="9"/>
  <c r="U34" i="9"/>
  <c r="L34" i="8"/>
  <c r="M89" i="10"/>
  <c r="O93" i="10"/>
  <c r="AQ32" i="9"/>
  <c r="T83" i="10"/>
  <c r="AG32" i="9"/>
  <c r="BR44" i="10"/>
  <c r="BR26" i="10" s="1"/>
  <c r="V33" i="8"/>
  <c r="BO80" i="14"/>
  <c r="BT69" i="10"/>
  <c r="AU23" i="9"/>
  <c r="K58" i="10"/>
  <c r="L93" i="14"/>
  <c r="L94" i="14" s="1"/>
  <c r="BQ86" i="10"/>
  <c r="AD29" i="9"/>
  <c r="AV58" i="10"/>
  <c r="AK23" i="9"/>
  <c r="AK35" i="9" s="1"/>
  <c r="AN11" i="14"/>
  <c r="AN12" i="14" s="1"/>
  <c r="L41" i="10"/>
  <c r="BR81" i="14"/>
  <c r="Q50" i="10"/>
  <c r="AW32" i="8"/>
  <c r="R58" i="10"/>
  <c r="T11" i="14"/>
  <c r="T12" i="14" s="1"/>
  <c r="Y27" i="10"/>
  <c r="AK89" i="14"/>
  <c r="AK90" i="14" s="1"/>
  <c r="W34" i="1"/>
  <c r="BQ64" i="10"/>
  <c r="U23" i="8"/>
  <c r="Q11" i="14"/>
  <c r="Q12" i="14" s="1"/>
  <c r="BR80" i="14"/>
  <c r="BR86" i="10"/>
  <c r="BO27" i="1"/>
  <c r="BO33" i="1" s="1"/>
  <c r="R60" i="1"/>
  <c r="R98" i="1" s="1"/>
  <c r="O32" i="9"/>
  <c r="AR23" i="9"/>
  <c r="P27" i="14"/>
  <c r="AT60" i="8"/>
  <c r="AG20" i="10"/>
  <c r="BO57" i="14"/>
  <c r="I32" i="8"/>
  <c r="AJ11" i="14"/>
  <c r="AJ12" i="14" s="1"/>
  <c r="AU33" i="1"/>
  <c r="AE89" i="14"/>
  <c r="AE90" i="14" s="1"/>
  <c r="N32" i="1"/>
  <c r="AO53" i="8"/>
  <c r="AO60" i="8" s="1"/>
  <c r="AO98" i="8" s="1"/>
  <c r="Y50" i="14"/>
  <c r="BS65" i="10"/>
  <c r="H28" i="10"/>
  <c r="AO58" i="14"/>
  <c r="AT89" i="10"/>
  <c r="AP58" i="10"/>
  <c r="AA22" i="14"/>
  <c r="BT73" i="10"/>
  <c r="H27" i="14"/>
  <c r="AM11" i="10"/>
  <c r="AU58" i="14"/>
  <c r="AV11" i="10"/>
  <c r="AQ17" i="10"/>
  <c r="K34" i="1"/>
  <c r="AH17" i="10"/>
  <c r="BT71" i="10"/>
  <c r="AB11" i="10"/>
  <c r="AR11" i="10"/>
  <c r="AA29" i="1"/>
  <c r="BO46" i="10"/>
  <c r="AB27" i="14"/>
  <c r="AB33" i="14" s="1"/>
  <c r="X11" i="10"/>
  <c r="AX47" i="14"/>
  <c r="AX29" i="14" s="1"/>
  <c r="W58" i="10"/>
  <c r="AB51" i="14"/>
  <c r="X27" i="14"/>
  <c r="AL23" i="1"/>
  <c r="AF41" i="14"/>
  <c r="AF23" i="14" s="1"/>
  <c r="AF24" i="14" s="1"/>
  <c r="AI20" i="10"/>
  <c r="AI32" i="10" s="1"/>
  <c r="F26" i="14"/>
  <c r="F32" i="14" s="1"/>
  <c r="AT29" i="1"/>
  <c r="AG21" i="14"/>
  <c r="AJ41" i="10"/>
  <c r="AA41" i="10"/>
  <c r="BI34" i="14"/>
  <c r="AI23" i="8"/>
  <c r="AI29" i="8"/>
  <c r="AJ29" i="9"/>
  <c r="O41" i="10"/>
  <c r="O23" i="10" s="1"/>
  <c r="O51" i="10"/>
  <c r="BR57" i="10"/>
  <c r="AB58" i="10"/>
  <c r="BO80" i="10"/>
  <c r="BQ80" i="10"/>
  <c r="AK102" i="8"/>
  <c r="AB29" i="9"/>
  <c r="AB53" i="9"/>
  <c r="AB60" i="9" s="1"/>
  <c r="AG27" i="14"/>
  <c r="AG33" i="14" s="1"/>
  <c r="AG51" i="14"/>
  <c r="BQ95" i="14"/>
  <c r="BQ96" i="14" s="1"/>
  <c r="AN96" i="14"/>
  <c r="AN97" i="14" s="1"/>
  <c r="BR63" i="10"/>
  <c r="T29" i="1"/>
  <c r="AS34" i="9"/>
  <c r="V29" i="8"/>
  <c r="V53" i="8"/>
  <c r="V60" i="8" s="1"/>
  <c r="V98" i="8" s="1"/>
  <c r="AB17" i="14"/>
  <c r="AB18" i="14" s="1"/>
  <c r="BZ14" i="14"/>
  <c r="M93" i="10"/>
  <c r="BQ15" i="10"/>
  <c r="BY15" i="10"/>
  <c r="V89" i="10"/>
  <c r="BR8" i="14"/>
  <c r="BR11" i="14" s="1"/>
  <c r="AD11" i="14"/>
  <c r="AD12" i="14" s="1"/>
  <c r="AH27" i="14"/>
  <c r="I53" i="8"/>
  <c r="I60" i="8" s="1"/>
  <c r="I98" i="8" s="1"/>
  <c r="I23" i="8"/>
  <c r="BQ73" i="10"/>
  <c r="G41" i="10"/>
  <c r="Y53" i="1"/>
  <c r="Y60" i="1" s="1"/>
  <c r="Y98" i="1" s="1"/>
  <c r="Y23" i="1"/>
  <c r="AA52" i="14"/>
  <c r="AA28" i="14"/>
  <c r="AO58" i="10"/>
  <c r="AL26" i="14"/>
  <c r="AL32" i="14" s="1"/>
  <c r="AL50" i="14"/>
  <c r="BS75" i="10"/>
  <c r="H21" i="10"/>
  <c r="H17" i="10"/>
  <c r="AB33" i="1"/>
  <c r="X27" i="10"/>
  <c r="X47" i="10"/>
  <c r="BT56" i="10"/>
  <c r="AH47" i="14"/>
  <c r="AH50" i="14"/>
  <c r="BT14" i="10"/>
  <c r="F17" i="10"/>
  <c r="CB14" i="10"/>
  <c r="AT17" i="10"/>
  <c r="O89" i="10"/>
  <c r="AF22" i="14"/>
  <c r="U21" i="10"/>
  <c r="U51" i="10"/>
  <c r="BW17" i="9"/>
  <c r="BO21" i="9"/>
  <c r="AW26" i="14"/>
  <c r="AW47" i="14"/>
  <c r="N28" i="14"/>
  <c r="N22" i="14"/>
  <c r="J50" i="14"/>
  <c r="J47" i="14"/>
  <c r="F52" i="10"/>
  <c r="BT46" i="10"/>
  <c r="F28" i="10"/>
  <c r="F34" i="10" s="1"/>
  <c r="BO50" i="1"/>
  <c r="BO41" i="1"/>
  <c r="AO21" i="10"/>
  <c r="AO51" i="10"/>
  <c r="AS22" i="14"/>
  <c r="AS34" i="14" s="1"/>
  <c r="AS52" i="14"/>
  <c r="AK11" i="10"/>
  <c r="AS20" i="14"/>
  <c r="AS41" i="14"/>
  <c r="J52" i="14"/>
  <c r="J41" i="14"/>
  <c r="AM51" i="14"/>
  <c r="AH28" i="10"/>
  <c r="AH47" i="10"/>
  <c r="W53" i="1"/>
  <c r="W60" i="1" s="1"/>
  <c r="W98" i="1" s="1"/>
  <c r="W23" i="1"/>
  <c r="W35" i="1" s="1"/>
  <c r="BT76" i="14"/>
  <c r="BQ65" i="10"/>
  <c r="AE52" i="10"/>
  <c r="AE22" i="10"/>
  <c r="S41" i="14"/>
  <c r="S23" i="14" s="1"/>
  <c r="S24" i="14" s="1"/>
  <c r="S50" i="14"/>
  <c r="L102" i="8"/>
  <c r="K102" i="8"/>
  <c r="AL11" i="10"/>
  <c r="F29" i="8"/>
  <c r="E58" i="14"/>
  <c r="BT56" i="14"/>
  <c r="BS78" i="10"/>
  <c r="BO78" i="14"/>
  <c r="BQ78" i="14"/>
  <c r="BR16" i="10"/>
  <c r="BZ16" i="10"/>
  <c r="BO14" i="14"/>
  <c r="BY14" i="14"/>
  <c r="BW14" i="14"/>
  <c r="BT68" i="14"/>
  <c r="AD28" i="10"/>
  <c r="O27" i="14"/>
  <c r="AM98" i="8"/>
  <c r="BO63" i="10"/>
  <c r="BQ63" i="10"/>
  <c r="AS17" i="10"/>
  <c r="AS23" i="10" s="1"/>
  <c r="AS20" i="10"/>
  <c r="AV102" i="9"/>
  <c r="Z27" i="10"/>
  <c r="Z33" i="10" s="1"/>
  <c r="Z47" i="10"/>
  <c r="Z29" i="10" s="1"/>
  <c r="BT74" i="10"/>
  <c r="AH52" i="10"/>
  <c r="AH22" i="10"/>
  <c r="N50" i="10"/>
  <c r="N20" i="10"/>
  <c r="G50" i="14"/>
  <c r="G41" i="14"/>
  <c r="BS45" i="10"/>
  <c r="Q27" i="10"/>
  <c r="Q33" i="10" s="1"/>
  <c r="AX23" i="8"/>
  <c r="G21" i="10"/>
  <c r="P58" i="14"/>
  <c r="AS53" i="1"/>
  <c r="AS60" i="1" s="1"/>
  <c r="AS98" i="1" s="1"/>
  <c r="AX22" i="14"/>
  <c r="AX52" i="14"/>
  <c r="E58" i="10"/>
  <c r="BT57" i="10"/>
  <c r="AR47" i="14"/>
  <c r="AR29" i="14" s="1"/>
  <c r="AR26" i="14"/>
  <c r="AL89" i="14"/>
  <c r="AL90" i="14" s="1"/>
  <c r="BQ65" i="14"/>
  <c r="BO92" i="14"/>
  <c r="H21" i="14"/>
  <c r="H51" i="14"/>
  <c r="H41" i="14"/>
  <c r="BO78" i="10"/>
  <c r="BQ40" i="10"/>
  <c r="BQ52" i="10" s="1"/>
  <c r="AO52" i="10"/>
  <c r="O89" i="14"/>
  <c r="O90" i="14" s="1"/>
  <c r="Y11" i="14"/>
  <c r="Y12" i="14" s="1"/>
  <c r="Z102" i="9"/>
  <c r="Y102" i="9"/>
  <c r="Q23" i="9"/>
  <c r="Q35" i="9" s="1"/>
  <c r="Q53" i="9"/>
  <c r="Q60" i="9" s="1"/>
  <c r="Q98" i="9" s="1"/>
  <c r="AR102" i="8"/>
  <c r="BO74" i="14"/>
  <c r="AS102" i="9"/>
  <c r="E29" i="1"/>
  <c r="E53" i="1"/>
  <c r="E60" i="1" s="1"/>
  <c r="E98" i="1" s="1"/>
  <c r="AS27" i="14"/>
  <c r="AS51" i="14"/>
  <c r="T47" i="14"/>
  <c r="T53" i="14" s="1"/>
  <c r="T54" i="14" s="1"/>
  <c r="T26" i="14"/>
  <c r="E52" i="14"/>
  <c r="E22" i="14"/>
  <c r="BT40" i="14"/>
  <c r="BT22" i="14" s="1"/>
  <c r="E41" i="14"/>
  <c r="AH23" i="8"/>
  <c r="AH53" i="8"/>
  <c r="AH60" i="8" s="1"/>
  <c r="AH98" i="8" s="1"/>
  <c r="BS88" i="10"/>
  <c r="Q89" i="10"/>
  <c r="BY15" i="14"/>
  <c r="BQ15" i="14"/>
  <c r="AW41" i="14"/>
  <c r="AX50" i="10"/>
  <c r="AE34" i="9"/>
  <c r="AH11" i="10"/>
  <c r="AH102" i="10" s="1"/>
  <c r="AJ53" i="8"/>
  <c r="AJ60" i="8" s="1"/>
  <c r="AJ23" i="8"/>
  <c r="D23" i="8"/>
  <c r="D29" i="8"/>
  <c r="S50" i="10"/>
  <c r="S47" i="10"/>
  <c r="S29" i="10" s="1"/>
  <c r="BR81" i="10"/>
  <c r="J23" i="1"/>
  <c r="J29" i="1"/>
  <c r="I102" i="1"/>
  <c r="H102" i="1"/>
  <c r="BQ39" i="10"/>
  <c r="AW102" i="8"/>
  <c r="X58" i="14"/>
  <c r="AI33" i="1"/>
  <c r="AJ23" i="1"/>
  <c r="AU28" i="10"/>
  <c r="BS72" i="10"/>
  <c r="O26" i="14"/>
  <c r="S102" i="1"/>
  <c r="Z51" i="10"/>
  <c r="BS56" i="10"/>
  <c r="BO102" i="1"/>
  <c r="BT88" i="10"/>
  <c r="AO41" i="10"/>
  <c r="AO53" i="10" s="1"/>
  <c r="BR88" i="10"/>
  <c r="I58" i="14"/>
  <c r="AO34" i="1"/>
  <c r="P34" i="1"/>
  <c r="F29" i="9"/>
  <c r="AC20" i="10"/>
  <c r="AC17" i="10"/>
  <c r="G29" i="1"/>
  <c r="G23" i="1"/>
  <c r="AT41" i="14"/>
  <c r="AT53" i="14" s="1"/>
  <c r="AT52" i="14"/>
  <c r="AT22" i="14"/>
  <c r="Q51" i="14"/>
  <c r="Q21" i="14"/>
  <c r="Q33" i="14" s="1"/>
  <c r="X102" i="8"/>
  <c r="CA15" i="14"/>
  <c r="BS27" i="14" s="1"/>
  <c r="AN41" i="14"/>
  <c r="AO41" i="14"/>
  <c r="AO53" i="14" s="1"/>
  <c r="AO60" i="14" s="1"/>
  <c r="AR27" i="14"/>
  <c r="U23" i="9"/>
  <c r="R23" i="9"/>
  <c r="BR63" i="14"/>
  <c r="AQ89" i="14"/>
  <c r="AQ90" i="14" s="1"/>
  <c r="AG11" i="14"/>
  <c r="AG12" i="14" s="1"/>
  <c r="G17" i="10"/>
  <c r="Q51" i="10"/>
  <c r="I17" i="14"/>
  <c r="I18" i="14" s="1"/>
  <c r="W52" i="10"/>
  <c r="S20" i="10"/>
  <c r="BQ38" i="14"/>
  <c r="AP22" i="10"/>
  <c r="AP34" i="10" s="1"/>
  <c r="H27" i="10"/>
  <c r="AP17" i="10"/>
  <c r="AC27" i="14"/>
  <c r="AC33" i="14" s="1"/>
  <c r="AO23" i="1"/>
  <c r="BR39" i="14"/>
  <c r="H22" i="14"/>
  <c r="J22" i="14"/>
  <c r="J34" i="14" s="1"/>
  <c r="BT45" i="10"/>
  <c r="AG50" i="10"/>
  <c r="I26" i="14"/>
  <c r="I32" i="14" s="1"/>
  <c r="T50" i="14"/>
  <c r="AX53" i="8"/>
  <c r="AX60" i="8" s="1"/>
  <c r="AX98" i="8" s="1"/>
  <c r="AJ41" i="14"/>
  <c r="AM47" i="14"/>
  <c r="AM29" i="14" s="1"/>
  <c r="AM30" i="14" s="1"/>
  <c r="AR21" i="14"/>
  <c r="AV21" i="14"/>
  <c r="AQ26" i="14"/>
  <c r="BO14" i="10"/>
  <c r="AS23" i="8"/>
  <c r="E22" i="10"/>
  <c r="BR40" i="14"/>
  <c r="AJ28" i="14"/>
  <c r="AJ34" i="14" s="1"/>
  <c r="AA89" i="14"/>
  <c r="AA90" i="14" s="1"/>
  <c r="BS102" i="1"/>
  <c r="BQ80" i="14"/>
  <c r="D23" i="1"/>
  <c r="D35" i="1" s="1"/>
  <c r="D53" i="9"/>
  <c r="D60" i="9" s="1"/>
  <c r="D98" i="9" s="1"/>
  <c r="Z23" i="8"/>
  <c r="Z29" i="8"/>
  <c r="AG34" i="9"/>
  <c r="D34" i="8"/>
  <c r="AK21" i="14"/>
  <c r="AU89" i="10"/>
  <c r="Z83" i="10"/>
  <c r="P21" i="14"/>
  <c r="AS26" i="10"/>
  <c r="AC34" i="1"/>
  <c r="BZ15" i="10"/>
  <c r="AM21" i="14"/>
  <c r="AM51" i="10"/>
  <c r="I51" i="14"/>
  <c r="AJ20" i="14"/>
  <c r="AJ32" i="14" s="1"/>
  <c r="X52" i="14"/>
  <c r="N17" i="14"/>
  <c r="N18" i="14" s="1"/>
  <c r="J26" i="10"/>
  <c r="D47" i="10"/>
  <c r="AN17" i="14"/>
  <c r="AN18" i="14" s="1"/>
  <c r="T35" i="8"/>
  <c r="AI52" i="14"/>
  <c r="AW50" i="14"/>
  <c r="AF26" i="14"/>
  <c r="AF32" i="14" s="1"/>
  <c r="BR15" i="10"/>
  <c r="AK102" i="1"/>
  <c r="BR102" i="8"/>
  <c r="AE41" i="14"/>
  <c r="D26" i="14"/>
  <c r="D32" i="14" s="1"/>
  <c r="AU60" i="1"/>
  <c r="AU98" i="1" s="1"/>
  <c r="X52" i="10"/>
  <c r="AN21" i="10"/>
  <c r="AC41" i="10"/>
  <c r="O50" i="14"/>
  <c r="AK28" i="10"/>
  <c r="BO22" i="8"/>
  <c r="X11" i="14"/>
  <c r="X12" i="14" s="1"/>
  <c r="L50" i="14"/>
  <c r="BQ92" i="14"/>
  <c r="BS77" i="14"/>
  <c r="M93" i="14"/>
  <c r="M94" i="14" s="1"/>
  <c r="AW29" i="8"/>
  <c r="BT40" i="10"/>
  <c r="BQ81" i="14"/>
  <c r="AM102" i="1"/>
  <c r="AN52" i="14"/>
  <c r="E21" i="10"/>
  <c r="AO50" i="10"/>
  <c r="V28" i="14"/>
  <c r="V34" i="14" s="1"/>
  <c r="N32" i="9"/>
  <c r="AL29" i="9"/>
  <c r="AH83" i="10"/>
  <c r="AP102" i="9"/>
  <c r="AI102" i="1"/>
  <c r="AR23" i="8"/>
  <c r="AS23" i="9"/>
  <c r="T32" i="9"/>
  <c r="AA93" i="14"/>
  <c r="AA94" i="14" s="1"/>
  <c r="H58" i="14"/>
  <c r="AE58" i="14"/>
  <c r="BR75" i="10"/>
  <c r="BT71" i="14"/>
  <c r="AD27" i="10"/>
  <c r="AN93" i="10"/>
  <c r="AP32" i="8"/>
  <c r="AR89" i="10"/>
  <c r="S34" i="8"/>
  <c r="AS93" i="14"/>
  <c r="AS94" i="14" s="1"/>
  <c r="BO75" i="10"/>
  <c r="AG22" i="10"/>
  <c r="AU89" i="14"/>
  <c r="AU90" i="14" s="1"/>
  <c r="CA14" i="14"/>
  <c r="E33" i="1"/>
  <c r="AN23" i="8"/>
  <c r="AD53" i="1"/>
  <c r="AD60" i="1" s="1"/>
  <c r="AD98" i="1" s="1"/>
  <c r="P11" i="14"/>
  <c r="P12" i="14" s="1"/>
  <c r="K51" i="10"/>
  <c r="AJ89" i="10"/>
  <c r="F27" i="14"/>
  <c r="M47" i="10"/>
  <c r="BS87" i="14"/>
  <c r="Z11" i="10"/>
  <c r="BR79" i="14"/>
  <c r="AI28" i="10"/>
  <c r="AL23" i="9"/>
  <c r="BW15" i="10"/>
  <c r="X32" i="1"/>
  <c r="BR71" i="10"/>
  <c r="I51" i="10"/>
  <c r="L51" i="10"/>
  <c r="AJ32" i="1"/>
  <c r="Z26" i="14"/>
  <c r="G102" i="8"/>
  <c r="S21" i="14"/>
  <c r="L28" i="10"/>
  <c r="AA58" i="10"/>
  <c r="F27" i="10"/>
  <c r="J11" i="10"/>
  <c r="J102" i="10" s="1"/>
  <c r="K22" i="10"/>
  <c r="K34" i="10" s="1"/>
  <c r="BR74" i="14"/>
  <c r="T93" i="10"/>
  <c r="BQ38" i="10"/>
  <c r="AM41" i="10"/>
  <c r="AS50" i="10"/>
  <c r="AN47" i="10"/>
  <c r="E27" i="10"/>
  <c r="AS93" i="10"/>
  <c r="BO20" i="9"/>
  <c r="S23" i="8"/>
  <c r="AJ58" i="10"/>
  <c r="AT29" i="9"/>
  <c r="AB102" i="9"/>
  <c r="X32" i="8"/>
  <c r="G28" i="10"/>
  <c r="G34" i="10" s="1"/>
  <c r="AW89" i="10"/>
  <c r="F47" i="10"/>
  <c r="AG17" i="14"/>
  <c r="AG18" i="14" s="1"/>
  <c r="M32" i="9"/>
  <c r="N89" i="10"/>
  <c r="X17" i="14"/>
  <c r="X18" i="14" s="1"/>
  <c r="M102" i="8"/>
  <c r="W33" i="8"/>
  <c r="AD34" i="9"/>
  <c r="Z53" i="9"/>
  <c r="Z60" i="9" s="1"/>
  <c r="Z98" i="9" s="1"/>
  <c r="W17" i="10"/>
  <c r="AR89" i="14"/>
  <c r="AR90" i="14" s="1"/>
  <c r="AL33" i="9"/>
  <c r="AE52" i="14"/>
  <c r="AP47" i="14"/>
  <c r="AP29" i="14" s="1"/>
  <c r="AP30" i="14" s="1"/>
  <c r="BQ75" i="14"/>
  <c r="BO57" i="10"/>
  <c r="AD33" i="8"/>
  <c r="P50" i="10"/>
  <c r="Y26" i="14"/>
  <c r="AC22" i="14"/>
  <c r="P29" i="9"/>
  <c r="P35" i="9" s="1"/>
  <c r="T58" i="14"/>
  <c r="AG47" i="14"/>
  <c r="BR11" i="1"/>
  <c r="M32" i="1"/>
  <c r="G83" i="10"/>
  <c r="M23" i="1"/>
  <c r="AV47" i="14"/>
  <c r="BT92" i="10"/>
  <c r="I89" i="14"/>
  <c r="I90" i="14" s="1"/>
  <c r="W89" i="14"/>
  <c r="W90" i="14" s="1"/>
  <c r="AL33" i="1"/>
  <c r="AK26" i="14"/>
  <c r="AD89" i="10"/>
  <c r="V32" i="1"/>
  <c r="BS91" i="10"/>
  <c r="BS93" i="10" s="1"/>
  <c r="AL23" i="8"/>
  <c r="AL35" i="8" s="1"/>
  <c r="BW15" i="14"/>
  <c r="AW33" i="9"/>
  <c r="Q58" i="10"/>
  <c r="AU41" i="14"/>
  <c r="AS58" i="14"/>
  <c r="BT75" i="14"/>
  <c r="AT22" i="10"/>
  <c r="D51" i="14"/>
  <c r="AG29" i="1"/>
  <c r="N27" i="10"/>
  <c r="N33" i="10" s="1"/>
  <c r="BR56" i="10"/>
  <c r="BS74" i="14"/>
  <c r="Z47" i="14"/>
  <c r="T32" i="1"/>
  <c r="AK27" i="14"/>
  <c r="X41" i="14"/>
  <c r="X23" i="14" s="1"/>
  <c r="X24" i="14" s="1"/>
  <c r="BR95" i="10"/>
  <c r="BR96" i="10" s="1"/>
  <c r="AN26" i="10"/>
  <c r="AI60" i="8"/>
  <c r="AI98" i="8" s="1"/>
  <c r="BS82" i="10"/>
  <c r="X83" i="14"/>
  <c r="BR70" i="14"/>
  <c r="BT81" i="10"/>
  <c r="X53" i="8"/>
  <c r="X60" i="8" s="1"/>
  <c r="X98" i="8" s="1"/>
  <c r="AW32" i="9"/>
  <c r="K11" i="10"/>
  <c r="L102" i="10" s="1"/>
  <c r="X17" i="10"/>
  <c r="AF89" i="10"/>
  <c r="AK93" i="10"/>
  <c r="AW29" i="1"/>
  <c r="O33" i="1"/>
  <c r="AY11" i="10"/>
  <c r="BR86" i="14"/>
  <c r="AR20" i="10"/>
  <c r="AR32" i="10" s="1"/>
  <c r="AK58" i="10"/>
  <c r="I102" i="9"/>
  <c r="P50" i="14"/>
  <c r="AX32" i="1"/>
  <c r="Y89" i="10"/>
  <c r="AW28" i="10"/>
  <c r="Q20" i="14"/>
  <c r="AX89" i="10"/>
  <c r="AP29" i="1"/>
  <c r="AP35" i="1" s="1"/>
  <c r="D98" i="8"/>
  <c r="BO39" i="10"/>
  <c r="L21" i="14"/>
  <c r="AM23" i="8"/>
  <c r="AM35" i="8" s="1"/>
  <c r="BR88" i="14"/>
  <c r="BT67" i="14"/>
  <c r="AK34" i="8"/>
  <c r="AT53" i="1"/>
  <c r="AT60" i="1" s="1"/>
  <c r="AT98" i="1" s="1"/>
  <c r="AL29" i="1"/>
  <c r="AR58" i="14"/>
  <c r="AE41" i="10"/>
  <c r="X23" i="8"/>
  <c r="AJ60" i="1"/>
  <c r="AJ98" i="1" s="1"/>
  <c r="L20" i="14"/>
  <c r="L32" i="14" s="1"/>
  <c r="D22" i="10"/>
  <c r="D34" i="10" s="1"/>
  <c r="X20" i="14"/>
  <c r="I23" i="9"/>
  <c r="AP34" i="9"/>
  <c r="AD34" i="8"/>
  <c r="AO33" i="8"/>
  <c r="BR70" i="10"/>
  <c r="AV53" i="8"/>
  <c r="AV60" i="8" s="1"/>
  <c r="AV98" i="8" s="1"/>
  <c r="AU29" i="9"/>
  <c r="AN51" i="10"/>
  <c r="BO65" i="10"/>
  <c r="BR92" i="10"/>
  <c r="AO32" i="9"/>
  <c r="AR29" i="9"/>
  <c r="M29" i="8"/>
  <c r="AB23" i="9"/>
  <c r="AW33" i="8"/>
  <c r="AW83" i="14"/>
  <c r="L102" i="1"/>
  <c r="T102" i="8"/>
  <c r="AF89" i="14"/>
  <c r="AF90" i="14" s="1"/>
  <c r="AK33" i="8"/>
  <c r="R89" i="14"/>
  <c r="R90" i="14" s="1"/>
  <c r="AB34" i="1"/>
  <c r="M58" i="10"/>
  <c r="Y21" i="14"/>
  <c r="AY20" i="10"/>
  <c r="AR32" i="1"/>
  <c r="AG23" i="8"/>
  <c r="BQ70" i="14"/>
  <c r="AK58" i="14"/>
  <c r="AP102" i="1"/>
  <c r="P53" i="1"/>
  <c r="P60" i="1" s="1"/>
  <c r="P98" i="1" s="1"/>
  <c r="AV32" i="8"/>
  <c r="AW28" i="14"/>
  <c r="AN11" i="10"/>
  <c r="E102" i="9"/>
  <c r="BO95" i="10"/>
  <c r="BO96" i="10" s="1"/>
  <c r="AD102" i="1"/>
  <c r="AP26" i="10"/>
  <c r="AP32" i="10" s="1"/>
  <c r="AK89" i="10"/>
  <c r="BR64" i="10"/>
  <c r="AQ11" i="14"/>
  <c r="AQ12" i="14" s="1"/>
  <c r="AG53" i="8"/>
  <c r="AG60" i="8" s="1"/>
  <c r="AM32" i="8"/>
  <c r="V26" i="10"/>
  <c r="V32" i="10" s="1"/>
  <c r="BS64" i="14"/>
  <c r="H34" i="8"/>
  <c r="AN22" i="14"/>
  <c r="AN34" i="14" s="1"/>
  <c r="U60" i="1"/>
  <c r="U98" i="1" s="1"/>
  <c r="O11" i="14"/>
  <c r="O12" i="14" s="1"/>
  <c r="X89" i="10"/>
  <c r="R20" i="10"/>
  <c r="O53" i="9"/>
  <c r="O60" i="9" s="1"/>
  <c r="O98" i="9" s="1"/>
  <c r="AL53" i="8"/>
  <c r="AL60" i="8" s="1"/>
  <c r="AL98" i="8" s="1"/>
  <c r="BS11" i="1"/>
  <c r="AH27" i="10"/>
  <c r="AH33" i="10" s="1"/>
  <c r="Q33" i="1"/>
  <c r="N27" i="14"/>
  <c r="N33" i="14" s="1"/>
  <c r="Y34" i="14"/>
  <c r="H51" i="10"/>
  <c r="M17" i="14"/>
  <c r="AW17" i="10"/>
  <c r="AW51" i="10"/>
  <c r="AN23" i="1"/>
  <c r="W33" i="1"/>
  <c r="AT41" i="10"/>
  <c r="Y47" i="10"/>
  <c r="AN102" i="1"/>
  <c r="AK23" i="8"/>
  <c r="V50" i="10"/>
  <c r="X50" i="14"/>
  <c r="AP23" i="9"/>
  <c r="O33" i="9"/>
  <c r="AX50" i="14"/>
  <c r="AB89" i="10"/>
  <c r="AC47" i="10"/>
  <c r="BT95" i="14"/>
  <c r="BT96" i="14" s="1"/>
  <c r="K17" i="10"/>
  <c r="AD51" i="10"/>
  <c r="Z102" i="1"/>
  <c r="AC50" i="10"/>
  <c r="AU52" i="14"/>
  <c r="M29" i="9"/>
  <c r="AN53" i="8"/>
  <c r="AN60" i="8" s="1"/>
  <c r="AN98" i="8" s="1"/>
  <c r="AJ27" i="10"/>
  <c r="AJ33" i="10" s="1"/>
  <c r="BQ88" i="10"/>
  <c r="BQ89" i="10" s="1"/>
  <c r="AO102" i="1"/>
  <c r="P102" i="8"/>
  <c r="F53" i="1"/>
  <c r="F60" i="1" s="1"/>
  <c r="F98" i="1" s="1"/>
  <c r="BS57" i="10"/>
  <c r="AR53" i="9"/>
  <c r="AR60" i="9" s="1"/>
  <c r="AR98" i="9" s="1"/>
  <c r="BR102" i="1"/>
  <c r="AJ27" i="14"/>
  <c r="L47" i="10"/>
  <c r="K52" i="10"/>
  <c r="D102" i="9"/>
  <c r="AK26" i="10"/>
  <c r="AD50" i="14"/>
  <c r="R23" i="1"/>
  <c r="R35" i="1" s="1"/>
  <c r="AA32" i="9"/>
  <c r="AX33" i="9"/>
  <c r="P34" i="9"/>
  <c r="I34" i="1"/>
  <c r="AV53" i="1"/>
  <c r="AV60" i="1" s="1"/>
  <c r="AV98" i="1" s="1"/>
  <c r="Z23" i="1"/>
  <c r="BT44" i="10"/>
  <c r="BR16" i="14"/>
  <c r="AR98" i="8"/>
  <c r="AK17" i="10"/>
  <c r="AG47" i="10"/>
  <c r="AG29" i="10" s="1"/>
  <c r="P20" i="10"/>
  <c r="AI23" i="9"/>
  <c r="AN89" i="10"/>
  <c r="AG20" i="14"/>
  <c r="AW17" i="14"/>
  <c r="AW18" i="14" s="1"/>
  <c r="AR33" i="9"/>
  <c r="U29" i="8"/>
  <c r="X29" i="1"/>
  <c r="E23" i="9"/>
  <c r="S29" i="1"/>
  <c r="S35" i="1" s="1"/>
  <c r="AP41" i="10"/>
  <c r="G34" i="9"/>
  <c r="AE23" i="9"/>
  <c r="AE35" i="9" s="1"/>
  <c r="AK51" i="10"/>
  <c r="AR102" i="9"/>
  <c r="BQ74" i="10"/>
  <c r="AF47" i="10"/>
  <c r="AF29" i="10" s="1"/>
  <c r="AB20" i="14"/>
  <c r="AI51" i="14"/>
  <c r="R33" i="10"/>
  <c r="F41" i="14"/>
  <c r="BO39" i="14"/>
  <c r="BT39" i="14"/>
  <c r="AH20" i="10"/>
  <c r="AH32" i="10" s="1"/>
  <c r="BO64" i="10"/>
  <c r="BR92" i="14"/>
  <c r="BO15" i="14"/>
  <c r="AG27" i="10"/>
  <c r="Z98" i="8"/>
  <c r="D93" i="14"/>
  <c r="D94" i="14" s="1"/>
  <c r="AA53" i="8"/>
  <c r="AA60" i="8" s="1"/>
  <c r="AA98" i="8" s="1"/>
  <c r="AB41" i="14"/>
  <c r="G20" i="14"/>
  <c r="F21" i="14"/>
  <c r="O35" i="1"/>
  <c r="E26" i="14"/>
  <c r="P26" i="10"/>
  <c r="BR38" i="14"/>
  <c r="O29" i="9"/>
  <c r="W23" i="8"/>
  <c r="M33" i="9"/>
  <c r="T11" i="10"/>
  <c r="BQ57" i="10"/>
  <c r="BS14" i="10"/>
  <c r="BQ74" i="14"/>
  <c r="F11" i="14"/>
  <c r="F12" i="14" s="1"/>
  <c r="AH102" i="8"/>
  <c r="AO102" i="8"/>
  <c r="E47" i="14"/>
  <c r="E47" i="10"/>
  <c r="E53" i="10" s="1"/>
  <c r="AH41" i="10"/>
  <c r="AC93" i="10"/>
  <c r="H34" i="9"/>
  <c r="BT78" i="10"/>
  <c r="L29" i="9"/>
  <c r="BR78" i="14"/>
  <c r="AN33" i="8"/>
  <c r="R102" i="9"/>
  <c r="G23" i="8"/>
  <c r="S32" i="9"/>
  <c r="AO89" i="10"/>
  <c r="Y93" i="10"/>
  <c r="AE27" i="14"/>
  <c r="L29" i="8"/>
  <c r="J23" i="9"/>
  <c r="AK33" i="1"/>
  <c r="V34" i="8"/>
  <c r="J33" i="1"/>
  <c r="Y33" i="8"/>
  <c r="AW22" i="14"/>
  <c r="AW34" i="14" s="1"/>
  <c r="W32" i="8"/>
  <c r="O50" i="10"/>
  <c r="AF29" i="8"/>
  <c r="Q17" i="10"/>
  <c r="AU22" i="14"/>
  <c r="AO32" i="8"/>
  <c r="AG26" i="10"/>
  <c r="AG32" i="10" s="1"/>
  <c r="AG58" i="14"/>
  <c r="AN58" i="10"/>
  <c r="AD41" i="14"/>
  <c r="AY33" i="9"/>
  <c r="V102" i="8"/>
  <c r="BO52" i="8"/>
  <c r="P26" i="14"/>
  <c r="Q22" i="10"/>
  <c r="D41" i="10"/>
  <c r="Y51" i="10"/>
  <c r="AD47" i="10"/>
  <c r="AD53" i="10" s="1"/>
  <c r="AC53" i="1"/>
  <c r="AC60" i="1" s="1"/>
  <c r="AC98" i="1" s="1"/>
  <c r="AU26" i="14"/>
  <c r="N23" i="1"/>
  <c r="N35" i="1" s="1"/>
  <c r="Y17" i="14"/>
  <c r="Y18" i="14" s="1"/>
  <c r="AF51" i="10"/>
  <c r="BT78" i="14"/>
  <c r="BR76" i="10"/>
  <c r="AY53" i="9"/>
  <c r="AY60" i="9" s="1"/>
  <c r="AY98" i="9" s="1"/>
  <c r="O32" i="8"/>
  <c r="AW34" i="8"/>
  <c r="BR69" i="14"/>
  <c r="AQ29" i="8"/>
  <c r="AQ35" i="8" s="1"/>
  <c r="L83" i="10"/>
  <c r="AU33" i="8"/>
  <c r="E29" i="9"/>
  <c r="AM93" i="10"/>
  <c r="I83" i="10"/>
  <c r="AU32" i="9"/>
  <c r="AQ41" i="14"/>
  <c r="AQ53" i="14" s="1"/>
  <c r="AQ54" i="14" s="1"/>
  <c r="AB53" i="8"/>
  <c r="AB60" i="8" s="1"/>
  <c r="AB98" i="8" s="1"/>
  <c r="AS11" i="10"/>
  <c r="AP51" i="10"/>
  <c r="U11" i="10"/>
  <c r="V102" i="10" s="1"/>
  <c r="BS68" i="10"/>
  <c r="BO21" i="8"/>
  <c r="AV58" i="14"/>
  <c r="L17" i="14"/>
  <c r="L18" i="14" s="1"/>
  <c r="M11" i="10"/>
  <c r="N102" i="10" s="1"/>
  <c r="BS73" i="10"/>
  <c r="V47" i="10"/>
  <c r="BT87" i="14"/>
  <c r="J89" i="10"/>
  <c r="O58" i="14"/>
  <c r="BR38" i="10"/>
  <c r="Q11" i="10"/>
  <c r="BR68" i="14"/>
  <c r="G26" i="14"/>
  <c r="H41" i="10"/>
  <c r="H53" i="10" s="1"/>
  <c r="G89" i="14"/>
  <c r="G90" i="14" s="1"/>
  <c r="H20" i="10"/>
  <c r="H32" i="10" s="1"/>
  <c r="Z41" i="10"/>
  <c r="AL27" i="10"/>
  <c r="AL33" i="10" s="1"/>
  <c r="BR46" i="10"/>
  <c r="BR52" i="10" s="1"/>
  <c r="AE102" i="8"/>
  <c r="AJ102" i="8"/>
  <c r="AX53" i="1"/>
  <c r="AX60" i="1" s="1"/>
  <c r="AX98" i="1" s="1"/>
  <c r="BS14" i="14"/>
  <c r="W98" i="8"/>
  <c r="AL53" i="9"/>
  <c r="AL60" i="9" s="1"/>
  <c r="AL98" i="9" s="1"/>
  <c r="AL41" i="10"/>
  <c r="AL53" i="10" s="1"/>
  <c r="AF60" i="8"/>
  <c r="AF98" i="8" s="1"/>
  <c r="AR41" i="10"/>
  <c r="AR53" i="10" s="1"/>
  <c r="AR60" i="10" s="1"/>
  <c r="BO15" i="10"/>
  <c r="AC26" i="10"/>
  <c r="AF34" i="9"/>
  <c r="BR76" i="14"/>
  <c r="Q32" i="9"/>
  <c r="BQ71" i="14"/>
  <c r="AD23" i="9"/>
  <c r="AD35" i="9" s="1"/>
  <c r="AW89" i="14"/>
  <c r="AW90" i="14" s="1"/>
  <c r="BR77" i="14"/>
  <c r="S53" i="9"/>
  <c r="S60" i="9" s="1"/>
  <c r="S98" i="9" s="1"/>
  <c r="BO93" i="9"/>
  <c r="AV33" i="9"/>
  <c r="AP33" i="1"/>
  <c r="AS33" i="1"/>
  <c r="AU47" i="10"/>
  <c r="M29" i="1"/>
  <c r="AI11" i="14"/>
  <c r="AI12" i="14" s="1"/>
  <c r="AL33" i="8"/>
  <c r="V50" i="14"/>
  <c r="AN22" i="10"/>
  <c r="X53" i="1"/>
  <c r="X60" i="1" s="1"/>
  <c r="X98" i="1" s="1"/>
  <c r="AN32" i="1"/>
  <c r="AL32" i="8"/>
  <c r="AG53" i="1"/>
  <c r="AG60" i="1" s="1"/>
  <c r="AG98" i="1" s="1"/>
  <c r="E17" i="14"/>
  <c r="E18" i="14" s="1"/>
  <c r="AQ93" i="14"/>
  <c r="AQ94" i="14" s="1"/>
  <c r="AH32" i="8"/>
  <c r="AS21" i="14"/>
  <c r="H32" i="1"/>
  <c r="AQ33" i="8"/>
  <c r="AN34" i="1"/>
  <c r="BR45" i="10"/>
  <c r="BR51" i="10" s="1"/>
  <c r="M47" i="14"/>
  <c r="F26" i="10"/>
  <c r="F32" i="10" s="1"/>
  <c r="R11" i="14"/>
  <c r="R12" i="14" s="1"/>
  <c r="F50" i="10"/>
  <c r="AW23" i="8"/>
  <c r="S102" i="8"/>
  <c r="AG52" i="10"/>
  <c r="Z29" i="9"/>
  <c r="BO71" i="10"/>
  <c r="H29" i="9"/>
  <c r="AJ102" i="9"/>
  <c r="BO66" i="14"/>
  <c r="U33" i="8"/>
  <c r="AA23" i="9"/>
  <c r="BR75" i="14"/>
  <c r="AG89" i="14"/>
  <c r="AG90" i="14" s="1"/>
  <c r="AP32" i="9"/>
  <c r="AH33" i="8"/>
  <c r="BT77" i="14"/>
  <c r="F93" i="14"/>
  <c r="F94" i="14" s="1"/>
  <c r="W11" i="14"/>
  <c r="W12" i="14" s="1"/>
  <c r="M11" i="14"/>
  <c r="M12" i="14" s="1"/>
  <c r="AU21" i="10"/>
  <c r="L89" i="14"/>
  <c r="L90" i="14" s="1"/>
  <c r="T47" i="10"/>
  <c r="Y11" i="10"/>
  <c r="Q34" i="8"/>
  <c r="AA33" i="9"/>
  <c r="M34" i="9"/>
  <c r="R52" i="14"/>
  <c r="K20" i="10"/>
  <c r="K32" i="10" s="1"/>
  <c r="AX17" i="10"/>
  <c r="AX34" i="8"/>
  <c r="H20" i="14"/>
  <c r="U23" i="1"/>
  <c r="U35" i="1" s="1"/>
  <c r="Y20" i="14"/>
  <c r="Y28" i="10"/>
  <c r="AK17" i="14"/>
  <c r="AK18" i="14" s="1"/>
  <c r="R47" i="10"/>
  <c r="R29" i="10" s="1"/>
  <c r="R53" i="8"/>
  <c r="R60" i="8" s="1"/>
  <c r="R98" i="8" s="1"/>
  <c r="F89" i="14"/>
  <c r="F90" i="14" s="1"/>
  <c r="K89" i="14"/>
  <c r="K90" i="14" s="1"/>
  <c r="Q93" i="10"/>
  <c r="AG29" i="9"/>
  <c r="R89" i="10"/>
  <c r="P102" i="9"/>
  <c r="D34" i="1"/>
  <c r="BQ102" i="9"/>
  <c r="AX102" i="9"/>
  <c r="AW102" i="9"/>
  <c r="AX41" i="10"/>
  <c r="AX20" i="10"/>
  <c r="AB29" i="8"/>
  <c r="BS102" i="9"/>
  <c r="K102" i="1"/>
  <c r="Q53" i="8"/>
  <c r="Q60" i="8" s="1"/>
  <c r="Q98" i="8" s="1"/>
  <c r="AA47" i="14"/>
  <c r="AA53" i="14" s="1"/>
  <c r="AA60" i="14" s="1"/>
  <c r="AD53" i="9"/>
  <c r="AD60" i="9" s="1"/>
  <c r="AD98" i="9" s="1"/>
  <c r="AP60" i="8"/>
  <c r="AP98" i="8" s="1"/>
  <c r="S29" i="9"/>
  <c r="Q29" i="1"/>
  <c r="Q53" i="1"/>
  <c r="Q60" i="1" s="1"/>
  <c r="Q98" i="1" s="1"/>
  <c r="AC89" i="10"/>
  <c r="AE17" i="14"/>
  <c r="AE18" i="14" s="1"/>
  <c r="AE21" i="14"/>
  <c r="AZ102" i="14"/>
  <c r="AZ12" i="14"/>
  <c r="BO8" i="14"/>
  <c r="BO11" i="14" s="1"/>
  <c r="AP11" i="14"/>
  <c r="AP12" i="14" s="1"/>
  <c r="AM83" i="10"/>
  <c r="M83" i="10"/>
  <c r="BB33" i="14"/>
  <c r="AD51" i="14"/>
  <c r="AD47" i="14"/>
  <c r="BR45" i="14"/>
  <c r="BR27" i="14" s="1"/>
  <c r="W17" i="14"/>
  <c r="W18" i="14" s="1"/>
  <c r="W27" i="14"/>
  <c r="BO47" i="8"/>
  <c r="J34" i="8"/>
  <c r="AN102" i="8"/>
  <c r="BO50" i="8"/>
  <c r="AV26" i="14"/>
  <c r="AY34" i="8"/>
  <c r="U53" i="8"/>
  <c r="U60" i="8" s="1"/>
  <c r="U98" i="8" s="1"/>
  <c r="T20" i="10"/>
  <c r="P34" i="8"/>
  <c r="M34" i="1"/>
  <c r="AE33" i="1"/>
  <c r="BT66" i="14"/>
  <c r="AA34" i="1"/>
  <c r="P41" i="14"/>
  <c r="AA60" i="1"/>
  <c r="AA98" i="1" s="1"/>
  <c r="D23" i="9"/>
  <c r="AC102" i="1"/>
  <c r="Z20" i="14"/>
  <c r="AL102" i="9"/>
  <c r="BS82" i="14"/>
  <c r="AA53" i="9"/>
  <c r="AA60" i="9" s="1"/>
  <c r="AA98" i="9" s="1"/>
  <c r="N34" i="9"/>
  <c r="AW34" i="9"/>
  <c r="AV23" i="9"/>
  <c r="U102" i="9"/>
  <c r="AX102" i="8"/>
  <c r="AU23" i="8"/>
  <c r="AU35" i="8" s="1"/>
  <c r="AX83" i="10"/>
  <c r="O102" i="9"/>
  <c r="E34" i="9"/>
  <c r="AE58" i="10"/>
  <c r="AC28" i="14"/>
  <c r="AY58" i="14"/>
  <c r="AT83" i="10"/>
  <c r="AA34" i="9"/>
  <c r="BQ64" i="14"/>
  <c r="AS26" i="14"/>
  <c r="K93" i="14"/>
  <c r="K94" i="14" s="1"/>
  <c r="AG52" i="14"/>
  <c r="AX53" i="9"/>
  <c r="AX60" i="9" s="1"/>
  <c r="AX98" i="9" s="1"/>
  <c r="AN34" i="8"/>
  <c r="AK53" i="9"/>
  <c r="AK60" i="9" s="1"/>
  <c r="AK98" i="9" s="1"/>
  <c r="AY33" i="8"/>
  <c r="Z11" i="14"/>
  <c r="Z12" i="14" s="1"/>
  <c r="BS69" i="14"/>
  <c r="AV47" i="10"/>
  <c r="S11" i="14"/>
  <c r="S12" i="14" s="1"/>
  <c r="AV17" i="14"/>
  <c r="AV18" i="14" s="1"/>
  <c r="L27" i="10"/>
  <c r="X26" i="10"/>
  <c r="AT28" i="10"/>
  <c r="L51" i="14"/>
  <c r="W51" i="14"/>
  <c r="R11" i="10"/>
  <c r="O47" i="14"/>
  <c r="S21" i="10"/>
  <c r="AG93" i="14"/>
  <c r="AG94" i="14" s="1"/>
  <c r="AJ51" i="10"/>
  <c r="AP50" i="10"/>
  <c r="BS38" i="14"/>
  <c r="V51" i="14"/>
  <c r="P53" i="9"/>
  <c r="P60" i="9" s="1"/>
  <c r="P98" i="9" s="1"/>
  <c r="AK47" i="14"/>
  <c r="AN32" i="9"/>
  <c r="AD93" i="14"/>
  <c r="AD94" i="14" s="1"/>
  <c r="AP34" i="8"/>
  <c r="Y17" i="10"/>
  <c r="D29" i="9"/>
  <c r="AF53" i="9"/>
  <c r="AF60" i="9" s="1"/>
  <c r="AF98" i="9" s="1"/>
  <c r="BS102" i="8"/>
  <c r="AH102" i="1"/>
  <c r="AS89" i="10"/>
  <c r="O53" i="1"/>
  <c r="O60" i="1" s="1"/>
  <c r="O98" i="1" s="1"/>
  <c r="G11" i="14"/>
  <c r="G12" i="14" s="1"/>
  <c r="AY102" i="8"/>
  <c r="U50" i="10"/>
  <c r="S34" i="1"/>
  <c r="AS34" i="1"/>
  <c r="AW26" i="10"/>
  <c r="AJ47" i="14"/>
  <c r="AJ29" i="14" s="1"/>
  <c r="H11" i="14"/>
  <c r="AS29" i="1"/>
  <c r="AY53" i="8"/>
  <c r="AY60" i="8" s="1"/>
  <c r="AY98" i="8" s="1"/>
  <c r="P32" i="1"/>
  <c r="AR33" i="8"/>
  <c r="R83" i="10"/>
  <c r="AX29" i="9"/>
  <c r="Z89" i="14"/>
  <c r="Z90" i="14" s="1"/>
  <c r="BS44" i="14"/>
  <c r="S83" i="10"/>
  <c r="AH102" i="9"/>
  <c r="AB32" i="9"/>
  <c r="BO86" i="14"/>
  <c r="AI102" i="8"/>
  <c r="AK83" i="14"/>
  <c r="AM23" i="9"/>
  <c r="AQ35" i="9"/>
  <c r="H11" i="10"/>
  <c r="H102" i="10" s="1"/>
  <c r="AK41" i="14"/>
  <c r="AR32" i="9"/>
  <c r="I17" i="10"/>
  <c r="AP89" i="14"/>
  <c r="AP90" i="14" s="1"/>
  <c r="AY23" i="8"/>
  <c r="Z32" i="8"/>
  <c r="AS33" i="8"/>
  <c r="J32" i="8"/>
  <c r="AA34" i="8"/>
  <c r="AC33" i="1"/>
  <c r="BQ91" i="10"/>
  <c r="BT65" i="14"/>
  <c r="S11" i="10"/>
  <c r="O28" i="14"/>
  <c r="BO44" i="10"/>
  <c r="I83" i="14"/>
  <c r="K11" i="14"/>
  <c r="K12" i="14" s="1"/>
  <c r="BO102" i="8"/>
  <c r="AC33" i="8"/>
  <c r="AF34" i="1"/>
  <c r="J29" i="8"/>
  <c r="J35" i="8" s="1"/>
  <c r="H29" i="8"/>
  <c r="Y33" i="1"/>
  <c r="AK60" i="8"/>
  <c r="AK98" i="8" s="1"/>
  <c r="AB32" i="1"/>
  <c r="O23" i="8"/>
  <c r="O35" i="8" s="1"/>
  <c r="AH34" i="8"/>
  <c r="F33" i="8"/>
  <c r="AF11" i="10"/>
  <c r="AG102" i="10" s="1"/>
  <c r="Z34" i="8"/>
  <c r="AQ32" i="8"/>
  <c r="AY102" i="1"/>
  <c r="S28" i="14"/>
  <c r="S34" i="14" s="1"/>
  <c r="H23" i="1"/>
  <c r="AV23" i="1"/>
  <c r="AX32" i="8"/>
  <c r="AS23" i="1"/>
  <c r="E102" i="8"/>
  <c r="AY33" i="1"/>
  <c r="AK53" i="1"/>
  <c r="AK60" i="1" s="1"/>
  <c r="AK98" i="1" s="1"/>
  <c r="F23" i="9"/>
  <c r="AM83" i="14"/>
  <c r="AU33" i="9"/>
  <c r="BO63" i="14"/>
  <c r="V29" i="9"/>
  <c r="AK32" i="9"/>
  <c r="H89" i="14"/>
  <c r="H90" i="14" s="1"/>
  <c r="BQ79" i="14"/>
  <c r="H83" i="14"/>
  <c r="BS16" i="10"/>
  <c r="M33" i="8"/>
  <c r="BO68" i="10"/>
  <c r="AE33" i="9"/>
  <c r="BR91" i="14"/>
  <c r="BQ77" i="14"/>
  <c r="L23" i="1"/>
  <c r="AI89" i="14"/>
  <c r="AI90" i="14" s="1"/>
  <c r="BS88" i="14"/>
  <c r="V41" i="10"/>
  <c r="V23" i="10" s="1"/>
  <c r="BS38" i="10"/>
  <c r="BS50" i="10" s="1"/>
  <c r="I52" i="10"/>
  <c r="T33" i="9"/>
  <c r="AQ11" i="10"/>
  <c r="AQ102" i="10" s="1"/>
  <c r="AF93" i="14"/>
  <c r="AF94" i="14" s="1"/>
  <c r="D89" i="14"/>
  <c r="D90" i="14" s="1"/>
  <c r="BT73" i="14"/>
  <c r="U89" i="10"/>
  <c r="AA17" i="10"/>
  <c r="O34" i="8"/>
  <c r="O34" i="1"/>
  <c r="AL93" i="10"/>
  <c r="AD33" i="9"/>
  <c r="BT67" i="10"/>
  <c r="AT11" i="10"/>
  <c r="O102" i="1"/>
  <c r="D34" i="9"/>
  <c r="AG41" i="10"/>
  <c r="N102" i="9"/>
  <c r="AQ53" i="8"/>
  <c r="AQ60" i="8" s="1"/>
  <c r="AQ98" i="8" s="1"/>
  <c r="AL22" i="14"/>
  <c r="AL34" i="14" s="1"/>
  <c r="U34" i="1"/>
  <c r="AX29" i="8"/>
  <c r="AX35" i="8" s="1"/>
  <c r="AX33" i="8"/>
  <c r="Z33" i="1"/>
  <c r="AT58" i="10"/>
  <c r="AB28" i="10"/>
  <c r="BQ57" i="14"/>
  <c r="CB15" i="14"/>
  <c r="BT27" i="14" s="1"/>
  <c r="Q32" i="1"/>
  <c r="AU21" i="14"/>
  <c r="I28" i="14"/>
  <c r="N33" i="8"/>
  <c r="S102" i="9"/>
  <c r="AD17" i="14"/>
  <c r="AD18" i="14" s="1"/>
  <c r="O52" i="10"/>
  <c r="AH33" i="1"/>
  <c r="V23" i="8"/>
  <c r="AK11" i="14"/>
  <c r="AK12" i="14" s="1"/>
  <c r="BO56" i="10"/>
  <c r="S29" i="8"/>
  <c r="Y32" i="8"/>
  <c r="AA11" i="14"/>
  <c r="AA12" i="14" s="1"/>
  <c r="I23" i="1"/>
  <c r="I35" i="1" s="1"/>
  <c r="AE23" i="10"/>
  <c r="BJ23" i="10"/>
  <c r="BO52" i="1"/>
  <c r="BO27" i="8"/>
  <c r="BW17" i="8"/>
  <c r="BF35" i="9"/>
  <c r="BC34" i="14"/>
  <c r="BO89" i="1"/>
  <c r="BA32" i="14"/>
  <c r="BO20" i="1"/>
  <c r="BQ11" i="1"/>
  <c r="BO28" i="8"/>
  <c r="BO17" i="8"/>
  <c r="BG33" i="14"/>
  <c r="BD29" i="14"/>
  <c r="BO83" i="8"/>
  <c r="BR11" i="8"/>
  <c r="BS11" i="8"/>
  <c r="BO89" i="8"/>
  <c r="BO26" i="8"/>
  <c r="BT11" i="8"/>
  <c r="U33" i="10"/>
  <c r="W53" i="9"/>
  <c r="W60" i="9" s="1"/>
  <c r="W98" i="9" s="1"/>
  <c r="BO45" i="10"/>
  <c r="U53" i="9"/>
  <c r="U60" i="9" s="1"/>
  <c r="U98" i="9" s="1"/>
  <c r="E53" i="9"/>
  <c r="E60" i="9" s="1"/>
  <c r="E98" i="9" s="1"/>
  <c r="AF26" i="10"/>
  <c r="AF32" i="10" s="1"/>
  <c r="AG41" i="14"/>
  <c r="BS40" i="14"/>
  <c r="T26" i="10"/>
  <c r="BS95" i="10"/>
  <c r="BS96" i="10" s="1"/>
  <c r="Y29" i="9"/>
  <c r="BT86" i="14"/>
  <c r="AR50" i="10"/>
  <c r="F28" i="14"/>
  <c r="AC47" i="14"/>
  <c r="L47" i="14"/>
  <c r="BR95" i="14"/>
  <c r="BR96" i="14" s="1"/>
  <c r="O52" i="14"/>
  <c r="I28" i="10"/>
  <c r="M102" i="9"/>
  <c r="AI47" i="10"/>
  <c r="G17" i="14"/>
  <c r="G18" i="14" s="1"/>
  <c r="AM53" i="9"/>
  <c r="AM60" i="9" s="1"/>
  <c r="AM98" i="9" s="1"/>
  <c r="AL51" i="14"/>
  <c r="AJ52" i="14"/>
  <c r="AN27" i="10"/>
  <c r="Y41" i="14"/>
  <c r="BO64" i="14"/>
  <c r="BR57" i="14"/>
  <c r="L27" i="14"/>
  <c r="L33" i="14" s="1"/>
  <c r="S26" i="10"/>
  <c r="AE21" i="10"/>
  <c r="BE35" i="9"/>
  <c r="S27" i="10"/>
  <c r="D32" i="9"/>
  <c r="AH29" i="9"/>
  <c r="X32" i="9"/>
  <c r="AM29" i="9"/>
  <c r="AO83" i="14"/>
  <c r="S58" i="14"/>
  <c r="BS81" i="14"/>
  <c r="R29" i="9"/>
  <c r="G33" i="9"/>
  <c r="AI102" i="9"/>
  <c r="AJ23" i="9"/>
  <c r="AL32" i="9"/>
  <c r="M89" i="14"/>
  <c r="M90" i="14" s="1"/>
  <c r="AN89" i="14"/>
  <c r="AN90" i="14" s="1"/>
  <c r="Z23" i="9"/>
  <c r="Q26" i="14"/>
  <c r="AS27" i="10"/>
  <c r="R53" i="9"/>
  <c r="R60" i="9" s="1"/>
  <c r="R98" i="9" s="1"/>
  <c r="AK51" i="14"/>
  <c r="BR46" i="14"/>
  <c r="AS47" i="10"/>
  <c r="AS53" i="10" s="1"/>
  <c r="AS60" i="10" s="1"/>
  <c r="L32" i="9"/>
  <c r="Q50" i="14"/>
  <c r="AA102" i="9"/>
  <c r="AO83" i="10"/>
  <c r="BT91" i="14"/>
  <c r="V51" i="10"/>
  <c r="AX23" i="9"/>
  <c r="R32" i="9"/>
  <c r="S34" i="9"/>
  <c r="V34" i="9"/>
  <c r="BJ34" i="10"/>
  <c r="BT11" i="9"/>
  <c r="U32" i="9"/>
  <c r="H23" i="9"/>
  <c r="U83" i="10"/>
  <c r="L83" i="14"/>
  <c r="AG89" i="10"/>
  <c r="Y83" i="14"/>
  <c r="AI83" i="10"/>
  <c r="AS11" i="14"/>
  <c r="AS12" i="14" s="1"/>
  <c r="E83" i="14"/>
  <c r="AA27" i="10"/>
  <c r="AA33" i="10" s="1"/>
  <c r="AA83" i="10"/>
  <c r="BO70" i="10"/>
  <c r="BO27" i="9"/>
  <c r="Z58" i="10"/>
  <c r="BR82" i="14"/>
  <c r="AM89" i="10"/>
  <c r="V83" i="14"/>
  <c r="N83" i="14"/>
  <c r="G52" i="10"/>
  <c r="AP47" i="10"/>
  <c r="AP29" i="10" s="1"/>
  <c r="T17" i="14"/>
  <c r="T18" i="14" s="1"/>
  <c r="AC52" i="10"/>
  <c r="AK102" i="9"/>
  <c r="BF34" i="10"/>
  <c r="BB29" i="10"/>
  <c r="BO58" i="9"/>
  <c r="F32" i="9"/>
  <c r="BO76" i="14"/>
  <c r="AI60" i="9"/>
  <c r="AI98" i="9" s="1"/>
  <c r="I32" i="9"/>
  <c r="AC28" i="10"/>
  <c r="BO77" i="10"/>
  <c r="M26" i="10"/>
  <c r="BR11" i="9"/>
  <c r="U89" i="14"/>
  <c r="U90" i="14" s="1"/>
  <c r="X50" i="10"/>
  <c r="J83" i="10"/>
  <c r="BT39" i="10"/>
  <c r="BR82" i="10"/>
  <c r="Q89" i="14"/>
  <c r="Q90" i="14" s="1"/>
  <c r="BD33" i="14"/>
  <c r="AN33" i="9"/>
  <c r="AY17" i="10"/>
  <c r="AY23" i="10" s="1"/>
  <c r="P89" i="14"/>
  <c r="P90" i="14" s="1"/>
  <c r="BS91" i="14"/>
  <c r="BS93" i="14" s="1"/>
  <c r="P41" i="10"/>
  <c r="I33" i="9"/>
  <c r="AC32" i="9"/>
  <c r="AC33" i="9"/>
  <c r="K58" i="14"/>
  <c r="BO89" i="9"/>
  <c r="AS53" i="9"/>
  <c r="AS60" i="9" s="1"/>
  <c r="AS98" i="9" s="1"/>
  <c r="AH83" i="14"/>
  <c r="T34" i="9"/>
  <c r="AL34" i="9"/>
  <c r="AO53" i="9"/>
  <c r="AO60" i="9" s="1"/>
  <c r="AO98" i="9" s="1"/>
  <c r="AO23" i="9"/>
  <c r="H89" i="10"/>
  <c r="W27" i="10"/>
  <c r="P83" i="14"/>
  <c r="BO69" i="14"/>
  <c r="N58" i="10"/>
  <c r="I29" i="9"/>
  <c r="I35" i="9" s="1"/>
  <c r="AG28" i="14"/>
  <c r="AG34" i="14" s="1"/>
  <c r="W33" i="9"/>
  <c r="AH53" i="9"/>
  <c r="AH60" i="9" s="1"/>
  <c r="AH98" i="9" s="1"/>
  <c r="AC11" i="14"/>
  <c r="U33" i="9"/>
  <c r="X53" i="9"/>
  <c r="X60" i="9" s="1"/>
  <c r="X98" i="9" s="1"/>
  <c r="X26" i="14"/>
  <c r="BT44" i="14"/>
  <c r="AC58" i="10"/>
  <c r="J28" i="10"/>
  <c r="J34" i="10" s="1"/>
  <c r="J58" i="10"/>
  <c r="BQ76" i="10"/>
  <c r="G93" i="14"/>
  <c r="G94" i="14" s="1"/>
  <c r="AF28" i="10"/>
  <c r="AF34" i="10" s="1"/>
  <c r="N29" i="9"/>
  <c r="K47" i="14"/>
  <c r="H22" i="10"/>
  <c r="AU22" i="10"/>
  <c r="D11" i="10"/>
  <c r="D102" i="10" s="1"/>
  <c r="AF50" i="14"/>
  <c r="BQ82" i="14"/>
  <c r="S26" i="14"/>
  <c r="S32" i="14" s="1"/>
  <c r="Y58" i="14"/>
  <c r="J33" i="9"/>
  <c r="BS67" i="14"/>
  <c r="AD32" i="9"/>
  <c r="BO95" i="14"/>
  <c r="BO96" i="14" s="1"/>
  <c r="BS73" i="14"/>
  <c r="I21" i="10"/>
  <c r="G89" i="10"/>
  <c r="AU28" i="14"/>
  <c r="AX93" i="14"/>
  <c r="AX94" i="14" s="1"/>
  <c r="AM41" i="14"/>
  <c r="N20" i="14"/>
  <c r="BO67" i="10"/>
  <c r="Y34" i="9"/>
  <c r="AS83" i="14"/>
  <c r="BS68" i="14"/>
  <c r="AB93" i="10"/>
  <c r="AG83" i="14"/>
  <c r="L17" i="10"/>
  <c r="W11" i="10"/>
  <c r="W102" i="10" s="1"/>
  <c r="AL93" i="14"/>
  <c r="AL94" i="14" s="1"/>
  <c r="AK83" i="10"/>
  <c r="AO93" i="14"/>
  <c r="AO94" i="14" s="1"/>
  <c r="D83" i="10"/>
  <c r="M20" i="10"/>
  <c r="K83" i="10"/>
  <c r="L89" i="10"/>
  <c r="H83" i="10"/>
  <c r="Y58" i="10"/>
  <c r="AC58" i="14"/>
  <c r="O58" i="10"/>
  <c r="AW41" i="10"/>
  <c r="Y83" i="10"/>
  <c r="AI83" i="14"/>
  <c r="Z83" i="14"/>
  <c r="BT70" i="10"/>
  <c r="AF93" i="10"/>
  <c r="BT86" i="10"/>
  <c r="AY93" i="10"/>
  <c r="AW58" i="14"/>
  <c r="U83" i="14"/>
  <c r="AA17" i="14"/>
  <c r="AA18" i="14" s="1"/>
  <c r="AS32" i="9"/>
  <c r="AJ83" i="14"/>
  <c r="K83" i="14"/>
  <c r="AE11" i="14"/>
  <c r="AE12" i="14" s="1"/>
  <c r="W83" i="14"/>
  <c r="AS33" i="9"/>
  <c r="AT11" i="14"/>
  <c r="AT12" i="14" s="1"/>
  <c r="AD102" i="9"/>
  <c r="AA89" i="10"/>
  <c r="S58" i="10"/>
  <c r="O11" i="10"/>
  <c r="AF33" i="9"/>
  <c r="AI41" i="14"/>
  <c r="AI53" i="14" s="1"/>
  <c r="BT74" i="14"/>
  <c r="AY83" i="10"/>
  <c r="AE89" i="10"/>
  <c r="S83" i="14"/>
  <c r="AY83" i="14"/>
  <c r="AM89" i="14"/>
  <c r="AM90" i="14" s="1"/>
  <c r="BR73" i="14"/>
  <c r="AE83" i="14"/>
  <c r="AR83" i="10"/>
  <c r="R21" i="14"/>
  <c r="U52" i="10"/>
  <c r="AT51" i="10"/>
  <c r="AH41" i="14"/>
  <c r="AH53" i="14" s="1"/>
  <c r="AH58" i="14"/>
  <c r="Z51" i="14"/>
  <c r="AX83" i="14"/>
  <c r="AV22" i="10"/>
  <c r="AV34" i="10" s="1"/>
  <c r="G83" i="14"/>
  <c r="Z32" i="9"/>
  <c r="BS70" i="10"/>
  <c r="BS80" i="14"/>
  <c r="AW83" i="10"/>
  <c r="AV29" i="9"/>
  <c r="BO68" i="14"/>
  <c r="AI11" i="10"/>
  <c r="AJ102" i="10" s="1"/>
  <c r="AV83" i="14"/>
  <c r="J27" i="14"/>
  <c r="AQ58" i="14"/>
  <c r="AA11" i="10"/>
  <c r="BR67" i="14"/>
  <c r="AH11" i="14"/>
  <c r="AH12" i="14" s="1"/>
  <c r="E11" i="10"/>
  <c r="AS89" i="14"/>
  <c r="AS90" i="14" s="1"/>
  <c r="E89" i="10"/>
  <c r="H93" i="10"/>
  <c r="AH93" i="10"/>
  <c r="U17" i="14"/>
  <c r="U18" i="14" s="1"/>
  <c r="BS65" i="14"/>
  <c r="O83" i="10"/>
  <c r="AD89" i="14"/>
  <c r="AD90" i="14" s="1"/>
  <c r="AR28" i="10"/>
  <c r="AR34" i="10" s="1"/>
  <c r="N93" i="10"/>
  <c r="BQ56" i="14"/>
  <c r="AV17" i="10"/>
  <c r="M21" i="14"/>
  <c r="M33" i="14" s="1"/>
  <c r="L34" i="9"/>
  <c r="AH89" i="14"/>
  <c r="AH90" i="14" s="1"/>
  <c r="BS11" i="9"/>
  <c r="W93" i="14"/>
  <c r="W94" i="14" s="1"/>
  <c r="P47" i="14"/>
  <c r="U26" i="10"/>
  <c r="AA26" i="14"/>
  <c r="BO46" i="14"/>
  <c r="W28" i="14"/>
  <c r="K27" i="14"/>
  <c r="D17" i="14"/>
  <c r="D18" i="14" s="1"/>
  <c r="X28" i="14"/>
  <c r="X34" i="14" s="1"/>
  <c r="AT93" i="10"/>
  <c r="AB28" i="14"/>
  <c r="AY26" i="14"/>
  <c r="AY32" i="14" s="1"/>
  <c r="O22" i="14"/>
  <c r="J34" i="9"/>
  <c r="I22" i="14"/>
  <c r="W21" i="10"/>
  <c r="BO22" i="9"/>
  <c r="I50" i="10"/>
  <c r="BT80" i="14"/>
  <c r="U20" i="14"/>
  <c r="AJ17" i="10"/>
  <c r="AJ23" i="10" s="1"/>
  <c r="BS71" i="14"/>
  <c r="W29" i="9"/>
  <c r="AI93" i="14"/>
  <c r="AI94" i="14" s="1"/>
  <c r="K27" i="10"/>
  <c r="AY52" i="10"/>
  <c r="BO47" i="1"/>
  <c r="BO26" i="1"/>
  <c r="BC32" i="14"/>
  <c r="BS11" i="14"/>
  <c r="BI53" i="14"/>
  <c r="BI54" i="14" s="1"/>
  <c r="BQ11" i="14"/>
  <c r="BO28" i="1"/>
  <c r="BO41" i="8"/>
  <c r="BW17" i="1"/>
  <c r="BT11" i="14"/>
  <c r="BO11" i="1"/>
  <c r="BO83" i="1"/>
  <c r="BT11" i="1"/>
  <c r="BO58" i="1"/>
  <c r="BO51" i="8"/>
  <c r="BF33" i="14"/>
  <c r="BO11" i="8"/>
  <c r="D66" i="12"/>
  <c r="F79" i="12"/>
  <c r="I91" i="12"/>
  <c r="G14" i="12"/>
  <c r="H40" i="12"/>
  <c r="H81" i="12"/>
  <c r="D82" i="12"/>
  <c r="D91" i="12"/>
  <c r="Q91" i="12" s="1"/>
  <c r="G73" i="12"/>
  <c r="I86" i="12"/>
  <c r="D76" i="12"/>
  <c r="F77" i="12"/>
  <c r="F16" i="12"/>
  <c r="H73" i="12"/>
  <c r="F82" i="12"/>
  <c r="I74" i="12"/>
  <c r="F73" i="12"/>
  <c r="F86" i="12"/>
  <c r="G82" i="12"/>
  <c r="H76" i="12"/>
  <c r="F72" i="12"/>
  <c r="I10" i="12"/>
  <c r="G56" i="12"/>
  <c r="H88" i="12"/>
  <c r="H74" i="12"/>
  <c r="I64" i="12"/>
  <c r="I77" i="12"/>
  <c r="H78" i="12"/>
  <c r="I88" i="12"/>
  <c r="F92" i="12"/>
  <c r="I73" i="12"/>
  <c r="G74" i="12"/>
  <c r="I79" i="12"/>
  <c r="H44" i="12"/>
  <c r="F15" i="12"/>
  <c r="H64" i="12"/>
  <c r="H75" i="12"/>
  <c r="D56" i="12"/>
  <c r="Q56" i="12" s="1"/>
  <c r="D10" i="12"/>
  <c r="H70" i="12"/>
  <c r="H77" i="12"/>
  <c r="I44" i="12"/>
  <c r="G95" i="12"/>
  <c r="G96" i="12" s="1"/>
  <c r="H71" i="12"/>
  <c r="D79" i="12"/>
  <c r="H57" i="12"/>
  <c r="G76" i="12"/>
  <c r="H65" i="12"/>
  <c r="F64" i="12"/>
  <c r="G88" i="12"/>
  <c r="F95" i="12"/>
  <c r="F96" i="12" s="1"/>
  <c r="G77" i="12"/>
  <c r="D77" i="12"/>
  <c r="F10" i="12"/>
  <c r="G81" i="12"/>
  <c r="I39" i="12"/>
  <c r="H86" i="12"/>
  <c r="D71" i="12"/>
  <c r="F71" i="12"/>
  <c r="I65" i="12"/>
  <c r="D74" i="12"/>
  <c r="H45" i="12"/>
  <c r="D63" i="12"/>
  <c r="I95" i="12"/>
  <c r="I96" i="12" s="1"/>
  <c r="H66" i="12"/>
  <c r="F70" i="12"/>
  <c r="D72" i="12"/>
  <c r="I78" i="12"/>
  <c r="D81" i="12"/>
  <c r="D40" i="12"/>
  <c r="G75" i="12"/>
  <c r="G78" i="12"/>
  <c r="H80" i="12"/>
  <c r="D65" i="12"/>
  <c r="D64" i="12"/>
  <c r="I45" i="12"/>
  <c r="G92" i="12"/>
  <c r="I46" i="12"/>
  <c r="F76" i="12"/>
  <c r="G64" i="12"/>
  <c r="F68" i="12"/>
  <c r="D86" i="12"/>
  <c r="G68" i="12"/>
  <c r="F80" i="12"/>
  <c r="I67" i="12"/>
  <c r="I68" i="12"/>
  <c r="D69" i="12"/>
  <c r="F63" i="12"/>
  <c r="G69" i="12"/>
  <c r="D8" i="12"/>
  <c r="F57" i="12"/>
  <c r="H56" i="12"/>
  <c r="H39" i="12"/>
  <c r="F87" i="12"/>
  <c r="F46" i="12"/>
  <c r="F67" i="12"/>
  <c r="I8" i="12"/>
  <c r="G70" i="12"/>
  <c r="G91" i="12"/>
  <c r="G45" i="12"/>
  <c r="F88" i="12"/>
  <c r="G63" i="12"/>
  <c r="G9" i="12"/>
  <c r="H91" i="12"/>
  <c r="G80" i="12"/>
  <c r="G66" i="12"/>
  <c r="F56" i="12"/>
  <c r="H72" i="12"/>
  <c r="G10" i="12"/>
  <c r="H16" i="12"/>
  <c r="F9" i="12"/>
  <c r="D16" i="12"/>
  <c r="F65" i="12"/>
  <c r="H38" i="12"/>
  <c r="H9" i="12"/>
  <c r="D95" i="12"/>
  <c r="D96" i="12" s="1"/>
  <c r="D9" i="12"/>
  <c r="G65" i="12"/>
  <c r="G46" i="12"/>
  <c r="I9" i="12"/>
  <c r="G38" i="12"/>
  <c r="H69" i="12"/>
  <c r="D39" i="12"/>
  <c r="D15" i="12"/>
  <c r="I75" i="12"/>
  <c r="D57" i="12"/>
  <c r="I63" i="12"/>
  <c r="D88" i="12"/>
  <c r="F81" i="12"/>
  <c r="F74" i="12"/>
  <c r="G15" i="12"/>
  <c r="I76" i="12"/>
  <c r="F40" i="12"/>
  <c r="I92" i="12"/>
  <c r="F66" i="12"/>
  <c r="D80" i="12"/>
  <c r="H15" i="12"/>
  <c r="D75" i="12"/>
  <c r="H46" i="12"/>
  <c r="G86" i="12"/>
  <c r="H8" i="12"/>
  <c r="I38" i="12"/>
  <c r="F78" i="12"/>
  <c r="I82" i="12"/>
  <c r="G40" i="12"/>
  <c r="G44" i="12"/>
  <c r="F69" i="12"/>
  <c r="I56" i="12"/>
  <c r="I16" i="12"/>
  <c r="G8" i="12"/>
  <c r="H82" i="12"/>
  <c r="F8" i="12"/>
  <c r="G79" i="12"/>
  <c r="H87" i="12"/>
  <c r="D14" i="12"/>
  <c r="I71" i="12"/>
  <c r="F44" i="12"/>
  <c r="G57" i="12"/>
  <c r="G39" i="12"/>
  <c r="G72" i="12"/>
  <c r="I80" i="12"/>
  <c r="I40" i="12"/>
  <c r="H63" i="12"/>
  <c r="I14" i="12"/>
  <c r="I72" i="12"/>
  <c r="I81" i="12"/>
  <c r="H92" i="12"/>
  <c r="F39" i="12"/>
  <c r="D78" i="12"/>
  <c r="I15" i="12"/>
  <c r="H10" i="12"/>
  <c r="D46" i="12"/>
  <c r="D73" i="12"/>
  <c r="H14" i="12"/>
  <c r="H79" i="12"/>
  <c r="F45" i="12"/>
  <c r="F75" i="12"/>
  <c r="D87" i="12"/>
  <c r="F14" i="12"/>
  <c r="H95" i="12"/>
  <c r="H96" i="12" s="1"/>
  <c r="G16" i="12"/>
  <c r="D45" i="12"/>
  <c r="H67" i="12"/>
  <c r="H68" i="12"/>
  <c r="I87" i="12"/>
  <c r="F91" i="12"/>
  <c r="D44" i="12"/>
  <c r="I69" i="12"/>
  <c r="I70" i="12"/>
  <c r="D70" i="12"/>
  <c r="D92" i="12"/>
  <c r="Q92" i="12" s="1"/>
  <c r="I57" i="12"/>
  <c r="D68" i="12"/>
  <c r="G67" i="12"/>
  <c r="D67" i="12"/>
  <c r="D38" i="12"/>
  <c r="K38" i="12" s="1"/>
  <c r="F38" i="12"/>
  <c r="G87" i="12"/>
  <c r="I66" i="12"/>
  <c r="G71" i="12"/>
  <c r="AD58" i="14"/>
  <c r="BR56" i="14"/>
  <c r="BS81" i="10"/>
  <c r="P83" i="10"/>
  <c r="D83" i="14"/>
  <c r="BT81" i="14"/>
  <c r="T22" i="10"/>
  <c r="T28" i="10"/>
  <c r="J83" i="14"/>
  <c r="T17" i="10"/>
  <c r="X23" i="9"/>
  <c r="X29" i="9"/>
  <c r="AY32" i="9"/>
  <c r="AM22" i="10"/>
  <c r="AM17" i="10"/>
  <c r="W102" i="9"/>
  <c r="X102" i="9"/>
  <c r="L33" i="8"/>
  <c r="G23" i="9"/>
  <c r="G29" i="9"/>
  <c r="AN51" i="14"/>
  <c r="AN27" i="14"/>
  <c r="BO45" i="14"/>
  <c r="AE47" i="10"/>
  <c r="AE51" i="10"/>
  <c r="BO66" i="10"/>
  <c r="AP83" i="10"/>
  <c r="BY16" i="14"/>
  <c r="BO16" i="14"/>
  <c r="AO28" i="14"/>
  <c r="BW16" i="14"/>
  <c r="AO17" i="14"/>
  <c r="AO18" i="14" s="1"/>
  <c r="AQ52" i="10"/>
  <c r="AQ22" i="10"/>
  <c r="P28" i="14"/>
  <c r="BS16" i="14"/>
  <c r="F93" i="10"/>
  <c r="O83" i="14"/>
  <c r="J51" i="10"/>
  <c r="J21" i="10"/>
  <c r="J41" i="10"/>
  <c r="AX21" i="10"/>
  <c r="AX33" i="10" s="1"/>
  <c r="AX51" i="10"/>
  <c r="AQ83" i="10"/>
  <c r="O28" i="10"/>
  <c r="O34" i="10" s="1"/>
  <c r="O47" i="10"/>
  <c r="O29" i="10" s="1"/>
  <c r="AB20" i="10"/>
  <c r="AB17" i="10"/>
  <c r="AT23" i="9"/>
  <c r="AT53" i="9"/>
  <c r="AT60" i="9" s="1"/>
  <c r="AT98" i="9" s="1"/>
  <c r="AQ22" i="14"/>
  <c r="AQ28" i="14"/>
  <c r="Q28" i="10"/>
  <c r="BS46" i="10"/>
  <c r="AU83" i="14"/>
  <c r="BS56" i="14"/>
  <c r="BS58" i="14" s="1"/>
  <c r="Q58" i="14"/>
  <c r="AD26" i="10"/>
  <c r="AD20" i="10"/>
  <c r="AF29" i="1"/>
  <c r="AF23" i="1"/>
  <c r="D52" i="14"/>
  <c r="D41" i="14"/>
  <c r="AM53" i="1"/>
  <c r="AM60" i="1" s="1"/>
  <c r="AM98" i="1" s="1"/>
  <c r="AM23" i="1"/>
  <c r="AM35" i="1" s="1"/>
  <c r="E83" i="10"/>
  <c r="Y20" i="10"/>
  <c r="Y41" i="10"/>
  <c r="Y23" i="10" s="1"/>
  <c r="L52" i="14"/>
  <c r="L41" i="14"/>
  <c r="M22" i="10"/>
  <c r="M52" i="10"/>
  <c r="E29" i="8"/>
  <c r="E35" i="8" s="1"/>
  <c r="E53" i="8"/>
  <c r="E60" i="8" s="1"/>
  <c r="E98" i="8" s="1"/>
  <c r="BQ72" i="14"/>
  <c r="BO72" i="14"/>
  <c r="BR66" i="14"/>
  <c r="AB83" i="14"/>
  <c r="BQ87" i="14"/>
  <c r="AO89" i="14"/>
  <c r="AO90" i="14" s="1"/>
  <c r="AF83" i="14"/>
  <c r="L53" i="1"/>
  <c r="L60" i="1" s="1"/>
  <c r="L98" i="1" s="1"/>
  <c r="L29" i="1"/>
  <c r="R96" i="14"/>
  <c r="R97" i="14" s="1"/>
  <c r="BS95" i="14"/>
  <c r="BS96" i="14" s="1"/>
  <c r="O21" i="10"/>
  <c r="O33" i="10" s="1"/>
  <c r="D89" i="10"/>
  <c r="Z41" i="14"/>
  <c r="AJ98" i="8"/>
  <c r="E27" i="14"/>
  <c r="L23" i="9"/>
  <c r="L35" i="9" s="1"/>
  <c r="L53" i="9"/>
  <c r="L60" i="9" s="1"/>
  <c r="L98" i="9" s="1"/>
  <c r="F102" i="9"/>
  <c r="G102" i="9"/>
  <c r="AU102" i="9"/>
  <c r="AT102" i="9"/>
  <c r="BQ11" i="9"/>
  <c r="AN83" i="14"/>
  <c r="BQ63" i="14"/>
  <c r="BO47" i="9"/>
  <c r="BO26" i="9"/>
  <c r="AO28" i="10"/>
  <c r="J102" i="9"/>
  <c r="O51" i="14"/>
  <c r="O41" i="14"/>
  <c r="AM93" i="14"/>
  <c r="AM94" i="14" s="1"/>
  <c r="M83" i="14"/>
  <c r="P28" i="10"/>
  <c r="P22" i="10"/>
  <c r="P17" i="10"/>
  <c r="AA83" i="14"/>
  <c r="F83" i="14"/>
  <c r="X83" i="10"/>
  <c r="AL17" i="10"/>
  <c r="AL23" i="10" s="1"/>
  <c r="AL22" i="10"/>
  <c r="AL34" i="10" s="1"/>
  <c r="AS83" i="10"/>
  <c r="BO83" i="9"/>
  <c r="D21" i="10"/>
  <c r="BT15" i="10"/>
  <c r="D17" i="10"/>
  <c r="AF52" i="14"/>
  <c r="AF28" i="14"/>
  <c r="AF34" i="14" s="1"/>
  <c r="AU27" i="14"/>
  <c r="AU47" i="14"/>
  <c r="AR83" i="14"/>
  <c r="AX21" i="14"/>
  <c r="AX41" i="14"/>
  <c r="Q20" i="10"/>
  <c r="Q41" i="10"/>
  <c r="AB83" i="10"/>
  <c r="AE33" i="8"/>
  <c r="AU83" i="10"/>
  <c r="N83" i="10"/>
  <c r="BQ79" i="10"/>
  <c r="F53" i="9"/>
  <c r="F60" i="9" s="1"/>
  <c r="F98" i="9" s="1"/>
  <c r="L26" i="10"/>
  <c r="D22" i="14"/>
  <c r="D34" i="14" s="1"/>
  <c r="AP83" i="14"/>
  <c r="K41" i="10"/>
  <c r="Z21" i="14"/>
  <c r="Z33" i="14" s="1"/>
  <c r="V26" i="14"/>
  <c r="V32" i="14" s="1"/>
  <c r="AT27" i="10"/>
  <c r="AT33" i="10" s="1"/>
  <c r="BO91" i="10"/>
  <c r="BO93" i="10" s="1"/>
  <c r="AC102" i="9"/>
  <c r="AU51" i="10"/>
  <c r="AN28" i="10"/>
  <c r="AN34" i="10" s="1"/>
  <c r="AD83" i="10"/>
  <c r="AH21" i="14"/>
  <c r="AH33" i="14" s="1"/>
  <c r="S47" i="14"/>
  <c r="K23" i="9"/>
  <c r="K35" i="9" s="1"/>
  <c r="BQ102" i="8"/>
  <c r="AX51" i="14"/>
  <c r="AV53" i="9"/>
  <c r="AV60" i="9" s="1"/>
  <c r="AV98" i="9" s="1"/>
  <c r="AS17" i="14"/>
  <c r="AS18" i="14" s="1"/>
  <c r="BT102" i="8"/>
  <c r="AB26" i="10"/>
  <c r="AU27" i="10"/>
  <c r="AE47" i="14"/>
  <c r="BO16" i="10"/>
  <c r="T53" i="1"/>
  <c r="T60" i="1" s="1"/>
  <c r="T98" i="1" s="1"/>
  <c r="AO22" i="10"/>
  <c r="P53" i="8"/>
  <c r="P60" i="8" s="1"/>
  <c r="P98" i="8" s="1"/>
  <c r="AP51" i="14"/>
  <c r="BS40" i="10"/>
  <c r="AQ34" i="8"/>
  <c r="AH51" i="14"/>
  <c r="Q83" i="14"/>
  <c r="BR102" i="9"/>
  <c r="BW16" i="10"/>
  <c r="AR41" i="14"/>
  <c r="AR23" i="14" s="1"/>
  <c r="AR24" i="14" s="1"/>
  <c r="K21" i="10"/>
  <c r="P22" i="14"/>
  <c r="AV41" i="10"/>
  <c r="L22" i="14"/>
  <c r="BO71" i="14"/>
  <c r="AP93" i="10"/>
  <c r="AC23" i="8"/>
  <c r="AC35" i="8" s="1"/>
  <c r="Q93" i="14"/>
  <c r="Q94" i="14" s="1"/>
  <c r="AF47" i="14"/>
  <c r="AE83" i="10"/>
  <c r="BT65" i="10"/>
  <c r="BT15" i="14"/>
  <c r="BT69" i="14"/>
  <c r="AT47" i="10"/>
  <c r="AT53" i="10" s="1"/>
  <c r="BQ45" i="14"/>
  <c r="AA47" i="10"/>
  <c r="AA53" i="10" s="1"/>
  <c r="AO22" i="14"/>
  <c r="R83" i="14"/>
  <c r="CA16" i="14"/>
  <c r="AX102" i="1"/>
  <c r="AV52" i="10"/>
  <c r="BO73" i="10"/>
  <c r="AC29" i="9"/>
  <c r="AC53" i="9"/>
  <c r="AC60" i="9" s="1"/>
  <c r="AC98" i="9" s="1"/>
  <c r="AY23" i="9"/>
  <c r="AY29" i="9"/>
  <c r="Q22" i="14"/>
  <c r="Q52" i="14"/>
  <c r="Q41" i="14"/>
  <c r="Q53" i="14" s="1"/>
  <c r="Q26" i="10"/>
  <c r="Q47" i="10"/>
  <c r="U51" i="14"/>
  <c r="U41" i="14"/>
  <c r="U21" i="14"/>
  <c r="BY16" i="10"/>
  <c r="BQ28" i="10" s="1"/>
  <c r="BR14" i="10"/>
  <c r="BT91" i="10"/>
  <c r="BT102" i="9"/>
  <c r="AM34" i="14"/>
  <c r="AE27" i="10"/>
  <c r="R51" i="14"/>
  <c r="H53" i="9"/>
  <c r="H60" i="9" s="1"/>
  <c r="H98" i="9" s="1"/>
  <c r="AA26" i="10"/>
  <c r="AA32" i="10" s="1"/>
  <c r="M50" i="10"/>
  <c r="R41" i="10"/>
  <c r="R23" i="10" s="1"/>
  <c r="AD17" i="10"/>
  <c r="G53" i="8"/>
  <c r="G60" i="8" s="1"/>
  <c r="G98" i="8" s="1"/>
  <c r="S52" i="14"/>
  <c r="AA21" i="14"/>
  <c r="AF102" i="1"/>
  <c r="AA29" i="9"/>
  <c r="BO41" i="9"/>
  <c r="AJ83" i="10"/>
  <c r="BQ16" i="10"/>
  <c r="J53" i="8"/>
  <c r="J60" i="8" s="1"/>
  <c r="J98" i="8" s="1"/>
  <c r="AW98" i="9"/>
  <c r="H53" i="8"/>
  <c r="H60" i="8" s="1"/>
  <c r="H98" i="8" s="1"/>
  <c r="V47" i="14"/>
  <c r="BO50" i="9"/>
  <c r="H29" i="1"/>
  <c r="BO82" i="10"/>
  <c r="U22" i="10"/>
  <c r="Y50" i="10"/>
  <c r="R52" i="10"/>
  <c r="AR52" i="14"/>
  <c r="AM28" i="10"/>
  <c r="AQ17" i="14"/>
  <c r="AQ18" i="14" s="1"/>
  <c r="AP27" i="14"/>
  <c r="AP33" i="14" s="1"/>
  <c r="AN17" i="10"/>
  <c r="AN23" i="10" s="1"/>
  <c r="AU17" i="10"/>
  <c r="F89" i="10"/>
  <c r="AQ53" i="9"/>
  <c r="AQ60" i="9" s="1"/>
  <c r="AQ98" i="9" s="1"/>
  <c r="AQ50" i="10"/>
  <c r="AG23" i="1"/>
  <c r="AQ83" i="14"/>
  <c r="T23" i="9"/>
  <c r="T35" i="9" s="1"/>
  <c r="AG83" i="10"/>
  <c r="AW52" i="10"/>
  <c r="AD83" i="14"/>
  <c r="AC83" i="10"/>
  <c r="BR69" i="10"/>
  <c r="BO28" i="9"/>
  <c r="BO52" i="9"/>
  <c r="AE102" i="9"/>
  <c r="AF102" i="9"/>
  <c r="K23" i="8"/>
  <c r="K35" i="8" s="1"/>
  <c r="K53" i="8"/>
  <c r="K60" i="8" s="1"/>
  <c r="K98" i="8" s="1"/>
  <c r="AP22" i="14"/>
  <c r="AP34" i="14" s="1"/>
  <c r="AP41" i="14"/>
  <c r="AL83" i="14"/>
  <c r="Q83" i="10"/>
  <c r="BQ70" i="10"/>
  <c r="M41" i="10"/>
  <c r="R22" i="10"/>
  <c r="R34" i="10" s="1"/>
  <c r="D102" i="8"/>
  <c r="AA27" i="14"/>
  <c r="AI21" i="14"/>
  <c r="AE53" i="8"/>
  <c r="AE60" i="8" s="1"/>
  <c r="AE98" i="8" s="1"/>
  <c r="AE29" i="8"/>
  <c r="AE35" i="8" s="1"/>
  <c r="BT63" i="10"/>
  <c r="CA16" i="10"/>
  <c r="N41" i="10"/>
  <c r="U41" i="10"/>
  <c r="AP52" i="14"/>
  <c r="O21" i="14"/>
  <c r="BQ16" i="14"/>
  <c r="BT64" i="14"/>
  <c r="BO77" i="14"/>
  <c r="AH34" i="14"/>
  <c r="P17" i="14"/>
  <c r="P18" i="14" s="1"/>
  <c r="E21" i="14"/>
  <c r="BO40" i="14"/>
  <c r="Z60" i="1"/>
  <c r="Z98" i="1" s="1"/>
  <c r="S34" i="10"/>
  <c r="J21" i="14"/>
  <c r="X23" i="1"/>
  <c r="AQ26" i="10"/>
  <c r="Y27" i="14"/>
  <c r="Y47" i="14"/>
  <c r="BO44" i="14"/>
  <c r="AN26" i="14"/>
  <c r="BQ44" i="14"/>
  <c r="BT10" i="10"/>
  <c r="AP93" i="14"/>
  <c r="AP94" i="14" s="1"/>
  <c r="BO72" i="10"/>
  <c r="I34" i="8"/>
  <c r="AJ89" i="14"/>
  <c r="AJ90" i="14" s="1"/>
  <c r="G60" i="9"/>
  <c r="G98" i="9" s="1"/>
  <c r="AG33" i="10"/>
  <c r="AI34" i="14"/>
  <c r="AT98" i="8"/>
  <c r="F11" i="10"/>
  <c r="G102" i="10" s="1"/>
  <c r="I60" i="9"/>
  <c r="I98" i="9" s="1"/>
  <c r="AD58" i="10"/>
  <c r="F47" i="14"/>
  <c r="AN83" i="10"/>
  <c r="M34" i="8"/>
  <c r="AQ89" i="10"/>
  <c r="AM34" i="9"/>
  <c r="U11" i="14"/>
  <c r="U12" i="14" s="1"/>
  <c r="V83" i="10"/>
  <c r="I89" i="10"/>
  <c r="Z58" i="14"/>
  <c r="AW58" i="10"/>
  <c r="AI51" i="10"/>
  <c r="U52" i="14"/>
  <c r="U22" i="14"/>
  <c r="U34" i="14" s="1"/>
  <c r="D27" i="10"/>
  <c r="R26" i="10"/>
  <c r="BR44" i="14"/>
  <c r="AB47" i="14"/>
  <c r="AI41" i="10"/>
  <c r="N53" i="8"/>
  <c r="N60" i="8" s="1"/>
  <c r="N98" i="8" s="1"/>
  <c r="N23" i="8"/>
  <c r="BO58" i="8"/>
  <c r="BO10" i="10"/>
  <c r="BO40" i="10"/>
  <c r="AD96" i="10"/>
  <c r="AE11" i="10"/>
  <c r="AF102" i="10" s="1"/>
  <c r="AV83" i="10"/>
  <c r="BO79" i="10"/>
  <c r="AR23" i="1"/>
  <c r="AR35" i="1" s="1"/>
  <c r="AR53" i="1"/>
  <c r="AR60" i="1" s="1"/>
  <c r="AR98" i="1" s="1"/>
  <c r="AG34" i="1"/>
  <c r="BO86" i="10"/>
  <c r="AQ41" i="10"/>
  <c r="AQ21" i="10"/>
  <c r="AQ33" i="10" s="1"/>
  <c r="AO96" i="10"/>
  <c r="BQ10" i="10"/>
  <c r="D27" i="14"/>
  <c r="D33" i="14" s="1"/>
  <c r="AC27" i="10"/>
  <c r="AC33" i="10" s="1"/>
  <c r="AC51" i="10"/>
  <c r="BO102" i="9"/>
  <c r="AB26" i="14"/>
  <c r="D50" i="14"/>
  <c r="S53" i="1"/>
  <c r="S60" i="1" s="1"/>
  <c r="S98" i="1" s="1"/>
  <c r="W22" i="14"/>
  <c r="I47" i="14"/>
  <c r="I53" i="14" s="1"/>
  <c r="I60" i="14" s="1"/>
  <c r="J50" i="10"/>
  <c r="M53" i="8"/>
  <c r="M60" i="8" s="1"/>
  <c r="M98" i="8" s="1"/>
  <c r="AY29" i="8"/>
  <c r="BO20" i="8"/>
  <c r="P33" i="9"/>
  <c r="AW29" i="9"/>
  <c r="F34" i="8"/>
  <c r="P11" i="10"/>
  <c r="AV32" i="1"/>
  <c r="AV26" i="10"/>
  <c r="F21" i="10"/>
  <c r="F41" i="10"/>
  <c r="F53" i="10" s="1"/>
  <c r="F60" i="10" s="1"/>
  <c r="AF83" i="10"/>
  <c r="Y51" i="14"/>
  <c r="I47" i="10"/>
  <c r="S53" i="8"/>
  <c r="S60" i="8" s="1"/>
  <c r="S98" i="8" s="1"/>
  <c r="Q102" i="9"/>
  <c r="G28" i="14"/>
  <c r="G34" i="14" s="1"/>
  <c r="G47" i="14"/>
  <c r="AQ33" i="9"/>
  <c r="L53" i="8"/>
  <c r="L60" i="8" s="1"/>
  <c r="L98" i="8" s="1"/>
  <c r="L23" i="8"/>
  <c r="AT33" i="1"/>
  <c r="AB23" i="1"/>
  <c r="AB35" i="1" s="1"/>
  <c r="AN53" i="9"/>
  <c r="AN60" i="9" s="1"/>
  <c r="AN98" i="9" s="1"/>
  <c r="N53" i="9"/>
  <c r="N60" i="9" s="1"/>
  <c r="N98" i="9" s="1"/>
  <c r="N23" i="9"/>
  <c r="AC83" i="14"/>
  <c r="AH32" i="9"/>
  <c r="BT63" i="14"/>
  <c r="R27" i="14"/>
  <c r="R47" i="14"/>
  <c r="AS47" i="14"/>
  <c r="AI22" i="10"/>
  <c r="AI52" i="10"/>
  <c r="F96" i="10"/>
  <c r="AU26" i="10"/>
  <c r="AU20" i="10"/>
  <c r="Z89" i="10"/>
  <c r="AG23" i="9"/>
  <c r="AN50" i="14"/>
  <c r="AL58" i="14"/>
  <c r="AL59" i="14" s="1"/>
  <c r="T50" i="10"/>
  <c r="T41" i="10"/>
  <c r="BO76" i="10"/>
  <c r="T83" i="14"/>
  <c r="X93" i="10"/>
  <c r="AV89" i="14"/>
  <c r="AV90" i="14" s="1"/>
  <c r="BQ73" i="14"/>
  <c r="Y60" i="8"/>
  <c r="Y98" i="8" s="1"/>
  <c r="AN47" i="14"/>
  <c r="AH89" i="10"/>
  <c r="AT83" i="14"/>
  <c r="J17" i="14"/>
  <c r="J18" i="14" s="1"/>
  <c r="J20" i="14"/>
  <c r="J32" i="14" s="1"/>
  <c r="L32" i="8"/>
  <c r="AE53" i="9"/>
  <c r="AE60" i="9" s="1"/>
  <c r="AE98" i="9" s="1"/>
  <c r="AK21" i="10"/>
  <c r="AK33" i="10" s="1"/>
  <c r="AM33" i="9"/>
  <c r="AB98" i="9"/>
  <c r="H26" i="14"/>
  <c r="AI27" i="14"/>
  <c r="R51" i="10"/>
  <c r="G47" i="10"/>
  <c r="P20" i="14"/>
  <c r="X20" i="10"/>
  <c r="AA102" i="10"/>
  <c r="J53" i="9"/>
  <c r="J60" i="9" s="1"/>
  <c r="J98" i="9" s="1"/>
  <c r="AD27" i="14"/>
  <c r="AD33" i="14" s="1"/>
  <c r="AU17" i="14"/>
  <c r="AU18" i="14" s="1"/>
  <c r="AO11" i="10"/>
  <c r="BQ102" i="10" s="1"/>
  <c r="G52" i="14"/>
  <c r="AK52" i="14"/>
  <c r="Q102" i="1"/>
  <c r="M17" i="10"/>
  <c r="V53" i="9"/>
  <c r="V60" i="9" s="1"/>
  <c r="V98" i="9" s="1"/>
  <c r="N102" i="1"/>
  <c r="O53" i="8"/>
  <c r="O60" i="8" s="1"/>
  <c r="O98" i="8" s="1"/>
  <c r="BO91" i="14"/>
  <c r="BQ91" i="14"/>
  <c r="J32" i="9"/>
  <c r="W83" i="10"/>
  <c r="AM27" i="10"/>
  <c r="AM33" i="10" s="1"/>
  <c r="AM47" i="10"/>
  <c r="BS39" i="14"/>
  <c r="L20" i="10"/>
  <c r="L50" i="10"/>
  <c r="AC17" i="14"/>
  <c r="AC18" i="14" s="1"/>
  <c r="V33" i="1"/>
  <c r="AF29" i="9"/>
  <c r="AF35" i="9" s="1"/>
  <c r="M53" i="1"/>
  <c r="M60" i="1" s="1"/>
  <c r="M98" i="1" s="1"/>
  <c r="AO51" i="14"/>
  <c r="BQ39" i="14"/>
  <c r="BS78" i="14"/>
  <c r="U47" i="10"/>
  <c r="U29" i="10" s="1"/>
  <c r="N50" i="14"/>
  <c r="N41" i="14"/>
  <c r="U26" i="14"/>
  <c r="M50" i="14"/>
  <c r="AY51" i="14"/>
  <c r="M51" i="10"/>
  <c r="AW47" i="10"/>
  <c r="BO38" i="14"/>
  <c r="F83" i="10"/>
  <c r="BZ16" i="14"/>
  <c r="AL52" i="14"/>
  <c r="AK41" i="10"/>
  <c r="AK53" i="10" s="1"/>
  <c r="X41" i="10"/>
  <c r="AM20" i="14"/>
  <c r="AM32" i="14" s="1"/>
  <c r="W47" i="10"/>
  <c r="BQ69" i="14"/>
  <c r="AQ102" i="1"/>
  <c r="AX28" i="10"/>
  <c r="AX34" i="10" s="1"/>
  <c r="AO93" i="10"/>
  <c r="AB22" i="14"/>
  <c r="AV28" i="14"/>
  <c r="AN33" i="1"/>
  <c r="U27" i="14"/>
  <c r="U47" i="14"/>
  <c r="AY89" i="10"/>
  <c r="BO69" i="10"/>
  <c r="L33" i="9"/>
  <c r="AD53" i="8"/>
  <c r="AD60" i="8" s="1"/>
  <c r="AD98" i="8" s="1"/>
  <c r="AJ34" i="9"/>
  <c r="R32" i="8"/>
  <c r="E32" i="9"/>
  <c r="V32" i="9"/>
  <c r="AW32" i="1"/>
  <c r="AE32" i="9"/>
  <c r="BO8" i="10"/>
  <c r="I52" i="14"/>
  <c r="AY27" i="10"/>
  <c r="AY47" i="10"/>
  <c r="F32" i="1"/>
  <c r="AG98" i="8"/>
  <c r="AI34" i="8"/>
  <c r="AD23" i="1"/>
  <c r="AD35" i="1" s="1"/>
  <c r="BO65" i="14"/>
  <c r="BT8" i="10"/>
  <c r="R29" i="8"/>
  <c r="P52" i="14"/>
  <c r="AD93" i="10"/>
  <c r="AJ53" i="9"/>
  <c r="AJ60" i="9" s="1"/>
  <c r="AJ98" i="9" s="1"/>
  <c r="BR9" i="10"/>
  <c r="R58" i="14"/>
  <c r="AV29" i="1"/>
  <c r="AV35" i="1" s="1"/>
  <c r="R93" i="10"/>
  <c r="AX33" i="1"/>
  <c r="AG33" i="8"/>
  <c r="I22" i="10"/>
  <c r="D33" i="1"/>
  <c r="U28" i="10"/>
  <c r="G50" i="10"/>
  <c r="AF33" i="1"/>
  <c r="AW21" i="10"/>
  <c r="AQ23" i="1"/>
  <c r="AQ35" i="1" s="1"/>
  <c r="AE93" i="10"/>
  <c r="BR10" i="10"/>
  <c r="AI93" i="10"/>
  <c r="Y89" i="14"/>
  <c r="Y90" i="14" s="1"/>
  <c r="BQ9" i="10"/>
  <c r="BS9" i="10"/>
  <c r="AJ102" i="1"/>
  <c r="AW93" i="14"/>
  <c r="AW94" i="14" s="1"/>
  <c r="AP96" i="10"/>
  <c r="AN29" i="8"/>
  <c r="AE93" i="14"/>
  <c r="AE94" i="14" s="1"/>
  <c r="I41" i="10"/>
  <c r="BO9" i="10"/>
  <c r="Y22" i="10"/>
  <c r="Y34" i="10" s="1"/>
  <c r="AJ52" i="10"/>
  <c r="BT9" i="10"/>
  <c r="AW22" i="10"/>
  <c r="AV50" i="14"/>
  <c r="AJ47" i="10"/>
  <c r="AJ53" i="10" s="1"/>
  <c r="AJ60" i="10" s="1"/>
  <c r="O102" i="8"/>
  <c r="AT21" i="14"/>
  <c r="Q17" i="14"/>
  <c r="Q18" i="14" s="1"/>
  <c r="AW93" i="10"/>
  <c r="BQ46" i="14"/>
  <c r="U58" i="10"/>
  <c r="AT20" i="10"/>
  <c r="AT32" i="10" s="1"/>
  <c r="AJ34" i="1"/>
  <c r="AC34" i="8"/>
  <c r="AJ28" i="10"/>
  <c r="AJ34" i="10" s="1"/>
  <c r="AS22" i="10"/>
  <c r="AS34" i="10" s="1"/>
  <c r="AS52" i="10"/>
  <c r="AW20" i="14"/>
  <c r="AT58" i="14"/>
  <c r="H52" i="10"/>
  <c r="G27" i="14"/>
  <c r="AQ20" i="10"/>
  <c r="U58" i="14"/>
  <c r="AT23" i="1"/>
  <c r="W52" i="14"/>
  <c r="AA23" i="1"/>
  <c r="AQ53" i="1"/>
  <c r="AQ60" i="1" s="1"/>
  <c r="AQ98" i="1" s="1"/>
  <c r="AF32" i="1"/>
  <c r="AO52" i="14"/>
  <c r="AV20" i="10"/>
  <c r="AV50" i="10"/>
  <c r="AQ93" i="10"/>
  <c r="BQ8" i="10"/>
  <c r="S33" i="1"/>
  <c r="AO29" i="8"/>
  <c r="AP50" i="14"/>
  <c r="AQ32" i="1"/>
  <c r="F22" i="14"/>
  <c r="N47" i="14"/>
  <c r="AP23" i="8"/>
  <c r="AP35" i="8" s="1"/>
  <c r="AA51" i="10"/>
  <c r="AM102" i="8"/>
  <c r="AQ50" i="14"/>
  <c r="AA50" i="14"/>
  <c r="AU51" i="14"/>
  <c r="BS10" i="10"/>
  <c r="AO29" i="1"/>
  <c r="L22" i="10"/>
  <c r="AG93" i="10"/>
  <c r="R96" i="10"/>
  <c r="W41" i="10"/>
  <c r="X102" i="1"/>
  <c r="AF53" i="1"/>
  <c r="AF60" i="1" s="1"/>
  <c r="AF98" i="1" s="1"/>
  <c r="T33" i="10"/>
  <c r="H98" i="1"/>
  <c r="AT35" i="8"/>
  <c r="AE32" i="8"/>
  <c r="P32" i="8"/>
  <c r="AN34" i="9"/>
  <c r="K32" i="8"/>
  <c r="M102" i="1"/>
  <c r="AB50" i="10"/>
  <c r="AB41" i="10"/>
  <c r="AO23" i="8"/>
  <c r="AV33" i="8"/>
  <c r="AH29" i="8"/>
  <c r="AX28" i="14"/>
  <c r="J20" i="10"/>
  <c r="G29" i="8"/>
  <c r="Q33" i="8"/>
  <c r="N93" i="14"/>
  <c r="N94" i="14" s="1"/>
  <c r="Y35" i="8"/>
  <c r="BH33" i="14"/>
  <c r="Z34" i="10"/>
  <c r="BK32" i="14"/>
  <c r="BG32" i="14"/>
  <c r="BF34" i="14"/>
  <c r="BD23" i="10"/>
  <c r="BD33" i="10"/>
  <c r="AD35" i="8"/>
  <c r="BI35" i="9"/>
  <c r="BG33" i="10"/>
  <c r="BJ29" i="10"/>
  <c r="BJ35" i="10" s="1"/>
  <c r="BJ32" i="10"/>
  <c r="BC34" i="10"/>
  <c r="Z53" i="10"/>
  <c r="BC33" i="10"/>
  <c r="Q34" i="14"/>
  <c r="BA34" i="14"/>
  <c r="BJ32" i="14"/>
  <c r="BD23" i="14"/>
  <c r="BF33" i="10"/>
  <c r="BA33" i="14"/>
  <c r="AZ32" i="14"/>
  <c r="BI23" i="14"/>
  <c r="BK32" i="10"/>
  <c r="BC33" i="14"/>
  <c r="BJ29" i="14"/>
  <c r="BP28" i="14"/>
  <c r="BK34" i="14"/>
  <c r="AZ29" i="14"/>
  <c r="BJ102" i="10"/>
  <c r="BC23" i="10"/>
  <c r="BP27" i="14"/>
  <c r="AZ23" i="14"/>
  <c r="BH32" i="14"/>
  <c r="BG102" i="10"/>
  <c r="BJ23" i="14"/>
  <c r="BH29" i="10"/>
  <c r="BC53" i="10"/>
  <c r="BC60" i="10" s="1"/>
  <c r="BC98" i="10" s="1"/>
  <c r="AZ29" i="10"/>
  <c r="BA35" i="9"/>
  <c r="BC32" i="10"/>
  <c r="BK53" i="10"/>
  <c r="BK60" i="10" s="1"/>
  <c r="BK23" i="10"/>
  <c r="BC35" i="9"/>
  <c r="BG35" i="9"/>
  <c r="BI102" i="10"/>
  <c r="BI29" i="10"/>
  <c r="BH23" i="14"/>
  <c r="BH33" i="10"/>
  <c r="BD35" i="9"/>
  <c r="BG23" i="10"/>
  <c r="BJ34" i="14"/>
  <c r="BF32" i="14"/>
  <c r="BA29" i="14"/>
  <c r="BP93" i="14"/>
  <c r="BA23" i="14"/>
  <c r="BB32" i="10"/>
  <c r="BH29" i="14"/>
  <c r="BE32" i="14"/>
  <c r="BJ33" i="10"/>
  <c r="BC29" i="10"/>
  <c r="BP51" i="14"/>
  <c r="BK53" i="14"/>
  <c r="BK60" i="14" s="1"/>
  <c r="AZ53" i="14"/>
  <c r="AZ54" i="14" s="1"/>
  <c r="BB35" i="9"/>
  <c r="AZ34" i="10"/>
  <c r="BH23" i="10"/>
  <c r="BT93" i="14"/>
  <c r="BA33" i="10"/>
  <c r="BE23" i="10"/>
  <c r="BE23" i="14"/>
  <c r="BB33" i="10"/>
  <c r="BC102" i="10"/>
  <c r="BF32" i="10"/>
  <c r="BB53" i="10"/>
  <c r="BB60" i="10" s="1"/>
  <c r="BA53" i="14"/>
  <c r="BH53" i="10"/>
  <c r="BP58" i="14"/>
  <c r="BH34" i="10"/>
  <c r="BE102" i="10"/>
  <c r="BA32" i="10"/>
  <c r="BE29" i="10"/>
  <c r="BH34" i="14"/>
  <c r="BE34" i="10"/>
  <c r="BJ53" i="14"/>
  <c r="BJ60" i="14" s="1"/>
  <c r="BK102" i="14"/>
  <c r="BH53" i="14"/>
  <c r="BX17" i="14"/>
  <c r="BP50" i="14"/>
  <c r="BE53" i="10"/>
  <c r="BE60" i="10" s="1"/>
  <c r="BK29" i="14"/>
  <c r="AZ35" i="9"/>
  <c r="BE33" i="10"/>
  <c r="BK33" i="14"/>
  <c r="BK35" i="9"/>
  <c r="X10" i="12"/>
  <c r="BA102" i="14"/>
  <c r="BI29" i="14"/>
  <c r="BD34" i="10"/>
  <c r="BE102" i="14"/>
  <c r="BD102" i="10"/>
  <c r="BK33" i="10"/>
  <c r="BI33" i="14"/>
  <c r="BK23" i="14"/>
  <c r="BF23" i="10"/>
  <c r="BP102" i="14"/>
  <c r="BI33" i="10"/>
  <c r="BD53" i="10"/>
  <c r="BD60" i="10" s="1"/>
  <c r="BB32" i="14"/>
  <c r="BF102" i="10"/>
  <c r="BH102" i="10"/>
  <c r="BC23" i="14"/>
  <c r="BB102" i="10"/>
  <c r="BB23" i="10"/>
  <c r="BB35" i="10" s="1"/>
  <c r="E93" i="12"/>
  <c r="BD102" i="14"/>
  <c r="BJ35" i="9"/>
  <c r="BC12" i="14"/>
  <c r="BJ53" i="10"/>
  <c r="BJ60" i="10" s="1"/>
  <c r="BJ98" i="10" s="1"/>
  <c r="BH102" i="14"/>
  <c r="BD53" i="14"/>
  <c r="BD54" i="14" s="1"/>
  <c r="E50" i="12"/>
  <c r="BK29" i="10"/>
  <c r="AK34" i="10"/>
  <c r="V33" i="10"/>
  <c r="Z32" i="10"/>
  <c r="AA32" i="14"/>
  <c r="AP35" i="9"/>
  <c r="AK34" i="14"/>
  <c r="P33" i="10"/>
  <c r="AH32" i="14"/>
  <c r="E32" i="14"/>
  <c r="AI35" i="9"/>
  <c r="AR29" i="10"/>
  <c r="AG34" i="10"/>
  <c r="AX32" i="14"/>
  <c r="AF33" i="10"/>
  <c r="N34" i="10"/>
  <c r="AN35" i="1"/>
  <c r="AO33" i="10"/>
  <c r="G32" i="10"/>
  <c r="E102" i="14"/>
  <c r="AJ35" i="8"/>
  <c r="AH29" i="14"/>
  <c r="AH30" i="14" s="1"/>
  <c r="BT28" i="14"/>
  <c r="AX102" i="10"/>
  <c r="J29" i="10"/>
  <c r="AP32" i="14"/>
  <c r="K32" i="14"/>
  <c r="G29" i="10"/>
  <c r="K35" i="1"/>
  <c r="S33" i="14"/>
  <c r="AL32" i="10"/>
  <c r="X34" i="10"/>
  <c r="AE34" i="14"/>
  <c r="AR34" i="14"/>
  <c r="AB33" i="10"/>
  <c r="O102" i="10"/>
  <c r="AU102" i="10"/>
  <c r="G33" i="10"/>
  <c r="I33" i="14"/>
  <c r="AO29" i="10"/>
  <c r="D32" i="10"/>
  <c r="AT23" i="14"/>
  <c r="K23" i="14"/>
  <c r="K24" i="14" s="1"/>
  <c r="AR33" i="10"/>
  <c r="AN102" i="14"/>
  <c r="AY32" i="10"/>
  <c r="R34" i="14"/>
  <c r="F35" i="1"/>
  <c r="V35" i="1"/>
  <c r="AN102" i="10"/>
  <c r="T32" i="14"/>
  <c r="AW33" i="14"/>
  <c r="S29" i="14"/>
  <c r="AM102" i="14"/>
  <c r="O102" i="14"/>
  <c r="AQ33" i="14"/>
  <c r="AC32" i="14"/>
  <c r="E34" i="14"/>
  <c r="I32" i="10"/>
  <c r="AE32" i="10"/>
  <c r="O32" i="10"/>
  <c r="AO32" i="10"/>
  <c r="N32" i="10"/>
  <c r="AV33" i="10"/>
  <c r="AA8" i="12"/>
  <c r="Z8" i="12"/>
  <c r="AR102" i="14"/>
  <c r="H29" i="14"/>
  <c r="Q35" i="8"/>
  <c r="AN23" i="14"/>
  <c r="AN24" i="14" s="1"/>
  <c r="AG102" i="14"/>
  <c r="W23" i="14"/>
  <c r="F35" i="8"/>
  <c r="R23" i="14"/>
  <c r="R24" i="14" s="1"/>
  <c r="AV35" i="8"/>
  <c r="I35" i="8"/>
  <c r="J35" i="9"/>
  <c r="X15" i="12"/>
  <c r="X66" i="12"/>
  <c r="X63" i="12"/>
  <c r="X69" i="12"/>
  <c r="X86" i="12"/>
  <c r="Y87" i="12"/>
  <c r="X81" i="12"/>
  <c r="AB76" i="12"/>
  <c r="X80" i="12"/>
  <c r="Y72" i="12"/>
  <c r="X73" i="12"/>
  <c r="X72" i="12"/>
  <c r="X68" i="12"/>
  <c r="X67" i="12"/>
  <c r="X64" i="12"/>
  <c r="Z80" i="12"/>
  <c r="Y46" i="12"/>
  <c r="X82" i="12"/>
  <c r="X87" i="12"/>
  <c r="AA80" i="12"/>
  <c r="Y78" i="12"/>
  <c r="Y44" i="12"/>
  <c r="X77" i="12"/>
  <c r="X75" i="12"/>
  <c r="X65" i="12"/>
  <c r="X39" i="12"/>
  <c r="W92" i="12"/>
  <c r="BQ93" i="1"/>
  <c r="BT51" i="1"/>
  <c r="BT58" i="1"/>
  <c r="BR58" i="9"/>
  <c r="BT26" i="1"/>
  <c r="BQ58" i="8"/>
  <c r="BT58" i="9"/>
  <c r="BQ89" i="1"/>
  <c r="BQ47" i="1"/>
  <c r="BS58" i="9"/>
  <c r="BP93" i="1"/>
  <c r="BR58" i="1"/>
  <c r="BT22" i="1"/>
  <c r="BT52" i="1"/>
  <c r="BT28" i="1"/>
  <c r="BT20" i="1"/>
  <c r="BS26" i="1"/>
  <c r="BS28" i="1"/>
  <c r="BS22" i="1"/>
  <c r="BS27" i="1"/>
  <c r="BS21" i="1"/>
  <c r="BS20" i="1"/>
  <c r="BR26" i="1"/>
  <c r="BR20" i="1"/>
  <c r="BR28" i="1"/>
  <c r="BQ27" i="1"/>
  <c r="BP28" i="1"/>
  <c r="BP20" i="1"/>
  <c r="BP27" i="1"/>
  <c r="BP26" i="1"/>
  <c r="BP22" i="1"/>
  <c r="BP21" i="1"/>
  <c r="BT21" i="1"/>
  <c r="BR27" i="1"/>
  <c r="BR21" i="1"/>
  <c r="BQ27" i="8"/>
  <c r="BR22" i="1"/>
  <c r="BQ20" i="1"/>
  <c r="BQ26" i="1"/>
  <c r="BQ28" i="1"/>
  <c r="BQ21" i="1"/>
  <c r="BP96" i="10"/>
  <c r="BQ28" i="8"/>
  <c r="BT27" i="9"/>
  <c r="BS93" i="9"/>
  <c r="BR28" i="9"/>
  <c r="BR27" i="9"/>
  <c r="BR27" i="8"/>
  <c r="BQ93" i="8"/>
  <c r="BP27" i="9"/>
  <c r="BY17" i="8"/>
  <c r="BT28" i="9"/>
  <c r="BQ28" i="9"/>
  <c r="BP89" i="9"/>
  <c r="BT27" i="1"/>
  <c r="BS28" i="9"/>
  <c r="BS28" i="8"/>
  <c r="BQ89" i="9"/>
  <c r="BS17" i="9"/>
  <c r="BP28" i="9"/>
  <c r="BS58" i="8"/>
  <c r="BX17" i="9"/>
  <c r="BP28" i="10"/>
  <c r="BP58" i="10"/>
  <c r="BS26" i="10"/>
  <c r="BP41" i="10"/>
  <c r="BP20" i="10"/>
  <c r="BP50" i="10"/>
  <c r="BP21" i="10"/>
  <c r="BP26" i="10"/>
  <c r="BP47" i="10"/>
  <c r="BQ26" i="10"/>
  <c r="BP17" i="10"/>
  <c r="BP89" i="10"/>
  <c r="BX17" i="10"/>
  <c r="BT89" i="9"/>
  <c r="BR93" i="9"/>
  <c r="BS89" i="9"/>
  <c r="BR21" i="9"/>
  <c r="BR51" i="9"/>
  <c r="BR52" i="9"/>
  <c r="BR22" i="9"/>
  <c r="BR47" i="9"/>
  <c r="BR26" i="9"/>
  <c r="BR20" i="9"/>
  <c r="BR41" i="9"/>
  <c r="BR50" i="9"/>
  <c r="BP52" i="9"/>
  <c r="BP22" i="9"/>
  <c r="BP47" i="9"/>
  <c r="BP26" i="9"/>
  <c r="BP20" i="9"/>
  <c r="BP41" i="9"/>
  <c r="BP50" i="9"/>
  <c r="BP21" i="9"/>
  <c r="BP51" i="9"/>
  <c r="BS52" i="9"/>
  <c r="BS22" i="9"/>
  <c r="BS47" i="9"/>
  <c r="BS26" i="9"/>
  <c r="BS20" i="9"/>
  <c r="BS41" i="9"/>
  <c r="BS50" i="9"/>
  <c r="BS21" i="9"/>
  <c r="BS51" i="9"/>
  <c r="BQ52" i="9"/>
  <c r="BQ22" i="9"/>
  <c r="BQ47" i="9"/>
  <c r="BQ26" i="9"/>
  <c r="BQ21" i="9"/>
  <c r="BQ51" i="9"/>
  <c r="BQ20" i="9"/>
  <c r="BQ41" i="9"/>
  <c r="BQ50" i="9"/>
  <c r="BT20" i="9"/>
  <c r="BT41" i="9"/>
  <c r="BT50" i="9"/>
  <c r="BT52" i="9"/>
  <c r="BT22" i="9"/>
  <c r="BT47" i="9"/>
  <c r="BT26" i="9"/>
  <c r="BT21" i="9"/>
  <c r="BT51" i="9"/>
  <c r="BP17" i="9"/>
  <c r="BP58" i="9"/>
  <c r="BQ93" i="9"/>
  <c r="BQ58" i="9"/>
  <c r="BQ83" i="9"/>
  <c r="BS27" i="9"/>
  <c r="BQ17" i="9"/>
  <c r="BR83" i="9"/>
  <c r="BP83" i="9"/>
  <c r="BT83" i="9"/>
  <c r="BS83" i="9"/>
  <c r="BT93" i="9"/>
  <c r="CB17" i="9"/>
  <c r="BR17" i="9"/>
  <c r="BR89" i="9"/>
  <c r="BT17" i="9"/>
  <c r="BZ17" i="9"/>
  <c r="BP93" i="9"/>
  <c r="CA17" i="9"/>
  <c r="BY17" i="9"/>
  <c r="BQ27" i="9"/>
  <c r="BS27" i="8"/>
  <c r="BR28" i="8"/>
  <c r="BT93" i="8"/>
  <c r="BQ41" i="8"/>
  <c r="BQ50" i="8"/>
  <c r="BQ20" i="8"/>
  <c r="BQ51" i="8"/>
  <c r="BQ21" i="8"/>
  <c r="BQ52" i="8"/>
  <c r="BQ22" i="8"/>
  <c r="BQ47" i="8"/>
  <c r="BQ26" i="8"/>
  <c r="BT41" i="8"/>
  <c r="BT50" i="8"/>
  <c r="BT20" i="8"/>
  <c r="BT51" i="8"/>
  <c r="BT21" i="8"/>
  <c r="BT52" i="8"/>
  <c r="BT22" i="8"/>
  <c r="BT47" i="8"/>
  <c r="BT26" i="8"/>
  <c r="BS41" i="8"/>
  <c r="BS50" i="8"/>
  <c r="BS20" i="8"/>
  <c r="BS51" i="8"/>
  <c r="BS21" i="8"/>
  <c r="BS52" i="8"/>
  <c r="BS22" i="8"/>
  <c r="BS47" i="8"/>
  <c r="BS26" i="8"/>
  <c r="BP41" i="8"/>
  <c r="BP50" i="8"/>
  <c r="BP20" i="8"/>
  <c r="BP51" i="8"/>
  <c r="BP21" i="8"/>
  <c r="BP52" i="8"/>
  <c r="BP22" i="8"/>
  <c r="BP47" i="8"/>
  <c r="BP26" i="8"/>
  <c r="BR41" i="8"/>
  <c r="BR50" i="8"/>
  <c r="BR20" i="8"/>
  <c r="BR51" i="8"/>
  <c r="BR21" i="8"/>
  <c r="BR52" i="8"/>
  <c r="BR22" i="8"/>
  <c r="BR47" i="8"/>
  <c r="BR26" i="8"/>
  <c r="BQ89" i="8"/>
  <c r="BS17" i="8"/>
  <c r="BS89" i="8"/>
  <c r="BP17" i="8"/>
  <c r="BT89" i="8"/>
  <c r="BT58" i="8"/>
  <c r="BP93" i="8"/>
  <c r="BQ83" i="8"/>
  <c r="BT17" i="8"/>
  <c r="BP89" i="8"/>
  <c r="BX17" i="8"/>
  <c r="BS83" i="8"/>
  <c r="BR17" i="8"/>
  <c r="BR58" i="8"/>
  <c r="BQ17" i="8"/>
  <c r="BT27" i="8"/>
  <c r="BP83" i="8"/>
  <c r="BR83" i="8"/>
  <c r="BT28" i="8"/>
  <c r="BS93" i="8"/>
  <c r="BZ17" i="8"/>
  <c r="CB17" i="8"/>
  <c r="CA17" i="8"/>
  <c r="BP28" i="8"/>
  <c r="BP58" i="8"/>
  <c r="BR89" i="8"/>
  <c r="BT83" i="8"/>
  <c r="BP27" i="8"/>
  <c r="BR93" i="8"/>
  <c r="BX17" i="1"/>
  <c r="BQ52" i="1"/>
  <c r="BQ22" i="1"/>
  <c r="BT83" i="1"/>
  <c r="CB17" i="1"/>
  <c r="BY17" i="1"/>
  <c r="CA17" i="1"/>
  <c r="BZ17" i="1"/>
  <c r="BR93" i="1"/>
  <c r="BR47" i="1"/>
  <c r="BR52" i="1"/>
  <c r="BP52" i="1"/>
  <c r="BT89" i="1"/>
  <c r="BS93" i="1"/>
  <c r="BR83" i="1"/>
  <c r="BS83" i="1"/>
  <c r="BQ83" i="1"/>
  <c r="BP83" i="1"/>
  <c r="BT17" i="1"/>
  <c r="BT93" i="1"/>
  <c r="BS89" i="1"/>
  <c r="BR89" i="1"/>
  <c r="BP89" i="1"/>
  <c r="BP58" i="1"/>
  <c r="BQ58" i="1"/>
  <c r="BT50" i="1"/>
  <c r="BT41" i="1"/>
  <c r="BS50" i="1"/>
  <c r="BS41" i="1"/>
  <c r="BR50" i="1"/>
  <c r="BR41" i="1"/>
  <c r="BQ50" i="1"/>
  <c r="BQ41" i="1"/>
  <c r="BP50" i="1"/>
  <c r="BP41" i="1"/>
  <c r="BT47" i="1"/>
  <c r="BS51" i="1"/>
  <c r="BS47" i="1"/>
  <c r="BR51" i="1"/>
  <c r="BP47" i="1"/>
  <c r="BS52" i="1"/>
  <c r="BQ51" i="1"/>
  <c r="BS58" i="1"/>
  <c r="BP51" i="1"/>
  <c r="BQ17" i="1"/>
  <c r="BP17" i="1"/>
  <c r="BS17" i="1"/>
  <c r="BR17" i="1"/>
  <c r="X74" i="12" a="1"/>
  <c r="Y28" i="12" a="1"/>
  <c r="AA79" i="12" a="1"/>
  <c r="W38" i="12" a="1"/>
  <c r="W87" i="12" a="1"/>
  <c r="AB14" i="12" a="1"/>
  <c r="Y81" i="12" a="1"/>
  <c r="Z67" i="12" a="1"/>
  <c r="AA81" i="12" a="1"/>
  <c r="AB86" i="12" a="1"/>
  <c r="Y68" i="12" a="1"/>
  <c r="AA88" i="12" a="1"/>
  <c r="Y15" i="12" a="1"/>
  <c r="AA82" i="12" a="1"/>
  <c r="AB71" i="12" a="1"/>
  <c r="AA86" i="12" a="1"/>
  <c r="Z38" i="12" a="1"/>
  <c r="AB81" i="12" a="1"/>
  <c r="AA70" i="12" a="1"/>
  <c r="AB15" i="12" a="1"/>
  <c r="Z79" i="12" a="1"/>
  <c r="W73" i="12" a="1"/>
  <c r="AB68" i="12" a="1"/>
  <c r="W10" i="12" a="1"/>
  <c r="AA95" i="12" a="1"/>
  <c r="W78" i="12" a="1"/>
  <c r="Z69" i="12" a="1"/>
  <c r="Y26" i="12" a="1"/>
  <c r="W68" i="12" a="1"/>
  <c r="X44" i="12" a="1"/>
  <c r="AB75" i="12" a="1"/>
  <c r="AB74" i="12" a="1"/>
  <c r="Z92" i="12" a="1"/>
  <c r="AA87" i="12" a="1"/>
  <c r="Y38" i="12" a="1"/>
  <c r="Z68" i="12" a="1"/>
  <c r="W8" i="12" a="1"/>
  <c r="AA71" i="12" a="1"/>
  <c r="AB44" i="12" a="1"/>
  <c r="Z44" i="12" a="1"/>
  <c r="Z39" i="12" a="1"/>
  <c r="W9" i="12" a="1"/>
  <c r="Y75" i="12" a="1"/>
  <c r="Z56" i="12" a="1"/>
  <c r="W88" i="12" a="1"/>
  <c r="AB77" i="12" a="1"/>
  <c r="AA9" i="12" a="1"/>
  <c r="AA67" i="12" a="1"/>
  <c r="AB16" i="12" a="1"/>
  <c r="Y69" i="12" a="1"/>
  <c r="AA69" i="12" a="1"/>
  <c r="Z40" i="12" a="1"/>
  <c r="AB65" i="12" a="1"/>
  <c r="Z65" i="12" a="1"/>
  <c r="Y70" i="12" a="1"/>
  <c r="AB70" i="12" a="1"/>
  <c r="Z73" i="12" a="1"/>
  <c r="W45" i="12" a="1"/>
  <c r="Z10" i="12" a="1"/>
  <c r="Z74" i="12" a="1"/>
  <c r="W72" i="12" a="1"/>
  <c r="X38" i="12" a="1"/>
  <c r="X76" i="12" a="1"/>
  <c r="Z71" i="12" a="1"/>
  <c r="Z82" i="12" a="1"/>
  <c r="Z91" i="12" a="1"/>
  <c r="X71" i="12" a="1"/>
  <c r="AA44" i="12" a="1"/>
  <c r="AB63" i="12" a="1"/>
  <c r="W74" i="12" a="1"/>
  <c r="W79" i="12" a="1"/>
  <c r="AA14" i="12" a="1"/>
  <c r="X46" i="12" a="1"/>
  <c r="AA74" i="12" a="1"/>
  <c r="Y56" i="12" a="1"/>
  <c r="AB95" i="12" a="1"/>
  <c r="X78" i="12" a="1"/>
  <c r="W71" i="12" a="1"/>
  <c r="W56" i="12" a="1"/>
  <c r="AA78" i="12" a="1"/>
  <c r="AB40" i="12" a="1"/>
  <c r="AB64" i="12" a="1"/>
  <c r="W20" i="12" a="1"/>
  <c r="W80" i="12" a="1"/>
  <c r="AB82" i="12" a="1"/>
  <c r="Z9" i="12" a="1"/>
  <c r="Y57" i="12" a="1"/>
  <c r="Z46" i="12" a="1"/>
  <c r="Z14" i="12" a="1"/>
  <c r="Y92" i="12" a="1"/>
  <c r="AB87" i="12" a="1"/>
  <c r="Y16" i="12" a="1"/>
  <c r="X57" i="12" a="1"/>
  <c r="Z87" i="12" a="1"/>
  <c r="Y64" i="12" a="1"/>
  <c r="Y74" i="12" a="1"/>
  <c r="W69" i="12" a="1"/>
  <c r="AB73" i="12" a="1"/>
  <c r="W66" i="12" a="1"/>
  <c r="AA16" i="12" a="1"/>
  <c r="W15" i="12" a="1"/>
  <c r="Y80" i="12" a="1"/>
  <c r="Y82" i="12" a="1"/>
  <c r="AB8" i="12" a="1"/>
  <c r="AA39" i="12" a="1"/>
  <c r="AB39" i="12" a="1"/>
  <c r="Z78" i="12" a="1"/>
  <c r="AB56" i="12" a="1"/>
  <c r="AB79" i="12" a="1"/>
  <c r="Z81" i="12" a="1"/>
  <c r="AA27" i="12" a="1"/>
  <c r="Z76" i="12" a="1"/>
  <c r="W67" i="12" a="1"/>
  <c r="Z26" i="12" a="1"/>
  <c r="X28" i="12" a="1"/>
  <c r="X88" i="12" a="1"/>
  <c r="Y67" i="12" a="1"/>
  <c r="Y86" i="12" a="1"/>
  <c r="X21" i="12" a="1"/>
  <c r="W57" i="12" a="1"/>
  <c r="Y65" i="12" a="1"/>
  <c r="X91" i="12" a="1"/>
  <c r="W81" i="12" a="1"/>
  <c r="X40" i="12" a="1"/>
  <c r="W14" i="12" a="1"/>
  <c r="AB46" i="12" a="1"/>
  <c r="X16" i="12" a="1"/>
  <c r="Z66" i="12" a="1"/>
  <c r="W63" i="12" a="1"/>
  <c r="W76" i="12" a="1"/>
  <c r="AA45" i="12" a="1"/>
  <c r="AB72" i="12" a="1"/>
  <c r="AA15" i="12" a="1"/>
  <c r="Y8" i="12" a="1"/>
  <c r="AA66" i="12" a="1"/>
  <c r="X26" i="12" a="1"/>
  <c r="W39" i="12" a="1"/>
  <c r="X45" i="12" a="1"/>
  <c r="AA65" i="12" a="1"/>
  <c r="X8" i="12" a="1"/>
  <c r="AB69" i="12" a="1"/>
  <c r="AB88" i="12" a="1"/>
  <c r="Z77" i="12" a="1"/>
  <c r="Y9" i="12" a="1"/>
  <c r="Y77" i="12" a="1"/>
  <c r="W95" i="12" a="1"/>
  <c r="E102" i="12" a="1"/>
  <c r="AA72" i="12" a="1"/>
  <c r="AA64" i="12" a="1"/>
  <c r="X14" i="12" a="1"/>
  <c r="Y14" i="12" a="1"/>
  <c r="W70" i="12" a="1"/>
  <c r="Y40" i="12" a="1"/>
  <c r="AA76" i="12" a="1"/>
  <c r="AA57" i="12" a="1"/>
  <c r="W77" i="12" a="1"/>
  <c r="X70" i="12" a="1"/>
  <c r="Y76" i="12" a="1"/>
  <c r="W82" i="12" a="1"/>
  <c r="Z95" i="12" a="1"/>
  <c r="AB9" i="12" a="1"/>
  <c r="W75" i="12" a="1"/>
  <c r="Y45" i="12" a="1"/>
  <c r="Z16" i="12" a="1"/>
  <c r="AA38" i="12" a="1"/>
  <c r="AA68" i="12" a="1"/>
  <c r="AA92" i="12" a="1"/>
  <c r="AA26" i="12" a="1"/>
  <c r="Z75" i="12" a="1"/>
  <c r="X20" i="12" a="1"/>
  <c r="AB57" i="12" a="1"/>
  <c r="X92" i="12" a="1"/>
  <c r="AA77" i="12" a="1"/>
  <c r="W44" i="12" a="1"/>
  <c r="Y66" i="12" a="1"/>
  <c r="AA91" i="12" a="1"/>
  <c r="W91" i="12" a="1"/>
  <c r="Z88" i="12" a="1"/>
  <c r="Z45" i="12" a="1"/>
  <c r="Y39" i="12" a="1"/>
  <c r="W65" i="12" a="1"/>
  <c r="Y91" i="12" a="1"/>
  <c r="Y88" i="12" a="1"/>
  <c r="AB78" i="12" a="1"/>
  <c r="AA46" i="12" a="1"/>
  <c r="AB80" i="12" a="1"/>
  <c r="X95" i="12" a="1"/>
  <c r="Z72" i="12" a="1"/>
  <c r="X56" i="12" a="1"/>
  <c r="W46" i="12" a="1"/>
  <c r="X79" i="12" a="1"/>
  <c r="W40" i="12" a="1"/>
  <c r="X27" i="12" a="1"/>
  <c r="Z64" i="12" a="1"/>
  <c r="W86" i="12" a="1"/>
  <c r="Z57" i="12" a="1"/>
  <c r="AA40" i="12" a="1"/>
  <c r="Z70" i="12" a="1"/>
  <c r="AB10" i="12" a="1"/>
  <c r="W16" i="12" a="1"/>
  <c r="AA56" i="12" a="1"/>
  <c r="Y10" i="12" a="1"/>
  <c r="Y73" i="12" a="1"/>
  <c r="AB38" i="12" a="1"/>
  <c r="Z63" i="12" a="1"/>
  <c r="AB92" i="12" a="1"/>
  <c r="AB91" i="12" a="1"/>
  <c r="Y95" i="12" a="1"/>
  <c r="AA10" i="12" a="1"/>
  <c r="Z15" i="12" a="1"/>
  <c r="Y79" i="12" a="1"/>
  <c r="W64" i="12" a="1"/>
  <c r="Y102" i="12" a="1"/>
  <c r="Y63" i="12" a="1"/>
  <c r="Y71" i="12" a="1"/>
  <c r="AB67" i="12" a="1"/>
  <c r="AA73" i="12" a="1"/>
  <c r="Z86" i="12" a="1"/>
  <c r="AB66" i="12" a="1"/>
  <c r="X9" i="12" a="1"/>
  <c r="AA75" i="12" a="1"/>
  <c r="AA63" i="12" a="1"/>
  <c r="AB45" i="12" a="1"/>
  <c r="E52" i="12" l="1"/>
  <c r="K45" i="12"/>
  <c r="Q46" i="12"/>
  <c r="X74" i="12"/>
  <c r="X79" i="12"/>
  <c r="X70" i="12"/>
  <c r="X91" i="12"/>
  <c r="X16" i="12"/>
  <c r="X57" i="12"/>
  <c r="X71" i="12"/>
  <c r="BP52" i="14"/>
  <c r="BP53" i="14" s="1"/>
  <c r="BP60" i="14" s="1"/>
  <c r="BP98" i="14" s="1"/>
  <c r="AZ23" i="10"/>
  <c r="BA29" i="10"/>
  <c r="BG53" i="14"/>
  <c r="BG54" i="14" s="1"/>
  <c r="BC29" i="14"/>
  <c r="BI102" i="14"/>
  <c r="BJ102" i="14"/>
  <c r="BH60" i="10"/>
  <c r="BH98" i="10" s="1"/>
  <c r="K72" i="12"/>
  <c r="E41" i="12"/>
  <c r="K77" i="12"/>
  <c r="BP102" i="10"/>
  <c r="BC102" i="14"/>
  <c r="BE29" i="14"/>
  <c r="BE35" i="14" s="1"/>
  <c r="BB102" i="14"/>
  <c r="BK98" i="14"/>
  <c r="BB23" i="14"/>
  <c r="BB35" i="14" s="1"/>
  <c r="BH60" i="14"/>
  <c r="BH98" i="14" s="1"/>
  <c r="BP26" i="14"/>
  <c r="BG102" i="14"/>
  <c r="BA60" i="14"/>
  <c r="BA98" i="14" s="1"/>
  <c r="K8" i="12"/>
  <c r="BP83" i="10"/>
  <c r="E20" i="12"/>
  <c r="E32" i="12" s="1"/>
  <c r="BG29" i="14"/>
  <c r="BG35" i="14" s="1"/>
  <c r="BB98" i="10"/>
  <c r="BF53" i="14"/>
  <c r="BF54" i="14" s="1"/>
  <c r="BQ27" i="14"/>
  <c r="Q78" i="12"/>
  <c r="AZ34" i="14"/>
  <c r="BI23" i="10"/>
  <c r="BI35" i="10" s="1"/>
  <c r="BF102" i="14"/>
  <c r="BA102" i="10"/>
  <c r="BG29" i="10"/>
  <c r="BF29" i="14"/>
  <c r="BD98" i="10"/>
  <c r="BE98" i="10"/>
  <c r="BJ98" i="14"/>
  <c r="BK98" i="10"/>
  <c r="BA35" i="8"/>
  <c r="BE35" i="8"/>
  <c r="Z66" i="12"/>
  <c r="Z87" i="12"/>
  <c r="AA44" i="12"/>
  <c r="AA87" i="12"/>
  <c r="AC32" i="10"/>
  <c r="AY29" i="14"/>
  <c r="E29" i="10"/>
  <c r="E35" i="10" s="1"/>
  <c r="E51" i="12"/>
  <c r="BP20" i="14"/>
  <c r="AH35" i="8"/>
  <c r="AV34" i="14"/>
  <c r="AN32" i="14"/>
  <c r="K53" i="10"/>
  <c r="K60" i="10" s="1"/>
  <c r="Q14" i="12"/>
  <c r="Q39" i="12"/>
  <c r="AT34" i="10"/>
  <c r="M53" i="14"/>
  <c r="M60" i="14" s="1"/>
  <c r="AS102" i="10"/>
  <c r="O35" i="9"/>
  <c r="BT51" i="14"/>
  <c r="AK29" i="10"/>
  <c r="M35" i="8"/>
  <c r="AY102" i="10"/>
  <c r="AN53" i="10"/>
  <c r="AN60" i="10" s="1"/>
  <c r="AN98" i="10" s="1"/>
  <c r="BT27" i="10"/>
  <c r="AJ35" i="1"/>
  <c r="H53" i="14"/>
  <c r="BT58" i="10"/>
  <c r="CB17" i="10"/>
  <c r="AI35" i="1"/>
  <c r="AA34" i="10"/>
  <c r="AY53" i="14"/>
  <c r="AY60" i="14" s="1"/>
  <c r="AY98" i="14" s="1"/>
  <c r="AU35" i="1"/>
  <c r="AO33" i="14"/>
  <c r="AD102" i="10"/>
  <c r="AY34" i="10"/>
  <c r="AX102" i="14"/>
  <c r="BP51" i="10"/>
  <c r="BP53" i="10" s="1"/>
  <c r="BP60" i="10" s="1"/>
  <c r="BP98" i="10" s="1"/>
  <c r="BQ17" i="10"/>
  <c r="AD29" i="10"/>
  <c r="J33" i="10"/>
  <c r="BT26" i="14"/>
  <c r="BT32" i="14" s="1"/>
  <c r="AC34" i="10"/>
  <c r="AB34" i="10"/>
  <c r="BR93" i="14"/>
  <c r="AL60" i="10"/>
  <c r="M35" i="9"/>
  <c r="U35" i="9"/>
  <c r="AT34" i="14"/>
  <c r="AW53" i="14"/>
  <c r="AW54" i="14" s="1"/>
  <c r="AI35" i="8"/>
  <c r="AQ29" i="10"/>
  <c r="Z34" i="14"/>
  <c r="W102" i="14"/>
  <c r="AG23" i="10"/>
  <c r="AG35" i="10" s="1"/>
  <c r="S35" i="9"/>
  <c r="Z23" i="10"/>
  <c r="AK32" i="14"/>
  <c r="AE34" i="10"/>
  <c r="W53" i="14"/>
  <c r="E11" i="12"/>
  <c r="E28" i="12"/>
  <c r="K70" i="12"/>
  <c r="AS33" i="14"/>
  <c r="E60" i="10"/>
  <c r="AY33" i="14"/>
  <c r="BP22" i="10"/>
  <c r="J32" i="10"/>
  <c r="I33" i="10"/>
  <c r="E35" i="9"/>
  <c r="K76" i="12"/>
  <c r="Q9" i="12"/>
  <c r="E22" i="12"/>
  <c r="Q75" i="12"/>
  <c r="K86" i="12"/>
  <c r="K80" i="12"/>
  <c r="Q16" i="12"/>
  <c r="X78" i="12"/>
  <c r="X38" i="12"/>
  <c r="X76" i="12"/>
  <c r="X92" i="12"/>
  <c r="AJ92" i="12" s="1"/>
  <c r="BS21" i="10"/>
  <c r="BS33" i="10" s="1"/>
  <c r="E83" i="12"/>
  <c r="Y67" i="12"/>
  <c r="Y66" i="12"/>
  <c r="BS51" i="10"/>
  <c r="N35" i="8"/>
  <c r="BS28" i="14"/>
  <c r="K73" i="12"/>
  <c r="K74" i="12"/>
  <c r="AI60" i="14"/>
  <c r="X35" i="8"/>
  <c r="BP52" i="10"/>
  <c r="H23" i="14"/>
  <c r="H24" i="14" s="1"/>
  <c r="V29" i="14"/>
  <c r="BQ22" i="14"/>
  <c r="W35" i="9"/>
  <c r="K33" i="14"/>
  <c r="H33" i="14"/>
  <c r="Y32" i="10"/>
  <c r="AX32" i="10"/>
  <c r="E34" i="10"/>
  <c r="X53" i="14"/>
  <c r="X54" i="14" s="1"/>
  <c r="BR102" i="10"/>
  <c r="V23" i="14"/>
  <c r="V24" i="14" s="1"/>
  <c r="AB53" i="10"/>
  <c r="AB60" i="10" s="1"/>
  <c r="AB98" i="10" s="1"/>
  <c r="F33" i="10"/>
  <c r="AC35" i="9"/>
  <c r="J23" i="10"/>
  <c r="AC102" i="10"/>
  <c r="AB29" i="10"/>
  <c r="L29" i="10"/>
  <c r="AM23" i="14"/>
  <c r="AM24" i="14" s="1"/>
  <c r="W35" i="8"/>
  <c r="AN32" i="10"/>
  <c r="G33" i="14"/>
  <c r="Y35" i="9"/>
  <c r="BT22" i="10"/>
  <c r="E89" i="12"/>
  <c r="K66" i="12"/>
  <c r="K88" i="12"/>
  <c r="K69" i="12"/>
  <c r="X40" i="12"/>
  <c r="X52" i="12" s="1"/>
  <c r="X44" i="12"/>
  <c r="X14" i="12"/>
  <c r="X17" i="12" s="1"/>
  <c r="X45" i="12"/>
  <c r="X51" i="12" s="1"/>
  <c r="X56" i="12"/>
  <c r="X46" i="12"/>
  <c r="BP11" i="10"/>
  <c r="Z78" i="12"/>
  <c r="AK33" i="14"/>
  <c r="W34" i="14"/>
  <c r="AM34" i="10"/>
  <c r="E17" i="12"/>
  <c r="E58" i="12"/>
  <c r="E27" i="12"/>
  <c r="K57" i="12"/>
  <c r="Q79" i="12"/>
  <c r="E21" i="12"/>
  <c r="K71" i="12"/>
  <c r="X88" i="12"/>
  <c r="X89" i="12" s="1"/>
  <c r="X8" i="12"/>
  <c r="X9" i="12"/>
  <c r="BC35" i="1"/>
  <c r="BB35" i="8"/>
  <c r="BJ35" i="1"/>
  <c r="Y68" i="12"/>
  <c r="AB16" i="12"/>
  <c r="AA15" i="12"/>
  <c r="AA66" i="12"/>
  <c r="Z39" i="12"/>
  <c r="Z32" i="14"/>
  <c r="X32" i="10"/>
  <c r="P32" i="14"/>
  <c r="M29" i="14"/>
  <c r="M30" i="14" s="1"/>
  <c r="AK102" i="10"/>
  <c r="AC35" i="1"/>
  <c r="X33" i="10"/>
  <c r="AS32" i="14"/>
  <c r="AD53" i="14"/>
  <c r="AD60" i="14" s="1"/>
  <c r="AD98" i="14" s="1"/>
  <c r="AC29" i="10"/>
  <c r="H34" i="14"/>
  <c r="AD34" i="10"/>
  <c r="AJ35" i="9"/>
  <c r="Y102" i="10"/>
  <c r="AX53" i="10"/>
  <c r="AX60" i="10" s="1"/>
  <c r="AX98" i="10" s="1"/>
  <c r="AN35" i="9"/>
  <c r="BT58" i="14"/>
  <c r="X33" i="14"/>
  <c r="W32" i="14"/>
  <c r="AV32" i="14"/>
  <c r="O32" i="14"/>
  <c r="V33" i="14"/>
  <c r="AR35" i="8"/>
  <c r="BS50" i="14"/>
  <c r="AP23" i="10"/>
  <c r="AP35" i="10" s="1"/>
  <c r="E35" i="1"/>
  <c r="AH34" i="10"/>
  <c r="G53" i="10"/>
  <c r="G60" i="10" s="1"/>
  <c r="L53" i="10"/>
  <c r="L60" i="10" s="1"/>
  <c r="BO58" i="14"/>
  <c r="Y33" i="10"/>
  <c r="AQ32" i="14"/>
  <c r="AH35" i="9"/>
  <c r="AW102" i="10"/>
  <c r="AR32" i="14"/>
  <c r="L33" i="10"/>
  <c r="AP33" i="10"/>
  <c r="W60" i="14"/>
  <c r="J53" i="14"/>
  <c r="J60" i="14" s="1"/>
  <c r="J98" i="14" s="1"/>
  <c r="K34" i="14"/>
  <c r="H35" i="8"/>
  <c r="D53" i="10"/>
  <c r="D60" i="10" s="1"/>
  <c r="D98" i="10" s="1"/>
  <c r="AG53" i="14"/>
  <c r="AG60" i="14" s="1"/>
  <c r="AG98" i="14" s="1"/>
  <c r="AA23" i="10"/>
  <c r="BO102" i="10"/>
  <c r="X29" i="14"/>
  <c r="X30" i="14" s="1"/>
  <c r="T102" i="14"/>
  <c r="W29" i="14"/>
  <c r="W30" i="14" s="1"/>
  <c r="AK60" i="10"/>
  <c r="AK98" i="10" s="1"/>
  <c r="F102" i="10"/>
  <c r="BR89" i="14"/>
  <c r="K102" i="10"/>
  <c r="AE23" i="14"/>
  <c r="AE24" i="14" s="1"/>
  <c r="BT89" i="10"/>
  <c r="BQ58" i="10"/>
  <c r="BS89" i="14"/>
  <c r="BQ27" i="10"/>
  <c r="BR20" i="10"/>
  <c r="BR32" i="10" s="1"/>
  <c r="BO33" i="8"/>
  <c r="BT93" i="10"/>
  <c r="BS51" i="14"/>
  <c r="BS47" i="10"/>
  <c r="BO26" i="10"/>
  <c r="BO32" i="10" s="1"/>
  <c r="BS47" i="14"/>
  <c r="BR17" i="14"/>
  <c r="Z67" i="12"/>
  <c r="AA69" i="12"/>
  <c r="AA63" i="12"/>
  <c r="W38" i="12"/>
  <c r="AA86" i="12"/>
  <c r="AA92" i="12"/>
  <c r="AG92" i="12" s="1"/>
  <c r="Z91" i="12"/>
  <c r="AB72" i="12"/>
  <c r="Y92" i="12"/>
  <c r="AK92" i="12" s="1"/>
  <c r="AA77" i="12"/>
  <c r="AB82" i="12"/>
  <c r="Y77" i="12"/>
  <c r="W74" i="12"/>
  <c r="AJ74" i="12" s="1"/>
  <c r="Y69" i="12"/>
  <c r="AA71" i="12"/>
  <c r="Y45" i="12"/>
  <c r="Y47" i="12" s="1"/>
  <c r="K29" i="10"/>
  <c r="T35" i="1"/>
  <c r="O23" i="14"/>
  <c r="O24" i="14" s="1"/>
  <c r="AS35" i="8"/>
  <c r="BY17" i="14"/>
  <c r="AR23" i="10"/>
  <c r="AR35" i="10" s="1"/>
  <c r="L102" i="14"/>
  <c r="AQ32" i="10"/>
  <c r="AH60" i="14"/>
  <c r="AH98" i="14" s="1"/>
  <c r="AL102" i="14"/>
  <c r="AK35" i="8"/>
  <c r="AR35" i="9"/>
  <c r="BQ26" i="14"/>
  <c r="BT17" i="14"/>
  <c r="X102" i="10"/>
  <c r="AG35" i="8"/>
  <c r="AM33" i="14"/>
  <c r="P35" i="8"/>
  <c r="I102" i="10"/>
  <c r="AP102" i="10"/>
  <c r="BQ89" i="14"/>
  <c r="BO23" i="8"/>
  <c r="BO35" i="8" s="1"/>
  <c r="U32" i="10"/>
  <c r="AC34" i="14"/>
  <c r="Z102" i="10"/>
  <c r="AV33" i="14"/>
  <c r="F102" i="14"/>
  <c r="AY23" i="14"/>
  <c r="AO23" i="10"/>
  <c r="J102" i="14"/>
  <c r="AY102" i="14"/>
  <c r="AA35" i="1"/>
  <c r="R35" i="8"/>
  <c r="AY35" i="8"/>
  <c r="AQ53" i="10"/>
  <c r="AQ60" i="10" s="1"/>
  <c r="BO26" i="14"/>
  <c r="L23" i="14"/>
  <c r="L24" i="14" s="1"/>
  <c r="AN33" i="14"/>
  <c r="BO34" i="1"/>
  <c r="K29" i="14"/>
  <c r="K30" i="14" s="1"/>
  <c r="AS33" i="10"/>
  <c r="O29" i="14"/>
  <c r="O30" i="14" s="1"/>
  <c r="W33" i="14"/>
  <c r="F23" i="14"/>
  <c r="F24" i="14" s="1"/>
  <c r="AL35" i="1"/>
  <c r="Z29" i="14"/>
  <c r="Z30" i="14" s="1"/>
  <c r="AD33" i="10"/>
  <c r="AF33" i="14"/>
  <c r="BR93" i="10"/>
  <c r="AB35" i="8"/>
  <c r="AK102" i="14"/>
  <c r="AF53" i="10"/>
  <c r="AF60" i="10" s="1"/>
  <c r="AF98" i="10" s="1"/>
  <c r="AN35" i="8"/>
  <c r="AI23" i="10"/>
  <c r="AI35" i="10" s="1"/>
  <c r="BQ17" i="14"/>
  <c r="AE29" i="10"/>
  <c r="AE35" i="10" s="1"/>
  <c r="N32" i="14"/>
  <c r="P32" i="10"/>
  <c r="Q102" i="14"/>
  <c r="AX33" i="14"/>
  <c r="P29" i="10"/>
  <c r="M34" i="10"/>
  <c r="H34" i="10"/>
  <c r="V35" i="9"/>
  <c r="AW35" i="1"/>
  <c r="BS89" i="10"/>
  <c r="AJ102" i="14"/>
  <c r="BT102" i="14"/>
  <c r="G102" i="14"/>
  <c r="D102" i="14"/>
  <c r="AW33" i="10"/>
  <c r="AY33" i="10"/>
  <c r="AG35" i="9"/>
  <c r="R29" i="14"/>
  <c r="R30" i="14" s="1"/>
  <c r="Q102" i="10"/>
  <c r="BO52" i="10"/>
  <c r="Y29" i="14"/>
  <c r="Y30" i="14" s="1"/>
  <c r="AF29" i="14"/>
  <c r="AF30" i="14" s="1"/>
  <c r="Q34" i="10"/>
  <c r="P53" i="10"/>
  <c r="P60" i="10" s="1"/>
  <c r="P98" i="10" s="1"/>
  <c r="Y23" i="14"/>
  <c r="Y24" i="14" s="1"/>
  <c r="AI29" i="10"/>
  <c r="BQ93" i="10"/>
  <c r="BO89" i="14"/>
  <c r="H60" i="10"/>
  <c r="H98" i="10" s="1"/>
  <c r="AF35" i="8"/>
  <c r="AG32" i="14"/>
  <c r="AJ33" i="14"/>
  <c r="BQ20" i="14"/>
  <c r="Y35" i="1"/>
  <c r="I34" i="10"/>
  <c r="N23" i="10"/>
  <c r="S53" i="14"/>
  <c r="S54" i="14" s="1"/>
  <c r="AO35" i="9"/>
  <c r="BQ21" i="10"/>
  <c r="Y102" i="14"/>
  <c r="AO102" i="10"/>
  <c r="P102" i="14"/>
  <c r="AX34" i="14"/>
  <c r="D53" i="14"/>
  <c r="D54" i="14" s="1"/>
  <c r="H35" i="9"/>
  <c r="AX29" i="10"/>
  <c r="AU23" i="10"/>
  <c r="G23" i="10"/>
  <c r="G35" i="10" s="1"/>
  <c r="AU53" i="10"/>
  <c r="AU60" i="10" s="1"/>
  <c r="AS35" i="9"/>
  <c r="AV102" i="14"/>
  <c r="AI34" i="10"/>
  <c r="H35" i="1"/>
  <c r="Q32" i="14"/>
  <c r="AE33" i="14"/>
  <c r="AU35" i="9"/>
  <c r="AB102" i="10"/>
  <c r="X102" i="14"/>
  <c r="J53" i="10"/>
  <c r="J60" i="10" s="1"/>
  <c r="J98" i="10" s="1"/>
  <c r="AT33" i="14"/>
  <c r="BY17" i="10"/>
  <c r="BQ29" i="10" s="1"/>
  <c r="AW102" i="14"/>
  <c r="AW32" i="10"/>
  <c r="Z35" i="1"/>
  <c r="I23" i="10"/>
  <c r="AQ34" i="10"/>
  <c r="AJ53" i="14"/>
  <c r="AJ60" i="14" s="1"/>
  <c r="S32" i="10"/>
  <c r="Y71" i="12"/>
  <c r="AB68" i="12"/>
  <c r="Q23" i="10"/>
  <c r="BO58" i="10"/>
  <c r="K102" i="14"/>
  <c r="R35" i="9"/>
  <c r="H33" i="10"/>
  <c r="AO60" i="10"/>
  <c r="AM102" i="10"/>
  <c r="AJ23" i="14"/>
  <c r="AJ24" i="14" s="1"/>
  <c r="Q29" i="10"/>
  <c r="BT17" i="10"/>
  <c r="BR52" i="14"/>
  <c r="F35" i="9"/>
  <c r="AB35" i="9"/>
  <c r="AG53" i="10"/>
  <c r="AG60" i="10" s="1"/>
  <c r="BO23" i="9"/>
  <c r="BO29" i="9"/>
  <c r="U102" i="10"/>
  <c r="BS58" i="10"/>
  <c r="AL98" i="10"/>
  <c r="E102" i="10"/>
  <c r="AB66" i="12"/>
  <c r="Z77" i="12"/>
  <c r="Z40" i="12"/>
  <c r="AA74" i="12"/>
  <c r="AB77" i="12"/>
  <c r="Y56" i="12"/>
  <c r="AT60" i="14"/>
  <c r="AL29" i="10"/>
  <c r="AL35" i="10" s="1"/>
  <c r="BT102" i="10"/>
  <c r="N34" i="14"/>
  <c r="Z68" i="12"/>
  <c r="Z65" i="12"/>
  <c r="Y82" i="12"/>
  <c r="Z79" i="12"/>
  <c r="AA79" i="12"/>
  <c r="Z73" i="12"/>
  <c r="AB79" i="12"/>
  <c r="AA64" i="12"/>
  <c r="Z74" i="12"/>
  <c r="AL74" i="12" s="1"/>
  <c r="W81" i="12"/>
  <c r="AJ81" i="12" s="1"/>
  <c r="AA76" i="12"/>
  <c r="Z72" i="12"/>
  <c r="H23" i="10"/>
  <c r="P33" i="14"/>
  <c r="AV23" i="14"/>
  <c r="Q35" i="1"/>
  <c r="AK32" i="10"/>
  <c r="E53" i="14"/>
  <c r="E60" i="14" s="1"/>
  <c r="E98" i="14" s="1"/>
  <c r="AH29" i="10"/>
  <c r="L35" i="1"/>
  <c r="AA35" i="9"/>
  <c r="AU98" i="10"/>
  <c r="D35" i="8"/>
  <c r="AB32" i="10"/>
  <c r="T102" i="10"/>
  <c r="AV35" i="9"/>
  <c r="G35" i="1"/>
  <c r="BO29" i="8"/>
  <c r="AU32" i="14"/>
  <c r="M23" i="10"/>
  <c r="T34" i="10"/>
  <c r="S23" i="10"/>
  <c r="BT20" i="10"/>
  <c r="BS20" i="14"/>
  <c r="BR51" i="14"/>
  <c r="BR41" i="10"/>
  <c r="BO17" i="14"/>
  <c r="BO34" i="8"/>
  <c r="BR50" i="10"/>
  <c r="Z44" i="12"/>
  <c r="Y81" i="12"/>
  <c r="W87" i="12"/>
  <c r="AK87" i="12" s="1"/>
  <c r="AB38" i="12"/>
  <c r="AB71" i="12"/>
  <c r="AB73" i="12"/>
  <c r="Y86" i="12"/>
  <c r="AB87" i="12"/>
  <c r="AA67" i="12"/>
  <c r="W88" i="12"/>
  <c r="AD88" i="12" s="1"/>
  <c r="Y64" i="12"/>
  <c r="AB75" i="12"/>
  <c r="AA39" i="12"/>
  <c r="AB80" i="12"/>
  <c r="W46" i="12"/>
  <c r="AK46" i="12" s="1"/>
  <c r="AB69" i="12"/>
  <c r="Y75" i="12"/>
  <c r="AA65" i="12"/>
  <c r="Z86" i="12"/>
  <c r="AB64" i="12"/>
  <c r="H29" i="10"/>
  <c r="AX53" i="14"/>
  <c r="AX60" i="14" s="1"/>
  <c r="AX98" i="14" s="1"/>
  <c r="AA29" i="10"/>
  <c r="AA35" i="10" s="1"/>
  <c r="H102" i="14"/>
  <c r="V53" i="10"/>
  <c r="V60" i="10" s="1"/>
  <c r="V98" i="10" s="1"/>
  <c r="BO21" i="14"/>
  <c r="U35" i="8"/>
  <c r="AL35" i="9"/>
  <c r="AT23" i="10"/>
  <c r="AA34" i="14"/>
  <c r="S53" i="10"/>
  <c r="S60" i="10" s="1"/>
  <c r="S98" i="10" s="1"/>
  <c r="AA23" i="14"/>
  <c r="AA24" i="14" s="1"/>
  <c r="AV29" i="14"/>
  <c r="AV35" i="14" s="1"/>
  <c r="N102" i="14"/>
  <c r="BW17" i="14"/>
  <c r="AR98" i="10"/>
  <c r="AD23" i="14"/>
  <c r="AD24" i="14" s="1"/>
  <c r="AK23" i="14"/>
  <c r="AK24" i="14" s="1"/>
  <c r="BQ102" i="14"/>
  <c r="BR21" i="14"/>
  <c r="BR33" i="14" s="1"/>
  <c r="AW34" i="10"/>
  <c r="AF35" i="1"/>
  <c r="P53" i="14"/>
  <c r="P54" i="14" s="1"/>
  <c r="AX35" i="9"/>
  <c r="AK29" i="14"/>
  <c r="AK30" i="14" s="1"/>
  <c r="AR33" i="14"/>
  <c r="M32" i="14"/>
  <c r="L23" i="10"/>
  <c r="BO89" i="10"/>
  <c r="AP53" i="14"/>
  <c r="AP60" i="14" s="1"/>
  <c r="AP98" i="14" s="1"/>
  <c r="AG35" i="1"/>
  <c r="AS32" i="10"/>
  <c r="M102" i="14"/>
  <c r="AO102" i="14"/>
  <c r="X60" i="14"/>
  <c r="X98" i="14" s="1"/>
  <c r="AU29" i="10"/>
  <c r="AW35" i="9"/>
  <c r="I98" i="14"/>
  <c r="R32" i="10"/>
  <c r="L34" i="14"/>
  <c r="AW53" i="10"/>
  <c r="AW60" i="10" s="1"/>
  <c r="AW98" i="10" s="1"/>
  <c r="M102" i="10"/>
  <c r="Y33" i="14"/>
  <c r="M35" i="1"/>
  <c r="Y32" i="14"/>
  <c r="AM53" i="10"/>
  <c r="AM60" i="10" s="1"/>
  <c r="AM98" i="10" s="1"/>
  <c r="AA60" i="10"/>
  <c r="AA98" i="10" s="1"/>
  <c r="M29" i="10"/>
  <c r="D29" i="10"/>
  <c r="AM53" i="14"/>
  <c r="AM60" i="14" s="1"/>
  <c r="AM98" i="14" s="1"/>
  <c r="AV53" i="14"/>
  <c r="AV54" i="14" s="1"/>
  <c r="AT35" i="1"/>
  <c r="E33" i="10"/>
  <c r="AC53" i="10"/>
  <c r="Z35" i="8"/>
  <c r="AL23" i="14"/>
  <c r="H60" i="14"/>
  <c r="H98" i="14" s="1"/>
  <c r="AM29" i="10"/>
  <c r="F23" i="10"/>
  <c r="D23" i="10"/>
  <c r="Y29" i="10"/>
  <c r="Y35" i="10" s="1"/>
  <c r="T29" i="10"/>
  <c r="AH23" i="10"/>
  <c r="AH35" i="10" s="1"/>
  <c r="BS17" i="10"/>
  <c r="BR41" i="14"/>
  <c r="AU53" i="14"/>
  <c r="AU60" i="14" s="1"/>
  <c r="AU98" i="14" s="1"/>
  <c r="F29" i="10"/>
  <c r="S35" i="8"/>
  <c r="AN33" i="10"/>
  <c r="BR28" i="10"/>
  <c r="X29" i="10"/>
  <c r="AL29" i="14"/>
  <c r="AL30" i="14" s="1"/>
  <c r="BT51" i="10"/>
  <c r="BO32" i="1"/>
  <c r="BR47" i="10"/>
  <c r="BO53" i="1"/>
  <c r="BO60" i="1" s="1"/>
  <c r="BO98" i="1" s="1"/>
  <c r="BR22" i="10"/>
  <c r="BO47" i="10"/>
  <c r="BO33" i="9"/>
  <c r="BO50" i="10"/>
  <c r="BO34" i="9"/>
  <c r="BT21" i="10"/>
  <c r="BT33" i="10" s="1"/>
  <c r="BT41" i="10"/>
  <c r="BO21" i="10"/>
  <c r="BS26" i="14"/>
  <c r="BZ17" i="10"/>
  <c r="BT47" i="10"/>
  <c r="BT29" i="10" s="1"/>
  <c r="Z16" i="12"/>
  <c r="Y38" i="12"/>
  <c r="Z88" i="12"/>
  <c r="Z56" i="12"/>
  <c r="AB46" i="12"/>
  <c r="W95" i="12"/>
  <c r="W96" i="12" s="1"/>
  <c r="AB45" i="12"/>
  <c r="AB88" i="12"/>
  <c r="Y40" i="12"/>
  <c r="Y63" i="12"/>
  <c r="AA78" i="12"/>
  <c r="AB14" i="12"/>
  <c r="W14" i="12"/>
  <c r="Z57" i="12"/>
  <c r="W57" i="12"/>
  <c r="Z15" i="12"/>
  <c r="AA88" i="12"/>
  <c r="W78" i="12"/>
  <c r="W63" i="12"/>
  <c r="AD63" i="12" s="1"/>
  <c r="AA75" i="12"/>
  <c r="Z64" i="12"/>
  <c r="Y39" i="12"/>
  <c r="AA82" i="12"/>
  <c r="W75" i="12"/>
  <c r="Z92" i="12"/>
  <c r="AB92" i="12"/>
  <c r="AN92" i="12" s="1"/>
  <c r="AA56" i="12"/>
  <c r="Z81" i="12"/>
  <c r="AB57" i="12"/>
  <c r="AB74" i="12"/>
  <c r="Y73" i="12"/>
  <c r="Y15" i="12"/>
  <c r="Z63" i="12"/>
  <c r="Y80" i="12"/>
  <c r="W39" i="12"/>
  <c r="AD39" i="12" s="1"/>
  <c r="Z71" i="12"/>
  <c r="AA72" i="12"/>
  <c r="Z70" i="12"/>
  <c r="Z75" i="12"/>
  <c r="W65" i="12"/>
  <c r="AB81" i="12"/>
  <c r="AA91" i="12"/>
  <c r="AB40" i="12"/>
  <c r="AA45" i="12"/>
  <c r="Y65" i="12"/>
  <c r="AB56" i="12"/>
  <c r="W80" i="12"/>
  <c r="AL80" i="12" s="1"/>
  <c r="BR20" i="14"/>
  <c r="AT35" i="9"/>
  <c r="BQ51" i="10"/>
  <c r="BT26" i="10"/>
  <c r="BT52" i="14"/>
  <c r="Q60" i="14"/>
  <c r="Q98" i="14" s="1"/>
  <c r="R53" i="10"/>
  <c r="R60" i="10" s="1"/>
  <c r="R98" i="10" s="1"/>
  <c r="W23" i="10"/>
  <c r="BW17" i="10"/>
  <c r="BQ50" i="10"/>
  <c r="BT50" i="10"/>
  <c r="BS20" i="10"/>
  <c r="BS32" i="10" s="1"/>
  <c r="AH102" i="14"/>
  <c r="BO27" i="10"/>
  <c r="AL102" i="10"/>
  <c r="AR102" i="10"/>
  <c r="BO28" i="10"/>
  <c r="AW32" i="14"/>
  <c r="AY29" i="10"/>
  <c r="AY35" i="10" s="1"/>
  <c r="BQ93" i="14"/>
  <c r="AN29" i="14"/>
  <c r="AN30" i="14" s="1"/>
  <c r="R33" i="14"/>
  <c r="BO32" i="9"/>
  <c r="AM23" i="10"/>
  <c r="AU33" i="14"/>
  <c r="AT102" i="10"/>
  <c r="AW35" i="8"/>
  <c r="F33" i="14"/>
  <c r="J35" i="1"/>
  <c r="AH53" i="10"/>
  <c r="AH60" i="10" s="1"/>
  <c r="AH98" i="10" s="1"/>
  <c r="O33" i="14"/>
  <c r="BR21" i="10"/>
  <c r="BZ17" i="14"/>
  <c r="BT89" i="14"/>
  <c r="BR89" i="10"/>
  <c r="AG29" i="14"/>
  <c r="AG30" i="14" s="1"/>
  <c r="P23" i="10"/>
  <c r="AQ29" i="14"/>
  <c r="AQ30" i="14" s="1"/>
  <c r="BO20" i="14"/>
  <c r="AS29" i="10"/>
  <c r="AS35" i="10" s="1"/>
  <c r="AI53" i="10"/>
  <c r="AI60" i="10" s="1"/>
  <c r="AI98" i="10" s="1"/>
  <c r="X35" i="1"/>
  <c r="BO17" i="10"/>
  <c r="AD102" i="14"/>
  <c r="T32" i="10"/>
  <c r="V35" i="8"/>
  <c r="AI102" i="10"/>
  <c r="AS53" i="14"/>
  <c r="AS54" i="14" s="1"/>
  <c r="Z53" i="14"/>
  <c r="Z54" i="14" s="1"/>
  <c r="X32" i="14"/>
  <c r="W29" i="10"/>
  <c r="BO93" i="14"/>
  <c r="T23" i="10"/>
  <c r="BQ41" i="10"/>
  <c r="BQ23" i="10" s="1"/>
  <c r="BT28" i="10"/>
  <c r="BT41" i="14"/>
  <c r="AC23" i="10"/>
  <c r="AC35" i="10" s="1"/>
  <c r="AG23" i="14"/>
  <c r="AG24" i="14" s="1"/>
  <c r="AE102" i="10"/>
  <c r="L34" i="10"/>
  <c r="AW29" i="10"/>
  <c r="L35" i="8"/>
  <c r="AE33" i="10"/>
  <c r="AY35" i="9"/>
  <c r="AV53" i="10"/>
  <c r="AV60" i="10" s="1"/>
  <c r="AV98" i="10" s="1"/>
  <c r="AE53" i="14"/>
  <c r="AE60" i="14" s="1"/>
  <c r="AE98" i="14" s="1"/>
  <c r="AV29" i="10"/>
  <c r="L53" i="14"/>
  <c r="L54" i="14" s="1"/>
  <c r="V29" i="10"/>
  <c r="V35" i="10" s="1"/>
  <c r="AB23" i="14"/>
  <c r="AB24" i="14" s="1"/>
  <c r="AD29" i="14"/>
  <c r="AD30" i="14" s="1"/>
  <c r="AU34" i="14"/>
  <c r="AA98" i="14"/>
  <c r="BR83" i="10"/>
  <c r="BQ20" i="10"/>
  <c r="BR27" i="10"/>
  <c r="AE29" i="14"/>
  <c r="AE30" i="14" s="1"/>
  <c r="AI102" i="14"/>
  <c r="G98" i="10"/>
  <c r="BR58" i="10"/>
  <c r="BT52" i="10"/>
  <c r="I23" i="14"/>
  <c r="I24" i="14" s="1"/>
  <c r="AO29" i="14"/>
  <c r="AO30" i="14" s="1"/>
  <c r="BO51" i="10"/>
  <c r="G35" i="8"/>
  <c r="AO35" i="1"/>
  <c r="N29" i="14"/>
  <c r="N30" i="14" s="1"/>
  <c r="X53" i="10"/>
  <c r="X60" i="10" s="1"/>
  <c r="X98" i="10" s="1"/>
  <c r="BQ21" i="14"/>
  <c r="I29" i="10"/>
  <c r="BO41" i="10"/>
  <c r="M53" i="10"/>
  <c r="M60" i="10" s="1"/>
  <c r="M98" i="10" s="1"/>
  <c r="AU33" i="10"/>
  <c r="E33" i="14"/>
  <c r="AD32" i="10"/>
  <c r="L98" i="10"/>
  <c r="AU34" i="10"/>
  <c r="S33" i="10"/>
  <c r="BO53" i="8"/>
  <c r="BO60" i="8" s="1"/>
  <c r="BO98" i="8" s="1"/>
  <c r="R87" i="12"/>
  <c r="I34" i="14"/>
  <c r="BD35" i="14"/>
  <c r="O34" i="14"/>
  <c r="H32" i="14"/>
  <c r="AQ23" i="14"/>
  <c r="AQ24" i="14" s="1"/>
  <c r="AI33" i="14"/>
  <c r="I29" i="14"/>
  <c r="I30" i="14" s="1"/>
  <c r="G29" i="14"/>
  <c r="G30" i="14" s="1"/>
  <c r="AU102" i="14"/>
  <c r="AC102" i="14"/>
  <c r="S102" i="14"/>
  <c r="AB32" i="14"/>
  <c r="F53" i="14"/>
  <c r="F54" i="14" s="1"/>
  <c r="AO34" i="14"/>
  <c r="AT102" i="14"/>
  <c r="AQ102" i="14"/>
  <c r="E29" i="14"/>
  <c r="E30" i="14" s="1"/>
  <c r="AF102" i="14"/>
  <c r="U29" i="14"/>
  <c r="U30" i="14" s="1"/>
  <c r="AB53" i="14"/>
  <c r="AB60" i="14" s="1"/>
  <c r="AB98" i="14" s="1"/>
  <c r="L29" i="14"/>
  <c r="L30" i="14" s="1"/>
  <c r="AC12" i="14"/>
  <c r="AW23" i="14"/>
  <c r="AW29" i="14"/>
  <c r="BQ50" i="14"/>
  <c r="AS23" i="14"/>
  <c r="AS24" i="14" s="1"/>
  <c r="H12" i="14"/>
  <c r="P34" i="14"/>
  <c r="BO102" i="14"/>
  <c r="BS102" i="14"/>
  <c r="Z23" i="14"/>
  <c r="Z24" i="14" s="1"/>
  <c r="E23" i="14"/>
  <c r="E24" i="14" s="1"/>
  <c r="U23" i="14"/>
  <c r="U24" i="14" s="1"/>
  <c r="BT21" i="14"/>
  <c r="BT33" i="14" s="1"/>
  <c r="U102" i="14"/>
  <c r="AK53" i="14"/>
  <c r="AK60" i="14" s="1"/>
  <c r="AK98" i="14" s="1"/>
  <c r="V102" i="14"/>
  <c r="R102" i="14"/>
  <c r="BO28" i="14"/>
  <c r="BS17" i="14"/>
  <c r="G32" i="14"/>
  <c r="AA68" i="12"/>
  <c r="Y88" i="12"/>
  <c r="AA14" i="12"/>
  <c r="Z38" i="12"/>
  <c r="Z76" i="12"/>
  <c r="Y57" i="12"/>
  <c r="AB44" i="12"/>
  <c r="AB78" i="12"/>
  <c r="Z46" i="12"/>
  <c r="Y74" i="12"/>
  <c r="Z45" i="12"/>
  <c r="AA73" i="12"/>
  <c r="AA57" i="12"/>
  <c r="W64" i="12"/>
  <c r="W15" i="12"/>
  <c r="AJ15" i="12" s="1"/>
  <c r="W71" i="12"/>
  <c r="Z102" i="14"/>
  <c r="F29" i="14"/>
  <c r="F30" i="14" s="1"/>
  <c r="K53" i="14"/>
  <c r="K60" i="14" s="1"/>
  <c r="K98" i="14" s="1"/>
  <c r="X23" i="10"/>
  <c r="R53" i="14"/>
  <c r="R60" i="14" s="1"/>
  <c r="R98" i="14" s="1"/>
  <c r="AS35" i="1"/>
  <c r="AC23" i="14"/>
  <c r="AC24" i="14" s="1"/>
  <c r="AP102" i="14"/>
  <c r="W98" i="14"/>
  <c r="AD23" i="10"/>
  <c r="AF53" i="14"/>
  <c r="AF60" i="14" s="1"/>
  <c r="AF98" i="14" s="1"/>
  <c r="N35" i="9"/>
  <c r="AC29" i="14"/>
  <c r="AC30" i="14" s="1"/>
  <c r="S102" i="10"/>
  <c r="Q23" i="14"/>
  <c r="Q24" i="14" s="1"/>
  <c r="K23" i="10"/>
  <c r="K35" i="10" s="1"/>
  <c r="AX23" i="14"/>
  <c r="AX35" i="14" s="1"/>
  <c r="O53" i="10"/>
  <c r="O60" i="10" s="1"/>
  <c r="O98" i="10" s="1"/>
  <c r="BS83" i="10"/>
  <c r="BQ58" i="14"/>
  <c r="P23" i="14"/>
  <c r="P24" i="14" s="1"/>
  <c r="BR58" i="14"/>
  <c r="BO29" i="1"/>
  <c r="AI98" i="14"/>
  <c r="AW23" i="10"/>
  <c r="AD60" i="10"/>
  <c r="AD98" i="10" s="1"/>
  <c r="K33" i="10"/>
  <c r="X35" i="9"/>
  <c r="Z35" i="9"/>
  <c r="Q29" i="14"/>
  <c r="Q30" i="14" s="1"/>
  <c r="J29" i="14"/>
  <c r="J30" i="14" s="1"/>
  <c r="Q53" i="10"/>
  <c r="Q60" i="10" s="1"/>
  <c r="Q98" i="10" s="1"/>
  <c r="J33" i="14"/>
  <c r="P29" i="14"/>
  <c r="P30" i="14" s="1"/>
  <c r="N53" i="14"/>
  <c r="N60" i="14" s="1"/>
  <c r="N98" i="14" s="1"/>
  <c r="AX23" i="10"/>
  <c r="AX35" i="10" s="1"/>
  <c r="AO23" i="14"/>
  <c r="AO24" i="14" s="1"/>
  <c r="AT98" i="14"/>
  <c r="AJ98" i="10"/>
  <c r="BR47" i="14"/>
  <c r="AA33" i="14"/>
  <c r="M18" i="14"/>
  <c r="M23" i="14"/>
  <c r="M24" i="14" s="1"/>
  <c r="AB67" i="12"/>
  <c r="AA38" i="12"/>
  <c r="Y91" i="12"/>
  <c r="Y93" i="12" s="1"/>
  <c r="W56" i="12"/>
  <c r="W68" i="12"/>
  <c r="AA16" i="12"/>
  <c r="W44" i="12"/>
  <c r="CB17" i="14"/>
  <c r="AH23" i="14"/>
  <c r="AH24" i="14" s="1"/>
  <c r="BS102" i="10"/>
  <c r="AM35" i="9"/>
  <c r="AA29" i="14"/>
  <c r="AA30" i="14" s="1"/>
  <c r="AP53" i="10"/>
  <c r="AP60" i="10" s="1"/>
  <c r="AP98" i="10" s="1"/>
  <c r="AR53" i="14"/>
  <c r="AR54" i="14" s="1"/>
  <c r="N53" i="10"/>
  <c r="N60" i="10" s="1"/>
  <c r="N98" i="10" s="1"/>
  <c r="BO53" i="9"/>
  <c r="BO60" i="9" s="1"/>
  <c r="BO98" i="9" s="1"/>
  <c r="O53" i="14"/>
  <c r="T29" i="14"/>
  <c r="T30" i="14" s="1"/>
  <c r="Y53" i="10"/>
  <c r="Y60" i="10" s="1"/>
  <c r="Y98" i="10" s="1"/>
  <c r="AI23" i="14"/>
  <c r="AI24" i="14" s="1"/>
  <c r="AE53" i="10"/>
  <c r="AE60" i="10" s="1"/>
  <c r="AE98" i="10" s="1"/>
  <c r="AA102" i="14"/>
  <c r="AC53" i="14"/>
  <c r="AC60" i="14" s="1"/>
  <c r="I102" i="14"/>
  <c r="BR102" i="14"/>
  <c r="F34" i="14"/>
  <c r="BO32" i="8"/>
  <c r="AT29" i="10"/>
  <c r="AB102" i="14"/>
  <c r="G35" i="9"/>
  <c r="AJ98" i="14"/>
  <c r="K98" i="10"/>
  <c r="BO23" i="1"/>
  <c r="G53" i="14"/>
  <c r="G60" i="14" s="1"/>
  <c r="G98" i="14" s="1"/>
  <c r="R102" i="10"/>
  <c r="U32" i="14"/>
  <c r="BS41" i="10"/>
  <c r="AP23" i="14"/>
  <c r="AP24" i="14" s="1"/>
  <c r="D29" i="14"/>
  <c r="D30" i="14" s="1"/>
  <c r="J23" i="14"/>
  <c r="J24" i="14" s="1"/>
  <c r="AL60" i="14"/>
  <c r="AL98" i="14" s="1"/>
  <c r="AT60" i="10"/>
  <c r="AT98" i="10" s="1"/>
  <c r="AU29" i="14"/>
  <c r="AC60" i="10"/>
  <c r="AC98" i="10" s="1"/>
  <c r="D35" i="9"/>
  <c r="G21" i="12"/>
  <c r="AE102" i="14"/>
  <c r="AS102" i="14"/>
  <c r="U65" i="12"/>
  <c r="Z60" i="10"/>
  <c r="Z98" i="10" s="1"/>
  <c r="BQ83" i="10"/>
  <c r="AN29" i="10"/>
  <c r="AN35" i="10" s="1"/>
  <c r="P102" i="10"/>
  <c r="I53" i="10"/>
  <c r="I60" i="10" s="1"/>
  <c r="I98" i="10" s="1"/>
  <c r="AO98" i="10"/>
  <c r="AK23" i="10"/>
  <c r="AK35" i="10" s="1"/>
  <c r="AS98" i="10"/>
  <c r="W53" i="10"/>
  <c r="W60" i="10" s="1"/>
  <c r="W98" i="10" s="1"/>
  <c r="CA17" i="14"/>
  <c r="BS29" i="14" s="1"/>
  <c r="BI60" i="14"/>
  <c r="BI98" i="14" s="1"/>
  <c r="BS28" i="10"/>
  <c r="BQ47" i="14"/>
  <c r="BS52" i="10"/>
  <c r="BS22" i="10"/>
  <c r="CA17" i="10"/>
  <c r="BO41" i="14"/>
  <c r="BO23" i="14" s="1"/>
  <c r="BT83" i="10"/>
  <c r="BO22" i="14"/>
  <c r="BT50" i="14"/>
  <c r="BR28" i="14"/>
  <c r="BG60" i="14"/>
  <c r="BG98" i="14" s="1"/>
  <c r="BO52" i="14"/>
  <c r="BR22" i="14"/>
  <c r="BS22" i="14"/>
  <c r="BT47" i="14"/>
  <c r="BS83" i="14"/>
  <c r="BR26" i="14"/>
  <c r="BR11" i="10"/>
  <c r="W67" i="12"/>
  <c r="AB86" i="12"/>
  <c r="W77" i="12"/>
  <c r="AB70" i="12"/>
  <c r="W45" i="12"/>
  <c r="AA70" i="12"/>
  <c r="Z82" i="12"/>
  <c r="Y76" i="12"/>
  <c r="AB39" i="12"/>
  <c r="W70" i="12"/>
  <c r="AD70" i="12" s="1"/>
  <c r="BS52" i="14"/>
  <c r="T23" i="14"/>
  <c r="T24" i="14" s="1"/>
  <c r="AQ23" i="10"/>
  <c r="AQ35" i="10" s="1"/>
  <c r="AS29" i="14"/>
  <c r="AS30" i="14" s="1"/>
  <c r="BS41" i="14"/>
  <c r="U33" i="14"/>
  <c r="D33" i="10"/>
  <c r="M32" i="10"/>
  <c r="AU23" i="14"/>
  <c r="U53" i="10"/>
  <c r="U60" i="10" s="1"/>
  <c r="U98" i="10" s="1"/>
  <c r="BR83" i="14"/>
  <c r="BQ41" i="14"/>
  <c r="G23" i="14"/>
  <c r="G24" i="14" s="1"/>
  <c r="AB34" i="14"/>
  <c r="BO50" i="14"/>
  <c r="Y53" i="14"/>
  <c r="Y60" i="14" s="1"/>
  <c r="Y98" i="14" s="1"/>
  <c r="M98" i="14"/>
  <c r="BS21" i="14"/>
  <c r="BS33" i="14" s="1"/>
  <c r="D23" i="14"/>
  <c r="D24" i="14" s="1"/>
  <c r="W33" i="10"/>
  <c r="BQ51" i="14"/>
  <c r="L32" i="10"/>
  <c r="BQ83" i="14"/>
  <c r="T53" i="10"/>
  <c r="T60" i="10" s="1"/>
  <c r="T98" i="10" s="1"/>
  <c r="E98" i="10"/>
  <c r="AJ29" i="10"/>
  <c r="AJ35" i="10" s="1"/>
  <c r="AV23" i="10"/>
  <c r="AO34" i="10"/>
  <c r="F98" i="10"/>
  <c r="BO83" i="14"/>
  <c r="BO83" i="10"/>
  <c r="T77" i="12"/>
  <c r="Q86" i="12"/>
  <c r="L80" i="12"/>
  <c r="BT83" i="14"/>
  <c r="S68" i="12"/>
  <c r="BR50" i="14"/>
  <c r="BQ22" i="10"/>
  <c r="BQ34" i="10" s="1"/>
  <c r="BO22" i="10"/>
  <c r="R56" i="12"/>
  <c r="BO47" i="14"/>
  <c r="K16" i="12"/>
  <c r="T92" i="12"/>
  <c r="H89" i="12"/>
  <c r="L57" i="12"/>
  <c r="I22" i="12"/>
  <c r="L66" i="12"/>
  <c r="G50" i="12"/>
  <c r="O76" i="12"/>
  <c r="M57" i="12"/>
  <c r="Q57" i="12"/>
  <c r="L38" i="12"/>
  <c r="O77" i="12"/>
  <c r="D58" i="12"/>
  <c r="L92" i="12"/>
  <c r="T78" i="12"/>
  <c r="T66" i="12"/>
  <c r="U63" i="12"/>
  <c r="Q45" i="12"/>
  <c r="I50" i="12"/>
  <c r="M78" i="12"/>
  <c r="S79" i="12"/>
  <c r="I21" i="12"/>
  <c r="D26" i="12"/>
  <c r="Q26" i="12" s="1"/>
  <c r="O66" i="12"/>
  <c r="S74" i="12"/>
  <c r="T71" i="12"/>
  <c r="M65" i="12"/>
  <c r="R76" i="12"/>
  <c r="M56" i="12"/>
  <c r="N79" i="12"/>
  <c r="F93" i="12"/>
  <c r="U70" i="12"/>
  <c r="L64" i="12"/>
  <c r="G20" i="12"/>
  <c r="Q69" i="12"/>
  <c r="Q65" i="12"/>
  <c r="S82" i="12"/>
  <c r="F50" i="12"/>
  <c r="N63" i="12"/>
  <c r="R68" i="12"/>
  <c r="G28" i="12"/>
  <c r="T46" i="12"/>
  <c r="S57" i="12"/>
  <c r="R9" i="12"/>
  <c r="D52" i="12"/>
  <c r="Q52" i="12" s="1"/>
  <c r="Q71" i="12"/>
  <c r="I52" i="12"/>
  <c r="M82" i="12"/>
  <c r="D20" i="12"/>
  <c r="R66" i="12"/>
  <c r="R16" i="12"/>
  <c r="N71" i="12"/>
  <c r="T38" i="12"/>
  <c r="U8" i="12"/>
  <c r="Q66" i="12"/>
  <c r="N16" i="12"/>
  <c r="R63" i="12"/>
  <c r="N73" i="12"/>
  <c r="M69" i="12"/>
  <c r="U45" i="12"/>
  <c r="H50" i="12"/>
  <c r="R64" i="12"/>
  <c r="T57" i="12"/>
  <c r="N38" i="12"/>
  <c r="R82" i="12"/>
  <c r="K64" i="12"/>
  <c r="G51" i="12"/>
  <c r="S81" i="12"/>
  <c r="T74" i="12"/>
  <c r="F51" i="12"/>
  <c r="M66" i="12"/>
  <c r="S46" i="12"/>
  <c r="R57" i="12"/>
  <c r="O46" i="12"/>
  <c r="L91" i="12"/>
  <c r="R69" i="12"/>
  <c r="O74" i="12"/>
  <c r="M74" i="12"/>
  <c r="O79" i="12"/>
  <c r="K14" i="12"/>
  <c r="H21" i="12"/>
  <c r="L70" i="12"/>
  <c r="L79" i="12"/>
  <c r="M15" i="12"/>
  <c r="Q70" i="12"/>
  <c r="O45" i="12"/>
  <c r="U73" i="12"/>
  <c r="K91" i="12"/>
  <c r="N14" i="12"/>
  <c r="G93" i="12"/>
  <c r="L63" i="12"/>
  <c r="M70" i="12"/>
  <c r="S78" i="12"/>
  <c r="M71" i="12"/>
  <c r="T64" i="12"/>
  <c r="N9" i="12"/>
  <c r="Q44" i="12"/>
  <c r="D50" i="12"/>
  <c r="Q50" i="12" s="1"/>
  <c r="R78" i="12"/>
  <c r="N57" i="12"/>
  <c r="U71" i="12"/>
  <c r="S10" i="12"/>
  <c r="R10" i="12"/>
  <c r="L67" i="12"/>
  <c r="M38" i="12"/>
  <c r="F27" i="12"/>
  <c r="T45" i="12"/>
  <c r="H11" i="12"/>
  <c r="S14" i="12"/>
  <c r="U75" i="12"/>
  <c r="T9" i="12"/>
  <c r="O73" i="12"/>
  <c r="S63" i="12"/>
  <c r="S69" i="12"/>
  <c r="T8" i="12"/>
  <c r="M9" i="12"/>
  <c r="G26" i="12"/>
  <c r="R74" i="12"/>
  <c r="O63" i="12"/>
  <c r="M76" i="12"/>
  <c r="M44" i="12"/>
  <c r="N72" i="12"/>
  <c r="L87" i="12"/>
  <c r="U9" i="12"/>
  <c r="M77" i="12"/>
  <c r="Q80" i="12"/>
  <c r="K46" i="12"/>
  <c r="Q73" i="12"/>
  <c r="Q64" i="12"/>
  <c r="G89" i="12"/>
  <c r="I27" i="12"/>
  <c r="O71" i="12"/>
  <c r="R71" i="12"/>
  <c r="U79" i="12"/>
  <c r="S9" i="12"/>
  <c r="N8" i="12"/>
  <c r="O56" i="12"/>
  <c r="K44" i="12"/>
  <c r="K65" i="12"/>
  <c r="T14" i="12"/>
  <c r="T76" i="12"/>
  <c r="N45" i="12"/>
  <c r="U74" i="12"/>
  <c r="O65" i="12"/>
  <c r="L82" i="12"/>
  <c r="S65" i="12"/>
  <c r="L44" i="12"/>
  <c r="T79" i="12"/>
  <c r="T91" i="12"/>
  <c r="H26" i="12"/>
  <c r="O82" i="12"/>
  <c r="M14" i="12"/>
  <c r="H20" i="12"/>
  <c r="U82" i="12"/>
  <c r="Q95" i="12"/>
  <c r="U69" i="12"/>
  <c r="L74" i="12"/>
  <c r="M88" i="12"/>
  <c r="N44" i="12"/>
  <c r="R44" i="12"/>
  <c r="T44" i="12"/>
  <c r="Q74" i="12"/>
  <c r="O91" i="12"/>
  <c r="S91" i="12"/>
  <c r="Q82" i="12"/>
  <c r="D47" i="12"/>
  <c r="K63" i="12"/>
  <c r="S88" i="12"/>
  <c r="U46" i="12"/>
  <c r="Q8" i="12"/>
  <c r="K95" i="12"/>
  <c r="F26" i="12"/>
  <c r="N82" i="12"/>
  <c r="F47" i="12"/>
  <c r="O78" i="12"/>
  <c r="U64" i="12"/>
  <c r="R77" i="12"/>
  <c r="U14" i="12"/>
  <c r="M8" i="12"/>
  <c r="F89" i="12"/>
  <c r="O10" i="12"/>
  <c r="N74" i="12"/>
  <c r="R92" i="12"/>
  <c r="O16" i="12"/>
  <c r="S38" i="12"/>
  <c r="F58" i="12"/>
  <c r="S64" i="12"/>
  <c r="R70" i="12"/>
  <c r="N88" i="12"/>
  <c r="L45" i="12"/>
  <c r="I58" i="12"/>
  <c r="O9" i="12"/>
  <c r="H58" i="12"/>
  <c r="N66" i="12"/>
  <c r="M73" i="12"/>
  <c r="M91" i="12"/>
  <c r="F21" i="12"/>
  <c r="I28" i="12"/>
  <c r="K56" i="12"/>
  <c r="S92" i="12"/>
  <c r="S8" i="12"/>
  <c r="S70" i="12"/>
  <c r="G47" i="12"/>
  <c r="O87" i="12"/>
  <c r="S56" i="12"/>
  <c r="U10" i="12"/>
  <c r="S77" i="12"/>
  <c r="S80" i="12"/>
  <c r="Q77" i="12"/>
  <c r="L95" i="12"/>
  <c r="O70" i="12"/>
  <c r="O80" i="12"/>
  <c r="N80" i="12"/>
  <c r="T56" i="12"/>
  <c r="S44" i="12"/>
  <c r="R73" i="12"/>
  <c r="G52" i="12"/>
  <c r="U80" i="12"/>
  <c r="U95" i="12"/>
  <c r="T87" i="12"/>
  <c r="S71" i="12"/>
  <c r="R91" i="12"/>
  <c r="D28" i="12"/>
  <c r="O96" i="12"/>
  <c r="N64" i="12"/>
  <c r="T80" i="12"/>
  <c r="U76" i="12"/>
  <c r="N87" i="12"/>
  <c r="S87" i="12"/>
  <c r="K10" i="12"/>
  <c r="D11" i="12"/>
  <c r="Q11" i="12" s="1"/>
  <c r="U66" i="12"/>
  <c r="L78" i="12"/>
  <c r="T69" i="12"/>
  <c r="R65" i="12"/>
  <c r="Q87" i="12"/>
  <c r="U92" i="12"/>
  <c r="M92" i="12"/>
  <c r="N76" i="12"/>
  <c r="S72" i="12"/>
  <c r="Q76" i="12"/>
  <c r="U38" i="12"/>
  <c r="O88" i="12"/>
  <c r="I93" i="12"/>
  <c r="K87" i="12"/>
  <c r="O14" i="12"/>
  <c r="M80" i="12"/>
  <c r="L76" i="12"/>
  <c r="F11" i="12"/>
  <c r="U68" i="12"/>
  <c r="S39" i="12"/>
  <c r="U57" i="12"/>
  <c r="I17" i="12"/>
  <c r="M72" i="12"/>
  <c r="M10" i="12"/>
  <c r="O92" i="12"/>
  <c r="U16" i="12"/>
  <c r="H41" i="12"/>
  <c r="M64" i="12"/>
  <c r="U56" i="12"/>
  <c r="I89" i="12"/>
  <c r="H83" i="12"/>
  <c r="N70" i="12"/>
  <c r="R45" i="12"/>
  <c r="S66" i="12"/>
  <c r="L46" i="12"/>
  <c r="L77" i="12"/>
  <c r="S15" i="12"/>
  <c r="T73" i="12"/>
  <c r="L8" i="12"/>
  <c r="M86" i="12"/>
  <c r="M45" i="12"/>
  <c r="L86" i="12"/>
  <c r="L71" i="12"/>
  <c r="D89" i="12"/>
  <c r="I26" i="12"/>
  <c r="M81" i="12"/>
  <c r="O44" i="12"/>
  <c r="H52" i="12"/>
  <c r="K81" i="12"/>
  <c r="U40" i="12"/>
  <c r="Q40" i="12"/>
  <c r="L75" i="12"/>
  <c r="G22" i="12"/>
  <c r="R8" i="12"/>
  <c r="I41" i="12"/>
  <c r="T75" i="12"/>
  <c r="I83" i="12"/>
  <c r="S86" i="12"/>
  <c r="R14" i="12"/>
  <c r="D51" i="12"/>
  <c r="U72" i="12"/>
  <c r="M87" i="12"/>
  <c r="K68" i="12"/>
  <c r="O72" i="12"/>
  <c r="L14" i="12"/>
  <c r="U78" i="12"/>
  <c r="K92" i="12"/>
  <c r="S73" i="12"/>
  <c r="T10" i="12"/>
  <c r="T72" i="12"/>
  <c r="O64" i="12"/>
  <c r="Q10" i="12"/>
  <c r="O67" i="12"/>
  <c r="L73" i="12"/>
  <c r="R46" i="12"/>
  <c r="M39" i="12"/>
  <c r="Q72" i="12"/>
  <c r="O57" i="12"/>
  <c r="D93" i="12"/>
  <c r="G27" i="12"/>
  <c r="T70" i="12"/>
  <c r="G58" i="12"/>
  <c r="Q63" i="12"/>
  <c r="M46" i="12"/>
  <c r="N69" i="12"/>
  <c r="R75" i="12"/>
  <c r="U67" i="12"/>
  <c r="N40" i="12"/>
  <c r="L69" i="12"/>
  <c r="U91" i="12"/>
  <c r="Q68" i="12"/>
  <c r="L56" i="12"/>
  <c r="L81" i="12"/>
  <c r="R72" i="12"/>
  <c r="T63" i="12"/>
  <c r="U81" i="12"/>
  <c r="N56" i="12"/>
  <c r="K78" i="12"/>
  <c r="F41" i="12"/>
  <c r="N91" i="12"/>
  <c r="U77" i="12"/>
  <c r="N39" i="12"/>
  <c r="R39" i="12"/>
  <c r="I51" i="12"/>
  <c r="F20" i="12"/>
  <c r="L39" i="12"/>
  <c r="L10" i="12"/>
  <c r="U86" i="12"/>
  <c r="N67" i="12"/>
  <c r="F52" i="12"/>
  <c r="O68" i="12"/>
  <c r="G41" i="12"/>
  <c r="G11" i="12"/>
  <c r="H27" i="12"/>
  <c r="O40" i="12"/>
  <c r="U15" i="12"/>
  <c r="M79" i="12"/>
  <c r="O86" i="12"/>
  <c r="S76" i="12"/>
  <c r="H22" i="12"/>
  <c r="S75" i="12"/>
  <c r="T86" i="12"/>
  <c r="N86" i="12"/>
  <c r="U87" i="12"/>
  <c r="N10" i="12"/>
  <c r="O69" i="12"/>
  <c r="R86" i="12"/>
  <c r="I11" i="12"/>
  <c r="T39" i="12"/>
  <c r="M75" i="12"/>
  <c r="K39" i="12"/>
  <c r="T68" i="12"/>
  <c r="R88" i="12"/>
  <c r="R79" i="12"/>
  <c r="T40" i="12"/>
  <c r="N68" i="12"/>
  <c r="L68" i="12"/>
  <c r="K79" i="12"/>
  <c r="O38" i="12"/>
  <c r="T88" i="12"/>
  <c r="L72" i="12"/>
  <c r="M63" i="12"/>
  <c r="I20" i="12"/>
  <c r="N65" i="12"/>
  <c r="Q88" i="12"/>
  <c r="R38" i="12"/>
  <c r="N46" i="12"/>
  <c r="S16" i="12"/>
  <c r="G83" i="12"/>
  <c r="O15" i="12"/>
  <c r="H17" i="12"/>
  <c r="T81" i="12"/>
  <c r="F17" i="12"/>
  <c r="M95" i="12"/>
  <c r="O95" i="12"/>
  <c r="S45" i="12"/>
  <c r="H51" i="12"/>
  <c r="T65" i="12"/>
  <c r="S95" i="12"/>
  <c r="L9" i="12"/>
  <c r="F22" i="12"/>
  <c r="U88" i="12"/>
  <c r="L65" i="12"/>
  <c r="Q38" i="12"/>
  <c r="K82" i="12"/>
  <c r="K9" i="12"/>
  <c r="R95" i="12"/>
  <c r="O81" i="12"/>
  <c r="D17" i="12"/>
  <c r="L88" i="12"/>
  <c r="T82" i="12"/>
  <c r="Q81" i="12"/>
  <c r="Z14" i="12"/>
  <c r="AB15" i="12"/>
  <c r="AA9" i="12"/>
  <c r="Z69" i="12"/>
  <c r="AA40" i="12"/>
  <c r="AA81" i="12"/>
  <c r="Y8" i="12"/>
  <c r="Y9" i="12"/>
  <c r="W69" i="12"/>
  <c r="W79" i="12"/>
  <c r="Y70" i="12"/>
  <c r="W73" i="12"/>
  <c r="AD73" i="12" s="1"/>
  <c r="AB65" i="12"/>
  <c r="AA10" i="12"/>
  <c r="AB9" i="12"/>
  <c r="Z10" i="12"/>
  <c r="Z9" i="12"/>
  <c r="W72" i="12"/>
  <c r="AE72" i="12" s="1"/>
  <c r="AB63" i="12"/>
  <c r="W8" i="12"/>
  <c r="Y16" i="12"/>
  <c r="W16" i="12"/>
  <c r="W40" i="12"/>
  <c r="AB10" i="12"/>
  <c r="W9" i="12"/>
  <c r="Y10" i="12"/>
  <c r="W76" i="12"/>
  <c r="AH76" i="12" s="1"/>
  <c r="W10" i="12"/>
  <c r="AB8" i="12"/>
  <c r="Y79" i="12"/>
  <c r="W82" i="12"/>
  <c r="W86" i="12"/>
  <c r="W91" i="12"/>
  <c r="AA46" i="12"/>
  <c r="W66" i="12"/>
  <c r="AD66" i="12" s="1"/>
  <c r="AB91" i="12"/>
  <c r="O75" i="12"/>
  <c r="R67" i="12"/>
  <c r="F83" i="12"/>
  <c r="L40" i="12"/>
  <c r="N23" i="14"/>
  <c r="N24" i="14" s="1"/>
  <c r="AQ34" i="14"/>
  <c r="O8" i="12"/>
  <c r="R80" i="12"/>
  <c r="L16" i="12"/>
  <c r="Q67" i="12"/>
  <c r="T15" i="12"/>
  <c r="F28" i="12"/>
  <c r="BO27" i="14"/>
  <c r="BO51" i="14"/>
  <c r="BQ11" i="10"/>
  <c r="BS11" i="10"/>
  <c r="V53" i="14"/>
  <c r="AU32" i="10"/>
  <c r="U53" i="14"/>
  <c r="AB23" i="10"/>
  <c r="AC98" i="14"/>
  <c r="AV32" i="10"/>
  <c r="Q32" i="10"/>
  <c r="K67" i="12"/>
  <c r="T67" i="12"/>
  <c r="BO11" i="10"/>
  <c r="BR17" i="10"/>
  <c r="K40" i="12"/>
  <c r="T60" i="14"/>
  <c r="T98" i="14" s="1"/>
  <c r="D27" i="12"/>
  <c r="S67" i="12"/>
  <c r="M40" i="12"/>
  <c r="N77" i="12"/>
  <c r="L15" i="12"/>
  <c r="M68" i="12"/>
  <c r="G17" i="12"/>
  <c r="K15" i="12"/>
  <c r="AB29" i="14"/>
  <c r="AB30" i="14" s="1"/>
  <c r="AN53" i="14"/>
  <c r="AN60" i="14" s="1"/>
  <c r="AN98" i="14" s="1"/>
  <c r="D22" i="12"/>
  <c r="Q22" i="12" s="1"/>
  <c r="N78" i="12"/>
  <c r="AG98" i="10"/>
  <c r="T16" i="12"/>
  <c r="U44" i="12"/>
  <c r="N75" i="12"/>
  <c r="N95" i="12"/>
  <c r="D83" i="12"/>
  <c r="O39" i="12"/>
  <c r="H47" i="12"/>
  <c r="U23" i="10"/>
  <c r="U35" i="10" s="1"/>
  <c r="Q15" i="12"/>
  <c r="AO35" i="8"/>
  <c r="BQ52" i="14"/>
  <c r="M16" i="12"/>
  <c r="N92" i="12"/>
  <c r="R40" i="12"/>
  <c r="D41" i="12"/>
  <c r="H93" i="12"/>
  <c r="N81" i="12"/>
  <c r="AY53" i="10"/>
  <c r="AY60" i="10" s="1"/>
  <c r="AY98" i="10" s="1"/>
  <c r="K75" i="12"/>
  <c r="AO98" i="14"/>
  <c r="S40" i="12"/>
  <c r="R15" i="12"/>
  <c r="U39" i="12"/>
  <c r="H28" i="12"/>
  <c r="T95" i="12"/>
  <c r="R81" i="12"/>
  <c r="D21" i="12"/>
  <c r="BT11" i="10"/>
  <c r="U34" i="10"/>
  <c r="BQ28" i="14"/>
  <c r="P34" i="10"/>
  <c r="M67" i="12"/>
  <c r="N15" i="12"/>
  <c r="I47" i="12"/>
  <c r="AQ98" i="10"/>
  <c r="BD35" i="10"/>
  <c r="BI35" i="14"/>
  <c r="BC54" i="14"/>
  <c r="BJ35" i="14"/>
  <c r="AZ35" i="14"/>
  <c r="BP34" i="14"/>
  <c r="BH35" i="10"/>
  <c r="BC35" i="10"/>
  <c r="AZ35" i="10"/>
  <c r="BK35" i="10"/>
  <c r="BH35" i="14"/>
  <c r="BP33" i="14"/>
  <c r="BG35" i="10"/>
  <c r="BF60" i="14"/>
  <c r="BF98" i="14" s="1"/>
  <c r="BP23" i="14"/>
  <c r="AZ60" i="14"/>
  <c r="AZ98" i="14" s="1"/>
  <c r="BE60" i="14"/>
  <c r="BE98" i="14" s="1"/>
  <c r="BA35" i="14"/>
  <c r="BF35" i="10"/>
  <c r="BE35" i="10"/>
  <c r="BA35" i="10"/>
  <c r="BA54" i="14"/>
  <c r="BK54" i="14"/>
  <c r="BH54" i="14"/>
  <c r="BF35" i="14"/>
  <c r="BP32" i="14"/>
  <c r="BJ54" i="14"/>
  <c r="BP29" i="14"/>
  <c r="BB60" i="14"/>
  <c r="BB98" i="14" s="1"/>
  <c r="BK35" i="14"/>
  <c r="BC35" i="14"/>
  <c r="E53" i="12"/>
  <c r="BD60" i="14"/>
  <c r="BD98" i="14" s="1"/>
  <c r="E102" i="12"/>
  <c r="D15" i="13" s="1"/>
  <c r="J35" i="10"/>
  <c r="BQ33" i="14"/>
  <c r="AD35" i="10"/>
  <c r="D60" i="14"/>
  <c r="D98" i="14" s="1"/>
  <c r="AE54" i="14"/>
  <c r="AF35" i="10"/>
  <c r="S35" i="10"/>
  <c r="AI54" i="14"/>
  <c r="R35" i="10"/>
  <c r="AO35" i="10"/>
  <c r="AQ60" i="14"/>
  <c r="AQ98" i="14" s="1"/>
  <c r="X35" i="14"/>
  <c r="Z35" i="10"/>
  <c r="BT34" i="14"/>
  <c r="W54" i="14"/>
  <c r="AT35" i="14"/>
  <c r="AO54" i="14"/>
  <c r="AA54" i="14"/>
  <c r="Q54" i="14"/>
  <c r="N35" i="10"/>
  <c r="J54" i="14"/>
  <c r="AL54" i="14"/>
  <c r="Y102" i="12"/>
  <c r="H54" i="14"/>
  <c r="AR35" i="14"/>
  <c r="AR30" i="14"/>
  <c r="AJ30" i="14"/>
  <c r="W35" i="14"/>
  <c r="W24" i="14"/>
  <c r="V35" i="14"/>
  <c r="V30" i="14"/>
  <c r="H30" i="14"/>
  <c r="E54" i="14"/>
  <c r="O35" i="10"/>
  <c r="S35" i="14"/>
  <c r="S30" i="14"/>
  <c r="AT54" i="14"/>
  <c r="I54" i="14"/>
  <c r="AH54" i="14"/>
  <c r="BR53" i="9"/>
  <c r="BR60" i="9" s="1"/>
  <c r="BR98" i="9" s="1"/>
  <c r="R96" i="12"/>
  <c r="Q96" i="12"/>
  <c r="X58" i="12"/>
  <c r="U96" i="12"/>
  <c r="N96" i="12"/>
  <c r="K96" i="12"/>
  <c r="T96" i="12"/>
  <c r="L96" i="12"/>
  <c r="S96" i="12"/>
  <c r="M96" i="12"/>
  <c r="BP34" i="1"/>
  <c r="X27" i="12"/>
  <c r="Z95" i="12"/>
  <c r="AA27" i="12"/>
  <c r="X21" i="12"/>
  <c r="X28" i="12"/>
  <c r="Y14" i="12"/>
  <c r="W20" i="12"/>
  <c r="AA95" i="12"/>
  <c r="AA26" i="12"/>
  <c r="AB95" i="12"/>
  <c r="Z26" i="12"/>
  <c r="Y28" i="12"/>
  <c r="X20" i="12"/>
  <c r="Y95" i="12"/>
  <c r="Y26" i="12"/>
  <c r="X26" i="12"/>
  <c r="X95" i="12"/>
  <c r="BS33" i="1"/>
  <c r="BR32" i="1"/>
  <c r="BP33" i="1"/>
  <c r="BT32" i="1"/>
  <c r="BP32" i="1"/>
  <c r="BR33" i="1"/>
  <c r="BT34" i="1"/>
  <c r="BS32" i="1"/>
  <c r="BQ29" i="1"/>
  <c r="BR34" i="1"/>
  <c r="BQ33" i="1"/>
  <c r="BT53" i="1"/>
  <c r="BT60" i="1" s="1"/>
  <c r="BT98" i="1" s="1"/>
  <c r="BS34" i="1"/>
  <c r="BT33" i="1"/>
  <c r="BQ33" i="8"/>
  <c r="BQ32" i="1"/>
  <c r="BQ32" i="9"/>
  <c r="BR29" i="1"/>
  <c r="BR33" i="9"/>
  <c r="BR34" i="9"/>
  <c r="BP34" i="9"/>
  <c r="BP23" i="9"/>
  <c r="BQ34" i="9"/>
  <c r="BQ34" i="8"/>
  <c r="BQ29" i="8"/>
  <c r="BR33" i="8"/>
  <c r="BP33" i="10"/>
  <c r="BP34" i="10"/>
  <c r="BT34" i="9"/>
  <c r="BT33" i="9"/>
  <c r="BQ23" i="8"/>
  <c r="BQ34" i="1"/>
  <c r="BP33" i="9"/>
  <c r="BS34" i="9"/>
  <c r="BS33" i="8"/>
  <c r="BS34" i="8"/>
  <c r="BS32" i="9"/>
  <c r="BT23" i="1"/>
  <c r="BS23" i="1"/>
  <c r="BR23" i="1"/>
  <c r="BQ53" i="9"/>
  <c r="BQ60" i="9" s="1"/>
  <c r="BQ98" i="9" s="1"/>
  <c r="BQ23" i="1"/>
  <c r="BR34" i="8"/>
  <c r="BP23" i="1"/>
  <c r="BT29" i="1"/>
  <c r="BS29" i="1"/>
  <c r="BP29" i="1"/>
  <c r="BP29" i="9"/>
  <c r="BR53" i="10"/>
  <c r="BR60" i="10" s="1"/>
  <c r="BP32" i="10"/>
  <c r="BP29" i="10"/>
  <c r="BP23" i="10"/>
  <c r="BQ29" i="9"/>
  <c r="BT23" i="9"/>
  <c r="BS29" i="9"/>
  <c r="BR32" i="9"/>
  <c r="BS23" i="9"/>
  <c r="BS33" i="9"/>
  <c r="BQ33" i="9"/>
  <c r="BQ23" i="9"/>
  <c r="BT32" i="9"/>
  <c r="BT53" i="9"/>
  <c r="BT60" i="9" s="1"/>
  <c r="BT98" i="9" s="1"/>
  <c r="BT29" i="9"/>
  <c r="BR29" i="9"/>
  <c r="BR23" i="9"/>
  <c r="BP32" i="9"/>
  <c r="BP53" i="9"/>
  <c r="BP60" i="9" s="1"/>
  <c r="BP98" i="9" s="1"/>
  <c r="BS53" i="9"/>
  <c r="BS60" i="9" s="1"/>
  <c r="BS98" i="9" s="1"/>
  <c r="BQ32" i="8"/>
  <c r="BR53" i="8"/>
  <c r="BR60" i="8" s="1"/>
  <c r="BR98" i="8" s="1"/>
  <c r="BT23" i="8"/>
  <c r="BQ53" i="8"/>
  <c r="BQ60" i="8" s="1"/>
  <c r="BQ98" i="8" s="1"/>
  <c r="BT53" i="8"/>
  <c r="BT60" i="8" s="1"/>
  <c r="BT98" i="8" s="1"/>
  <c r="BT34" i="8"/>
  <c r="BS23" i="8"/>
  <c r="BP34" i="8"/>
  <c r="BT33" i="8"/>
  <c r="BS53" i="8"/>
  <c r="BS60" i="8" s="1"/>
  <c r="BS98" i="8" s="1"/>
  <c r="BP53" i="8"/>
  <c r="BP60" i="8" s="1"/>
  <c r="BP98" i="8" s="1"/>
  <c r="BT29" i="8"/>
  <c r="BP23" i="8"/>
  <c r="BR23" i="8"/>
  <c r="BP33" i="8"/>
  <c r="BT32" i="8"/>
  <c r="BS32" i="8"/>
  <c r="BS29" i="8"/>
  <c r="BP29" i="8"/>
  <c r="BR32" i="8"/>
  <c r="BP32" i="8"/>
  <c r="BR29" i="8"/>
  <c r="BS53" i="1"/>
  <c r="BS60" i="1" s="1"/>
  <c r="BS98" i="1" s="1"/>
  <c r="BR53" i="1"/>
  <c r="BR60" i="1" s="1"/>
  <c r="BR98" i="1" s="1"/>
  <c r="BQ53" i="1"/>
  <c r="BQ60" i="1" s="1"/>
  <c r="BQ98" i="1" s="1"/>
  <c r="BP53" i="1"/>
  <c r="BP60" i="1" s="1"/>
  <c r="BP98" i="1" s="1"/>
  <c r="AB102" i="12" a="1"/>
  <c r="Z102" i="12" a="1"/>
  <c r="Y23" i="12" a="1"/>
  <c r="Y20" i="12" a="1"/>
  <c r="Z21" i="12" a="1"/>
  <c r="W21" i="12" a="1"/>
  <c r="X102" i="12" a="1"/>
  <c r="Y21" i="12" a="1"/>
  <c r="Z27" i="12" a="1"/>
  <c r="Y27" i="12" a="1"/>
  <c r="G102" i="12" a="1"/>
  <c r="Z28" i="12" a="1"/>
  <c r="AA22" i="12" a="1"/>
  <c r="X22" i="12" a="1"/>
  <c r="F102" i="12" a="1"/>
  <c r="AB22" i="12" a="1"/>
  <c r="AB21" i="12" a="1"/>
  <c r="AB27" i="12" a="1"/>
  <c r="AA20" i="12" a="1"/>
  <c r="AB29" i="12" a="1"/>
  <c r="W102" i="12" a="1"/>
  <c r="X29" i="12" a="1"/>
  <c r="W22" i="12" a="1"/>
  <c r="W28" i="12" a="1"/>
  <c r="AA28" i="12" a="1"/>
  <c r="D102" i="12" a="1"/>
  <c r="I102" i="12" a="1"/>
  <c r="W27" i="12" a="1"/>
  <c r="W26" i="12" a="1"/>
  <c r="AB26" i="12" a="1"/>
  <c r="AB28" i="12" a="1"/>
  <c r="Z20" i="12" a="1"/>
  <c r="AA102" i="12" a="1"/>
  <c r="Y22" i="12" a="1"/>
  <c r="AB20" i="12" a="1"/>
  <c r="H102" i="12" a="1"/>
  <c r="AA21" i="12" a="1"/>
  <c r="Z22" i="12" a="1"/>
  <c r="X23" i="12" a="1"/>
  <c r="AG44" i="12" l="1"/>
  <c r="AE68" i="12"/>
  <c r="E34" i="12"/>
  <c r="E33" i="12"/>
  <c r="X83" i="12"/>
  <c r="X102" i="12"/>
  <c r="Q15" i="13" s="1"/>
  <c r="BS53" i="14"/>
  <c r="BS60" i="14" s="1"/>
  <c r="BS53" i="10"/>
  <c r="BS60" i="10" s="1"/>
  <c r="BS98" i="10" s="1"/>
  <c r="BT34" i="10"/>
  <c r="AN74" i="12"/>
  <c r="E60" i="12"/>
  <c r="E98" i="12" s="1"/>
  <c r="BS34" i="14"/>
  <c r="BT53" i="10"/>
  <c r="BT60" i="10" s="1"/>
  <c r="BT98" i="10" s="1"/>
  <c r="BQ34" i="14"/>
  <c r="AJ57" i="12"/>
  <c r="AB27" i="12"/>
  <c r="X22" i="12"/>
  <c r="X34" i="12" s="1"/>
  <c r="G102" i="12"/>
  <c r="F15" i="13" s="1"/>
  <c r="AD92" i="12"/>
  <c r="AM35" i="14"/>
  <c r="H35" i="10"/>
  <c r="M54" i="14"/>
  <c r="R35" i="14"/>
  <c r="AW60" i="14"/>
  <c r="AW98" i="14" s="1"/>
  <c r="AB35" i="10"/>
  <c r="I35" i="10"/>
  <c r="AY35" i="14"/>
  <c r="X50" i="12"/>
  <c r="X93" i="12"/>
  <c r="AD54" i="14"/>
  <c r="AX54" i="14"/>
  <c r="AW35" i="14"/>
  <c r="X35" i="10"/>
  <c r="BR34" i="10"/>
  <c r="H35" i="14"/>
  <c r="AY54" i="14"/>
  <c r="AG54" i="14"/>
  <c r="O35" i="14"/>
  <c r="BT23" i="10"/>
  <c r="BT35" i="10" s="1"/>
  <c r="L35" i="10"/>
  <c r="X41" i="12"/>
  <c r="D11" i="13"/>
  <c r="AD74" i="12"/>
  <c r="AD14" i="12"/>
  <c r="Z93" i="12"/>
  <c r="AA21" i="12"/>
  <c r="AA33" i="12" s="1"/>
  <c r="Y58" i="12"/>
  <c r="D13" i="13"/>
  <c r="Z102" i="12"/>
  <c r="S15" i="13" s="1"/>
  <c r="BO35" i="9"/>
  <c r="X47" i="12"/>
  <c r="E29" i="12"/>
  <c r="K17" i="12"/>
  <c r="E23" i="12"/>
  <c r="D7" i="13" s="1"/>
  <c r="AJ8" i="12"/>
  <c r="AD81" i="12"/>
  <c r="AE81" i="12"/>
  <c r="AF78" i="12"/>
  <c r="BO33" i="14"/>
  <c r="Y35" i="14"/>
  <c r="BT32" i="10"/>
  <c r="AJ95" i="12"/>
  <c r="K58" i="12"/>
  <c r="AJ88" i="12"/>
  <c r="X11" i="12"/>
  <c r="AE45" i="12"/>
  <c r="I102" i="12"/>
  <c r="H15" i="13" s="1"/>
  <c r="W102" i="12"/>
  <c r="P15" i="13" s="1"/>
  <c r="Q35" i="10"/>
  <c r="AU35" i="10"/>
  <c r="BQ33" i="10"/>
  <c r="AN38" i="12"/>
  <c r="AD38" i="12"/>
  <c r="AJ38" i="12"/>
  <c r="AH78" i="12"/>
  <c r="AM65" i="12"/>
  <c r="AG74" i="12"/>
  <c r="Y27" i="12"/>
  <c r="Z20" i="12"/>
  <c r="AL20" i="12" s="1"/>
  <c r="W26" i="12"/>
  <c r="W32" i="12" s="1"/>
  <c r="BO35" i="1"/>
  <c r="BQ53" i="10"/>
  <c r="BQ60" i="10" s="1"/>
  <c r="BQ98" i="10" s="1"/>
  <c r="BR23" i="10"/>
  <c r="AM69" i="12"/>
  <c r="AE92" i="12"/>
  <c r="AH38" i="12"/>
  <c r="AF38" i="12"/>
  <c r="BO32" i="14"/>
  <c r="AH92" i="12"/>
  <c r="BQ32" i="14"/>
  <c r="AM74" i="12"/>
  <c r="D102" i="12"/>
  <c r="C15" i="13" s="1"/>
  <c r="M35" i="14"/>
  <c r="BR53" i="14"/>
  <c r="BR60" i="14" s="1"/>
  <c r="BR98" i="14" s="1"/>
  <c r="AS60" i="14"/>
  <c r="AS98" i="14" s="1"/>
  <c r="AJ87" i="12"/>
  <c r="AE35" i="14"/>
  <c r="AF74" i="12"/>
  <c r="AC35" i="14"/>
  <c r="K35" i="14"/>
  <c r="AK74" i="12"/>
  <c r="AF95" i="12"/>
  <c r="AF35" i="14"/>
  <c r="N54" i="14"/>
  <c r="AW35" i="10"/>
  <c r="AJ35" i="14"/>
  <c r="BO29" i="14"/>
  <c r="BO35" i="14" s="1"/>
  <c r="BQ23" i="14"/>
  <c r="AG38" i="12"/>
  <c r="AM71" i="12"/>
  <c r="AM35" i="10"/>
  <c r="M35" i="10"/>
  <c r="R15" i="13"/>
  <c r="AM92" i="12"/>
  <c r="AH81" i="12"/>
  <c r="BR29" i="14"/>
  <c r="Y51" i="12"/>
  <c r="BS32" i="14"/>
  <c r="AK35" i="14"/>
  <c r="R54" i="14"/>
  <c r="AE40" i="12"/>
  <c r="S60" i="14"/>
  <c r="S98" i="14" s="1"/>
  <c r="AT35" i="10"/>
  <c r="T35" i="10"/>
  <c r="P35" i="10"/>
  <c r="BQ29" i="14"/>
  <c r="AK81" i="12"/>
  <c r="AJ54" i="14"/>
  <c r="Z60" i="14"/>
  <c r="Z98" i="14" s="1"/>
  <c r="P60" i="14"/>
  <c r="P98" i="14" s="1"/>
  <c r="BO34" i="14"/>
  <c r="AP54" i="14"/>
  <c r="AA93" i="12"/>
  <c r="AK38" i="12"/>
  <c r="AD87" i="12"/>
  <c r="Z52" i="12"/>
  <c r="F102" i="12"/>
  <c r="E15" i="13" s="1"/>
  <c r="Y21" i="12"/>
  <c r="AM54" i="14"/>
  <c r="AU54" i="14"/>
  <c r="AH95" i="12"/>
  <c r="AE95" i="12"/>
  <c r="AF77" i="12"/>
  <c r="AA51" i="12"/>
  <c r="AB102" i="12"/>
  <c r="U15" i="13" s="1"/>
  <c r="AH74" i="12"/>
  <c r="AK54" i="14"/>
  <c r="W35" i="10"/>
  <c r="AF88" i="12"/>
  <c r="AG95" i="12"/>
  <c r="AV35" i="10"/>
  <c r="D35" i="10"/>
  <c r="AM39" i="12"/>
  <c r="AG63" i="12"/>
  <c r="AE78" i="12"/>
  <c r="AK78" i="12"/>
  <c r="AE38" i="12"/>
  <c r="AD46" i="12"/>
  <c r="AL14" i="12"/>
  <c r="AL81" i="12"/>
  <c r="AL65" i="12"/>
  <c r="AG87" i="12"/>
  <c r="AH79" i="12"/>
  <c r="AN81" i="12"/>
  <c r="AB58" i="12"/>
  <c r="AN46" i="12"/>
  <c r="BO33" i="10"/>
  <c r="AK75" i="12"/>
  <c r="F35" i="10"/>
  <c r="AH87" i="12"/>
  <c r="AJ39" i="12"/>
  <c r="AJ63" i="12"/>
  <c r="Z89" i="12"/>
  <c r="AM63" i="12"/>
  <c r="AF81" i="12"/>
  <c r="AL39" i="12"/>
  <c r="AF39" i="12"/>
  <c r="AB52" i="12"/>
  <c r="AJ14" i="12"/>
  <c r="AG39" i="12"/>
  <c r="AL88" i="12"/>
  <c r="AE74" i="12"/>
  <c r="AM14" i="12"/>
  <c r="AF86" i="12"/>
  <c r="AM87" i="12"/>
  <c r="AD80" i="12"/>
  <c r="AG82" i="12"/>
  <c r="AH39" i="12"/>
  <c r="AL87" i="12"/>
  <c r="AE87" i="12"/>
  <c r="AF87" i="12"/>
  <c r="AK64" i="12"/>
  <c r="AG80" i="12"/>
  <c r="AB20" i="12"/>
  <c r="AN20" i="12" s="1"/>
  <c r="Y89" i="12"/>
  <c r="AG14" i="12"/>
  <c r="AK39" i="12"/>
  <c r="AH46" i="12"/>
  <c r="AH14" i="12"/>
  <c r="Z58" i="12"/>
  <c r="BR29" i="10"/>
  <c r="AN87" i="12"/>
  <c r="AE39" i="12"/>
  <c r="AE88" i="12"/>
  <c r="AE46" i="12"/>
  <c r="AM78" i="12"/>
  <c r="AE63" i="12"/>
  <c r="BR23" i="14"/>
  <c r="AJ46" i="12"/>
  <c r="AG88" i="12"/>
  <c r="AN63" i="12"/>
  <c r="BO29" i="10"/>
  <c r="AE75" i="12"/>
  <c r="AH88" i="12"/>
  <c r="AG46" i="12"/>
  <c r="W51" i="12"/>
  <c r="AD51" i="12" s="1"/>
  <c r="Z28" i="12"/>
  <c r="AV60" i="14"/>
  <c r="AV98" i="14" s="1"/>
  <c r="AK63" i="12"/>
  <c r="AJ64" i="12"/>
  <c r="AD78" i="12"/>
  <c r="P35" i="14"/>
  <c r="AJ78" i="12"/>
  <c r="AG35" i="14"/>
  <c r="AF56" i="12"/>
  <c r="AF63" i="12"/>
  <c r="Y41" i="12"/>
  <c r="Y53" i="12" s="1"/>
  <c r="BO53" i="10"/>
  <c r="BO60" i="10" s="1"/>
  <c r="BO98" i="10" s="1"/>
  <c r="AL24" i="14"/>
  <c r="AL35" i="14"/>
  <c r="AL78" i="12"/>
  <c r="Y50" i="12"/>
  <c r="AN57" i="12"/>
  <c r="AD35" i="14"/>
  <c r="AN14" i="12"/>
  <c r="AG78" i="12"/>
  <c r="BR98" i="10"/>
  <c r="AD64" i="12"/>
  <c r="AB93" i="12"/>
  <c r="BT23" i="14"/>
  <c r="AH64" i="12"/>
  <c r="BT53" i="14"/>
  <c r="BT60" i="14" s="1"/>
  <c r="BT98" i="14" s="1"/>
  <c r="Y52" i="12"/>
  <c r="AF92" i="12"/>
  <c r="AN56" i="12"/>
  <c r="AL63" i="12"/>
  <c r="AA89" i="12"/>
  <c r="AF16" i="12"/>
  <c r="AH56" i="12"/>
  <c r="AG56" i="12"/>
  <c r="AM88" i="12"/>
  <c r="AD56" i="12"/>
  <c r="AL92" i="12"/>
  <c r="Z22" i="12"/>
  <c r="W21" i="12"/>
  <c r="BO23" i="10"/>
  <c r="BR33" i="10"/>
  <c r="AH57" i="12"/>
  <c r="AJ56" i="12"/>
  <c r="Y20" i="12"/>
  <c r="AK20" i="12" s="1"/>
  <c r="W27" i="12"/>
  <c r="AM27" i="12" s="1"/>
  <c r="AA20" i="12"/>
  <c r="AA32" i="12" s="1"/>
  <c r="AB26" i="12"/>
  <c r="Z21" i="12"/>
  <c r="W28" i="12"/>
  <c r="AK28" i="12" s="1"/>
  <c r="Z27" i="12"/>
  <c r="AB28" i="12"/>
  <c r="BQ32" i="10"/>
  <c r="AG57" i="12"/>
  <c r="AN80" i="12"/>
  <c r="AE80" i="12"/>
  <c r="AG65" i="12"/>
  <c r="AN65" i="12"/>
  <c r="AB89" i="12"/>
  <c r="AB47" i="12"/>
  <c r="AN75" i="12"/>
  <c r="AK80" i="12"/>
  <c r="AH80" i="12"/>
  <c r="AF80" i="12"/>
  <c r="AJ75" i="12"/>
  <c r="AD57" i="12"/>
  <c r="L60" i="14"/>
  <c r="L98" i="14" s="1"/>
  <c r="AN88" i="12"/>
  <c r="AL75" i="12"/>
  <c r="AE65" i="12"/>
  <c r="AF65" i="12"/>
  <c r="AM57" i="12"/>
  <c r="AD75" i="12"/>
  <c r="AF57" i="12"/>
  <c r="BR32" i="14"/>
  <c r="AD65" i="12"/>
  <c r="AJ80" i="12"/>
  <c r="AM80" i="12"/>
  <c r="AN35" i="14"/>
  <c r="AH75" i="12"/>
  <c r="AJ65" i="12"/>
  <c r="AF75" i="12"/>
  <c r="AG75" i="12"/>
  <c r="AL57" i="12"/>
  <c r="AK65" i="12"/>
  <c r="W58" i="12"/>
  <c r="AJ58" i="12" s="1"/>
  <c r="AM75" i="12"/>
  <c r="G33" i="12"/>
  <c r="AJ68" i="12"/>
  <c r="I32" i="12"/>
  <c r="AE15" i="12"/>
  <c r="AG68" i="12"/>
  <c r="AK71" i="12"/>
  <c r="AL15" i="12"/>
  <c r="AB50" i="12"/>
  <c r="AD71" i="12"/>
  <c r="AN78" i="12"/>
  <c r="AF15" i="12"/>
  <c r="AM44" i="12"/>
  <c r="AL46" i="12"/>
  <c r="AK68" i="12"/>
  <c r="AN64" i="12"/>
  <c r="AG64" i="12"/>
  <c r="Z47" i="12"/>
  <c r="AF46" i="12"/>
  <c r="AK57" i="12"/>
  <c r="AM64" i="12"/>
  <c r="AM15" i="12"/>
  <c r="AE64" i="12"/>
  <c r="AD44" i="12"/>
  <c r="AO35" i="14"/>
  <c r="AL68" i="12"/>
  <c r="Z51" i="12"/>
  <c r="AK88" i="12"/>
  <c r="F60" i="14"/>
  <c r="F98" i="14" s="1"/>
  <c r="AE91" i="12"/>
  <c r="AA41" i="12"/>
  <c r="AD15" i="12"/>
  <c r="AJ71" i="12"/>
  <c r="AH44" i="12"/>
  <c r="AG71" i="12"/>
  <c r="AP35" i="14"/>
  <c r="AL64" i="12"/>
  <c r="AK56" i="12"/>
  <c r="AN44" i="12"/>
  <c r="AK15" i="12"/>
  <c r="AF44" i="12"/>
  <c r="AL71" i="12"/>
  <c r="AF64" i="12"/>
  <c r="I35" i="14"/>
  <c r="AE71" i="12"/>
  <c r="AF71" i="12"/>
  <c r="AN71" i="12"/>
  <c r="AH71" i="12"/>
  <c r="AA50" i="12"/>
  <c r="AH15" i="12"/>
  <c r="AK44" i="12"/>
  <c r="W50" i="12"/>
  <c r="AG15" i="12"/>
  <c r="AE44" i="12"/>
  <c r="AL56" i="12"/>
  <c r="AM68" i="12"/>
  <c r="AL44" i="12"/>
  <c r="AA58" i="12"/>
  <c r="Q35" i="14"/>
  <c r="AQ35" i="14"/>
  <c r="AF54" i="14"/>
  <c r="AA17" i="12"/>
  <c r="AB54" i="14"/>
  <c r="AL38" i="12"/>
  <c r="K54" i="14"/>
  <c r="E35" i="14"/>
  <c r="AE57" i="12"/>
  <c r="BT29" i="14"/>
  <c r="AH35" i="14"/>
  <c r="Z35" i="14"/>
  <c r="U35" i="14"/>
  <c r="G54" i="14"/>
  <c r="AU35" i="14"/>
  <c r="Z41" i="12"/>
  <c r="Z53" i="12" s="1"/>
  <c r="Z50" i="12"/>
  <c r="L35" i="14"/>
  <c r="AS35" i="14"/>
  <c r="F35" i="14"/>
  <c r="AI35" i="14"/>
  <c r="AA102" i="12"/>
  <c r="T15" i="13" s="1"/>
  <c r="H102" i="12"/>
  <c r="G15" i="13" s="1"/>
  <c r="G35" i="14"/>
  <c r="AM38" i="12"/>
  <c r="AF68" i="12"/>
  <c r="AJ44" i="12"/>
  <c r="AE56" i="12"/>
  <c r="AM56" i="12"/>
  <c r="AH68" i="12"/>
  <c r="AC54" i="14"/>
  <c r="AN68" i="12"/>
  <c r="J35" i="14"/>
  <c r="AD68" i="12"/>
  <c r="AA35" i="14"/>
  <c r="AR60" i="14"/>
  <c r="AR98" i="14" s="1"/>
  <c r="AH67" i="12"/>
  <c r="BS23" i="10"/>
  <c r="BS34" i="10"/>
  <c r="O60" i="14"/>
  <c r="O98" i="14" s="1"/>
  <c r="O54" i="14"/>
  <c r="AM45" i="12"/>
  <c r="AM67" i="12"/>
  <c r="AB51" i="12"/>
  <c r="AA28" i="12"/>
  <c r="BS29" i="10"/>
  <c r="AK67" i="12"/>
  <c r="BS23" i="14"/>
  <c r="BS35" i="14" s="1"/>
  <c r="AA22" i="12"/>
  <c r="AN67" i="12"/>
  <c r="AG45" i="12"/>
  <c r="AD45" i="12"/>
  <c r="W47" i="12"/>
  <c r="AD67" i="12"/>
  <c r="BR34" i="14"/>
  <c r="AJ45" i="12"/>
  <c r="AN45" i="12"/>
  <c r="AG67" i="12"/>
  <c r="AF67" i="12"/>
  <c r="BQ53" i="14"/>
  <c r="BQ60" i="14" s="1"/>
  <c r="BQ98" i="14" s="1"/>
  <c r="BO53" i="14"/>
  <c r="BO60" i="14" s="1"/>
  <c r="BO98" i="14" s="1"/>
  <c r="AL70" i="12"/>
  <c r="AN39" i="12"/>
  <c r="AJ70" i="12"/>
  <c r="AH45" i="12"/>
  <c r="AB41" i="12"/>
  <c r="AF70" i="12"/>
  <c r="AM77" i="12"/>
  <c r="AN77" i="12"/>
  <c r="AK45" i="12"/>
  <c r="BS98" i="14"/>
  <c r="AK70" i="12"/>
  <c r="AG70" i="12"/>
  <c r="AN70" i="12"/>
  <c r="AL45" i="12"/>
  <c r="D35" i="14"/>
  <c r="AA83" i="12"/>
  <c r="AM70" i="12"/>
  <c r="AJ67" i="12"/>
  <c r="AE77" i="12"/>
  <c r="AB35" i="14"/>
  <c r="AF45" i="12"/>
  <c r="AH77" i="12"/>
  <c r="AD77" i="12"/>
  <c r="AN54" i="14"/>
  <c r="Z83" i="12"/>
  <c r="AE67" i="12"/>
  <c r="AJ77" i="12"/>
  <c r="I34" i="12"/>
  <c r="AL67" i="12"/>
  <c r="AL77" i="12"/>
  <c r="Y54" i="14"/>
  <c r="AH70" i="12"/>
  <c r="AG77" i="12"/>
  <c r="AK77" i="12"/>
  <c r="T35" i="14"/>
  <c r="N35" i="14"/>
  <c r="W22" i="12"/>
  <c r="Y22" i="12"/>
  <c r="O58" i="12"/>
  <c r="BO34" i="10"/>
  <c r="G13" i="13"/>
  <c r="Q58" i="12"/>
  <c r="T58" i="12"/>
  <c r="G11" i="13"/>
  <c r="T89" i="12"/>
  <c r="G53" i="12"/>
  <c r="F9" i="13" s="1"/>
  <c r="N52" i="12"/>
  <c r="R58" i="12"/>
  <c r="S58" i="12"/>
  <c r="T93" i="12"/>
  <c r="R26" i="12"/>
  <c r="D32" i="12"/>
  <c r="Q89" i="12"/>
  <c r="U26" i="12"/>
  <c r="T26" i="12"/>
  <c r="S20" i="12"/>
  <c r="I33" i="12"/>
  <c r="Q20" i="12"/>
  <c r="G32" i="12"/>
  <c r="U27" i="12"/>
  <c r="R20" i="12"/>
  <c r="S26" i="12"/>
  <c r="S28" i="12"/>
  <c r="T20" i="12"/>
  <c r="R52" i="12"/>
  <c r="G34" i="12"/>
  <c r="O52" i="12"/>
  <c r="K52" i="12"/>
  <c r="U52" i="12"/>
  <c r="M52" i="12"/>
  <c r="L58" i="12"/>
  <c r="F33" i="12"/>
  <c r="K50" i="12"/>
  <c r="O50" i="12"/>
  <c r="S93" i="12"/>
  <c r="N50" i="12"/>
  <c r="L51" i="12"/>
  <c r="M50" i="12"/>
  <c r="U50" i="12"/>
  <c r="R50" i="12"/>
  <c r="O11" i="12"/>
  <c r="L50" i="12"/>
  <c r="T50" i="12"/>
  <c r="T52" i="12"/>
  <c r="S50" i="12"/>
  <c r="H33" i="12"/>
  <c r="K11" i="12"/>
  <c r="M47" i="12"/>
  <c r="Q47" i="12"/>
  <c r="AF73" i="12"/>
  <c r="R47" i="12"/>
  <c r="F11" i="13"/>
  <c r="K47" i="12"/>
  <c r="H32" i="12"/>
  <c r="T47" i="12"/>
  <c r="R28" i="12"/>
  <c r="L47" i="12"/>
  <c r="R11" i="12"/>
  <c r="N89" i="12"/>
  <c r="R51" i="12"/>
  <c r="Q28" i="12"/>
  <c r="AH65" i="12"/>
  <c r="AL73" i="12"/>
  <c r="AK73" i="12"/>
  <c r="U58" i="12"/>
  <c r="N51" i="12"/>
  <c r="Z11" i="12"/>
  <c r="AA11" i="12"/>
  <c r="AN15" i="12"/>
  <c r="N58" i="12"/>
  <c r="AG73" i="12"/>
  <c r="E11" i="13"/>
  <c r="U47" i="12"/>
  <c r="F53" i="12"/>
  <c r="F60" i="12" s="1"/>
  <c r="F98" i="12" s="1"/>
  <c r="H11" i="13"/>
  <c r="AN76" i="12"/>
  <c r="S11" i="12"/>
  <c r="S47" i="12"/>
  <c r="T22" i="12"/>
  <c r="O47" i="12"/>
  <c r="U20" i="12"/>
  <c r="W41" i="12"/>
  <c r="L17" i="12"/>
  <c r="AM73" i="12"/>
  <c r="S89" i="12"/>
  <c r="D29" i="12"/>
  <c r="M51" i="12"/>
  <c r="AJ79" i="12"/>
  <c r="AN73" i="12"/>
  <c r="AN79" i="12"/>
  <c r="R89" i="12"/>
  <c r="D33" i="12"/>
  <c r="L41" i="12"/>
  <c r="AE79" i="12"/>
  <c r="O17" i="12"/>
  <c r="T51" i="12"/>
  <c r="D34" i="12"/>
  <c r="L11" i="12"/>
  <c r="Q17" i="12"/>
  <c r="N11" i="12"/>
  <c r="AB11" i="12"/>
  <c r="F32" i="12"/>
  <c r="L89" i="12"/>
  <c r="K89" i="12"/>
  <c r="S52" i="12"/>
  <c r="U89" i="12"/>
  <c r="Q51" i="12"/>
  <c r="AL79" i="12"/>
  <c r="S51" i="12"/>
  <c r="T11" i="12"/>
  <c r="AF79" i="12"/>
  <c r="G29" i="12"/>
  <c r="M11" i="12"/>
  <c r="U83" i="12"/>
  <c r="M89" i="12"/>
  <c r="O89" i="12"/>
  <c r="AM66" i="12"/>
  <c r="L52" i="12"/>
  <c r="F13" i="13"/>
  <c r="AJ66" i="12"/>
  <c r="U28" i="12"/>
  <c r="M93" i="12"/>
  <c r="AD79" i="12"/>
  <c r="H13" i="13"/>
  <c r="U93" i="12"/>
  <c r="AG86" i="12"/>
  <c r="M58" i="12"/>
  <c r="AM82" i="12"/>
  <c r="L93" i="12"/>
  <c r="AD82" i="12"/>
  <c r="H34" i="12"/>
  <c r="AG40" i="12"/>
  <c r="U51" i="12"/>
  <c r="O51" i="12"/>
  <c r="U41" i="12"/>
  <c r="C11" i="13"/>
  <c r="I23" i="12"/>
  <c r="H7" i="13" s="1"/>
  <c r="U11" i="12"/>
  <c r="AE70" i="12"/>
  <c r="AM46" i="12"/>
  <c r="O93" i="12"/>
  <c r="H23" i="12"/>
  <c r="G7" i="13" s="1"/>
  <c r="AK82" i="12"/>
  <c r="AD76" i="12"/>
  <c r="S22" i="12"/>
  <c r="T17" i="12"/>
  <c r="K51" i="12"/>
  <c r="AG81" i="12"/>
  <c r="AG76" i="12"/>
  <c r="I53" i="12"/>
  <c r="H5" i="13" s="1"/>
  <c r="Q83" i="12"/>
  <c r="AB83" i="12"/>
  <c r="S27" i="12"/>
  <c r="O83" i="12"/>
  <c r="T28" i="12"/>
  <c r="Q93" i="12"/>
  <c r="AH72" i="12"/>
  <c r="K93" i="12"/>
  <c r="AF82" i="12"/>
  <c r="AD72" i="12"/>
  <c r="AJ76" i="12"/>
  <c r="AE73" i="12"/>
  <c r="R21" i="12"/>
  <c r="AF76" i="12"/>
  <c r="AK72" i="12"/>
  <c r="AF91" i="12"/>
  <c r="S83" i="12"/>
  <c r="AM76" i="12"/>
  <c r="M83" i="12"/>
  <c r="R27" i="12"/>
  <c r="AN72" i="12"/>
  <c r="AF72" i="12"/>
  <c r="AE76" i="12"/>
  <c r="AM79" i="12"/>
  <c r="AM72" i="12"/>
  <c r="T27" i="12"/>
  <c r="T21" i="12"/>
  <c r="AG79" i="12"/>
  <c r="F23" i="12"/>
  <c r="E7" i="13" s="1"/>
  <c r="U21" i="12"/>
  <c r="R93" i="12"/>
  <c r="AJ73" i="12"/>
  <c r="AE82" i="12"/>
  <c r="AH73" i="12"/>
  <c r="N17" i="12"/>
  <c r="AJ16" i="12"/>
  <c r="AL16" i="12"/>
  <c r="W17" i="12"/>
  <c r="AK16" i="12"/>
  <c r="AG8" i="12"/>
  <c r="AK66" i="12"/>
  <c r="AM40" i="12"/>
  <c r="F29" i="12"/>
  <c r="AN40" i="12"/>
  <c r="AJ72" i="12"/>
  <c r="Y83" i="12"/>
  <c r="E13" i="13"/>
  <c r="AG16" i="12"/>
  <c r="AK8" i="12"/>
  <c r="N47" i="12"/>
  <c r="D23" i="12"/>
  <c r="C7" i="13" s="1"/>
  <c r="H29" i="12"/>
  <c r="W89" i="12"/>
  <c r="AH40" i="12"/>
  <c r="K41" i="12"/>
  <c r="AG66" i="12"/>
  <c r="AG69" i="12"/>
  <c r="S17" i="12"/>
  <c r="AM91" i="12"/>
  <c r="D53" i="12"/>
  <c r="D60" i="12" s="1"/>
  <c r="AH63" i="12"/>
  <c r="W52" i="12"/>
  <c r="AD52" i="12" s="1"/>
  <c r="AK79" i="12"/>
  <c r="AD69" i="12"/>
  <c r="Q21" i="12"/>
  <c r="AL69" i="12"/>
  <c r="AM81" i="12"/>
  <c r="M17" i="12"/>
  <c r="I29" i="12"/>
  <c r="AH16" i="12"/>
  <c r="AE66" i="12"/>
  <c r="K83" i="12"/>
  <c r="AM16" i="12"/>
  <c r="Y11" i="12"/>
  <c r="AF40" i="12"/>
  <c r="AH91" i="12"/>
  <c r="AE16" i="12"/>
  <c r="R17" i="12"/>
  <c r="AG91" i="12"/>
  <c r="AM8" i="12"/>
  <c r="Q41" i="12"/>
  <c r="W11" i="12"/>
  <c r="AK40" i="12"/>
  <c r="AG72" i="12"/>
  <c r="AL66" i="12"/>
  <c r="AH86" i="12"/>
  <c r="AL8" i="12"/>
  <c r="AH66" i="12"/>
  <c r="AL72" i="12"/>
  <c r="T41" i="12"/>
  <c r="AA47" i="12"/>
  <c r="Y17" i="12"/>
  <c r="R41" i="12"/>
  <c r="AH69" i="12"/>
  <c r="AB17" i="12"/>
  <c r="AD16" i="12"/>
  <c r="AH82" i="12"/>
  <c r="AF66" i="12"/>
  <c r="AN69" i="12"/>
  <c r="C13" i="13"/>
  <c r="U22" i="12"/>
  <c r="R22" i="12"/>
  <c r="Q27" i="12"/>
  <c r="AJ40" i="12"/>
  <c r="Z17" i="12"/>
  <c r="U17" i="12"/>
  <c r="AE86" i="12"/>
  <c r="AN86" i="12"/>
  <c r="G23" i="12"/>
  <c r="F7" i="13" s="1"/>
  <c r="AA52" i="12"/>
  <c r="AD86" i="12"/>
  <c r="AN8" i="12"/>
  <c r="AK91" i="12"/>
  <c r="AN16" i="12"/>
  <c r="AD8" i="12"/>
  <c r="S21" i="12"/>
  <c r="N93" i="12"/>
  <c r="AD91" i="12"/>
  <c r="AE69" i="12"/>
  <c r="AE10" i="12"/>
  <c r="AG10" i="12"/>
  <c r="AF10" i="12"/>
  <c r="AN10" i="12"/>
  <c r="AH10" i="12"/>
  <c r="AK10" i="12"/>
  <c r="AL10" i="12"/>
  <c r="AM10" i="12"/>
  <c r="AK69" i="12"/>
  <c r="AN82" i="12"/>
  <c r="AL40" i="12"/>
  <c r="H53" i="12"/>
  <c r="R83" i="12"/>
  <c r="M41" i="12"/>
  <c r="AN91" i="12"/>
  <c r="AM86" i="12"/>
  <c r="F34" i="12"/>
  <c r="W83" i="12"/>
  <c r="W93" i="12"/>
  <c r="U54" i="14"/>
  <c r="U60" i="14"/>
  <c r="U98" i="14" s="1"/>
  <c r="AJ69" i="12"/>
  <c r="N41" i="12"/>
  <c r="AN66" i="12"/>
  <c r="AK76" i="12"/>
  <c r="AJ82" i="12"/>
  <c r="N83" i="12"/>
  <c r="L83" i="12"/>
  <c r="T83" i="12"/>
  <c r="AL76" i="12"/>
  <c r="AF69" i="12"/>
  <c r="AJ10" i="12"/>
  <c r="AF14" i="12"/>
  <c r="AL91" i="12"/>
  <c r="AD40" i="12"/>
  <c r="AF8" i="12"/>
  <c r="O41" i="12"/>
  <c r="S41" i="12"/>
  <c r="AL82" i="12"/>
  <c r="AD10" i="12"/>
  <c r="V60" i="14"/>
  <c r="V98" i="14" s="1"/>
  <c r="V54" i="14"/>
  <c r="AM9" i="12"/>
  <c r="AL9" i="12"/>
  <c r="AJ9" i="12"/>
  <c r="AD9" i="12"/>
  <c r="AH9" i="12"/>
  <c r="AG9" i="12"/>
  <c r="AF9" i="12"/>
  <c r="AE9" i="12"/>
  <c r="AK9" i="12"/>
  <c r="AN9" i="12"/>
  <c r="AJ86" i="12"/>
  <c r="AJ91" i="12"/>
  <c r="AE8" i="12"/>
  <c r="AK86" i="12"/>
  <c r="AH8" i="12"/>
  <c r="AL86" i="12"/>
  <c r="BP35" i="14"/>
  <c r="D9" i="13"/>
  <c r="D5" i="13"/>
  <c r="AK14" i="12"/>
  <c r="AE14" i="12"/>
  <c r="X32" i="12"/>
  <c r="AK95" i="12"/>
  <c r="X33" i="12"/>
  <c r="AD95" i="12"/>
  <c r="Y96" i="12"/>
  <c r="AA96" i="12"/>
  <c r="AG96" i="12" s="1"/>
  <c r="Q13" i="13"/>
  <c r="Q11" i="13"/>
  <c r="Z96" i="12"/>
  <c r="AL96" i="12" s="1"/>
  <c r="X96" i="12"/>
  <c r="AJ20" i="12"/>
  <c r="AB29" i="12"/>
  <c r="X23" i="12"/>
  <c r="Q7" i="13" s="1"/>
  <c r="Y23" i="12"/>
  <c r="R7" i="13" s="1"/>
  <c r="AB22" i="12"/>
  <c r="X29" i="12"/>
  <c r="AB21" i="12"/>
  <c r="AB96" i="12"/>
  <c r="AN95" i="12"/>
  <c r="AL95" i="12"/>
  <c r="AM95" i="12"/>
  <c r="BQ35" i="8"/>
  <c r="BQ35" i="1"/>
  <c r="BQ35" i="10"/>
  <c r="BR35" i="1"/>
  <c r="BP35" i="9"/>
  <c r="BT35" i="1"/>
  <c r="BS35" i="1"/>
  <c r="BP35" i="1"/>
  <c r="BS35" i="9"/>
  <c r="BQ35" i="9"/>
  <c r="BT35" i="9"/>
  <c r="BP35" i="10"/>
  <c r="BR35" i="9"/>
  <c r="BT35" i="8"/>
  <c r="BP35" i="8"/>
  <c r="BS35" i="8"/>
  <c r="BR35" i="8"/>
  <c r="AB23" i="12" a="1"/>
  <c r="AA23" i="12" a="1"/>
  <c r="W23" i="12" a="1"/>
  <c r="Y29" i="12" a="1"/>
  <c r="W29" i="12" a="1"/>
  <c r="AA29" i="12" a="1"/>
  <c r="Z23" i="12" a="1"/>
  <c r="Z29" i="12" a="1"/>
  <c r="X53" i="12" l="1"/>
  <c r="X60" i="12" s="1"/>
  <c r="J11" i="13"/>
  <c r="K60" i="12"/>
  <c r="AD41" i="12"/>
  <c r="E35" i="12"/>
  <c r="Z32" i="12"/>
  <c r="AL32" i="12" s="1"/>
  <c r="AM93" i="12"/>
  <c r="N15" i="13"/>
  <c r="AK26" i="12"/>
  <c r="BQ35" i="14"/>
  <c r="AL26" i="12"/>
  <c r="AM26" i="12"/>
  <c r="AN26" i="12"/>
  <c r="AJ26" i="12"/>
  <c r="Y33" i="12"/>
  <c r="Z23" i="12"/>
  <c r="S7" i="13" s="1"/>
  <c r="L15" i="13"/>
  <c r="M15" i="13"/>
  <c r="K15" i="13"/>
  <c r="J15" i="13"/>
  <c r="BR35" i="14"/>
  <c r="AF58" i="12"/>
  <c r="AJ51" i="12"/>
  <c r="AK21" i="12"/>
  <c r="AG51" i="12"/>
  <c r="AM20" i="12"/>
  <c r="BO35" i="10"/>
  <c r="AM21" i="12"/>
  <c r="U11" i="13"/>
  <c r="AK51" i="12"/>
  <c r="AN27" i="12"/>
  <c r="AJ28" i="12"/>
  <c r="S11" i="13"/>
  <c r="AL21" i="12"/>
  <c r="AE89" i="12"/>
  <c r="AJ27" i="12"/>
  <c r="S13" i="13"/>
  <c r="R11" i="13"/>
  <c r="AA15" i="13"/>
  <c r="AN58" i="12"/>
  <c r="AN51" i="12"/>
  <c r="AE51" i="12"/>
  <c r="AM51" i="12"/>
  <c r="AL51" i="12"/>
  <c r="Z29" i="12"/>
  <c r="W29" i="12"/>
  <c r="AJ29" i="12" s="1"/>
  <c r="BR35" i="10"/>
  <c r="AN21" i="12"/>
  <c r="W33" i="12"/>
  <c r="AM33" i="12" s="1"/>
  <c r="AM28" i="12"/>
  <c r="Z34" i="12"/>
  <c r="T13" i="13"/>
  <c r="AJ21" i="12"/>
  <c r="AK27" i="12"/>
  <c r="BT35" i="14"/>
  <c r="AK50" i="12"/>
  <c r="T11" i="13"/>
  <c r="AL58" i="12"/>
  <c r="Z33" i="12"/>
  <c r="Y32" i="12"/>
  <c r="AK32" i="12" s="1"/>
  <c r="AH50" i="12"/>
  <c r="AH58" i="12"/>
  <c r="AE58" i="12"/>
  <c r="AL28" i="12"/>
  <c r="AM47" i="12"/>
  <c r="AN28" i="12"/>
  <c r="AG50" i="12"/>
  <c r="AM58" i="12"/>
  <c r="AK58" i="12"/>
  <c r="AD58" i="12"/>
  <c r="AG17" i="12"/>
  <c r="AL22" i="12"/>
  <c r="W23" i="12"/>
  <c r="P7" i="13" s="1"/>
  <c r="X7" i="13" s="1"/>
  <c r="AL27" i="12"/>
  <c r="AB32" i="12"/>
  <c r="AN32" i="12" s="1"/>
  <c r="AN50" i="12"/>
  <c r="AL50" i="12"/>
  <c r="AJ50" i="12"/>
  <c r="U13" i="13"/>
  <c r="U32" i="12"/>
  <c r="AN47" i="12"/>
  <c r="AM50" i="12"/>
  <c r="AB53" i="12"/>
  <c r="AB60" i="12" s="1"/>
  <c r="AB98" i="12" s="1"/>
  <c r="W15" i="13"/>
  <c r="AG58" i="12"/>
  <c r="AF51" i="12"/>
  <c r="AE50" i="12"/>
  <c r="AD50" i="12"/>
  <c r="AF50" i="12"/>
  <c r="Y15" i="13"/>
  <c r="X15" i="13"/>
  <c r="Z15" i="13"/>
  <c r="AK47" i="12"/>
  <c r="AA34" i="12"/>
  <c r="AH51" i="12"/>
  <c r="AA29" i="12"/>
  <c r="AF47" i="12"/>
  <c r="BS35" i="10"/>
  <c r="AL47" i="12"/>
  <c r="AE47" i="12"/>
  <c r="AD47" i="12"/>
  <c r="AJ47" i="12"/>
  <c r="AH47" i="12"/>
  <c r="AJ22" i="12"/>
  <c r="AK22" i="12"/>
  <c r="W34" i="12"/>
  <c r="AN22" i="12"/>
  <c r="AM22" i="12"/>
  <c r="Y34" i="12"/>
  <c r="M13" i="13"/>
  <c r="G60" i="12"/>
  <c r="G98" i="12" s="1"/>
  <c r="Q32" i="12"/>
  <c r="F5" i="13"/>
  <c r="R32" i="12"/>
  <c r="T32" i="12"/>
  <c r="E5" i="13"/>
  <c r="S32" i="12"/>
  <c r="S29" i="12"/>
  <c r="S34" i="12"/>
  <c r="R33" i="12"/>
  <c r="M11" i="13"/>
  <c r="Q33" i="12"/>
  <c r="T33" i="12"/>
  <c r="S33" i="12"/>
  <c r="U33" i="12"/>
  <c r="AM11" i="12"/>
  <c r="AE41" i="12"/>
  <c r="AD11" i="12"/>
  <c r="AH41" i="12"/>
  <c r="U34" i="12"/>
  <c r="E9" i="13"/>
  <c r="R29" i="12"/>
  <c r="U29" i="12"/>
  <c r="Q34" i="12"/>
  <c r="AG41" i="12"/>
  <c r="Q29" i="12"/>
  <c r="AN41" i="12"/>
  <c r="T34" i="12"/>
  <c r="AF41" i="12"/>
  <c r="AK41" i="12"/>
  <c r="K11" i="13"/>
  <c r="AE93" i="12"/>
  <c r="T29" i="12"/>
  <c r="I35" i="12"/>
  <c r="AJ41" i="12"/>
  <c r="AL93" i="12"/>
  <c r="W53" i="12"/>
  <c r="AK53" i="12" s="1"/>
  <c r="AL41" i="12"/>
  <c r="AM41" i="12"/>
  <c r="R34" i="12"/>
  <c r="N53" i="12"/>
  <c r="K13" i="13"/>
  <c r="L11" i="13"/>
  <c r="H9" i="13"/>
  <c r="AJ11" i="12"/>
  <c r="AE11" i="12"/>
  <c r="AF11" i="12"/>
  <c r="AN11" i="12"/>
  <c r="AH11" i="12"/>
  <c r="I60" i="12"/>
  <c r="U60" i="12" s="1"/>
  <c r="AL11" i="12"/>
  <c r="L13" i="13"/>
  <c r="AH93" i="12"/>
  <c r="AD89" i="12"/>
  <c r="M7" i="13"/>
  <c r="N11" i="13"/>
  <c r="AK83" i="12"/>
  <c r="AF93" i="12"/>
  <c r="AG11" i="12"/>
  <c r="G35" i="12"/>
  <c r="AK17" i="12"/>
  <c r="AM83" i="12"/>
  <c r="L53" i="12"/>
  <c r="F35" i="12"/>
  <c r="AJ89" i="12"/>
  <c r="AE52" i="12"/>
  <c r="U53" i="12"/>
  <c r="H35" i="12"/>
  <c r="S53" i="12"/>
  <c r="AM52" i="12"/>
  <c r="O53" i="12"/>
  <c r="R13" i="13"/>
  <c r="Q53" i="12"/>
  <c r="AK52" i="12"/>
  <c r="AN52" i="12"/>
  <c r="C5" i="13"/>
  <c r="N5" i="13" s="1"/>
  <c r="AL52" i="12"/>
  <c r="J13" i="13"/>
  <c r="AG47" i="12"/>
  <c r="C9" i="13"/>
  <c r="L9" i="13" s="1"/>
  <c r="AN93" i="12"/>
  <c r="AH83" i="12"/>
  <c r="AD93" i="12"/>
  <c r="AM89" i="12"/>
  <c r="R53" i="12"/>
  <c r="AG52" i="12"/>
  <c r="AK93" i="12"/>
  <c r="R23" i="12"/>
  <c r="AL17" i="12"/>
  <c r="Q23" i="12"/>
  <c r="T53" i="12"/>
  <c r="K53" i="12"/>
  <c r="S23" i="12"/>
  <c r="T23" i="12"/>
  <c r="AF17" i="12"/>
  <c r="AF89" i="12"/>
  <c r="AF52" i="12"/>
  <c r="AD17" i="12"/>
  <c r="P11" i="13"/>
  <c r="D35" i="12"/>
  <c r="AG83" i="12"/>
  <c r="AA53" i="12"/>
  <c r="AA60" i="12" s="1"/>
  <c r="AA98" i="12" s="1"/>
  <c r="AH17" i="12"/>
  <c r="AJ83" i="12"/>
  <c r="N13" i="13"/>
  <c r="AD83" i="12"/>
  <c r="M53" i="12"/>
  <c r="AG89" i="12"/>
  <c r="AF83" i="12"/>
  <c r="AH52" i="12"/>
  <c r="AJ17" i="12"/>
  <c r="AE17" i="12"/>
  <c r="P13" i="13"/>
  <c r="AN17" i="12"/>
  <c r="U23" i="12"/>
  <c r="AM17" i="12"/>
  <c r="AH89" i="12"/>
  <c r="AL89" i="12"/>
  <c r="AN89" i="12"/>
  <c r="AJ52" i="12"/>
  <c r="AE83" i="12"/>
  <c r="G5" i="13"/>
  <c r="H60" i="12"/>
  <c r="H98" i="12" s="1"/>
  <c r="AN83" i="12"/>
  <c r="AL83" i="12"/>
  <c r="AK11" i="12"/>
  <c r="AK89" i="12"/>
  <c r="G9" i="13"/>
  <c r="AG93" i="12"/>
  <c r="AJ93" i="12"/>
  <c r="R9" i="13"/>
  <c r="AJ32" i="12"/>
  <c r="AM32" i="12"/>
  <c r="R60" i="12"/>
  <c r="Q60" i="12"/>
  <c r="L60" i="12"/>
  <c r="D98" i="12"/>
  <c r="Y60" i="12"/>
  <c r="N7" i="13"/>
  <c r="K7" i="13"/>
  <c r="J7" i="13"/>
  <c r="Z60" i="12"/>
  <c r="L7" i="13"/>
  <c r="Q9" i="13"/>
  <c r="R5" i="13"/>
  <c r="AK96" i="12"/>
  <c r="AM96" i="12"/>
  <c r="S9" i="13"/>
  <c r="AE96" i="12"/>
  <c r="S5" i="13"/>
  <c r="AF96" i="12"/>
  <c r="AJ96" i="12"/>
  <c r="Q5" i="13"/>
  <c r="AD96" i="12"/>
  <c r="AB23" i="12"/>
  <c r="AB35" i="12" s="1"/>
  <c r="AA23" i="12"/>
  <c r="T7" i="13" s="1"/>
  <c r="Y29" i="12"/>
  <c r="X35" i="12"/>
  <c r="AB34" i="12"/>
  <c r="AN96" i="12"/>
  <c r="AB33" i="12"/>
  <c r="AH96" i="12"/>
  <c r="X98" i="12"/>
  <c r="Q35" i="12" l="1"/>
  <c r="Z35" i="12"/>
  <c r="AN29" i="12"/>
  <c r="X11" i="13"/>
  <c r="AK33" i="12"/>
  <c r="AL29" i="12"/>
  <c r="Y13" i="13"/>
  <c r="AL33" i="12"/>
  <c r="AJ33" i="12"/>
  <c r="Z7" i="13"/>
  <c r="AN33" i="12"/>
  <c r="AM29" i="12"/>
  <c r="AK29" i="12"/>
  <c r="U5" i="13"/>
  <c r="U9" i="13"/>
  <c r="AK23" i="12"/>
  <c r="AJ23" i="12"/>
  <c r="Y7" i="13"/>
  <c r="W7" i="13"/>
  <c r="W35" i="12"/>
  <c r="AN35" i="12" s="1"/>
  <c r="AL23" i="12"/>
  <c r="AM34" i="12"/>
  <c r="AK34" i="12"/>
  <c r="AJ34" i="12"/>
  <c r="AN34" i="12"/>
  <c r="AL34" i="12"/>
  <c r="S60" i="12"/>
  <c r="S98" i="12"/>
  <c r="M60" i="12"/>
  <c r="O60" i="12"/>
  <c r="AF53" i="12"/>
  <c r="AJ53" i="12"/>
  <c r="I98" i="12"/>
  <c r="U98" i="12" s="1"/>
  <c r="AE53" i="12"/>
  <c r="P9" i="13"/>
  <c r="P5" i="13"/>
  <c r="Y5" i="13" s="1"/>
  <c r="AD53" i="12"/>
  <c r="AH53" i="12"/>
  <c r="W60" i="12"/>
  <c r="W98" i="12" s="1"/>
  <c r="AG98" i="12" s="1"/>
  <c r="AL53" i="12"/>
  <c r="AN53" i="12"/>
  <c r="J5" i="13"/>
  <c r="Z11" i="13"/>
  <c r="U35" i="12"/>
  <c r="L5" i="13"/>
  <c r="J9" i="13"/>
  <c r="K9" i="13"/>
  <c r="N9" i="13"/>
  <c r="M5" i="13"/>
  <c r="M9" i="13"/>
  <c r="N60" i="12"/>
  <c r="T9" i="13"/>
  <c r="T35" i="12"/>
  <c r="W11" i="13"/>
  <c r="R35" i="12"/>
  <c r="K5" i="13"/>
  <c r="AA13" i="13"/>
  <c r="AM53" i="12"/>
  <c r="S35" i="12"/>
  <c r="T60" i="12"/>
  <c r="Y11" i="13"/>
  <c r="W13" i="13"/>
  <c r="T5" i="13"/>
  <c r="AA11" i="13"/>
  <c r="Z13" i="13"/>
  <c r="AG53" i="12"/>
  <c r="X13" i="13"/>
  <c r="R98" i="12"/>
  <c r="M98" i="12"/>
  <c r="T98" i="12"/>
  <c r="L98" i="12"/>
  <c r="Z98" i="12"/>
  <c r="Q98" i="12"/>
  <c r="K98" i="12"/>
  <c r="N98" i="12"/>
  <c r="Y98" i="12"/>
  <c r="AN23" i="12"/>
  <c r="U7" i="13"/>
  <c r="AA7" i="13" s="1"/>
  <c r="AM23" i="12"/>
  <c r="Y35" i="12"/>
  <c r="AA35" i="12"/>
  <c r="AA9" i="13" l="1"/>
  <c r="AJ35" i="12"/>
  <c r="AM35" i="12"/>
  <c r="AL35" i="12"/>
  <c r="AK35" i="12"/>
  <c r="O98" i="12"/>
  <c r="W5" i="13"/>
  <c r="Z5" i="13"/>
  <c r="AA5" i="13"/>
  <c r="X5" i="13"/>
  <c r="AD98" i="12"/>
  <c r="W9" i="13"/>
  <c r="AM60" i="12"/>
  <c r="AL98" i="12"/>
  <c r="AJ60" i="12"/>
  <c r="Y9" i="13"/>
  <c r="AN98" i="12"/>
  <c r="AD60" i="12"/>
  <c r="AG60" i="12"/>
  <c r="X9" i="13"/>
  <c r="AE60" i="12"/>
  <c r="AJ98" i="12"/>
  <c r="AL60" i="12"/>
  <c r="AF60" i="12"/>
  <c r="AN60" i="12"/>
  <c r="AK60" i="12"/>
  <c r="AH98" i="12"/>
  <c r="AE98" i="12"/>
  <c r="AM98" i="12"/>
  <c r="AH60" i="12"/>
  <c r="Z9" i="13"/>
  <c r="AF98" i="12"/>
  <c r="AK98" i="12"/>
  <c r="AD59" i="14"/>
  <c r="J59" i="14"/>
  <c r="U59" i="14"/>
  <c r="R59" i="14"/>
  <c r="AP59" i="14"/>
  <c r="AX59" i="14"/>
  <c r="AU59" i="14"/>
  <c r="H59" i="14"/>
  <c r="P59" i="14"/>
  <c r="W59" i="14"/>
  <c r="F59" i="14"/>
  <c r="AI59" i="14"/>
  <c r="D59" i="14"/>
  <c r="V59" i="14"/>
  <c r="AH59" i="14"/>
  <c r="Z59" i="14"/>
  <c r="AY59" i="14"/>
  <c r="AV59" i="14"/>
  <c r="K59" i="14"/>
  <c r="AT59" i="14"/>
  <c r="N59" i="14"/>
  <c r="AK59" i="14"/>
  <c r="AN59" i="14"/>
  <c r="I59" i="14"/>
  <c r="AB59" i="14"/>
  <c r="Y59" i="14"/>
  <c r="O59" i="14"/>
  <c r="AJ59" i="14"/>
  <c r="AG59" i="14"/>
  <c r="AW59" i="14"/>
  <c r="AF59" i="14"/>
  <c r="AA59" i="14"/>
  <c r="G59" i="14"/>
  <c r="AO59" i="14"/>
  <c r="AS59" i="14"/>
  <c r="S59" i="14"/>
  <c r="AM59" i="14"/>
  <c r="X59" i="14"/>
  <c r="AC59" i="14"/>
  <c r="E59" i="14"/>
  <c r="L59" i="14"/>
  <c r="AE59" i="14"/>
  <c r="AR59" i="14"/>
  <c r="AQ59" i="14"/>
  <c r="T59" i="14"/>
  <c r="Q59" i="14"/>
  <c r="M59" i="14"/>
  <c r="AN84" i="14" l="1"/>
  <c r="AO84" i="14" l="1"/>
  <c r="AP84" i="14"/>
  <c r="AQ84" i="14"/>
  <c r="AR84" i="14" l="1"/>
  <c r="AS84" i="14"/>
  <c r="AT84" i="14" l="1"/>
  <c r="AU84" i="14" l="1"/>
  <c r="AV84" i="14" l="1"/>
  <c r="AW84" i="14" l="1"/>
  <c r="AX84" i="14"/>
  <c r="AY84" i="14" l="1"/>
  <c r="AM84" i="14" l="1"/>
  <c r="AL84" i="14"/>
  <c r="AK84" i="14"/>
  <c r="AH84" i="14" l="1"/>
  <c r="AI84" i="14"/>
  <c r="AG84" i="14"/>
  <c r="AE84" i="14"/>
  <c r="AD84" i="14"/>
  <c r="AF84" i="14"/>
  <c r="AJ84" i="14"/>
  <c r="AB84" i="14" l="1"/>
  <c r="AC84" i="14" l="1"/>
  <c r="T84" i="14" l="1"/>
  <c r="F84" i="14"/>
  <c r="M84" i="14"/>
  <c r="V84" i="14"/>
  <c r="W84" i="14"/>
  <c r="H84" i="14"/>
  <c r="Z84" i="14"/>
  <c r="D84" i="14"/>
  <c r="U84" i="14"/>
  <c r="O84" i="14"/>
  <c r="E84" i="14"/>
  <c r="J84" i="14"/>
  <c r="N84" i="14"/>
  <c r="Y84" i="14"/>
  <c r="S84" i="14"/>
  <c r="Q84" i="14"/>
  <c r="G84" i="14"/>
  <c r="I84" i="14"/>
  <c r="L84" i="14"/>
  <c r="X84" i="14"/>
  <c r="K84" i="14"/>
  <c r="R84" i="14"/>
  <c r="AA84" i="14"/>
  <c r="P84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AD19E99-6257-4950-B96D-51C34339484D}" keepAlive="1" name="DataSetPPECONVVEH" type="5" refreshedVersion="8" saveData="1">
    <dbPr connection="Provider=MSOLAP.8;Integrated Security=ClaimsToken;Persist Security Info=True;Initial Catalog=sobe_wowvirtualserver-b0b160a6-ebc5-4855-b2f7-af60e51163af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  <connection id="2" xr16:uid="{52EE77EA-6606-4BAB-A062-54E3A66896FD}" keepAlive="1" name="DataSetPPTO26PPECONVVEH" type="5" refreshedVersion="8" saveData="1">
    <dbPr connection="Provider=MSOLAP.8;Integrated Security=ClaimsToken;Persist Security Info=True;Initial Catalog=sobe_wowvirtualserver-84447922-96ff-4e1f-b318-13084cf8c1b8;Data Source=pbiazure://api.powerbi.com;MDX Compatibility=1;Safety Options=2;MDX Missing Member Mode=Error;Identity Provider=https://login.microsoftonline.com/common, https://analysis.windows.net/powerbi/api, 929d0ec0-7a41-4b1e-bc7c-b754a28bddcc;Update Isolation Level=2" command="Model" commandType="1"/>
    <olapPr rowDrillCount="1000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2">
    <metadataType name="XLMDX" minSupportedVersion="120000" copy="1" pasteAll="1" pasteValues="1" merge="1" splitFirst="1" rowColShift="1" clearFormats="1" clearComments="1" assign="1" coerce="1"/>
    <metadataType name="XLDAPR" minSupportedVersion="120000" copy="1" pasteAll="1" pasteValues="1" merge="1" splitFirst="1" rowColShift="1" clearFormats="1" clearComments="1" assign="1" coerce="1" cellMeta="1"/>
  </metadataTypes>
  <metadataStrings count="7">
    <s v="{[Base].[Tipo_Valor].&amp;[Solarizado]}"/>
    <s v="DataSetPPECONVVEH"/>
    <s v="DataSetPPTO26PPECONVVEH"/>
    <s v="{[Base].[PRODUCTO].&amp;[Hipotecario]}"/>
    <s v="{[BASE_HIPO_PPTO].[Tipo].&amp;[P]}"/>
    <s v="{[BASE_HIPO_PPTO].[Tipo_Valor].&amp;[Solarizado]}"/>
    <s v="{[BASE_HIPO_PPTO].[PRODUCTO].&amp;[Hipotecario]}"/>
  </metadataStrings>
  <mdxMetadata count="5">
    <mdx n="1" f="s">
      <ms ns="0" c="0"/>
    </mdx>
    <mdx n="1" f="s">
      <ms ns="3" c="0"/>
    </mdx>
    <mdx n="2" f="s">
      <ms ns="4" c="0"/>
    </mdx>
    <mdx n="2" f="s">
      <ms ns="5" c="0"/>
    </mdx>
    <mdx n="2" f="s">
      <ms ns="6" c="0"/>
    </mdx>
  </mdxMetadata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2" v="0"/>
    </bk>
  </cell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<sst xmlns="http://schemas.openxmlformats.org/spreadsheetml/2006/main" count="1268" uniqueCount="130">
  <si>
    <t>Vigente</t>
  </si>
  <si>
    <t>Refinanciado</t>
  </si>
  <si>
    <t>Saldo FdP</t>
  </si>
  <si>
    <t>Producto</t>
  </si>
  <si>
    <t>Convenios</t>
  </si>
  <si>
    <t>Etiquetas de columna</t>
  </si>
  <si>
    <t>202301</t>
  </si>
  <si>
    <t>202302</t>
  </si>
  <si>
    <t>202303</t>
  </si>
  <si>
    <t>202304</t>
  </si>
  <si>
    <t>202305</t>
  </si>
  <si>
    <t>202306</t>
  </si>
  <si>
    <t>202307</t>
  </si>
  <si>
    <t>202308</t>
  </si>
  <si>
    <t>202309</t>
  </si>
  <si>
    <t>202310</t>
  </si>
  <si>
    <t>202311</t>
  </si>
  <si>
    <t>202312</t>
  </si>
  <si>
    <t>202401</t>
  </si>
  <si>
    <t>202402</t>
  </si>
  <si>
    <t>202403</t>
  </si>
  <si>
    <t>202404</t>
  </si>
  <si>
    <t>202405</t>
  </si>
  <si>
    <t>202406</t>
  </si>
  <si>
    <t>202407</t>
  </si>
  <si>
    <t>202408</t>
  </si>
  <si>
    <t>202409</t>
  </si>
  <si>
    <t>202410</t>
  </si>
  <si>
    <t>202411</t>
  </si>
  <si>
    <t>202412</t>
  </si>
  <si>
    <t>202501</t>
  </si>
  <si>
    <t>202502</t>
  </si>
  <si>
    <t>202503</t>
  </si>
  <si>
    <t>202504</t>
  </si>
  <si>
    <t>202505</t>
  </si>
  <si>
    <t>202506</t>
  </si>
  <si>
    <t>202507</t>
  </si>
  <si>
    <t>202508</t>
  </si>
  <si>
    <t>202509</t>
  </si>
  <si>
    <t>202510</t>
  </si>
  <si>
    <t>202511</t>
  </si>
  <si>
    <t>202512</t>
  </si>
  <si>
    <t>Suma de Importe</t>
  </si>
  <si>
    <t>PRODUCTO</t>
  </si>
  <si>
    <t>Etiquetas de fila</t>
  </si>
  <si>
    <t>Vencido y Judicial</t>
  </si>
  <si>
    <t>Consumo Inicial</t>
  </si>
  <si>
    <t>Masivo</t>
  </si>
  <si>
    <t>Otros</t>
  </si>
  <si>
    <t>Renta Alta</t>
  </si>
  <si>
    <t>FTP</t>
  </si>
  <si>
    <t>SALDO_FDP</t>
  </si>
  <si>
    <t>SALDO_PROM</t>
  </si>
  <si>
    <t>Tipo_Valor</t>
  </si>
  <si>
    <t>Solarizado</t>
  </si>
  <si>
    <t>Ingreso_Financiero</t>
  </si>
  <si>
    <t>Saldo Prom</t>
  </si>
  <si>
    <t>Ingreso Financiero</t>
  </si>
  <si>
    <t>Costo de Fondos</t>
  </si>
  <si>
    <t>Tasa Implicita</t>
  </si>
  <si>
    <t>Tasa FTP</t>
  </si>
  <si>
    <t>N° dias T.Imp</t>
  </si>
  <si>
    <t>N° dias FTP</t>
  </si>
  <si>
    <t>Spread</t>
  </si>
  <si>
    <t>Gasto_Provision</t>
  </si>
  <si>
    <t>Recupero</t>
  </si>
  <si>
    <t>Resultado Financiero Bruto</t>
  </si>
  <si>
    <t>Provisiones Cartera</t>
  </si>
  <si>
    <t>Provisiones Netas</t>
  </si>
  <si>
    <t>Recupero de Castigos</t>
  </si>
  <si>
    <t>Resultado Financiero Neto</t>
  </si>
  <si>
    <t>INOF</t>
  </si>
  <si>
    <t>Comisiones</t>
  </si>
  <si>
    <t>Gastos de casilleros</t>
  </si>
  <si>
    <t>No Considerar</t>
  </si>
  <si>
    <t>Seguro de Desgravamen</t>
  </si>
  <si>
    <t>Gastos Operativos</t>
  </si>
  <si>
    <t>202601</t>
  </si>
  <si>
    <t>Gasto Canal</t>
  </si>
  <si>
    <t>Gasto Directo</t>
  </si>
  <si>
    <t>Gasto Indirecto</t>
  </si>
  <si>
    <t>Extraordinarios</t>
  </si>
  <si>
    <t>ROF</t>
  </si>
  <si>
    <t>Venta de Cartera</t>
  </si>
  <si>
    <t>UAI</t>
  </si>
  <si>
    <t>Donaciones</t>
  </si>
  <si>
    <t>Tipo</t>
  </si>
  <si>
    <t>R</t>
  </si>
  <si>
    <t>P</t>
  </si>
  <si>
    <t>Año</t>
  </si>
  <si>
    <t>Acumulado</t>
  </si>
  <si>
    <t>Saldo Prom Acumulado</t>
  </si>
  <si>
    <t>REAL</t>
  </si>
  <si>
    <t>PRESUPUESTO</t>
  </si>
  <si>
    <t>Mensual</t>
  </si>
  <si>
    <t>Lista Fechas</t>
  </si>
  <si>
    <t>Segmentos</t>
  </si>
  <si>
    <t>Renta_Alta</t>
  </si>
  <si>
    <t>Consumo_Inicial</t>
  </si>
  <si>
    <t>Total_Producto</t>
  </si>
  <si>
    <t>Variación S/.</t>
  </si>
  <si>
    <t>Variación %</t>
  </si>
  <si>
    <t>Desempeño Financiero</t>
  </si>
  <si>
    <t>En S/. Miles</t>
  </si>
  <si>
    <t>Eficiencia</t>
  </si>
  <si>
    <t>Rendimiento de Colocaciones</t>
  </si>
  <si>
    <t>INOF / Ingresos Totales</t>
  </si>
  <si>
    <t>INOF / Gasto Operativo</t>
  </si>
  <si>
    <t>Gasto Operativo / Activo</t>
  </si>
  <si>
    <t>Provisiones Brutas / Cartera Bruta</t>
  </si>
  <si>
    <t>Prom SFdP</t>
  </si>
  <si>
    <t>ROE</t>
  </si>
  <si>
    <t>ROA</t>
  </si>
  <si>
    <t>202602</t>
  </si>
  <si>
    <t>Total general</t>
  </si>
  <si>
    <t>202603</t>
  </si>
  <si>
    <t>202604</t>
  </si>
  <si>
    <t>202605</t>
  </si>
  <si>
    <t>202606</t>
  </si>
  <si>
    <t>202607</t>
  </si>
  <si>
    <t>202608</t>
  </si>
  <si>
    <t>202609</t>
  </si>
  <si>
    <t>202610</t>
  </si>
  <si>
    <t>202611</t>
  </si>
  <si>
    <t>202612</t>
  </si>
  <si>
    <t>Hipotecario</t>
  </si>
  <si>
    <t>Total Hipotecario</t>
  </si>
  <si>
    <t>Garantías</t>
  </si>
  <si>
    <t>Servicios Legales y Tasación Hipotecario</t>
  </si>
  <si>
    <t>Comisiones Credito Hipotecario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</si>
</sst>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* #,##0_-;\-* #,##0_-;_-* &quot;-&quot;??_-;_-@_-"/>
    <numFmt numFmtId="165" formatCode="_(* #,##0.00_);_(* \(#,##0.00\);_(* &quot;-&quot;??_);_(@_)"/>
    <numFmt numFmtId="166" formatCode="_ * #,##0_ ;_ * \-#,##0_ ;_ * &quot;-&quot;??_ ;_ @_ "/>
    <numFmt numFmtId="167" formatCode="mmm\ yy"/>
    <numFmt numFmtId="168" formatCode="mmm\-yy\ &quot;P&quot;"/>
    <numFmt numFmtId="169" formatCode="#,##0_ ;\-#,##0\ "/>
    <numFmt numFmtId="170" formatCode="0.0%"/>
    <numFmt numFmtId="171" formatCode="mmm\-yy\ \P"/>
    <numFmt numFmtId="172" formatCode="#,##0;\(#,##0\)"/>
    <numFmt numFmtId="173" formatCode="\+0.0%;\-0.0%"/>
    <numFmt numFmtId="174" formatCode="\+0.0\ &quot;pbs&quot;;\-0.0\ &quot;pbs&quot;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39A6"/>
      <name val="Arial"/>
      <family val="2"/>
    </font>
    <font>
      <b/>
      <sz val="8"/>
      <name val="Arial"/>
      <family val="2"/>
    </font>
    <font>
      <b/>
      <sz val="9"/>
      <color theme="0"/>
      <name val="Arial"/>
      <family val="2"/>
    </font>
    <font>
      <sz val="10"/>
      <name val="Arial"/>
      <family val="2"/>
    </font>
    <font>
      <b/>
      <sz val="11"/>
      <color theme="0"/>
      <name val="Arial"/>
      <family val="2"/>
    </font>
    <font>
      <i/>
      <sz val="6"/>
      <color theme="1"/>
      <name val="Arial Nova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color theme="1"/>
      <name val="Arial Nova"/>
      <family val="2"/>
    </font>
    <font>
      <b/>
      <sz val="12"/>
      <color theme="0"/>
      <name val="Aptos Narrow"/>
      <family val="2"/>
      <scheme val="minor"/>
    </font>
    <font>
      <b/>
      <sz val="10"/>
      <color rgb="FF0039A6"/>
      <name val="Arial"/>
      <family val="2"/>
    </font>
    <font>
      <b/>
      <sz val="11"/>
      <color rgb="FFFFFFFF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i/>
      <sz val="6"/>
      <color theme="0" tint="-0.14999847407452621"/>
      <name val="Arial Nova"/>
      <family val="2"/>
    </font>
    <font>
      <b/>
      <sz val="10"/>
      <color theme="0"/>
      <name val="Geometria"/>
      <family val="2"/>
    </font>
    <font>
      <b/>
      <sz val="10"/>
      <color theme="0" tint="-0.14999847407452621"/>
      <name val="Century Gothic"/>
      <family val="2"/>
    </font>
    <font>
      <b/>
      <sz val="11"/>
      <color theme="0" tint="-0.14999847407452621"/>
      <name val="Aptos Narrow"/>
      <family val="2"/>
      <scheme val="minor"/>
    </font>
    <font>
      <i/>
      <sz val="6"/>
      <color theme="1"/>
      <name val="Arial Nova"/>
      <family val="2"/>
    </font>
    <font>
      <sz val="6"/>
      <color theme="1"/>
      <name val="Arial Nova"/>
      <family val="2"/>
    </font>
    <font>
      <b/>
      <sz val="11"/>
      <color rgb="FF0039A6"/>
      <name val="Arial"/>
      <family val="2"/>
    </font>
    <font>
      <b/>
      <sz val="8"/>
      <name val="Arial"/>
      <family val="2"/>
    </font>
    <font>
      <b/>
      <sz val="9"/>
      <color theme="0"/>
      <name val="Arial"/>
      <family val="2"/>
    </font>
    <font>
      <b/>
      <sz val="11"/>
      <color theme="0"/>
      <name val="Arial"/>
      <family val="2"/>
    </font>
    <font>
      <b/>
      <sz val="10"/>
      <color theme="0" tint="-0.14999847407452621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rgb="FFF0F0D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5BE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0039A6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39A6"/>
        <bgColor indexed="64"/>
      </patternFill>
    </fill>
  </fills>
  <borders count="4">
    <border>
      <left/>
      <right/>
      <top/>
      <bottom/>
      <diagonal/>
    </border>
    <border>
      <left style="thick">
        <color theme="0"/>
      </left>
      <right style="thick">
        <color theme="0"/>
      </right>
      <top style="thick">
        <color theme="0"/>
      </top>
      <bottom style="thick">
        <color theme="0"/>
      </bottom>
      <diagonal/>
    </border>
    <border>
      <left style="medium">
        <color theme="0"/>
      </left>
      <right style="thick">
        <color rgb="FFFFFFFF"/>
      </right>
      <top/>
      <bottom style="medium">
        <color theme="0"/>
      </bottom>
      <diagonal/>
    </border>
    <border>
      <left style="thick">
        <color theme="0"/>
      </left>
      <right style="thick">
        <color theme="0"/>
      </right>
      <top/>
      <bottom style="thick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5" fontId="6" fillId="0" borderId="0" applyFont="0" applyFill="0" applyBorder="0" applyAlignment="0" applyProtection="0"/>
  </cellStyleXfs>
  <cellXfs count="72">
    <xf numFmtId="0" fontId="0" fillId="0" borderId="0" xfId="0"/>
    <xf numFmtId="17" fontId="3" fillId="2" borderId="1" xfId="0" applyNumberFormat="1" applyFont="1" applyFill="1" applyBorder="1" applyAlignment="1">
      <alignment horizontal="center"/>
    </xf>
    <xf numFmtId="0" fontId="4" fillId="3" borderId="0" xfId="0" applyFont="1" applyFill="1" applyAlignment="1">
      <alignment horizontal="right"/>
    </xf>
    <xf numFmtId="0" fontId="5" fillId="4" borderId="0" xfId="0" applyFont="1" applyFill="1" applyAlignment="1">
      <alignment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4" fontId="0" fillId="0" borderId="0" xfId="1" applyNumberFormat="1" applyFont="1"/>
    <xf numFmtId="164" fontId="0" fillId="0" borderId="0" xfId="0" applyNumberFormat="1"/>
    <xf numFmtId="166" fontId="7" fillId="4" borderId="0" xfId="3" applyNumberFormat="1" applyFont="1" applyFill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8" fillId="0" borderId="0" xfId="0" applyFont="1" applyAlignment="1">
      <alignment horizontal="right"/>
    </xf>
    <xf numFmtId="10" fontId="0" fillId="0" borderId="0" xfId="2" applyNumberFormat="1" applyFont="1"/>
    <xf numFmtId="10" fontId="7" fillId="4" borderId="0" xfId="2" applyNumberFormat="1" applyFont="1" applyFill="1" applyAlignment="1">
      <alignment vertical="center"/>
    </xf>
    <xf numFmtId="166" fontId="0" fillId="0" borderId="0" xfId="0" applyNumberFormat="1"/>
    <xf numFmtId="164" fontId="9" fillId="0" borderId="0" xfId="1" applyNumberFormat="1" applyFont="1"/>
    <xf numFmtId="0" fontId="9" fillId="0" borderId="0" xfId="0" applyFont="1"/>
    <xf numFmtId="164" fontId="9" fillId="0" borderId="0" xfId="0" applyNumberFormat="1" applyFont="1"/>
    <xf numFmtId="14" fontId="0" fillId="0" borderId="0" xfId="0" applyNumberFormat="1"/>
    <xf numFmtId="167" fontId="0" fillId="0" borderId="0" xfId="0" applyNumberFormat="1" applyAlignment="1">
      <alignment horizontal="center"/>
    </xf>
    <xf numFmtId="168" fontId="3" fillId="2" borderId="0" xfId="0" applyNumberFormat="1" applyFont="1" applyFill="1" applyAlignment="1">
      <alignment horizontal="center"/>
    </xf>
    <xf numFmtId="37" fontId="7" fillId="4" borderId="0" xfId="3" applyNumberFormat="1" applyFont="1" applyFill="1" applyAlignment="1">
      <alignment horizontal="center" vertical="center"/>
    </xf>
    <xf numFmtId="169" fontId="0" fillId="0" borderId="0" xfId="1" applyNumberFormat="1" applyFont="1" applyAlignment="1">
      <alignment horizontal="center"/>
    </xf>
    <xf numFmtId="14" fontId="11" fillId="0" borderId="0" xfId="0" applyNumberFormat="1" applyFont="1" applyAlignment="1">
      <alignment horizontal="center"/>
    </xf>
    <xf numFmtId="17" fontId="0" fillId="0" borderId="0" xfId="0" applyNumberFormat="1"/>
    <xf numFmtId="2" fontId="8" fillId="0" borderId="0" xfId="0" applyNumberFormat="1" applyFont="1" applyAlignment="1">
      <alignment horizontal="center"/>
    </xf>
    <xf numFmtId="170" fontId="0" fillId="0" borderId="0" xfId="2" applyNumberFormat="1" applyFont="1" applyAlignment="1">
      <alignment horizontal="center"/>
    </xf>
    <xf numFmtId="170" fontId="7" fillId="4" borderId="0" xfId="2" applyNumberFormat="1" applyFont="1" applyFill="1" applyAlignment="1">
      <alignment horizontal="center" vertical="center"/>
    </xf>
    <xf numFmtId="168" fontId="3" fillId="2" borderId="1" xfId="0" applyNumberFormat="1" applyFont="1" applyFill="1" applyBorder="1" applyAlignment="1">
      <alignment horizontal="center"/>
    </xf>
    <xf numFmtId="167" fontId="0" fillId="7" borderId="0" xfId="0" applyNumberFormat="1" applyFill="1" applyAlignment="1">
      <alignment horizontal="center"/>
    </xf>
    <xf numFmtId="171" fontId="13" fillId="8" borderId="2" xfId="0" applyNumberFormat="1" applyFont="1" applyFill="1" applyBorder="1" applyAlignment="1">
      <alignment horizontal="center"/>
    </xf>
    <xf numFmtId="17" fontId="13" fillId="8" borderId="2" xfId="0" applyNumberFormat="1" applyFont="1" applyFill="1" applyBorder="1" applyAlignment="1">
      <alignment horizontal="center"/>
    </xf>
    <xf numFmtId="172" fontId="0" fillId="0" borderId="0" xfId="1" applyNumberFormat="1" applyFont="1"/>
    <xf numFmtId="172" fontId="7" fillId="4" borderId="0" xfId="3" applyNumberFormat="1" applyFont="1" applyFill="1" applyAlignment="1">
      <alignment vertical="center"/>
    </xf>
    <xf numFmtId="173" fontId="0" fillId="0" borderId="0" xfId="1" applyNumberFormat="1" applyFont="1" applyAlignment="1">
      <alignment horizontal="center"/>
    </xf>
    <xf numFmtId="173" fontId="2" fillId="4" borderId="0" xfId="1" applyNumberFormat="1" applyFont="1" applyFill="1" applyAlignment="1">
      <alignment horizontal="center"/>
    </xf>
    <xf numFmtId="0" fontId="15" fillId="0" borderId="0" xfId="0" applyFont="1"/>
    <xf numFmtId="0" fontId="16" fillId="0" borderId="0" xfId="0" applyFont="1" applyAlignment="1">
      <alignment vertical="center"/>
    </xf>
    <xf numFmtId="0" fontId="17" fillId="0" borderId="0" xfId="0" applyFont="1" applyAlignment="1">
      <alignment horizontal="right"/>
    </xf>
    <xf numFmtId="0" fontId="17" fillId="0" borderId="0" xfId="0" applyFont="1" applyAlignment="1">
      <alignment horizontal="center"/>
    </xf>
    <xf numFmtId="174" fontId="0" fillId="0" borderId="0" xfId="0" applyNumberFormat="1" applyAlignment="1">
      <alignment horizontal="center"/>
    </xf>
    <xf numFmtId="174" fontId="7" fillId="4" borderId="0" xfId="0" applyNumberFormat="1" applyFont="1" applyFill="1" applyAlignment="1">
      <alignment horizontal="center"/>
    </xf>
    <xf numFmtId="0" fontId="0" fillId="10" borderId="0" xfId="0" applyFill="1"/>
    <xf numFmtId="1" fontId="18" fillId="11" borderId="3" xfId="0" applyNumberFormat="1" applyFont="1" applyFill="1" applyBorder="1" applyAlignment="1">
      <alignment horizontal="left" vertical="center"/>
    </xf>
    <xf numFmtId="0" fontId="19" fillId="0" borderId="0" xfId="0" applyFont="1"/>
    <xf numFmtId="164" fontId="20" fillId="0" borderId="0" xfId="1" applyNumberFormat="1" applyFont="1"/>
    <xf numFmtId="0" fontId="20" fillId="0" borderId="0" xfId="0" applyFont="1"/>
    <xf numFmtId="170" fontId="7" fillId="4" borderId="0" xfId="2" applyNumberFormat="1" applyFont="1" applyFill="1" applyAlignment="1">
      <alignment horizontal="center"/>
    </xf>
    <xf numFmtId="174" fontId="10" fillId="0" borderId="0" xfId="0" applyNumberFormat="1" applyFont="1" applyAlignment="1">
      <alignment horizontal="center"/>
    </xf>
    <xf numFmtId="0" fontId="21" fillId="0" borderId="0" xfId="0" applyFont="1" applyAlignment="1">
      <alignment horizontal="right"/>
    </xf>
    <xf numFmtId="0" fontId="21" fillId="0" borderId="0" xfId="0" applyFont="1" applyAlignment="1">
      <alignment horizontal="center"/>
    </xf>
    <xf numFmtId="14" fontId="22" fillId="0" borderId="0" xfId="0" applyNumberFormat="1" applyFont="1" applyAlignment="1">
      <alignment horizontal="center"/>
    </xf>
    <xf numFmtId="2" fontId="21" fillId="0" borderId="0" xfId="0" applyNumberFormat="1" applyFont="1" applyAlignment="1">
      <alignment horizontal="center"/>
    </xf>
    <xf numFmtId="17" fontId="23" fillId="2" borderId="1" xfId="0" applyNumberFormat="1" applyFont="1" applyFill="1" applyBorder="1" applyAlignment="1">
      <alignment horizontal="center"/>
    </xf>
    <xf numFmtId="168" fontId="23" fillId="2" borderId="1" xfId="0" applyNumberFormat="1" applyFont="1" applyFill="1" applyBorder="1" applyAlignment="1">
      <alignment horizontal="center"/>
    </xf>
    <xf numFmtId="168" fontId="23" fillId="2" borderId="0" xfId="0" applyNumberFormat="1" applyFont="1" applyFill="1" applyAlignment="1">
      <alignment horizontal="center"/>
    </xf>
    <xf numFmtId="0" fontId="21" fillId="0" borderId="0" xfId="0" applyFont="1"/>
    <xf numFmtId="0" fontId="24" fillId="3" borderId="0" xfId="0" applyFont="1" applyFill="1" applyAlignment="1">
      <alignment horizontal="right"/>
    </xf>
    <xf numFmtId="0" fontId="25" fillId="4" borderId="0" xfId="0" applyFont="1" applyFill="1" applyAlignment="1">
      <alignment vertical="center"/>
    </xf>
    <xf numFmtId="166" fontId="26" fillId="4" borderId="0" xfId="3" applyNumberFormat="1" applyFont="1" applyFill="1" applyAlignment="1">
      <alignment vertical="center"/>
    </xf>
    <xf numFmtId="37" fontId="26" fillId="4" borderId="0" xfId="3" applyNumberFormat="1" applyFont="1" applyFill="1" applyAlignment="1">
      <alignment horizontal="center" vertical="center"/>
    </xf>
    <xf numFmtId="10" fontId="26" fillId="4" borderId="0" xfId="2" applyNumberFormat="1" applyFont="1" applyFill="1" applyAlignment="1">
      <alignment vertical="center"/>
    </xf>
    <xf numFmtId="170" fontId="26" fillId="4" borderId="0" xfId="2" applyNumberFormat="1" applyFont="1" applyFill="1" applyAlignment="1">
      <alignment horizontal="center" vertical="center"/>
    </xf>
    <xf numFmtId="0" fontId="27" fillId="0" borderId="0" xfId="0" applyFont="1"/>
    <xf numFmtId="0" fontId="12" fillId="5" borderId="0" xfId="0" applyFont="1" applyFill="1" applyAlignment="1">
      <alignment horizontal="center" vertical="center"/>
    </xf>
    <xf numFmtId="0" fontId="10" fillId="6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1" fontId="14" fillId="9" borderId="0" xfId="0" applyNumberFormat="1" applyFont="1" applyFill="1" applyAlignment="1">
      <alignment horizontal="center" vertical="center"/>
    </xf>
    <xf numFmtId="0" fontId="12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/>
    </xf>
  </cellXfs>
  <cellStyles count="4">
    <cellStyle name="Millares" xfId="1" builtinId="3"/>
    <cellStyle name="Millares 2 2 2" xfId="3" xr:uid="{59B4208A-C3FC-4BC8-9240-D808A467DA1C}"/>
    <cellStyle name="Normal" xfId="0" builtinId="0"/>
    <cellStyle name="Porcentaje" xfId="2" builtinId="5"/>
  </cellStyles>
  <dxfs count="1">
    <dxf>
      <numFmt numFmtId="164" formatCode="_-* #,##0_-;\-* #,##0_-;_-* &quot;-&quot;??_-;_-@_-"/>
    </dxf>
  </dxfs>
  <tableStyles count="0" defaultTableStyle="TableStyleMedium2" defaultPivotStyle="PivotStyleLight16"/>
  <colors>
    <mruColors>
      <color rgb="FF05BE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ibdfs\dfs\Planeamiento4\Planeamiento\BancaPersonal\Performance\2026\Hipotecario\Performance%20Hipotecario%202026.xlsm" TargetMode="External"/><Relationship Id="rId1" Type="http://schemas.openxmlformats.org/officeDocument/2006/relationships/externalLinkPath" Target="file:///\\ibdfs\dfs\Planeamiento4\Planeamiento\BancaPersonal\Performance\2026\Hipotecario\Performance%20Hipotecario%202026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sumen Ejecutivo"/>
      <sheetName val="Indicadores"/>
      <sheetName val="Desempeño Financiero"/>
      <sheetName val="Desempeño_Financiero (Evol)-Seg"/>
      <sheetName val="Desem_Financiero (Evol) Soles"/>
      <sheetName val="Desem_Financiero (Evol) Dólares"/>
      <sheetName val="INOF Segmento"/>
      <sheetName val="Extraordinarios"/>
      <sheetName val="Base_Evolutivo"/>
      <sheetName val="Tipo_De_Cambio"/>
      <sheetName val="Base_Evolutivo_Soles"/>
      <sheetName val="Base_Evolutivo_Dólares"/>
      <sheetName val="Extraordinario_51092500000101"/>
      <sheetName val="Saldos &amp; FTP 2026 --&gt;"/>
      <sheetName val="Tabla_Saldo_FTP_Solarizado_2026"/>
      <sheetName val="PPGH"/>
      <sheetName val="Tabla_Saldo_FTP_Original_2026"/>
      <sheetName val="Base_Saldos_&amp;_FTP_2026"/>
      <sheetName val="Ingreso Financiero 2026 --&gt;"/>
      <sheetName val="Tabla_Interes_Solarisado_2026"/>
      <sheetName val="Tabla_Interes_Original_2026"/>
      <sheetName val="Base_Interes_2026"/>
      <sheetName val="INOF 2026 --&gt;"/>
      <sheetName val="Distribución_INOF_2026"/>
      <sheetName val="Base_INOF_2026"/>
      <sheetName val="Gastos 2026 --&gt;"/>
      <sheetName val="Base Gastos 2026"/>
      <sheetName val="Saldos &amp; FTP 2019-2025 --&gt;"/>
      <sheetName val="Tabla_Saldo_FTP_Soles_2019_2025"/>
      <sheetName val="Tabla_Saldo_FTP_Orig_2019_2025"/>
      <sheetName val="Base_Saldos_&amp;_FTP_2019_2025"/>
      <sheetName val="Ingreso Financier 2019-2025 --&gt;"/>
      <sheetName val="Tabla_Interes_Soles_2019_2025"/>
      <sheetName val="Tabla_Interes_Orig_2019_2025"/>
      <sheetName val="Base_Interes_2019_2025"/>
      <sheetName val="INOF 2019-2025 --&gt;"/>
      <sheetName val="Distribución_INOF_2019_2025"/>
      <sheetName val="Base_INOF_2019_2025"/>
      <sheetName val="Gastos 2019-2025 --&gt;"/>
      <sheetName val="Base_Gastos_2019_2025"/>
    </sheetNames>
    <sheetDataSet>
      <sheetData sheetId="0"/>
      <sheetData sheetId="1"/>
      <sheetData sheetId="2"/>
      <sheetData sheetId="3">
        <row r="442">
          <cell r="BE442">
            <v>7.0766507524573585E-2</v>
          </cell>
          <cell r="BF442">
            <v>7.1087001586405574E-2</v>
          </cell>
          <cell r="BG442">
            <v>7.1861786205898337E-2</v>
          </cell>
          <cell r="BH442">
            <v>7.1641315506582259E-2</v>
          </cell>
          <cell r="BI442">
            <v>7.2293022060339496E-2</v>
          </cell>
          <cell r="BJ442">
            <v>7.2526861703812839E-2</v>
          </cell>
          <cell r="BK442">
            <v>7.2958204298475549E-2</v>
          </cell>
          <cell r="BL442">
            <v>7.2533782010125503E-2</v>
          </cell>
          <cell r="BM442">
            <v>7.285810513589408E-2</v>
          </cell>
          <cell r="BN442">
            <v>7.3538663726486098E-2</v>
          </cell>
          <cell r="BO442">
            <v>7.3308609073317266E-2</v>
          </cell>
          <cell r="BP442">
            <v>7.3745999770542969E-2</v>
          </cell>
          <cell r="BQ442">
            <v>7.3800982131582815E-2</v>
          </cell>
          <cell r="BR442">
            <v>7.350352689130446E-2</v>
          </cell>
          <cell r="BS442">
            <v>7.4204037364691944E-2</v>
          </cell>
          <cell r="BT442">
            <v>7.3734885117590521E-2</v>
          </cell>
          <cell r="BU442">
            <v>7.4494086590781716E-2</v>
          </cell>
          <cell r="BV442">
            <v>7.4835111424515377E-2</v>
          </cell>
          <cell r="BW442">
            <v>7.5499314517222471E-2</v>
          </cell>
          <cell r="BX442">
            <v>7.55600073984386E-2</v>
          </cell>
          <cell r="BY442">
            <v>7.4838077312743279E-2</v>
          </cell>
          <cell r="BZ442">
            <v>7.4692123894921858E-2</v>
          </cell>
          <cell r="CA442">
            <v>7.5257936716616625E-2</v>
          </cell>
          <cell r="CB442">
            <v>7.5489892204726683E-2</v>
          </cell>
          <cell r="CC442">
            <v>7.4776629363784819E-2</v>
          </cell>
          <cell r="CD442">
            <v>7.4715036996235717E-2</v>
          </cell>
          <cell r="CE442">
            <v>7.4793645385440533E-2</v>
          </cell>
          <cell r="CF442">
            <v>7.4676924408837664E-2</v>
          </cell>
          <cell r="CG442">
            <v>7.5763595286874708E-2</v>
          </cell>
          <cell r="CH442">
            <v>7.4535663274702735E-2</v>
          </cell>
          <cell r="CI442">
            <v>7.5053636602220086E-2</v>
          </cell>
          <cell r="CJ442">
            <v>7.4603633368450328E-2</v>
          </cell>
          <cell r="CK442">
            <v>7.5138703718661048E-2</v>
          </cell>
          <cell r="CL442">
            <v>7.4632522389099787E-2</v>
          </cell>
          <cell r="CM442">
            <v>7.5312459073844984E-2</v>
          </cell>
          <cell r="CN442">
            <v>7.5572100970700884E-2</v>
          </cell>
          <cell r="CO442">
            <v>7.4880631029555556E-2</v>
          </cell>
          <cell r="CP442">
            <v>7.5208869370058329E-2</v>
          </cell>
          <cell r="CQ442">
            <v>7.5242263150208766E-2</v>
          </cell>
          <cell r="CR442">
            <v>7.4593314952991596E-2</v>
          </cell>
          <cell r="CS442">
            <v>7.51511245255434E-2</v>
          </cell>
          <cell r="CT442">
            <v>7.4121910613909492E-2</v>
          </cell>
        </row>
        <row r="586">
          <cell r="BE586">
            <v>-4.9688010444379538E-2</v>
          </cell>
          <cell r="BF586">
            <v>-5.0021318238533397E-2</v>
          </cell>
          <cell r="BG586">
            <v>-5.041436345668604E-2</v>
          </cell>
          <cell r="BH586">
            <v>-5.0886532980738863E-2</v>
          </cell>
          <cell r="BI586">
            <v>-5.1147762366214211E-2</v>
          </cell>
          <cell r="BJ586">
            <v>-5.1461441077218728E-2</v>
          </cell>
          <cell r="BK586">
            <v>-5.1742597459522699E-2</v>
          </cell>
          <cell r="BL586">
            <v>-5.1939313432684431E-2</v>
          </cell>
          <cell r="BM586">
            <v>-5.2103601909559094E-2</v>
          </cell>
          <cell r="BN586">
            <v>-5.2339358608005648E-2</v>
          </cell>
          <cell r="BO586">
            <v>-5.2596931181380757E-2</v>
          </cell>
          <cell r="BP586">
            <v>-5.2855793835459242E-2</v>
          </cell>
          <cell r="BQ586">
            <v>-5.3207161363371558E-2</v>
          </cell>
          <cell r="BR586">
            <v>-5.321864262760756E-2</v>
          </cell>
          <cell r="BS586">
            <v>-5.360705925623388E-2</v>
          </cell>
          <cell r="BT586">
            <v>-5.3646325634782777E-2</v>
          </cell>
          <cell r="BU586">
            <v>-5.402652247913986E-2</v>
          </cell>
          <cell r="BV586">
            <v>-5.4081424334635031E-2</v>
          </cell>
          <cell r="BW586">
            <v>-5.4475769893093995E-2</v>
          </cell>
          <cell r="BX586">
            <v>-5.4941984727658433E-2</v>
          </cell>
          <cell r="BY586">
            <v>-5.4840459136380915E-2</v>
          </cell>
          <cell r="BZ586">
            <v>-5.4865340053868339E-2</v>
          </cell>
          <cell r="CA586">
            <v>-5.5068694540306273E-2</v>
          </cell>
          <cell r="CB586">
            <v>-5.5126417167571162E-2</v>
          </cell>
          <cell r="CC586">
            <v>-5.5346281296735578E-2</v>
          </cell>
          <cell r="CD586">
            <v>-5.5379843613907243E-2</v>
          </cell>
          <cell r="CE586">
            <v>-5.5546928740710211E-2</v>
          </cell>
          <cell r="CF586">
            <v>-5.5616156762704927E-2</v>
          </cell>
          <cell r="CG586">
            <v>-5.5828176839398447E-2</v>
          </cell>
          <cell r="CH586">
            <v>-5.5865788790660398E-2</v>
          </cell>
          <cell r="CI586">
            <v>-5.6060987915604654E-2</v>
          </cell>
          <cell r="CJ586">
            <v>-5.6193041799424526E-2</v>
          </cell>
          <cell r="CK586">
            <v>-5.6210390825848222E-2</v>
          </cell>
          <cell r="CL586">
            <v>-5.6179053564847425E-2</v>
          </cell>
          <cell r="CM586">
            <v>-5.6221779570361008E-2</v>
          </cell>
          <cell r="CN586">
            <v>-5.6170453597717218E-2</v>
          </cell>
          <cell r="CO586">
            <v>-5.6243758767851482E-2</v>
          </cell>
          <cell r="CP586">
            <v>-5.6150665755273277E-2</v>
          </cell>
          <cell r="CQ586">
            <v>-5.6186661958623318E-2</v>
          </cell>
          <cell r="CR586">
            <v>-5.6072353142317954E-2</v>
          </cell>
          <cell r="CS586">
            <v>-5.6247803081727943E-2</v>
          </cell>
          <cell r="CT586">
            <v>-5.6195715913583744E-2</v>
          </cell>
        </row>
      </sheetData>
      <sheetData sheetId="4"/>
      <sheetData sheetId="5"/>
      <sheetData sheetId="6"/>
      <sheetData sheetId="7"/>
      <sheetData sheetId="8">
        <row r="166">
          <cell r="BE166">
            <v>9588231.7694534399</v>
          </cell>
          <cell r="BF166">
            <v>9626127.9047187399</v>
          </cell>
          <cell r="BG166">
            <v>9666109.0244621783</v>
          </cell>
          <cell r="BH166">
            <v>9714809.4008735009</v>
          </cell>
          <cell r="BI166">
            <v>9761262.7641777284</v>
          </cell>
          <cell r="BJ166">
            <v>9811033.9184250794</v>
          </cell>
          <cell r="BK166">
            <v>9819008.64039368</v>
          </cell>
          <cell r="BL166">
            <v>9883504.637447251</v>
          </cell>
          <cell r="BM166">
            <v>9972270.9841957986</v>
          </cell>
          <cell r="BN166">
            <v>10038863.40763798</v>
          </cell>
          <cell r="BO166">
            <v>10067565.80914576</v>
          </cell>
          <cell r="BP166">
            <v>10091349.235379271</v>
          </cell>
          <cell r="BQ166">
            <v>10127947.474471321</v>
          </cell>
          <cell r="BR166">
            <v>10192922.1260278</v>
          </cell>
          <cell r="BS166">
            <v>10241612.645866379</v>
          </cell>
          <cell r="BT166">
            <v>10305974.82861051</v>
          </cell>
          <cell r="BU166">
            <v>10345725.002504099</v>
          </cell>
          <cell r="BV166">
            <v>10402782.124560472</v>
          </cell>
          <cell r="BW166">
            <v>10459925.973902261</v>
          </cell>
          <cell r="BX166">
            <v>10535597.36812528</v>
          </cell>
          <cell r="BY166">
            <v>10612587.57758572</v>
          </cell>
          <cell r="BZ166">
            <v>10701792.64527496</v>
          </cell>
          <cell r="CA166">
            <v>10755615.783292256</v>
          </cell>
          <cell r="CB166">
            <v>10825054.588279922</v>
          </cell>
          <cell r="CC166">
            <v>10859292.331773419</v>
          </cell>
          <cell r="CD166">
            <v>10920434.622932721</v>
          </cell>
          <cell r="CE166">
            <v>10961168.432912162</v>
          </cell>
          <cell r="CF166">
            <v>11023671.696198249</v>
          </cell>
          <cell r="CG166">
            <v>11094038.92110938</v>
          </cell>
          <cell r="CH166">
            <v>11178748.2821678</v>
          </cell>
          <cell r="CI166">
            <v>11242851.474473741</v>
          </cell>
          <cell r="CJ166">
            <v>11342408.2661168</v>
          </cell>
          <cell r="CK166">
            <v>11447079.7330525</v>
          </cell>
          <cell r="CL166">
            <v>11552340.156895</v>
          </cell>
          <cell r="CM166">
            <v>11652454.998054542</v>
          </cell>
          <cell r="CN166">
            <v>11716840.73012691</v>
          </cell>
          <cell r="CO166">
            <v>11771575.21816</v>
          </cell>
          <cell r="CP166">
            <v>11849350.611950003</v>
          </cell>
          <cell r="CQ166">
            <v>11906961.347580001</v>
          </cell>
          <cell r="CR166">
            <v>11951449.861204302</v>
          </cell>
          <cell r="CS166">
            <v>12019414.127228141</v>
          </cell>
          <cell r="CT166">
            <v>12105389.5313126</v>
          </cell>
          <cell r="CU166">
            <v>12145515.235546324</v>
          </cell>
          <cell r="CV166">
            <v>0</v>
          </cell>
          <cell r="CW166">
            <v>0</v>
          </cell>
          <cell r="CX166">
            <v>0</v>
          </cell>
          <cell r="CY166">
            <v>0</v>
          </cell>
          <cell r="CZ166">
            <v>0</v>
          </cell>
        </row>
        <row r="322">
          <cell r="BE322">
            <v>9541366.4784316905</v>
          </cell>
          <cell r="BF322">
            <v>9584812.5624420717</v>
          </cell>
          <cell r="BG322">
            <v>9620948.5575690009</v>
          </cell>
          <cell r="BH322">
            <v>9665682.5627943594</v>
          </cell>
          <cell r="BI322">
            <v>9711386.8262791187</v>
          </cell>
          <cell r="BJ322">
            <v>9762107.4228095021</v>
          </cell>
          <cell r="BK322">
            <v>9803238.4251976795</v>
          </cell>
          <cell r="BL322">
            <v>9828174.6241718382</v>
          </cell>
          <cell r="BM322">
            <v>9899789.0548937805</v>
          </cell>
          <cell r="BN322">
            <v>9983097.3217847012</v>
          </cell>
          <cell r="BO322">
            <v>10025455.329348341</v>
          </cell>
          <cell r="BP322">
            <v>10059300.24630866</v>
          </cell>
          <cell r="BQ322">
            <v>10078687.942086721</v>
          </cell>
          <cell r="BR322">
            <v>10136740.898481961</v>
          </cell>
          <cell r="BS322">
            <v>10189048.949127801</v>
          </cell>
          <cell r="BT322">
            <v>10237667.711396959</v>
          </cell>
          <cell r="BU322">
            <v>10288386.8899514</v>
          </cell>
          <cell r="BV322">
            <v>10343039.373687111</v>
          </cell>
          <cell r="BW322">
            <v>10409652.750401501</v>
          </cell>
          <cell r="BX322">
            <v>10458340.00092731</v>
          </cell>
          <cell r="BY322">
            <v>10548450.01264412</v>
          </cell>
          <cell r="BZ322">
            <v>10614656.250321601</v>
          </cell>
          <cell r="CA322">
            <v>10690562.983970778</v>
          </cell>
          <cell r="CB322">
            <v>10747452.48761165</v>
          </cell>
          <cell r="CC322">
            <v>10799425.201749271</v>
          </cell>
          <cell r="CD322">
            <v>10849301.479674999</v>
          </cell>
          <cell r="CE322">
            <v>10905153.801298581</v>
          </cell>
          <cell r="CF322">
            <v>10956610.094967291</v>
          </cell>
          <cell r="CG322">
            <v>11019028.714733399</v>
          </cell>
          <cell r="CH322">
            <v>11096948.717658963</v>
          </cell>
          <cell r="CI322">
            <v>11173819.536424682</v>
          </cell>
          <cell r="CJ322">
            <v>11245326.145442048</v>
          </cell>
          <cell r="CK322">
            <v>11346102.984370599</v>
          </cell>
          <cell r="CL322">
            <v>11443491.120999118</v>
          </cell>
          <cell r="CM322">
            <v>11554381.555057738</v>
          </cell>
          <cell r="CN322">
            <v>11641250.358487863</v>
          </cell>
          <cell r="CO322">
            <v>11693786.247270001</v>
          </cell>
          <cell r="CP322">
            <v>11765020.929510001</v>
          </cell>
          <cell r="CQ322">
            <v>11838303.943</v>
          </cell>
          <cell r="CR322">
            <v>11874354.177331829</v>
          </cell>
          <cell r="CS322">
            <v>11940040.223053589</v>
          </cell>
          <cell r="CT322">
            <v>12013711.944399901</v>
          </cell>
          <cell r="CU322">
            <v>12085106.659532109</v>
          </cell>
          <cell r="CV322">
            <v>0</v>
          </cell>
          <cell r="CW322">
            <v>0</v>
          </cell>
          <cell r="CX322">
            <v>0</v>
          </cell>
          <cell r="CY322">
            <v>0</v>
          </cell>
          <cell r="CZ322">
            <v>0</v>
          </cell>
        </row>
        <row r="1258">
          <cell r="BE1258">
            <v>17708.155319839996</v>
          </cell>
          <cell r="BF1258">
            <v>12266.456131730003</v>
          </cell>
          <cell r="BG1258">
            <v>18151.042476829989</v>
          </cell>
          <cell r="BH1258">
            <v>15831.06667303</v>
          </cell>
          <cell r="BI1258">
            <v>18092.886323030005</v>
          </cell>
          <cell r="BJ1258">
            <v>16218.089773520005</v>
          </cell>
          <cell r="BK1258">
            <v>18326.58442404</v>
          </cell>
          <cell r="BL1258">
            <v>17882.514298630002</v>
          </cell>
          <cell r="BM1258">
            <v>16197.257360769987</v>
          </cell>
          <cell r="BN1258">
            <v>18656.696709439988</v>
          </cell>
          <cell r="BO1258">
            <v>16362.352478119992</v>
          </cell>
          <cell r="BP1258">
            <v>18554.369910220008</v>
          </cell>
          <cell r="BQ1258">
            <v>18353.38600163001</v>
          </cell>
          <cell r="BR1258">
            <v>14188.551077900001</v>
          </cell>
          <cell r="BS1258">
            <v>18561.920891550009</v>
          </cell>
          <cell r="BT1258">
            <v>16195.680678820003</v>
          </cell>
          <cell r="BU1258">
            <v>18640.794590520003</v>
          </cell>
          <cell r="BV1258">
            <v>16892.983688570006</v>
          </cell>
          <cell r="BW1258">
            <v>19332.66779686002</v>
          </cell>
          <cell r="BX1258">
            <v>19087.272051639986</v>
          </cell>
          <cell r="BY1258">
            <v>16595.353264450001</v>
          </cell>
          <cell r="BZ1258">
            <v>18694.650591579986</v>
          </cell>
          <cell r="CA1258">
            <v>16975.370151329993</v>
          </cell>
          <cell r="CB1258">
            <v>19396.946165490022</v>
          </cell>
          <cell r="CC1258">
            <v>18681.587707759987</v>
          </cell>
          <cell r="CD1258">
            <v>12131.929309999992</v>
          </cell>
          <cell r="CE1258">
            <v>18705.903522520002</v>
          </cell>
          <cell r="CF1258">
            <v>16425.563664519981</v>
          </cell>
          <cell r="CG1258">
            <v>19516.776796989991</v>
          </cell>
          <cell r="CH1258">
            <v>16294.010769200015</v>
          </cell>
          <cell r="CI1258">
            <v>18945.50629925001</v>
          </cell>
          <cell r="CJ1258">
            <v>18541.091256879987</v>
          </cell>
          <cell r="CK1258">
            <v>16883.592761549993</v>
          </cell>
          <cell r="CL1258">
            <v>18907.165216589998</v>
          </cell>
          <cell r="CM1258">
            <v>17339.633862360002</v>
          </cell>
          <cell r="CN1258">
            <v>20123.399053579997</v>
          </cell>
          <cell r="CO1258">
            <v>19494.643270149994</v>
          </cell>
          <cell r="CP1258">
            <v>12859.594834159983</v>
          </cell>
          <cell r="CQ1258">
            <v>20134.19672646001</v>
          </cell>
          <cell r="CR1258">
            <v>17294.460889709993</v>
          </cell>
          <cell r="CS1258">
            <v>20161.667380750005</v>
          </cell>
          <cell r="CT1258">
            <v>16938.043662669999</v>
          </cell>
          <cell r="CU1258">
            <v>20183.414527450012</v>
          </cell>
          <cell r="CV1258">
            <v>0</v>
          </cell>
          <cell r="CW1258">
            <v>0</v>
          </cell>
          <cell r="CX1258">
            <v>0</v>
          </cell>
          <cell r="CY1258">
            <v>0</v>
          </cell>
          <cell r="CZ1258">
            <v>0</v>
          </cell>
        </row>
        <row r="1621">
          <cell r="BE1621">
            <v>-2169.8901090887134</v>
          </cell>
          <cell r="BF1621">
            <v>-2366.1059589085821</v>
          </cell>
          <cell r="BG1621">
            <v>-958.83948468494805</v>
          </cell>
          <cell r="BH1621">
            <v>-2311.4249040623854</v>
          </cell>
          <cell r="BI1621">
            <v>-4402.100714946997</v>
          </cell>
          <cell r="BJ1621">
            <v>-2082.5166326552608</v>
          </cell>
          <cell r="BK1621">
            <v>2599.8023841729955</v>
          </cell>
          <cell r="BL1621">
            <v>-1669.2383941283849</v>
          </cell>
          <cell r="BM1621">
            <v>-6795.2752011719831</v>
          </cell>
          <cell r="BN1621">
            <v>-7186.4449110133482</v>
          </cell>
          <cell r="BO1621">
            <v>-5135.6247567691598</v>
          </cell>
          <cell r="BP1621">
            <v>775.86914267389147</v>
          </cell>
          <cell r="BQ1621">
            <v>-7821.7353191975608</v>
          </cell>
          <cell r="BR1621">
            <v>-2160.7545900179475</v>
          </cell>
          <cell r="BS1621">
            <v>-1164.9272350947203</v>
          </cell>
          <cell r="BT1621">
            <v>-8168.1925367614895</v>
          </cell>
          <cell r="BU1621">
            <v>-579.12169070701088</v>
          </cell>
          <cell r="BV1621">
            <v>-1493.9246410718108</v>
          </cell>
          <cell r="BW1621">
            <v>-4526.481559039853</v>
          </cell>
          <cell r="BX1621">
            <v>-1065.9696231926744</v>
          </cell>
          <cell r="BY1621">
            <v>-2648.1014337025954</v>
          </cell>
          <cell r="BZ1621">
            <v>-7908.7058526310939</v>
          </cell>
          <cell r="CA1621">
            <v>1202.2806933859824</v>
          </cell>
          <cell r="CB1621">
            <v>-1003.505678297852</v>
          </cell>
          <cell r="CC1621">
            <v>-4713.6416001463576</v>
          </cell>
          <cell r="CD1621">
            <v>-2528.6576778624471</v>
          </cell>
          <cell r="CE1621">
            <v>-1715.0802307750605</v>
          </cell>
          <cell r="CF1621">
            <v>-7138.7274764025333</v>
          </cell>
          <cell r="CG1621">
            <v>4155.3697439319894</v>
          </cell>
          <cell r="CH1621">
            <v>-5342.1087395091981</v>
          </cell>
          <cell r="CI1621">
            <v>-2683.0468482800807</v>
          </cell>
          <cell r="CJ1621">
            <v>-4989.92555182042</v>
          </cell>
          <cell r="CK1621">
            <v>-6662.3612380243285</v>
          </cell>
          <cell r="CL1621">
            <v>-10174.52089172912</v>
          </cell>
          <cell r="CM1621">
            <v>2608.2187335496219</v>
          </cell>
          <cell r="CN1621">
            <v>10903.12461174567</v>
          </cell>
          <cell r="CO1621">
            <v>528.76023822345473</v>
          </cell>
          <cell r="CP1621">
            <v>1240.284993384312</v>
          </cell>
          <cell r="CQ1621">
            <v>-2362.0385935698537</v>
          </cell>
          <cell r="CR1621">
            <v>-2036.6316351247951</v>
          </cell>
          <cell r="CS1621">
            <v>4507.9026819000046</v>
          </cell>
          <cell r="CT1621">
            <v>-5484.4151899999697</v>
          </cell>
          <cell r="CU1621">
            <v>-3971.5184631999928</v>
          </cell>
          <cell r="CV1621">
            <v>0</v>
          </cell>
          <cell r="CW1621">
            <v>0</v>
          </cell>
          <cell r="CX1621">
            <v>0</v>
          </cell>
          <cell r="CY1621">
            <v>0</v>
          </cell>
          <cell r="CZ1621">
            <v>0</v>
          </cell>
        </row>
        <row r="1730">
          <cell r="BE1730">
            <v>0</v>
          </cell>
          <cell r="BF1730">
            <v>0</v>
          </cell>
          <cell r="BG1730">
            <v>0</v>
          </cell>
          <cell r="BH1730">
            <v>0</v>
          </cell>
          <cell r="BI1730">
            <v>0</v>
          </cell>
          <cell r="BJ1730">
            <v>0</v>
          </cell>
          <cell r="BK1730">
            <v>0</v>
          </cell>
          <cell r="BL1730">
            <v>0</v>
          </cell>
          <cell r="BM1730">
            <v>0</v>
          </cell>
          <cell r="BN1730">
            <v>0</v>
          </cell>
          <cell r="BO1730">
            <v>0</v>
          </cell>
          <cell r="BP1730">
            <v>0</v>
          </cell>
          <cell r="BQ1730">
            <v>0</v>
          </cell>
          <cell r="BR1730">
            <v>0</v>
          </cell>
          <cell r="BS1730">
            <v>0</v>
          </cell>
          <cell r="BT1730">
            <v>0</v>
          </cell>
          <cell r="BU1730">
            <v>0</v>
          </cell>
          <cell r="BV1730">
            <v>0</v>
          </cell>
          <cell r="BW1730">
            <v>0</v>
          </cell>
          <cell r="BX1730">
            <v>0</v>
          </cell>
          <cell r="BY1730">
            <v>0</v>
          </cell>
          <cell r="BZ1730">
            <v>0</v>
          </cell>
          <cell r="CA1730">
            <v>0</v>
          </cell>
          <cell r="CB1730">
            <v>0</v>
          </cell>
          <cell r="CC1730">
            <v>0</v>
          </cell>
          <cell r="CD1730">
            <v>0</v>
          </cell>
          <cell r="CE1730">
            <v>317.56935000000004</v>
          </cell>
          <cell r="CF1730">
            <v>0</v>
          </cell>
          <cell r="CG1730">
            <v>0</v>
          </cell>
          <cell r="CH1730">
            <v>0</v>
          </cell>
          <cell r="CI1730">
            <v>0</v>
          </cell>
          <cell r="CJ1730">
            <v>0</v>
          </cell>
          <cell r="CK1730">
            <v>0</v>
          </cell>
          <cell r="CL1730">
            <v>0</v>
          </cell>
          <cell r="CM1730">
            <v>0</v>
          </cell>
          <cell r="CN1730">
            <v>0</v>
          </cell>
          <cell r="CO1730">
            <v>0</v>
          </cell>
          <cell r="CP1730">
            <v>60.14</v>
          </cell>
          <cell r="CQ1730">
            <v>1018.0437500000002</v>
          </cell>
          <cell r="CR1730">
            <v>0</v>
          </cell>
          <cell r="CS1730">
            <v>0</v>
          </cell>
          <cell r="CT1730">
            <v>0</v>
          </cell>
          <cell r="CU1730">
            <v>0</v>
          </cell>
          <cell r="CV1730">
            <v>0</v>
          </cell>
          <cell r="CW1730">
            <v>0</v>
          </cell>
          <cell r="CX1730">
            <v>0</v>
          </cell>
          <cell r="CY1730">
            <v>0</v>
          </cell>
          <cell r="CZ1730">
            <v>0</v>
          </cell>
        </row>
        <row r="1767">
          <cell r="BE1767">
            <v>1175.0624576582088</v>
          </cell>
          <cell r="BF1767">
            <v>1036.3465020722479</v>
          </cell>
          <cell r="BG1767">
            <v>1109.7963314304529</v>
          </cell>
          <cell r="BH1767">
            <v>1121.614717116227</v>
          </cell>
          <cell r="BI1767">
            <v>955.99943484898779</v>
          </cell>
          <cell r="BJ1767">
            <v>775.58717668868087</v>
          </cell>
          <cell r="BK1767">
            <v>776.17124953197299</v>
          </cell>
          <cell r="BL1767">
            <v>781.01107144189916</v>
          </cell>
          <cell r="BM1767">
            <v>559.63013502734202</v>
          </cell>
          <cell r="BN1767">
            <v>894.5165805481447</v>
          </cell>
          <cell r="BO1767">
            <v>544.44178719723323</v>
          </cell>
          <cell r="BP1767">
            <v>831.67236770573061</v>
          </cell>
          <cell r="BQ1767">
            <v>753.70559954825762</v>
          </cell>
          <cell r="BR1767">
            <v>501.42026744577475</v>
          </cell>
          <cell r="BS1767">
            <v>679.67601747381934</v>
          </cell>
          <cell r="BT1767">
            <v>708.02004423137373</v>
          </cell>
          <cell r="BU1767">
            <v>734.74854838747638</v>
          </cell>
          <cell r="BV1767">
            <v>735.06886036482456</v>
          </cell>
          <cell r="BW1767">
            <v>912.70393822948279</v>
          </cell>
          <cell r="BX1767">
            <v>871.09261423292662</v>
          </cell>
          <cell r="BY1767">
            <v>1157.7011990589949</v>
          </cell>
          <cell r="BZ1767">
            <v>42.152825921625023</v>
          </cell>
          <cell r="CA1767">
            <v>455.73260381824639</v>
          </cell>
          <cell r="CB1767">
            <v>965.35051637363529</v>
          </cell>
          <cell r="CC1767">
            <v>1037.3735451570624</v>
          </cell>
          <cell r="CD1767">
            <v>902.33673063072092</v>
          </cell>
          <cell r="CE1767">
            <v>1042.1873038664705</v>
          </cell>
          <cell r="CF1767">
            <v>1103.7345557588264</v>
          </cell>
          <cell r="CG1767">
            <v>958.60360197576517</v>
          </cell>
          <cell r="CH1767">
            <v>1111.4047095542194</v>
          </cell>
          <cell r="CI1767">
            <v>955.24774423034705</v>
          </cell>
          <cell r="CJ1767">
            <v>1027.4512148864894</v>
          </cell>
          <cell r="CK1767">
            <v>800.41440208106985</v>
          </cell>
          <cell r="CL1767">
            <v>1197.9962185027907</v>
          </cell>
          <cell r="CM1767">
            <v>1342.4138566080758</v>
          </cell>
          <cell r="CN1767">
            <v>1439.3470512899671</v>
          </cell>
          <cell r="CO1767">
            <v>1223.174167621574</v>
          </cell>
          <cell r="CP1767">
            <v>907.52849462002621</v>
          </cell>
          <cell r="CQ1767">
            <v>1408.4740153220434</v>
          </cell>
          <cell r="CR1767">
            <v>1164.404198130688</v>
          </cell>
          <cell r="CS1767">
            <v>1636.4660689363163</v>
          </cell>
          <cell r="CT1767">
            <v>1100.3997502163088</v>
          </cell>
          <cell r="CU1767">
            <v>2751.4750038415414</v>
          </cell>
          <cell r="CV1767">
            <v>0</v>
          </cell>
          <cell r="CW1767">
            <v>0</v>
          </cell>
          <cell r="CX1767">
            <v>0</v>
          </cell>
          <cell r="CY1767">
            <v>0</v>
          </cell>
          <cell r="CZ1767">
            <v>0</v>
          </cell>
        </row>
        <row r="1914">
          <cell r="BE1914">
            <v>-5933.3897246734996</v>
          </cell>
          <cell r="BF1914">
            <v>-5905.5436342051999</v>
          </cell>
          <cell r="BG1914">
            <v>-6414.4771751487006</v>
          </cell>
          <cell r="BH1914">
            <v>-6500.3288084511005</v>
          </cell>
          <cell r="BI1914">
            <v>-6303.7351804493001</v>
          </cell>
          <cell r="BJ1914">
            <v>-6223.7257704092999</v>
          </cell>
          <cell r="BK1914">
            <v>-6067.7831841009001</v>
          </cell>
          <cell r="BL1914">
            <v>-5715.5015428764</v>
          </cell>
          <cell r="BM1914">
            <v>-6037.3290153122998</v>
          </cell>
          <cell r="BN1914">
            <v>-5865.9319172309997</v>
          </cell>
          <cell r="BO1914">
            <v>-5976.2038280137995</v>
          </cell>
          <cell r="BP1914">
            <v>-5723.6456279135</v>
          </cell>
          <cell r="BQ1914">
            <v>-5693.6825662526999</v>
          </cell>
          <cell r="BR1914">
            <v>-6444.6072729893003</v>
          </cell>
          <cell r="BS1914">
            <v>-6269.8590806929997</v>
          </cell>
          <cell r="BT1914">
            <v>-6252.0249995672002</v>
          </cell>
          <cell r="BU1914">
            <v>-6767.0639818584004</v>
          </cell>
          <cell r="BV1914">
            <v>-8382.6420807369996</v>
          </cell>
          <cell r="BW1914">
            <v>-7702.0561565475</v>
          </cell>
          <cell r="BX1914">
            <v>-7056.1142374587007</v>
          </cell>
          <cell r="BY1914">
            <v>-6659.8924233525004</v>
          </cell>
          <cell r="BZ1914">
            <v>-6615.9540494751</v>
          </cell>
          <cell r="CA1914">
            <v>-7267.1588311377009</v>
          </cell>
          <cell r="CB1914">
            <v>-6821.3682184544987</v>
          </cell>
          <cell r="CC1914">
            <v>-7734.2184338547004</v>
          </cell>
          <cell r="CD1914">
            <v>-7306.5639721625002</v>
          </cell>
          <cell r="CE1914">
            <v>-7520.260135508599</v>
          </cell>
          <cell r="CF1914">
            <v>-7699.1370049042007</v>
          </cell>
          <cell r="CG1914">
            <v>-7952.1921154048996</v>
          </cell>
          <cell r="CH1914">
            <v>-8100.9454170064992</v>
          </cell>
          <cell r="CI1914">
            <v>-8314.1826577488991</v>
          </cell>
          <cell r="CJ1914">
            <v>-8405.8826661246985</v>
          </cell>
          <cell r="CK1914">
            <v>-7699.0701555903997</v>
          </cell>
          <cell r="CL1914">
            <v>-7202.0101835478999</v>
          </cell>
          <cell r="CM1914">
            <v>-7968.4557137219999</v>
          </cell>
          <cell r="CN1914">
            <v>-8220.7163526906988</v>
          </cell>
          <cell r="CO1914">
            <v>-7913.6864894577993</v>
          </cell>
          <cell r="CP1914">
            <v>-7744.7344598637992</v>
          </cell>
          <cell r="CQ1914">
            <v>-7997.0986650575005</v>
          </cell>
          <cell r="CR1914">
            <v>-8367.1248202524002</v>
          </cell>
          <cell r="CS1914">
            <v>-8363.4508024889001</v>
          </cell>
          <cell r="CT1914">
            <v>-8289.3096178104006</v>
          </cell>
          <cell r="CU1914">
            <v>-8483.4885367265997</v>
          </cell>
          <cell r="CV1914">
            <v>0</v>
          </cell>
          <cell r="CW1914">
            <v>0</v>
          </cell>
          <cell r="CX1914">
            <v>0</v>
          </cell>
          <cell r="CY1914">
            <v>0</v>
          </cell>
          <cell r="CZ1914">
            <v>0</v>
          </cell>
        </row>
        <row r="1951">
          <cell r="BE1951">
            <v>21.588909999999998</v>
          </cell>
          <cell r="BF1951">
            <v>21.392550000000004</v>
          </cell>
          <cell r="BG1951">
            <v>21.187039999999993</v>
          </cell>
          <cell r="BH1951">
            <v>20.967479999999995</v>
          </cell>
          <cell r="BI1951">
            <v>149.72308000000001</v>
          </cell>
          <cell r="BJ1951">
            <v>334.01483000000002</v>
          </cell>
          <cell r="BK1951">
            <v>19.924469999999975</v>
          </cell>
          <cell r="BL1951">
            <v>178.99999999999997</v>
          </cell>
          <cell r="BM1951">
            <v>19.367189999999997</v>
          </cell>
          <cell r="BN1951">
            <v>18.994079999999958</v>
          </cell>
          <cell r="BO1951">
            <v>18.585180000000097</v>
          </cell>
          <cell r="BP1951">
            <v>18.477039999999974</v>
          </cell>
          <cell r="BQ1951">
            <v>-120.34234000000001</v>
          </cell>
          <cell r="BR1951">
            <v>86.135710000000003</v>
          </cell>
          <cell r="BS1951">
            <v>156.21771000000001</v>
          </cell>
          <cell r="BT1951">
            <v>16.335220000000007</v>
          </cell>
          <cell r="BU1951">
            <v>-97.220119999999966</v>
          </cell>
          <cell r="BV1951">
            <v>-51.648769999999978</v>
          </cell>
          <cell r="BW1951">
            <v>16.020479999999964</v>
          </cell>
          <cell r="BX1951">
            <v>13.863370000000028</v>
          </cell>
          <cell r="BY1951">
            <v>216.22970999999995</v>
          </cell>
          <cell r="BZ1951">
            <v>-16.793819999999986</v>
          </cell>
          <cell r="CA1951">
            <v>-302.58074117710868</v>
          </cell>
          <cell r="CB1951">
            <v>-224.16481869130016</v>
          </cell>
          <cell r="CC1951">
            <v>-18.307629999999989</v>
          </cell>
          <cell r="CD1951">
            <v>-77.93031000000002</v>
          </cell>
          <cell r="CE1951">
            <v>-217.94624999999996</v>
          </cell>
          <cell r="CF1951">
            <v>80.384781853709228</v>
          </cell>
          <cell r="CG1951">
            <v>-3.6131499999999974</v>
          </cell>
          <cell r="CH1951">
            <v>-12.941802810591083</v>
          </cell>
          <cell r="CI1951">
            <v>5.7471103799267418</v>
          </cell>
          <cell r="CJ1951">
            <v>-17.750499999999992</v>
          </cell>
          <cell r="CK1951">
            <v>142.46487999999999</v>
          </cell>
          <cell r="CL1951">
            <v>-17.468855637179011</v>
          </cell>
          <cell r="CM1951">
            <v>-93.381799999999856</v>
          </cell>
          <cell r="CN1951">
            <v>129.54462999999998</v>
          </cell>
          <cell r="CO1951">
            <v>-24.525169999999999</v>
          </cell>
          <cell r="CP1951">
            <v>70.663637012744331</v>
          </cell>
          <cell r="CQ1951">
            <v>-148.84950000000003</v>
          </cell>
          <cell r="CR1951">
            <v>17.749439999999986</v>
          </cell>
          <cell r="CS1951">
            <v>29.720150000000046</v>
          </cell>
          <cell r="CT1951">
            <v>58.574760000000012</v>
          </cell>
          <cell r="CU1951">
            <v>-64.020529419880063</v>
          </cell>
          <cell r="CV1951">
            <v>0</v>
          </cell>
          <cell r="CW1951">
            <v>0</v>
          </cell>
          <cell r="CX1951">
            <v>0</v>
          </cell>
          <cell r="CY1951">
            <v>0</v>
          </cell>
          <cell r="CZ1951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govia Ureta, Gianpier Andre" refreshedDate="46245.707488773151" createdVersion="8" refreshedVersion="8" minRefreshableVersion="3" recordCount="0" supportSubquery="1" supportAdvancedDrill="1" xr:uid="{336FA69D-51B4-4563-9F44-26C3FD2390D4}">
  <cacheSource type="external" connectionId="1"/>
  <cacheFields count="8">
    <cacheField name="[Calendario].[AñoMes].[AñoMes]" caption="AñoMes" numFmtId="0" hierarchy="49" level="1">
      <sharedItems count="48">
        <s v="[Calendario].[AñoMes].&amp;[202301]" c="202301"/>
        <s v="[Calendario].[AñoMes].&amp;[202302]" c="202302"/>
        <s v="[Calendario].[AñoMes].&amp;[202303]" c="202303"/>
        <s v="[Calendario].[AñoMes].&amp;[202304]" c="202304"/>
        <s v="[Calendario].[AñoMes].&amp;[202305]" c="202305"/>
        <s v="[Calendario].[AñoMes].&amp;[202306]" c="202306"/>
        <s v="[Calendario].[AñoMes].&amp;[202307]" c="202307"/>
        <s v="[Calendario].[AñoMes].&amp;[202308]" c="202308"/>
        <s v="[Calendario].[AñoMes].&amp;[202309]" c="202309"/>
        <s v="[Calendario].[AñoMes].&amp;[202310]" c="202310"/>
        <s v="[Calendario].[AñoMes].&amp;[202311]" c="202311"/>
        <s v="[Calendario].[AñoMes].&amp;[202312]" c="202312"/>
        <s v="[Calendario].[AñoMes].&amp;[202401]" c="202401"/>
        <s v="[Calendario].[AñoMes].&amp;[202402]" c="202402"/>
        <s v="[Calendario].[AñoMes].&amp;[202403]" c="202403"/>
        <s v="[Calendario].[AñoMes].&amp;[202404]" c="202404"/>
        <s v="[Calendario].[AñoMes].&amp;[202405]" c="202405"/>
        <s v="[Calendario].[AñoMes].&amp;[202406]" c="202406"/>
        <s v="[Calendario].[AñoMes].&amp;[202407]" c="202407"/>
        <s v="[Calendario].[AñoMes].&amp;[202408]" c="202408"/>
        <s v="[Calendario].[AñoMes].&amp;[202409]" c="202409"/>
        <s v="[Calendario].[AñoMes].&amp;[202410]" c="202410"/>
        <s v="[Calendario].[AñoMes].&amp;[202411]" c="202411"/>
        <s v="[Calendario].[AñoMes].&amp;[202412]" c="202412"/>
        <s v="[Calendario].[AñoMes].&amp;[202501]" c="202501"/>
        <s v="[Calendario].[AñoMes].&amp;[202502]" c="202502"/>
        <s v="[Calendario].[AñoMes].&amp;[202503]" c="202503"/>
        <s v="[Calendario].[AñoMes].&amp;[202504]" c="202504"/>
        <s v="[Calendario].[AñoMes].&amp;[202505]" c="202505"/>
        <s v="[Calendario].[AñoMes].&amp;[202506]" c="202506"/>
        <s v="[Calendario].[AñoMes].&amp;[202507]" c="202507"/>
        <s v="[Calendario].[AñoMes].&amp;[202508]" c="202508"/>
        <s v="[Calendario].[AñoMes].&amp;[202509]" c="202509"/>
        <s v="[Calendario].[AñoMes].&amp;[202510]" c="202510"/>
        <s v="[Calendario].[AñoMes].&amp;[202511]" c="202511"/>
        <s v="[Calendario].[AñoMes].&amp;[202512]" c="202512"/>
        <s v="[Calendario].[AñoMes].&amp;[202601]" c="202601"/>
        <s v="[Calendario].[AñoMes].&amp;[202602]" c="202602"/>
        <s v="[Calendario].[AñoMes].&amp;[202603]" c="202603"/>
        <s v="[Calendario].[AñoMes].&amp;[202604]" c="202604"/>
        <s v="[Calendario].[AñoMes].&amp;[202605]" c="202605"/>
        <s v="[Calendario].[AñoMes].&amp;[202606]" c="202606"/>
        <s v="[Calendario].[AñoMes].&amp;[202607]" u="1" c="202607"/>
        <s v="[Calendario].[AñoMes].&amp;[202608]" u="1" c="202608"/>
        <s v="[Calendario].[AñoMes].&amp;[202609]" u="1" c="202609"/>
        <s v="[Calendario].[AñoMes].&amp;[202610]" u="1" c="202610"/>
        <s v="[Calendario].[AñoMes].&amp;[202611]" u="1" c="202611"/>
        <s v="[Calendario].[AñoMes].&amp;[202612]" u="1" c="202612"/>
      </sharedItems>
    </cacheField>
    <cacheField name="[Base].[Metrica].[Metrica]" caption="Metrica" numFmtId="0" hierarchy="16" level="1">
      <sharedItems count="10">
        <s v="[Base].[Metrica].&amp;[Extraordinarios]" c="Extraordinarios"/>
        <s v="[Base].[Metrica].&amp;[FTP]" c="FTP"/>
        <s v="[Base].[Metrica].&amp;[Gasto_Provision]" c="Gasto_Provision"/>
        <s v="[Base].[Metrica].&amp;[Gastos Operativos]" c="Gastos Operativos"/>
        <s v="[Base].[Metrica].&amp;[Ingreso_Financiero]" c="Ingreso_Financiero"/>
        <s v="[Base].[Metrica].&amp;[INOF]" c="INOF"/>
        <s v="[Base].[Metrica].&amp;[Recupero]" c="Recupero"/>
        <s v="[Base].[Metrica].&amp;[ROF]" c="ROF"/>
        <s v="[Base].[Metrica].&amp;[SALDO_FDP]" c="SALDO_FDP"/>
        <s v="[Base].[Metrica].&amp;[SALDO_PROM]" c="SALDO_PROM"/>
      </sharedItems>
    </cacheField>
    <cacheField name="[Base].[SEGMENTO_DESCRIP].[SEGMENTO_DESCRIP]" caption="SEGMENTO_DESCRIP" numFmtId="0" hierarchy="20" level="1">
      <sharedItems count="4">
        <s v="[Base].[SEGMENTO_DESCRIP].&amp;[Consumo Inicial]" c="Consumo Inicial"/>
        <s v="[Base].[SEGMENTO_DESCRIP].&amp;[Masivo]" c="Masivo"/>
        <s v="[Base].[SEGMENTO_DESCRIP].&amp;[Otros]" c="Otros"/>
        <s v="[Base].[SEGMENTO_DESCRIP].&amp;[Renta Alta]" c="Renta Alta"/>
      </sharedItems>
    </cacheField>
    <cacheField name="[Base].[SITUACION].[SITUACION]" caption="SITUACION" numFmtId="0" hierarchy="21" level="1">
      <sharedItems count="15">
        <s v="[Base].[SITUACION].&amp;[Otros]" c="Otros"/>
        <s v="[Base].[SITUACION].&amp;[Refinanciado]" c="Refinanciado"/>
        <s v="[Base].[SITUACION].&amp;[Vencido y Judicial]" c="Vencido y Judicial"/>
        <s v="[Base].[SITUACION].&amp;[Vigente]" c="Vigente"/>
        <s v="[Base].[SITUACION].&amp;[Provisiones Cartera]" c="Provisiones Cartera"/>
        <s v="[Base].[SITUACION].&amp;[Gasto Canal]" c="Gasto Canal"/>
        <s v="[Base].[SITUACION].&amp;[Gasto Directo]" c="Gasto Directo"/>
        <s v="[Base].[SITUACION].&amp;[Gasto Indirecto]" c="Gasto Indirecto"/>
        <s v="[Base].[SITUACION].&amp;[No Considerar]" c="No Considerar"/>
        <s v="[Base].[SITUACION].&amp;[Comisiones Credito Hipotecario]" c="Comisiones Credito Hipotecario"/>
        <s v="[Base].[SITUACION].&amp;[Garantías]" c="Garantías"/>
        <s v="[Base].[SITUACION].&amp;[Seguro de Desgravamen]" c="Seguro de Desgravamen"/>
        <s v="[Base].[SITUACION].&amp;[Servicios Legales y Tasación Hipotecario]" c="Servicios Legales y Tasación Hipotecario"/>
        <s v="[Base].[SITUACION].&amp;[Recupero de Castigos]" c="Recupero de Castigos"/>
        <s v="[Base].[SITUACION].&amp;[Venta de Cartera]" c="Venta de Cartera"/>
      </sharedItems>
    </cacheField>
    <cacheField name="[Base].[Importe].[Importe]" caption="Importe" numFmtId="0" hierarchy="15" level="1">
      <sharedItems containsSemiMixedTypes="0" containsString="0"/>
    </cacheField>
    <cacheField name="[Base].[PRODUCTO].[PRODUCTO]" caption="PRODUCTO" numFmtId="0" hierarchy="19" level="1">
      <sharedItems containsSemiMixedTypes="0" containsString="0"/>
    </cacheField>
    <cacheField name="[Base].[Tipo_Valor].[Tipo_Valor]" caption="Tipo_Valor" numFmtId="0" hierarchy="24" level="1">
      <sharedItems containsSemiMixedTypes="0" containsString="0"/>
    </cacheField>
    <cacheField name="Unsupported0" numFmtId="0" hierarchy="121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122">
    <cacheHierarchy uniqueName="[Anexar1].[FECHA]" caption="FECHA" attribute="1" time="1" defaultMemberUniqueName="[Anexar1].[FECHA].[All]" allUniqueName="[Anexar1].[FECHA].[All]" dimensionUniqueName="[Anexar1]" displayFolder="" count="0" memberValueDatatype="7" unbalanced="0"/>
    <cacheHierarchy uniqueName="[Anexar1].[Importe]" caption="Importe" attribute="1" defaultMemberUniqueName="[Anexar1].[Importe].[All]" allUniqueName="[Anexar1].[Importe].[All]" dimensionUniqueName="[Anexar1]" displayFolder="" count="0" memberValueDatatype="5" unbalanced="0"/>
    <cacheHierarchy uniqueName="[Anexar1].[Metrica]" caption="Metrica" attribute="1" defaultMemberUniqueName="[Anexar1].[Metrica].[All]" allUniqueName="[Anexar1].[Metrica].[All]" dimensionUniqueName="[Anexar1]" displayFolder="" count="0" memberValueDatatype="130" unbalanced="0"/>
    <cacheHierarchy uniqueName="[Anexar1].[MONEDA]" caption="MONEDA" attribute="1" defaultMemberUniqueName="[Anexar1].[MONEDA].[All]" allUniqueName="[Anexar1].[MONEDA].[All]" dimensionUniqueName="[Anexar1]" displayFolder="" count="0" memberValueDatatype="130" unbalanced="0"/>
    <cacheHierarchy uniqueName="[Anexar1].[PERIODO]" caption="PERIODO" attribute="1" defaultMemberUniqueName="[Anexar1].[PERIODO].[All]" allUniqueName="[Anexar1].[PERIODO].[All]" dimensionUniqueName="[Anexar1]" displayFolder="" count="0" memberValueDatatype="130" unbalanced="0"/>
    <cacheHierarchy uniqueName="[Anexar1].[PRODUCTO]" caption="PRODUCTO" attribute="1" defaultMemberUniqueName="[Anexar1].[PRODUCTO].[All]" allUniqueName="[Anexar1].[PRODUCTO].[All]" dimensionUniqueName="[Anexar1]" displayFolder="" count="0" memberValueDatatype="130" unbalanced="0"/>
    <cacheHierarchy uniqueName="[Anexar1].[SG3_GRUPO_SEGMENTO]" caption="SG3_GRUPO_SEGMENTO" attribute="1" defaultMemberUniqueName="[Anexar1].[SG3_GRUPO_SEGMENTO].[All]" allUniqueName="[Anexar1].[SG3_GRUPO_SEGMENTO].[All]" dimensionUniqueName="[Anexar1]" displayFolder="" count="0" memberValueDatatype="130" unbalanced="0"/>
    <cacheHierarchy uniqueName="[Anexar1].[SITUACION]" caption="SITUACION" attribute="1" defaultMemberUniqueName="[Anexar1].[SITUACION].[All]" allUniqueName="[Anexar1].[SITUACION].[All]" dimensionUniqueName="[Anexar1]" displayFolder="" count="0" memberValueDatatype="130" unbalanced="0"/>
    <cacheHierarchy uniqueName="[Anexar1].[Sub Producto]" caption="Sub Producto" attribute="1" defaultMemberUniqueName="[Anexar1].[Sub Producto].[All]" allUniqueName="[Anexar1].[Sub Producto].[All]" dimensionUniqueName="[Anexar1]" displayFolder="" count="0" memberValueDatatype="130" unbalanced="0"/>
    <cacheHierarchy uniqueName="[Anexar1].[TIPO_PRODUCTO]" caption="TIPO_PRODUCTO" attribute="1" defaultMemberUniqueName="[Anexar1].[TIPO_PRODUCTO].[All]" allUniqueName="[Anexar1].[TIPO_PRODUCTO].[All]" dimensionUniqueName="[Anexar1]" displayFolder="" count="0" memberValueDatatype="130" unbalanced="0"/>
    <cacheHierarchy uniqueName="[Anexar1].[Tipo_Valor]" caption="Tipo_Valor" attribute="1" defaultMemberUniqueName="[Anexar1].[Tipo_Valor].[All]" allUniqueName="[Anexar1].[Tipo_Valor].[All]" dimensionUniqueName="[Anexar1]" displayFolder="" count="0" memberValueDatatype="130" unbalanced="0"/>
    <cacheHierarchy uniqueName="[Anexar1].[VP]" caption="VP" attribute="1" defaultMemberUniqueName="[Anexar1].[VP].[All]" allUniqueName="[Anexar1].[VP].[All]" dimensionUniqueName="[Anexar1]" displayFolder="" count="0" memberValueDatatype="130" unbalanced="0"/>
    <cacheHierarchy uniqueName="[Base].[Año]" caption="Año" attribute="1" defaultMemberUniqueName="[Base].[Año].[All]" allUniqueName="[Base].[Año].[All]" dimensionUniqueName="[Base]" displayFolder="" count="0" memberValueDatatype="130" unbalanced="0"/>
    <cacheHierarchy uniqueName="[Base].[FECHA]" caption="FECHA" attribute="1" time="1" defaultMemberUniqueName="[Base].[FECHA].[All]" allUniqueName="[Base].[FECHA].[All]" dimensionUniqueName="[Base]" displayFolder="" count="0" memberValueDatatype="7" unbalanced="0"/>
    <cacheHierarchy uniqueName="[Base].[Fuente]" caption="Fuente" attribute="1" defaultMemberUniqueName="[Base].[Fuente].[All]" allUniqueName="[Base].[Fuente].[All]" dimensionUniqueName="[Base]" displayFolder="" count="0" memberValueDatatype="130" unbalanced="0"/>
    <cacheHierarchy uniqueName="[Base].[Importe]" caption="Importe" attribute="1" defaultMemberUniqueName="[Base].[Importe].[All]" allUniqueName="[Base].[Importe].[All]" dimensionUniqueName="[Base]" displayFolder="" count="2" memberValueDatatype="5" unbalanced="0">
      <fieldsUsage count="2">
        <fieldUsage x="-1"/>
        <fieldUsage x="4"/>
      </fieldsUsage>
    </cacheHierarchy>
    <cacheHierarchy uniqueName="[Base].[Metrica]" caption="Metrica" attribute="1" defaultMemberUniqueName="[Base].[Metrica].[All]" allUniqueName="[Base].[Metrica].[All]" dimensionUniqueName="[Base]" displayFolder="" count="2" memberValueDatatype="130" unbalanced="0">
      <fieldsUsage count="2">
        <fieldUsage x="-1"/>
        <fieldUsage x="1"/>
      </fieldsUsage>
    </cacheHierarchy>
    <cacheHierarchy uniqueName="[Base].[MONEDA]" caption="MONEDA" attribute="1" defaultMemberUniqueName="[Base].[MONEDA].[All]" allUniqueName="[Base].[MONEDA].[All]" dimensionUniqueName="[Base]" displayFolder="" count="0" memberValueDatatype="130" unbalanced="0"/>
    <cacheHierarchy uniqueName="[Base].[Periodo]" caption="Periodo" attribute="1" defaultMemberUniqueName="[Base].[Periodo].[All]" allUniqueName="[Base].[Periodo].[All]" dimensionUniqueName="[Base]" displayFolder="" count="0" memberValueDatatype="130" unbalanced="0"/>
    <cacheHierarchy uniqueName="[Base].[PRODUCTO]" caption="PRODUCTO" attribute="1" defaultMemberUniqueName="[Base].[PRODUCTO].[All]" allUniqueName="[Base].[PRODUCTO].[All]" dimensionUniqueName="[Base]" displayFolder="" count="2" memberValueDatatype="130" unbalanced="0">
      <fieldsUsage count="2">
        <fieldUsage x="-1"/>
        <fieldUsage x="5"/>
      </fieldsUsage>
    </cacheHierarchy>
    <cacheHierarchy uniqueName="[Base].[SEGMENTO_DESCRIP]" caption="SEGMENTO_DESCRIP" attribute="1" defaultMemberUniqueName="[Base].[SEGMENTO_DESCRIP].[All]" allUniqueName="[Base].[SEGMENTO_DESCRIP].[All]" dimensionUniqueName="[Base]" displayFolder="" count="2" memberValueDatatype="130" unbalanced="0">
      <fieldsUsage count="2">
        <fieldUsage x="-1"/>
        <fieldUsage x="2"/>
      </fieldsUsage>
    </cacheHierarchy>
    <cacheHierarchy uniqueName="[Base].[SITUACION]" caption="SITUACION" attribute="1" defaultMemberUniqueName="[Base].[SITUACION].[All]" allUniqueName="[Base].[SITUACION].[All]" dimensionUniqueName="[Base]" displayFolder="" count="2" memberValueDatatype="130" unbalanced="0">
      <fieldsUsage count="2">
        <fieldUsage x="-1"/>
        <fieldUsage x="3"/>
      </fieldsUsage>
    </cacheHierarchy>
    <cacheHierarchy uniqueName="[Base].[Sub Producto]" caption="Sub Producto" attribute="1" defaultMemberUniqueName="[Base].[Sub Producto].[All]" allUniqueName="[Base].[Sub Producto].[All]" dimensionUniqueName="[Base]" displayFolder="" count="0" memberValueDatatype="130" unbalanced="0"/>
    <cacheHierarchy uniqueName="[Base].[TIPO]" caption="TIPO" attribute="1" defaultMemberUniqueName="[Base].[TIPO].[All]" allUniqueName="[Base].[TIPO].[All]" dimensionUniqueName="[Base]" displayFolder="" count="0" memberValueDatatype="130" unbalanced="0"/>
    <cacheHierarchy uniqueName="[Base].[Tipo_Valor]" caption="Tipo_Valor" attribute="1" defaultMemberUniqueName="[Base].[Tipo_Valor].[All]" allUniqueName="[Base].[Tipo_Valor].[All]" dimensionUniqueName="[Base]" displayFolder="" count="2" memberValueDatatype="130" unbalanced="0">
      <fieldsUsage count="2">
        <fieldUsage x="-1"/>
        <fieldUsage x="6"/>
      </fieldsUsage>
    </cacheHierarchy>
    <cacheHierarchy uniqueName="[Base].[VP]" caption="VP" attribute="1" defaultMemberUniqueName="[Base].[VP].[All]" allUniqueName="[Base].[VP].[All]" dimensionUniqueName="[Base]" displayFolder="" count="0" memberValueDatatype="130" unbalanced="0"/>
    <cacheHierarchy uniqueName="[Base_PJ_Inmobiliaria].[FECHA]" caption="FECHA" attribute="1" time="1" defaultMemberUniqueName="[Base_PJ_Inmobiliaria].[FECHA].[All]" allUniqueName="[Base_PJ_Inmobiliaria].[FECHA].[All]" dimensionUniqueName="[Base_PJ_Inmobiliaria]" displayFolder="" count="0" memberValueDatatype="7" unbalanced="0"/>
    <cacheHierarchy uniqueName="[Base_PJ_Inmobiliaria].[Importe]" caption="Importe" attribute="1" defaultMemberUniqueName="[Base_PJ_Inmobiliaria].[Importe].[All]" allUniqueName="[Base_PJ_Inmobiliaria].[Importe].[All]" dimensionUniqueName="[Base_PJ_Inmobiliaria]" displayFolder="" count="0" memberValueDatatype="5" unbalanced="0"/>
    <cacheHierarchy uniqueName="[Base_PJ_Inmobiliaria].[Metrica]" caption="Metrica" attribute="1" defaultMemberUniqueName="[Base_PJ_Inmobiliaria].[Metrica].[All]" allUniqueName="[Base_PJ_Inmobiliaria].[Metrica].[All]" dimensionUniqueName="[Base_PJ_Inmobiliaria]" displayFolder="" count="0" memberValueDatatype="130" unbalanced="0"/>
    <cacheHierarchy uniqueName="[Base_PJ_Inmobiliaria].[MONEDA]" caption="MONEDA" attribute="1" defaultMemberUniqueName="[Base_PJ_Inmobiliaria].[MONEDA].[All]" allUniqueName="[Base_PJ_Inmobiliaria].[MONEDA].[All]" dimensionUniqueName="[Base_PJ_Inmobiliaria]" displayFolder="" count="0" memberValueDatatype="130" unbalanced="0"/>
    <cacheHierarchy uniqueName="[Base_PJ_Inmobiliaria].[PERIODO]" caption="PERIODO" attribute="1" defaultMemberUniqueName="[Base_PJ_Inmobiliaria].[PERIODO].[All]" allUniqueName="[Base_PJ_Inmobiliaria].[PERIODO].[All]" dimensionUniqueName="[Base_PJ_Inmobiliaria]" displayFolder="" count="0" memberValueDatatype="130" unbalanced="0"/>
    <cacheHierarchy uniqueName="[Base_PJ_Inmobiliaria].[PRODUCTO]" caption="PRODUCTO" attribute="1" defaultMemberUniqueName="[Base_PJ_Inmobiliaria].[PRODUCTO].[All]" allUniqueName="[Base_PJ_Inmobiliaria].[PRODUCTO].[All]" dimensionUniqueName="[Base_PJ_Inmobiliaria]" displayFolder="" count="0" memberValueDatatype="130" unbalanced="0"/>
    <cacheHierarchy uniqueName="[Base_PJ_Inmobiliaria].[SG3_GRUPO_SEGMENTO]" caption="SG3_GRUPO_SEGMENTO" attribute="1" defaultMemberUniqueName="[Base_PJ_Inmobiliaria].[SG3_GRUPO_SEGMENTO].[All]" allUniqueName="[Base_PJ_Inmobiliaria].[SG3_GRUPO_SEGMENTO].[All]" dimensionUniqueName="[Base_PJ_Inmobiliaria]" displayFolder="" count="0" memberValueDatatype="130" unbalanced="0"/>
    <cacheHierarchy uniqueName="[Base_PJ_Inmobiliaria].[SITUACION]" caption="SITUACION" attribute="1" defaultMemberUniqueName="[Base_PJ_Inmobiliaria].[SITUACION].[All]" allUniqueName="[Base_PJ_Inmobiliaria].[SITUACION].[All]" dimensionUniqueName="[Base_PJ_Inmobiliaria]" displayFolder="" count="0" memberValueDatatype="130" unbalanced="0"/>
    <cacheHierarchy uniqueName="[Base_PJ_Inmobiliaria].[Sub Producto]" caption="Sub Producto" attribute="1" defaultMemberUniqueName="[Base_PJ_Inmobiliaria].[Sub Producto].[All]" allUniqueName="[Base_PJ_Inmobiliaria].[Sub Producto].[All]" dimensionUniqueName="[Base_PJ_Inmobiliaria]" displayFolder="" count="0" memberValueDatatype="130" unbalanced="0"/>
    <cacheHierarchy uniqueName="[Base_PJ_Inmobiliaria].[TIPO_PRODUCTO]" caption="TIPO_PRODUCTO" attribute="1" defaultMemberUniqueName="[Base_PJ_Inmobiliaria].[TIPO_PRODUCTO].[All]" allUniqueName="[Base_PJ_Inmobiliaria].[TIPO_PRODUCTO].[All]" dimensionUniqueName="[Base_PJ_Inmobiliaria]" displayFolder="" count="0" memberValueDatatype="130" unbalanced="0"/>
    <cacheHierarchy uniqueName="[Base_PJ_Inmobiliaria].[Tipo_Valor]" caption="Tipo_Valor" attribute="1" defaultMemberUniqueName="[Base_PJ_Inmobiliaria].[Tipo_Valor].[All]" allUniqueName="[Base_PJ_Inmobiliaria].[Tipo_Valor].[All]" dimensionUniqueName="[Base_PJ_Inmobiliaria]" displayFolder="" count="0" memberValueDatatype="130" unbalanced="0"/>
    <cacheHierarchy uniqueName="[Base_PJ_Inmobiliaria].[VP]" caption="VP" attribute="1" defaultMemberUniqueName="[Base_PJ_Inmobiliaria].[VP].[All]" allUniqueName="[Base_PJ_Inmobiliaria].[VP].[All]" dimensionUniqueName="[Base_PJ_Inmobiliaria]" displayFolder="" count="0" memberValueDatatype="130" unbalanced="0"/>
    <cacheHierarchy uniqueName="[Base_PJ_Inmobiliaria_INOF].[FECHA]" caption="FECHA" attribute="1" time="1" defaultMemberUniqueName="[Base_PJ_Inmobiliaria_INOF].[FECHA].[All]" allUniqueName="[Base_PJ_Inmobiliaria_INOF].[FECHA].[All]" dimensionUniqueName="[Base_PJ_Inmobiliaria_INOF]" displayFolder="" count="0" memberValueDatatype="7" unbalanced="0"/>
    <cacheHierarchy uniqueName="[Base_PJ_Inmobiliaria_INOF].[Importe]" caption="Importe" attribute="1" defaultMemberUniqueName="[Base_PJ_Inmobiliaria_INOF].[Importe].[All]" allUniqueName="[Base_PJ_Inmobiliaria_INOF].[Importe].[All]" dimensionUniqueName="[Base_PJ_Inmobiliaria_INOF]" displayFolder="" count="0" memberValueDatatype="5" unbalanced="0"/>
    <cacheHierarchy uniqueName="[Base_PJ_Inmobiliaria_INOF].[Metrica]" caption="Metrica" attribute="1" defaultMemberUniqueName="[Base_PJ_Inmobiliaria_INOF].[Metrica].[All]" allUniqueName="[Base_PJ_Inmobiliaria_INOF].[Metrica].[All]" dimensionUniqueName="[Base_PJ_Inmobiliaria_INOF]" displayFolder="" count="0" memberValueDatatype="130" unbalanced="0"/>
    <cacheHierarchy uniqueName="[Base_PJ_Inmobiliaria_INOF].[MONEDA]" caption="MONEDA" attribute="1" defaultMemberUniqueName="[Base_PJ_Inmobiliaria_INOF].[MONEDA].[All]" allUniqueName="[Base_PJ_Inmobiliaria_INOF].[MONEDA].[All]" dimensionUniqueName="[Base_PJ_Inmobiliaria_INOF]" displayFolder="" count="0" memberValueDatatype="130" unbalanced="0"/>
    <cacheHierarchy uniqueName="[Base_PJ_Inmobiliaria_INOF].[PERIODO]" caption="PERIODO" attribute="1" defaultMemberUniqueName="[Base_PJ_Inmobiliaria_INOF].[PERIODO].[All]" allUniqueName="[Base_PJ_Inmobiliaria_INOF].[PERIODO].[All]" dimensionUniqueName="[Base_PJ_Inmobiliaria_INOF]" displayFolder="" count="0" memberValueDatatype="130" unbalanced="0"/>
    <cacheHierarchy uniqueName="[Base_PJ_Inmobiliaria_INOF].[PRODUCTO]" caption="PRODUCTO" attribute="1" defaultMemberUniqueName="[Base_PJ_Inmobiliaria_INOF].[PRODUCTO].[All]" allUniqueName="[Base_PJ_Inmobiliaria_INOF].[PRODUCTO].[All]" dimensionUniqueName="[Base_PJ_Inmobiliaria_INOF]" displayFolder="" count="0" memberValueDatatype="130" unbalanced="0"/>
    <cacheHierarchy uniqueName="[Base_PJ_Inmobiliaria_INOF].[SITUACION]" caption="SITUACION" attribute="1" defaultMemberUniqueName="[Base_PJ_Inmobiliaria_INOF].[SITUACION].[All]" allUniqueName="[Base_PJ_Inmobiliaria_INOF].[SITUACION].[All]" dimensionUniqueName="[Base_PJ_Inmobiliaria_INOF]" displayFolder="" count="0" memberValueDatatype="130" unbalanced="0"/>
    <cacheHierarchy uniqueName="[Base_PJ_Inmobiliaria_INOF].[Sub Producto]" caption="Sub Producto" attribute="1" defaultMemberUniqueName="[Base_PJ_Inmobiliaria_INOF].[Sub Producto].[All]" allUniqueName="[Base_PJ_Inmobiliaria_INOF].[Sub Producto].[All]" dimensionUniqueName="[Base_PJ_Inmobiliaria_INOF]" displayFolder="" count="0" memberValueDatatype="130" unbalanced="0"/>
    <cacheHierarchy uniqueName="[Base_PJ_Inmobiliaria_INOF].[TIPO_PRODUCTO]" caption="TIPO_PRODUCTO" attribute="1" defaultMemberUniqueName="[Base_PJ_Inmobiliaria_INOF].[TIPO_PRODUCTO].[All]" allUniqueName="[Base_PJ_Inmobiliaria_INOF].[TIPO_PRODUCTO].[All]" dimensionUniqueName="[Base_PJ_Inmobiliaria_INOF]" displayFolder="" count="0" memberValueDatatype="130" unbalanced="0"/>
    <cacheHierarchy uniqueName="[Base_PJ_Inmobiliaria_INOF].[Tipo_Valor]" caption="Tipo_Valor" attribute="1" defaultMemberUniqueName="[Base_PJ_Inmobiliaria_INOF].[Tipo_Valor].[All]" allUniqueName="[Base_PJ_Inmobiliaria_INOF].[Tipo_Valor].[All]" dimensionUniqueName="[Base_PJ_Inmobiliaria_INOF]" displayFolder="" count="0" memberValueDatatype="130" unbalanced="0"/>
    <cacheHierarchy uniqueName="[Base_PJ_Inmobiliaria_INOF].[VP]" caption="VP" attribute="1" defaultMemberUniqueName="[Base_PJ_Inmobiliaria_INOF].[VP].[All]" allUniqueName="[Base_PJ_Inmobiliaria_INOF].[VP].[All]" dimensionUniqueName="[Base_PJ_Inmobiliaria_INOF]" displayFolder="" count="0" memberValueDatatype="130" unbalanced="0"/>
    <cacheHierarchy uniqueName="[Calendario].[AñoMes]" caption="AñoMes" attribute="1" defaultMemberUniqueName="[Calendario].[AñoMes].[All]" allUniqueName="[Calendario].[AñoMes].[All]" dimensionUniqueName="[Calendario]" displayFolder="" count="2" memberValueDatatype="130" unbalanced="0">
      <fieldsUsage count="2">
        <fieldUsage x="-1"/>
        <fieldUsage x="0"/>
      </fieldsUsage>
    </cacheHierarchy>
    <cacheHierarchy uniqueName="[Calendario].[Date]" caption="Date" attribute="1" time="1" defaultMemberUniqueName="[Calendario].[Date].[All]" allUniqueName="[Calendario].[Date].[All]" dimensionUniqueName="[Calendario]" displayFolder="" count="0" memberValueDatatype="7" unbalanced="0"/>
    <cacheHierarchy uniqueName="[Calendario].[Dia]" caption="Dia" attribute="1" defaultMemberUniqueName="[Calendario].[Dia].[All]" allUniqueName="[Calendario].[Dia].[All]" dimensionUniqueName="[Calendario]" displayFolder="" count="0" memberValueDatatype="20" unbalanced="0"/>
    <cacheHierarchy uniqueName="[Calendario].[Mes-yy]" caption="Mes-yy" attribute="1" defaultMemberUniqueName="[Calendario].[Mes-yy].[All]" allUniqueName="[Calendario].[Mes-yy].[All]" dimensionUniqueName="[Calendario]" displayFolder="" count="0" memberValueDatatype="130" unbalanced="0"/>
    <cacheHierarchy uniqueName="[Cuentas_INOF_Vehicular].[Cuenta_Contable]" caption="Cuenta_Contable" attribute="1" defaultMemberUniqueName="[Cuentas_INOF_Vehicular].[Cuenta_Contable].[All]" allUniqueName="[Cuentas_INOF_Vehicular].[Cuenta_Contable].[All]" dimensionUniqueName="[Cuentas_INOF_Vehicular]" displayFolder="" count="0" memberValueDatatype="130" unbalanced="0"/>
    <cacheHierarchy uniqueName="[Cuentas_INOF_Vehicular].[Fuente]" caption="Fuente" attribute="1" defaultMemberUniqueName="[Cuentas_INOF_Vehicular].[Fuente].[All]" allUniqueName="[Cuentas_INOF_Vehicular].[Fuente].[All]" dimensionUniqueName="[Cuentas_INOF_Vehicular]" displayFolder="" count="0" memberValueDatatype="130" unbalanced="0"/>
    <cacheHierarchy uniqueName="[Cuentas_INOF_Vehicular].[PRODUCTO]" caption="PRODUCTO" attribute="1" defaultMemberUniqueName="[Cuentas_INOF_Vehicular].[PRODUCTO].[All]" allUniqueName="[Cuentas_INOF_Vehicular].[PRODUCTO].[All]" dimensionUniqueName="[Cuentas_INOF_Vehicular]" displayFolder="" count="0" memberValueDatatype="130" unbalanced="0"/>
    <cacheHierarchy uniqueName="[Cuentas_INOF_Vehicular].[Sub Producto]" caption="Sub Producto" attribute="1" defaultMemberUniqueName="[Cuentas_INOF_Vehicular].[Sub Producto].[All]" allUniqueName="[Cuentas_INOF_Vehicular].[Sub Producto].[All]" dimensionUniqueName="[Cuentas_INOF_Vehicular]" displayFolder="" count="0" memberValueDatatype="130" unbalanced="0"/>
    <cacheHierarchy uniqueName="[Cuentas_INOF_Vehicular].[VP]" caption="VP" attribute="1" defaultMemberUniqueName="[Cuentas_INOF_Vehicular].[VP].[All]" allUniqueName="[Cuentas_INOF_Vehicular].[VP].[All]" dimensionUniqueName="[Cuentas_INOF_Vehicular]" displayFolder="" count="0" memberValueDatatype="130" unbalanced="0"/>
    <cacheHierarchy uniqueName="[EGyP_Consolidado_INOF_GARANTIAS].[Cuenta_Contable]" caption="Cuenta_Contable" attribute="1" defaultMemberUniqueName="[EGyP_Consolidado_INOF_GARANTIAS].[Cuenta_Contable].[All]" allUniqueName="[EGyP_Consolidado_INOF_GARANTIAS].[Cuenta_Contable].[All]" dimensionUniqueName="[EGyP_Consolidado_INOF_GARANTIAS]" displayFolder="" count="0" memberValueDatatype="130" unbalanced="0"/>
    <cacheHierarchy uniqueName="[EGyP_Consolidado_INOF_GARANTIAS].[Descripcion_Cta_Contable]" caption="Descripcion_Cta_Contable" attribute="1" defaultMemberUniqueName="[EGyP_Consolidado_INOF_GARANTIAS].[Descripcion_Cta_Contable].[All]" allUniqueName="[EGyP_Consolidado_INOF_GARANTIAS].[Descripcion_Cta_Contable].[All]" dimensionUniqueName="[EGyP_Consolidado_INOF_GARANTIAS]" displayFolder="" count="0" memberValueDatatype="130" unbalanced="0"/>
    <cacheHierarchy uniqueName="[EGyP_Consolidado_INOF_GARANTIAS].[Driver]" caption="Driver" attribute="1" defaultMemberUniqueName="[EGyP_Consolidado_INOF_GARANTIAS].[Driver].[All]" allUniqueName="[EGyP_Consolidado_INOF_GARANTIAS].[Driver].[All]" dimensionUniqueName="[EGyP_Consolidado_INOF_GARANTIAS]" displayFolder="" count="0" memberValueDatatype="5" unbalanced="0"/>
    <cacheHierarchy uniqueName="[EGyP_Consolidado_INOF_GARANTIAS].[FECHA]" caption="FECHA" attribute="1" time="1" defaultMemberUniqueName="[EGyP_Consolidado_INOF_GARANTIAS].[FECHA].[All]" allUniqueName="[EGyP_Consolidado_INOF_GARANTIAS].[FECHA].[All]" dimensionUniqueName="[EGyP_Consolidado_INOF_GARANTIAS]" displayFolder="" count="0" memberValueDatatype="7" unbalanced="0"/>
    <cacheHierarchy uniqueName="[EGyP_Consolidado_INOF_GARANTIAS].[Fuente]" caption="Fuente" attribute="1" defaultMemberUniqueName="[EGyP_Consolidado_INOF_GARANTIAS].[Fuente].[All]" allUniqueName="[EGyP_Consolidado_INOF_GARANTIAS].[Fuente].[All]" dimensionUniqueName="[EGyP_Consolidado_INOF_GARANTIAS]" displayFolder="" count="0" memberValueDatatype="130" unbalanced="0"/>
    <cacheHierarchy uniqueName="[EGyP_Consolidado_INOF_GARANTIAS].[Importe]" caption="Importe" attribute="1" defaultMemberUniqueName="[EGyP_Consolidado_INOF_GARANTIAS].[Importe].[All]" allUniqueName="[EGyP_Consolidado_INOF_GARANTIAS].[Importe].[All]" dimensionUniqueName="[EGyP_Consolidado_INOF_GARANTIAS]" displayFolder="" count="0" memberValueDatatype="5" unbalanced="0"/>
    <cacheHierarchy uniqueName="[EGyP_Consolidado_INOF_GARANTIAS].[Importe_Original]" caption="Importe_Original" attribute="1" defaultMemberUniqueName="[EGyP_Consolidado_INOF_GARANTIAS].[Importe_Original].[All]" allUniqueName="[EGyP_Consolidado_INOF_GARANTIAS].[Importe_Original].[All]" dimensionUniqueName="[EGyP_Consolidado_INOF_GARANTIAS]" displayFolder="" count="0" memberValueDatatype="5" unbalanced="0"/>
    <cacheHierarchy uniqueName="[EGyP_Consolidado_INOF_GARANTIAS].[Metrica]" caption="Metrica" attribute="1" defaultMemberUniqueName="[EGyP_Consolidado_INOF_GARANTIAS].[Metrica].[All]" allUniqueName="[EGyP_Consolidado_INOF_GARANTIAS].[Metrica].[All]" dimensionUniqueName="[EGyP_Consolidado_INOF_GARANTIAS]" displayFolder="" count="0" memberValueDatatype="130" unbalanced="0"/>
    <cacheHierarchy uniqueName="[EGyP_Consolidado_INOF_GARANTIAS].[PRODUCTO]" caption="PRODUCTO" attribute="1" defaultMemberUniqueName="[EGyP_Consolidado_INOF_GARANTIAS].[PRODUCTO].[All]" allUniqueName="[EGyP_Consolidado_INOF_GARANTIAS].[PRODUCTO].[All]" dimensionUniqueName="[EGyP_Consolidado_INOF_GARANTIAS]" displayFolder="" count="0" memberValueDatatype="130" unbalanced="0"/>
    <cacheHierarchy uniqueName="[EGyP_Consolidado_INOF_GARANTIAS].[SEGMENTO_DESCRIP]" caption="SEGMENTO_DESCRIP" attribute="1" defaultMemberUniqueName="[EGyP_Consolidado_INOF_GARANTIAS].[SEGMENTO_DESCRIP].[All]" allUniqueName="[EGyP_Consolidado_INOF_GARANTIAS].[SEGMENTO_DESCRIP].[All]" dimensionUniqueName="[EGyP_Consolidado_INOF_GARANTIAS]" displayFolder="" count="0" memberValueDatatype="130" unbalanced="0"/>
    <cacheHierarchy uniqueName="[EGyP_Consolidado_INOF_GARANTIAS].[SITUACION]" caption="SITUACION" attribute="1" defaultMemberUniqueName="[EGyP_Consolidado_INOF_GARANTIAS].[SITUACION].[All]" allUniqueName="[EGyP_Consolidado_INOF_GARANTIAS].[SITUACION].[All]" dimensionUniqueName="[EGyP_Consolidado_INOF_GARANTIAS]" displayFolder="" count="0" memberValueDatatype="130" unbalanced="0"/>
    <cacheHierarchy uniqueName="[EGyP_Consolidado_INOF_GARANTIAS].[Sub Producto]" caption="Sub Producto" attribute="1" defaultMemberUniqueName="[EGyP_Consolidado_INOF_GARANTIAS].[Sub Producto].[All]" allUniqueName="[EGyP_Consolidado_INOF_GARANTIAS].[Sub Producto].[All]" dimensionUniqueName="[EGyP_Consolidado_INOF_GARANTIAS]" displayFolder="" count="0" memberValueDatatype="130" unbalanced="0"/>
    <cacheHierarchy uniqueName="[EGyP_Consolidado_INOF_GARANTIAS].[Tipo_Valor]" caption="Tipo_Valor" attribute="1" defaultMemberUniqueName="[EGyP_Consolidado_INOF_GARANTIAS].[Tipo_Valor].[All]" allUniqueName="[EGyP_Consolidado_INOF_GARANTIAS].[Tipo_Valor].[All]" dimensionUniqueName="[EGyP_Consolidado_INOF_GARANTIAS]" displayFolder="" count="0" memberValueDatatype="130" unbalanced="0"/>
    <cacheHierarchy uniqueName="[EGyP_Consolidado_INOF_GARANTIAS].[VP]" caption="VP" attribute="1" defaultMemberUniqueName="[EGyP_Consolidado_INOF_GARANTIAS].[VP].[All]" allUniqueName="[EGyP_Consolidado_INOF_GARANTIAS].[VP].[All]" dimensionUniqueName="[EGyP_Consolidado_INOF_GARANTIAS]" displayFolder="" count="0" memberValueDatatype="130" unbalanced="0"/>
    <cacheHierarchy uniqueName="[DateTableTemplate_72f0a05c-07b2-47d1-a3b4-b7bc7dd6241b].[Año]" caption="Año" attribute="1" defaultMemberUniqueName="[DateTableTemplate_72f0a05c-07b2-47d1-a3b4-b7bc7dd6241b].[Año].[All]" allUniqueName="[DateTableTemplate_72f0a05c-07b2-47d1-a3b4-b7bc7dd6241b].[Año].[All]" dimensionUniqueName="[DateTableTemplate_72f0a05c-07b2-47d1-a3b4-b7bc7dd6241b]" displayFolder="" count="0" memberValueDatatype="20" unbalanced="0" hidden="1"/>
    <cacheHierarchy uniqueName="[DateTableTemplate_72f0a05c-07b2-47d1-a3b4-b7bc7dd6241b].[Date]" caption="Date" attribute="1" time="1" defaultMemberUniqueName="[DateTableTemplate_72f0a05c-07b2-47d1-a3b4-b7bc7dd6241b].[Date].[All]" allUniqueName="[DateTableTemplate_72f0a05c-07b2-47d1-a3b4-b7bc7dd6241b].[Date].[All]" dimensionUniqueName="[DateTableTemplate_72f0a05c-07b2-47d1-a3b4-b7bc7dd6241b]" displayFolder="" count="0" memberValueDatatype="7" unbalanced="0" hidden="1"/>
    <cacheHierarchy uniqueName="[DateTableTemplate_72f0a05c-07b2-47d1-a3b4-b7bc7dd6241b].[Día]" caption="Día" attribute="1" defaultMemberUniqueName="[DateTableTemplate_72f0a05c-07b2-47d1-a3b4-b7bc7dd6241b].[Día].[All]" allUniqueName="[DateTableTemplate_72f0a05c-07b2-47d1-a3b4-b7bc7dd6241b].[Día].[All]" dimensionUniqueName="[DateTableTemplate_72f0a05c-07b2-47d1-a3b4-b7bc7dd6241b]" displayFolder="" count="0" memberValueDatatype="20" unbalanced="0" hidden="1"/>
    <cacheHierarchy uniqueName="[DateTableTemplate_72f0a05c-07b2-47d1-a3b4-b7bc7dd6241b].[Jerarquía de fechas]" caption="Jerarquía de fechas" defaultMemberUniqueName="[DateTableTemplate_72f0a05c-07b2-47d1-a3b4-b7bc7dd6241b].[Jerarquía de fechas].[All]" allUniqueName="[DateTableTemplate_72f0a05c-07b2-47d1-a3b4-b7bc7dd6241b].[Jerarquía de fechas].[All]" dimensionUniqueName="[DateTableTemplate_72f0a05c-07b2-47d1-a3b4-b7bc7dd6241b]" displayFolder="" count="0" unbalanced="0" hidden="1"/>
    <cacheHierarchy uniqueName="[DateTableTemplate_72f0a05c-07b2-47d1-a3b4-b7bc7dd6241b].[Mes]" caption="Mes" attribute="1" defaultMemberUniqueName="[DateTableTemplate_72f0a05c-07b2-47d1-a3b4-b7bc7dd6241b].[Mes].[All]" allUniqueName="[DateTableTemplate_72f0a05c-07b2-47d1-a3b4-b7bc7dd6241b].[Mes].[All]" dimensionUniqueName="[DateTableTemplate_72f0a05c-07b2-47d1-a3b4-b7bc7dd6241b]" displayFolder="" count="0" memberValueDatatype="130" unbalanced="0" hidden="1"/>
    <cacheHierarchy uniqueName="[DateTableTemplate_72f0a05c-07b2-47d1-a3b4-b7bc7dd6241b].[NroMes]" caption="NroMes" attribute="1" defaultMemberUniqueName="[DateTableTemplate_72f0a05c-07b2-47d1-a3b4-b7bc7dd6241b].[NroMes].[All]" allUniqueName="[DateTableTemplate_72f0a05c-07b2-47d1-a3b4-b7bc7dd6241b].[NroMes].[All]" dimensionUniqueName="[DateTableTemplate_72f0a05c-07b2-47d1-a3b4-b7bc7dd6241b]" displayFolder="" count="0" memberValueDatatype="20" unbalanced="0" hidden="1"/>
    <cacheHierarchy uniqueName="[DateTableTemplate_72f0a05c-07b2-47d1-a3b4-b7bc7dd6241b].[NroTrimestre]" caption="NroTrimestre" attribute="1" defaultMemberUniqueName="[DateTableTemplate_72f0a05c-07b2-47d1-a3b4-b7bc7dd6241b].[NroTrimestre].[All]" allUniqueName="[DateTableTemplate_72f0a05c-07b2-47d1-a3b4-b7bc7dd6241b].[NroTrimestre].[All]" dimensionUniqueName="[DateTableTemplate_72f0a05c-07b2-47d1-a3b4-b7bc7dd6241b]" displayFolder="" count="0" memberValueDatatype="20" unbalanced="0" hidden="1"/>
    <cacheHierarchy uniqueName="[DateTableTemplate_72f0a05c-07b2-47d1-a3b4-b7bc7dd6241b].[Trimestre]" caption="Trimestre" attribute="1" defaultMemberUniqueName="[DateTableTemplate_72f0a05c-07b2-47d1-a3b4-b7bc7dd6241b].[Trimestre].[All]" allUniqueName="[DateTableTemplate_72f0a05c-07b2-47d1-a3b4-b7bc7dd6241b].[Trimestre].[All]" dimensionUniqueName="[DateTableTemplate_72f0a05c-07b2-47d1-a3b4-b7bc7dd6241b]" displayFolder="" count="0" memberValueDatatype="130" unbalanced="0" hidden="1"/>
    <cacheHierarchy uniqueName="[LocalDateTable_2a6e7bd2-0c34-420f-a738-8eda02a7b610].[Año]" caption="Año" attribute="1" defaultMemberUniqueName="[LocalDateTable_2a6e7bd2-0c34-420f-a738-8eda02a7b610].[Año].[All]" allUniqueName="[LocalDateTable_2a6e7bd2-0c34-420f-a738-8eda02a7b610].[Año].[All]" dimensionUniqueName="[LocalDateTable_2a6e7bd2-0c34-420f-a738-8eda02a7b610]" displayFolder="" count="0" memberValueDatatype="20" unbalanced="0" hidden="1"/>
    <cacheHierarchy uniqueName="[LocalDateTable_2a6e7bd2-0c34-420f-a738-8eda02a7b610].[Date]" caption="Date" attribute="1" time="1" defaultMemberUniqueName="[LocalDateTable_2a6e7bd2-0c34-420f-a738-8eda02a7b610].[Date].[All]" allUniqueName="[LocalDateTable_2a6e7bd2-0c34-420f-a738-8eda02a7b610].[Date].[All]" dimensionUniqueName="[LocalDateTable_2a6e7bd2-0c34-420f-a738-8eda02a7b610]" displayFolder="" count="0" memberValueDatatype="7" unbalanced="0" hidden="1"/>
    <cacheHierarchy uniqueName="[LocalDateTable_2a6e7bd2-0c34-420f-a738-8eda02a7b610].[Día]" caption="Día" attribute="1" defaultMemberUniqueName="[LocalDateTable_2a6e7bd2-0c34-420f-a738-8eda02a7b610].[Día].[All]" allUniqueName="[LocalDateTable_2a6e7bd2-0c34-420f-a738-8eda02a7b610].[Día].[All]" dimensionUniqueName="[LocalDateTable_2a6e7bd2-0c34-420f-a738-8eda02a7b610]" displayFolder="" count="0" memberValueDatatype="20" unbalanced="0" hidden="1"/>
    <cacheHierarchy uniqueName="[LocalDateTable_2a6e7bd2-0c34-420f-a738-8eda02a7b610].[Jerarquía de fechas]" caption="Jerarquía de fechas" defaultMemberUniqueName="[LocalDateTable_2a6e7bd2-0c34-420f-a738-8eda02a7b610].[Jerarquía de fechas].[All]" allUniqueName="[LocalDateTable_2a6e7bd2-0c34-420f-a738-8eda02a7b610].[Jerarquía de fechas].[All]" dimensionUniqueName="[LocalDateTable_2a6e7bd2-0c34-420f-a738-8eda02a7b610]" displayFolder="" count="0" unbalanced="0" hidden="1"/>
    <cacheHierarchy uniqueName="[LocalDateTable_2a6e7bd2-0c34-420f-a738-8eda02a7b610].[Mes]" caption="Mes" attribute="1" defaultMemberUniqueName="[LocalDateTable_2a6e7bd2-0c34-420f-a738-8eda02a7b610].[Mes].[All]" allUniqueName="[LocalDateTable_2a6e7bd2-0c34-420f-a738-8eda02a7b610].[Mes].[All]" dimensionUniqueName="[LocalDateTable_2a6e7bd2-0c34-420f-a738-8eda02a7b610]" displayFolder="" count="0" memberValueDatatype="130" unbalanced="0" hidden="1"/>
    <cacheHierarchy uniqueName="[LocalDateTable_2a6e7bd2-0c34-420f-a738-8eda02a7b610].[NroMes]" caption="NroMes" attribute="1" defaultMemberUniqueName="[LocalDateTable_2a6e7bd2-0c34-420f-a738-8eda02a7b610].[NroMes].[All]" allUniqueName="[LocalDateTable_2a6e7bd2-0c34-420f-a738-8eda02a7b610].[NroMes].[All]" dimensionUniqueName="[LocalDateTable_2a6e7bd2-0c34-420f-a738-8eda02a7b610]" displayFolder="" count="0" memberValueDatatype="20" unbalanced="0" hidden="1"/>
    <cacheHierarchy uniqueName="[LocalDateTable_2a6e7bd2-0c34-420f-a738-8eda02a7b610].[NroTrimestre]" caption="NroTrimestre" attribute="1" defaultMemberUniqueName="[LocalDateTable_2a6e7bd2-0c34-420f-a738-8eda02a7b610].[NroTrimestre].[All]" allUniqueName="[LocalDateTable_2a6e7bd2-0c34-420f-a738-8eda02a7b610].[NroTrimestre].[All]" dimensionUniqueName="[LocalDateTable_2a6e7bd2-0c34-420f-a738-8eda02a7b610]" displayFolder="" count="0" memberValueDatatype="20" unbalanced="0" hidden="1"/>
    <cacheHierarchy uniqueName="[LocalDateTable_2a6e7bd2-0c34-420f-a738-8eda02a7b610].[Trimestre]" caption="Trimestre" attribute="1" defaultMemberUniqueName="[LocalDateTable_2a6e7bd2-0c34-420f-a738-8eda02a7b610].[Trimestre].[All]" allUniqueName="[LocalDateTable_2a6e7bd2-0c34-420f-a738-8eda02a7b610].[Trimestre].[All]" dimensionUniqueName="[LocalDateTable_2a6e7bd2-0c34-420f-a738-8eda02a7b610]" displayFolder="" count="0" memberValueDatatype="130" unbalanced="0" hidden="1"/>
    <cacheHierarchy uniqueName="[LocalDateTable_43a050e6-86be-40f5-952e-e2ada6730267].[Año]" caption="Año" attribute="1" defaultMemberUniqueName="[LocalDateTable_43a050e6-86be-40f5-952e-e2ada6730267].[Año].[All]" allUniqueName="[LocalDateTable_43a050e6-86be-40f5-952e-e2ada6730267].[Año].[All]" dimensionUniqueName="[LocalDateTable_43a050e6-86be-40f5-952e-e2ada6730267]" displayFolder="" count="0" memberValueDatatype="20" unbalanced="0" hidden="1"/>
    <cacheHierarchy uniqueName="[LocalDateTable_43a050e6-86be-40f5-952e-e2ada6730267].[Date]" caption="Date" attribute="1" time="1" defaultMemberUniqueName="[LocalDateTable_43a050e6-86be-40f5-952e-e2ada6730267].[Date].[All]" allUniqueName="[LocalDateTable_43a050e6-86be-40f5-952e-e2ada6730267].[Date].[All]" dimensionUniqueName="[LocalDateTable_43a050e6-86be-40f5-952e-e2ada6730267]" displayFolder="" count="0" memberValueDatatype="7" unbalanced="0" hidden="1"/>
    <cacheHierarchy uniqueName="[LocalDateTable_43a050e6-86be-40f5-952e-e2ada6730267].[Día]" caption="Día" attribute="1" defaultMemberUniqueName="[LocalDateTable_43a050e6-86be-40f5-952e-e2ada6730267].[Día].[All]" allUniqueName="[LocalDateTable_43a050e6-86be-40f5-952e-e2ada6730267].[Día].[All]" dimensionUniqueName="[LocalDateTable_43a050e6-86be-40f5-952e-e2ada6730267]" displayFolder="" count="0" memberValueDatatype="20" unbalanced="0" hidden="1"/>
    <cacheHierarchy uniqueName="[LocalDateTable_43a050e6-86be-40f5-952e-e2ada6730267].[Jerarquía de fechas]" caption="Jerarquía de fechas" defaultMemberUniqueName="[LocalDateTable_43a050e6-86be-40f5-952e-e2ada6730267].[Jerarquía de fechas].[All]" allUniqueName="[LocalDateTable_43a050e6-86be-40f5-952e-e2ada6730267].[Jerarquía de fechas].[All]" dimensionUniqueName="[LocalDateTable_43a050e6-86be-40f5-952e-e2ada6730267]" displayFolder="" count="0" unbalanced="0" hidden="1"/>
    <cacheHierarchy uniqueName="[LocalDateTable_43a050e6-86be-40f5-952e-e2ada6730267].[Mes]" caption="Mes" attribute="1" defaultMemberUniqueName="[LocalDateTable_43a050e6-86be-40f5-952e-e2ada6730267].[Mes].[All]" allUniqueName="[LocalDateTable_43a050e6-86be-40f5-952e-e2ada6730267].[Mes].[All]" dimensionUniqueName="[LocalDateTable_43a050e6-86be-40f5-952e-e2ada6730267]" displayFolder="" count="0" memberValueDatatype="130" unbalanced="0" hidden="1"/>
    <cacheHierarchy uniqueName="[LocalDateTable_43a050e6-86be-40f5-952e-e2ada6730267].[NroMes]" caption="NroMes" attribute="1" defaultMemberUniqueName="[LocalDateTable_43a050e6-86be-40f5-952e-e2ada6730267].[NroMes].[All]" allUniqueName="[LocalDateTable_43a050e6-86be-40f5-952e-e2ada6730267].[NroMes].[All]" dimensionUniqueName="[LocalDateTable_43a050e6-86be-40f5-952e-e2ada6730267]" displayFolder="" count="0" memberValueDatatype="20" unbalanced="0" hidden="1"/>
    <cacheHierarchy uniqueName="[LocalDateTable_43a050e6-86be-40f5-952e-e2ada6730267].[NroTrimestre]" caption="NroTrimestre" attribute="1" defaultMemberUniqueName="[LocalDateTable_43a050e6-86be-40f5-952e-e2ada6730267].[NroTrimestre].[All]" allUniqueName="[LocalDateTable_43a050e6-86be-40f5-952e-e2ada6730267].[NroTrimestre].[All]" dimensionUniqueName="[LocalDateTable_43a050e6-86be-40f5-952e-e2ada6730267]" displayFolder="" count="0" memberValueDatatype="20" unbalanced="0" hidden="1"/>
    <cacheHierarchy uniqueName="[LocalDateTable_43a050e6-86be-40f5-952e-e2ada6730267].[Trimestre]" caption="Trimestre" attribute="1" defaultMemberUniqueName="[LocalDateTable_43a050e6-86be-40f5-952e-e2ada6730267].[Trimestre].[All]" allUniqueName="[LocalDateTable_43a050e6-86be-40f5-952e-e2ada6730267].[Trimestre].[All]" dimensionUniqueName="[LocalDateTable_43a050e6-86be-40f5-952e-e2ada6730267]" displayFolder="" count="0" memberValueDatatype="130" unbalanced="0" hidden="1"/>
    <cacheHierarchy uniqueName="[LocalDateTable_56b3bae5-31f9-4935-91ee-2be8289cdc9a].[Año]" caption="Año" attribute="1" defaultMemberUniqueName="[LocalDateTable_56b3bae5-31f9-4935-91ee-2be8289cdc9a].[Año].[All]" allUniqueName="[LocalDateTable_56b3bae5-31f9-4935-91ee-2be8289cdc9a].[Año].[All]" dimensionUniqueName="[LocalDateTable_56b3bae5-31f9-4935-91ee-2be8289cdc9a]" displayFolder="" count="0" memberValueDatatype="20" unbalanced="0" hidden="1"/>
    <cacheHierarchy uniqueName="[LocalDateTable_56b3bae5-31f9-4935-91ee-2be8289cdc9a].[Date]" caption="Date" attribute="1" time="1" defaultMemberUniqueName="[LocalDateTable_56b3bae5-31f9-4935-91ee-2be8289cdc9a].[Date].[All]" allUniqueName="[LocalDateTable_56b3bae5-31f9-4935-91ee-2be8289cdc9a].[Date].[All]" dimensionUniqueName="[LocalDateTable_56b3bae5-31f9-4935-91ee-2be8289cdc9a]" displayFolder="" count="0" memberValueDatatype="7" unbalanced="0" hidden="1"/>
    <cacheHierarchy uniqueName="[LocalDateTable_56b3bae5-31f9-4935-91ee-2be8289cdc9a].[Día]" caption="Día" attribute="1" defaultMemberUniqueName="[LocalDateTable_56b3bae5-31f9-4935-91ee-2be8289cdc9a].[Día].[All]" allUniqueName="[LocalDateTable_56b3bae5-31f9-4935-91ee-2be8289cdc9a].[Día].[All]" dimensionUniqueName="[LocalDateTable_56b3bae5-31f9-4935-91ee-2be8289cdc9a]" displayFolder="" count="0" memberValueDatatype="20" unbalanced="0" hidden="1"/>
    <cacheHierarchy uniqueName="[LocalDateTable_56b3bae5-31f9-4935-91ee-2be8289cdc9a].[Jerarquía de fechas]" caption="Jerarquía de fechas" defaultMemberUniqueName="[LocalDateTable_56b3bae5-31f9-4935-91ee-2be8289cdc9a].[Jerarquía de fechas].[All]" allUniqueName="[LocalDateTable_56b3bae5-31f9-4935-91ee-2be8289cdc9a].[Jerarquía de fechas].[All]" dimensionUniqueName="[LocalDateTable_56b3bae5-31f9-4935-91ee-2be8289cdc9a]" displayFolder="" count="0" unbalanced="0" hidden="1"/>
    <cacheHierarchy uniqueName="[LocalDateTable_56b3bae5-31f9-4935-91ee-2be8289cdc9a].[Mes]" caption="Mes" attribute="1" defaultMemberUniqueName="[LocalDateTable_56b3bae5-31f9-4935-91ee-2be8289cdc9a].[Mes].[All]" allUniqueName="[LocalDateTable_56b3bae5-31f9-4935-91ee-2be8289cdc9a].[Mes].[All]" dimensionUniqueName="[LocalDateTable_56b3bae5-31f9-4935-91ee-2be8289cdc9a]" displayFolder="" count="0" memberValueDatatype="130" unbalanced="0" hidden="1"/>
    <cacheHierarchy uniqueName="[LocalDateTable_56b3bae5-31f9-4935-91ee-2be8289cdc9a].[NroMes]" caption="NroMes" attribute="1" defaultMemberUniqueName="[LocalDateTable_56b3bae5-31f9-4935-91ee-2be8289cdc9a].[NroMes].[All]" allUniqueName="[LocalDateTable_56b3bae5-31f9-4935-91ee-2be8289cdc9a].[NroMes].[All]" dimensionUniqueName="[LocalDateTable_56b3bae5-31f9-4935-91ee-2be8289cdc9a]" displayFolder="" count="0" memberValueDatatype="20" unbalanced="0" hidden="1"/>
    <cacheHierarchy uniqueName="[LocalDateTable_56b3bae5-31f9-4935-91ee-2be8289cdc9a].[NroTrimestre]" caption="NroTrimestre" attribute="1" defaultMemberUniqueName="[LocalDateTable_56b3bae5-31f9-4935-91ee-2be8289cdc9a].[NroTrimestre].[All]" allUniqueName="[LocalDateTable_56b3bae5-31f9-4935-91ee-2be8289cdc9a].[NroTrimestre].[All]" dimensionUniqueName="[LocalDateTable_56b3bae5-31f9-4935-91ee-2be8289cdc9a]" displayFolder="" count="0" memberValueDatatype="20" unbalanced="0" hidden="1"/>
    <cacheHierarchy uniqueName="[LocalDateTable_56b3bae5-31f9-4935-91ee-2be8289cdc9a].[Trimestre]" caption="Trimestre" attribute="1" defaultMemberUniqueName="[LocalDateTable_56b3bae5-31f9-4935-91ee-2be8289cdc9a].[Trimestre].[All]" allUniqueName="[LocalDateTable_56b3bae5-31f9-4935-91ee-2be8289cdc9a].[Trimestre].[All]" dimensionUniqueName="[LocalDateTable_56b3bae5-31f9-4935-91ee-2be8289cdc9a]" displayFolder="" count="0" memberValueDatatype="130" unbalanced="0" hidden="1"/>
    <cacheHierarchy uniqueName="[LocalDateTable_6751b8f4-599e-441c-84de-b28316bd8278].[Año]" caption="Año" attribute="1" defaultMemberUniqueName="[LocalDateTable_6751b8f4-599e-441c-84de-b28316bd8278].[Año].[All]" allUniqueName="[LocalDateTable_6751b8f4-599e-441c-84de-b28316bd8278].[Año].[All]" dimensionUniqueName="[LocalDateTable_6751b8f4-599e-441c-84de-b28316bd8278]" displayFolder="" count="0" memberValueDatatype="20" unbalanced="0" hidden="1"/>
    <cacheHierarchy uniqueName="[LocalDateTable_6751b8f4-599e-441c-84de-b28316bd8278].[Date]" caption="Date" attribute="1" time="1" defaultMemberUniqueName="[LocalDateTable_6751b8f4-599e-441c-84de-b28316bd8278].[Date].[All]" allUniqueName="[LocalDateTable_6751b8f4-599e-441c-84de-b28316bd8278].[Date].[All]" dimensionUniqueName="[LocalDateTable_6751b8f4-599e-441c-84de-b28316bd8278]" displayFolder="" count="0" memberValueDatatype="7" unbalanced="0" hidden="1"/>
    <cacheHierarchy uniqueName="[LocalDateTable_6751b8f4-599e-441c-84de-b28316bd8278].[Día]" caption="Día" attribute="1" defaultMemberUniqueName="[LocalDateTable_6751b8f4-599e-441c-84de-b28316bd8278].[Día].[All]" allUniqueName="[LocalDateTable_6751b8f4-599e-441c-84de-b28316bd8278].[Día].[All]" dimensionUniqueName="[LocalDateTable_6751b8f4-599e-441c-84de-b28316bd8278]" displayFolder="" count="0" memberValueDatatype="20" unbalanced="0" hidden="1"/>
    <cacheHierarchy uniqueName="[LocalDateTable_6751b8f4-599e-441c-84de-b28316bd8278].[Jerarquía de fechas]" caption="Jerarquía de fechas" defaultMemberUniqueName="[LocalDateTable_6751b8f4-599e-441c-84de-b28316bd8278].[Jerarquía de fechas].[All]" allUniqueName="[LocalDateTable_6751b8f4-599e-441c-84de-b28316bd8278].[Jerarquía de fechas].[All]" dimensionUniqueName="[LocalDateTable_6751b8f4-599e-441c-84de-b28316bd8278]" displayFolder="" count="0" unbalanced="0" hidden="1"/>
    <cacheHierarchy uniqueName="[LocalDateTable_6751b8f4-599e-441c-84de-b28316bd8278].[Mes]" caption="Mes" attribute="1" defaultMemberUniqueName="[LocalDateTable_6751b8f4-599e-441c-84de-b28316bd8278].[Mes].[All]" allUniqueName="[LocalDateTable_6751b8f4-599e-441c-84de-b28316bd8278].[Mes].[All]" dimensionUniqueName="[LocalDateTable_6751b8f4-599e-441c-84de-b28316bd8278]" displayFolder="" count="0" memberValueDatatype="130" unbalanced="0" hidden="1"/>
    <cacheHierarchy uniqueName="[LocalDateTable_6751b8f4-599e-441c-84de-b28316bd8278].[NroMes]" caption="NroMes" attribute="1" defaultMemberUniqueName="[LocalDateTable_6751b8f4-599e-441c-84de-b28316bd8278].[NroMes].[All]" allUniqueName="[LocalDateTable_6751b8f4-599e-441c-84de-b28316bd8278].[NroMes].[All]" dimensionUniqueName="[LocalDateTable_6751b8f4-599e-441c-84de-b28316bd8278]" displayFolder="" count="0" memberValueDatatype="20" unbalanced="0" hidden="1"/>
    <cacheHierarchy uniqueName="[LocalDateTable_6751b8f4-599e-441c-84de-b28316bd8278].[NroTrimestre]" caption="NroTrimestre" attribute="1" defaultMemberUniqueName="[LocalDateTable_6751b8f4-599e-441c-84de-b28316bd8278].[NroTrimestre].[All]" allUniqueName="[LocalDateTable_6751b8f4-599e-441c-84de-b28316bd8278].[NroTrimestre].[All]" dimensionUniqueName="[LocalDateTable_6751b8f4-599e-441c-84de-b28316bd8278]" displayFolder="" count="0" memberValueDatatype="20" unbalanced="0" hidden="1"/>
    <cacheHierarchy uniqueName="[LocalDateTable_6751b8f4-599e-441c-84de-b28316bd8278].[Trimestre]" caption="Trimestre" attribute="1" defaultMemberUniqueName="[LocalDateTable_6751b8f4-599e-441c-84de-b28316bd8278].[Trimestre].[All]" allUniqueName="[LocalDateTable_6751b8f4-599e-441c-84de-b28316bd8278].[Trimestre].[All]" dimensionUniqueName="[LocalDateTable_6751b8f4-599e-441c-84de-b28316bd8278]" displayFolder="" count="0" memberValueDatatype="130" unbalanced="0" hidden="1"/>
    <cacheHierarchy uniqueName="[LocalDateTable_95fc77b1-0b61-482a-8be4-a0215fb0eb6b].[Año]" caption="Año" attribute="1" defaultMemberUniqueName="[LocalDateTable_95fc77b1-0b61-482a-8be4-a0215fb0eb6b].[Año].[All]" allUniqueName="[LocalDateTable_95fc77b1-0b61-482a-8be4-a0215fb0eb6b].[Año].[All]" dimensionUniqueName="[LocalDateTable_95fc77b1-0b61-482a-8be4-a0215fb0eb6b]" displayFolder="" count="0" memberValueDatatype="20" unbalanced="0" hidden="1"/>
    <cacheHierarchy uniqueName="[LocalDateTable_95fc77b1-0b61-482a-8be4-a0215fb0eb6b].[Date]" caption="Date" attribute="1" time="1" defaultMemberUniqueName="[LocalDateTable_95fc77b1-0b61-482a-8be4-a0215fb0eb6b].[Date].[All]" allUniqueName="[LocalDateTable_95fc77b1-0b61-482a-8be4-a0215fb0eb6b].[Date].[All]" dimensionUniqueName="[LocalDateTable_95fc77b1-0b61-482a-8be4-a0215fb0eb6b]" displayFolder="" count="0" memberValueDatatype="7" unbalanced="0" hidden="1"/>
    <cacheHierarchy uniqueName="[LocalDateTable_95fc77b1-0b61-482a-8be4-a0215fb0eb6b].[Día]" caption="Día" attribute="1" defaultMemberUniqueName="[LocalDateTable_95fc77b1-0b61-482a-8be4-a0215fb0eb6b].[Día].[All]" allUniqueName="[LocalDateTable_95fc77b1-0b61-482a-8be4-a0215fb0eb6b].[Día].[All]" dimensionUniqueName="[LocalDateTable_95fc77b1-0b61-482a-8be4-a0215fb0eb6b]" displayFolder="" count="0" memberValueDatatype="20" unbalanced="0" hidden="1"/>
    <cacheHierarchy uniqueName="[LocalDateTable_95fc77b1-0b61-482a-8be4-a0215fb0eb6b].[Jerarquía de fechas]" caption="Jerarquía de fechas" defaultMemberUniqueName="[LocalDateTable_95fc77b1-0b61-482a-8be4-a0215fb0eb6b].[Jerarquía de fechas].[All]" allUniqueName="[LocalDateTable_95fc77b1-0b61-482a-8be4-a0215fb0eb6b].[Jerarquía de fechas].[All]" dimensionUniqueName="[LocalDateTable_95fc77b1-0b61-482a-8be4-a0215fb0eb6b]" displayFolder="" count="0" unbalanced="0" hidden="1"/>
    <cacheHierarchy uniqueName="[LocalDateTable_95fc77b1-0b61-482a-8be4-a0215fb0eb6b].[Mes]" caption="Mes" attribute="1" defaultMemberUniqueName="[LocalDateTable_95fc77b1-0b61-482a-8be4-a0215fb0eb6b].[Mes].[All]" allUniqueName="[LocalDateTable_95fc77b1-0b61-482a-8be4-a0215fb0eb6b].[Mes].[All]" dimensionUniqueName="[LocalDateTable_95fc77b1-0b61-482a-8be4-a0215fb0eb6b]" displayFolder="" count="0" memberValueDatatype="130" unbalanced="0" hidden="1"/>
    <cacheHierarchy uniqueName="[LocalDateTable_95fc77b1-0b61-482a-8be4-a0215fb0eb6b].[NroMes]" caption="NroMes" attribute="1" defaultMemberUniqueName="[LocalDateTable_95fc77b1-0b61-482a-8be4-a0215fb0eb6b].[NroMes].[All]" allUniqueName="[LocalDateTable_95fc77b1-0b61-482a-8be4-a0215fb0eb6b].[NroMes].[All]" dimensionUniqueName="[LocalDateTable_95fc77b1-0b61-482a-8be4-a0215fb0eb6b]" displayFolder="" count="0" memberValueDatatype="20" unbalanced="0" hidden="1"/>
    <cacheHierarchy uniqueName="[LocalDateTable_95fc77b1-0b61-482a-8be4-a0215fb0eb6b].[NroTrimestre]" caption="NroTrimestre" attribute="1" defaultMemberUniqueName="[LocalDateTable_95fc77b1-0b61-482a-8be4-a0215fb0eb6b].[NroTrimestre].[All]" allUniqueName="[LocalDateTable_95fc77b1-0b61-482a-8be4-a0215fb0eb6b].[NroTrimestre].[All]" dimensionUniqueName="[LocalDateTable_95fc77b1-0b61-482a-8be4-a0215fb0eb6b]" displayFolder="" count="0" memberValueDatatype="20" unbalanced="0" hidden="1"/>
    <cacheHierarchy uniqueName="[LocalDateTable_95fc77b1-0b61-482a-8be4-a0215fb0eb6b].[Trimestre]" caption="Trimestre" attribute="1" defaultMemberUniqueName="[LocalDateTable_95fc77b1-0b61-482a-8be4-a0215fb0eb6b].[Trimestre].[All]" allUniqueName="[LocalDateTable_95fc77b1-0b61-482a-8be4-a0215fb0eb6b].[Trimestre].[All]" dimensionUniqueName="[LocalDateTable_95fc77b1-0b61-482a-8be4-a0215fb0eb6b]" displayFolder="" count="0" memberValueDatatype="130" unbalanced="0" hidden="1"/>
    <cacheHierarchy uniqueName="[Measures].[__Default measure]" caption="__Default measure" measure="1" displayFolder="" count="0" hidden="1"/>
    <cacheHierarchy uniqueName="Unsupported0" caption="FECHA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8">
    <dimension name="Anexar1" uniqueName="[Anexar1]" caption="Anexar1"/>
    <dimension name="Base" uniqueName="[Base]" caption="Base"/>
    <dimension name="Base_PJ_Inmobiliaria" uniqueName="[Base_PJ_Inmobiliaria]" caption="Base_PJ_Inmobiliaria"/>
    <dimension name="Base_PJ_Inmobiliaria_INOF" uniqueName="[Base_PJ_Inmobiliaria_INOF]" caption="Base_PJ_Inmobiliaria_INOF"/>
    <dimension name="Calendario" uniqueName="[Calendario]" caption="Calendario"/>
    <dimension name="Cuentas_INOF_Vehicular" uniqueName="[Cuentas_INOF_Vehicular]" caption="Cuentas_INOF_Vehicular"/>
    <dimension name="EGyP_Consolidado_INOF_GARANTIAS" uniqueName="[EGyP_Consolidado_INOF_GARANTIAS]" caption="EGyP_Consolidado_INOF_GARANTIAS"/>
    <dimension measure="1" name="Measures" uniqueName="[Measures]" caption="Measures"/>
  </dimensions>
  <measureGroups count="13">
    <measureGroup name="Anexar1" caption="Anexar1"/>
    <measureGroup name="Base" caption="Base"/>
    <measureGroup name="Base_PJ_Inmobiliaria" caption="Base_PJ_Inmobiliaria"/>
    <measureGroup name="Base_PJ_Inmobiliaria_INOF" caption="Base_PJ_Inmobiliaria_INOF"/>
    <measureGroup name="Calendario" caption="Calendario"/>
    <measureGroup name="Cuentas_INOF_Vehicular" caption="Cuentas_INOF_Vehicular"/>
    <measureGroup name="DateTableTemplate_72f0a05c-07b2-47d1-a3b4-b7bc7dd6241b" caption="DateTableTemplate_72f0a05c-07b2-47d1-a3b4-b7bc7dd6241b"/>
    <measureGroup name="EGyP_Consolidado_INOF_GARANTIAS" caption="EGyP_Consolidado_INOF_GARANTIAS"/>
    <measureGroup name="LocalDateTable_2a6e7bd2-0c34-420f-a738-8eda02a7b610" caption="LocalDateTable_2a6e7bd2-0c34-420f-a738-8eda02a7b610"/>
    <measureGroup name="LocalDateTable_43a050e6-86be-40f5-952e-e2ada6730267" caption="LocalDateTable_43a050e6-86be-40f5-952e-e2ada6730267"/>
    <measureGroup name="LocalDateTable_56b3bae5-31f9-4935-91ee-2be8289cdc9a" caption="LocalDateTable_56b3bae5-31f9-4935-91ee-2be8289cdc9a"/>
    <measureGroup name="LocalDateTable_6751b8f4-599e-441c-84de-b28316bd8278" caption="LocalDateTable_6751b8f4-599e-441c-84de-b28316bd8278"/>
    <measureGroup name="LocalDateTable_95fc77b1-0b61-482a-8be4-a0215fb0eb6b" caption="LocalDateTable_95fc77b1-0b61-482a-8be4-a0215fb0eb6b"/>
  </measureGroups>
  <maps count="9">
    <map measureGroup="0" dimension="0"/>
    <map measureGroup="1" dimension="1"/>
    <map measureGroup="1" dimension="4"/>
    <map measureGroup="2" dimension="2"/>
    <map measureGroup="3" dimension="3"/>
    <map measureGroup="4" dimension="4"/>
    <map measureGroup="5" dimension="5"/>
    <map measureGroup="7" dimension="5"/>
    <map measureGroup="7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Segovia Ureta, Gianpier Andre" refreshedDate="46245.707929050928" createdVersion="8" refreshedVersion="8" minRefreshableVersion="3" recordCount="0" supportSubquery="1" supportAdvancedDrill="1" xr:uid="{AEA94202-8723-47BF-975F-06939A281AC1}">
  <cacheSource type="external" connectionId="2"/>
  <cacheFields count="10">
    <cacheField name="[Base_PPE].[Periodo].[Periodo]" caption="Periodo" numFmtId="0" hierarchy="25" level="1">
      <sharedItems count="15">
        <s v="[Base_PPE].[Periodo].&amp;[202510]" c="202510"/>
        <s v="[Base_PPE].[Periodo].&amp;[202511]" c="202511"/>
        <s v="[Base_PPE].[Periodo].&amp;[202512]" c="202512"/>
        <s v="[Base_PPE].[Periodo].&amp;[202601]" c="202601"/>
        <s v="[Base_PPE].[Periodo].&amp;[202602]" c="202602"/>
        <s v="[Base_PPE].[Periodo].&amp;[202603]" c="202603"/>
        <s v="[Base_PPE].[Periodo].&amp;[202604]" c="202604"/>
        <s v="[Base_PPE].[Periodo].&amp;[202605]" c="202605"/>
        <s v="[Base_PPE].[Periodo].&amp;[202606]" c="202606"/>
        <s v="[Base_PPE].[Periodo].&amp;[202607]" c="202607"/>
        <s v="[Base_PPE].[Periodo].&amp;[202608]" c="202608"/>
        <s v="[Base_PPE].[Periodo].&amp;[202609]" c="202609"/>
        <s v="[Base_PPE].[Periodo].&amp;[202610]" c="202610"/>
        <s v="[Base_PPE].[Periodo].&amp;[202611]" c="202611"/>
        <s v="[Base_PPE].[Periodo].&amp;[202612]" c="202612"/>
      </sharedItems>
    </cacheField>
    <cacheField name="[BASE_HIPO_PPTO].[PRODUCTO].[PRODUCTO]" caption="PRODUCTO" numFmtId="0" hierarchy="15" level="1">
      <sharedItems containsSemiMixedTypes="0" containsString="0"/>
    </cacheField>
    <cacheField name="[BASE_HIPO_PPTO].[Tipo_Valor].[Tipo_Valor]" caption="Tipo_Valor" numFmtId="0" hierarchy="20" level="1">
      <sharedItems containsSemiMixedTypes="0" containsString="0"/>
    </cacheField>
    <cacheField name="[BASE_HIPO_PPTO].[Tipo].[Tipo]" caption="Tipo" numFmtId="0" hierarchy="19" level="1">
      <sharedItems containsSemiMixedTypes="0" containsString="0"/>
    </cacheField>
    <cacheField name="[BASE_HIPO_PPTO].[Metrica].[Metrica]" caption="Metrica" numFmtId="0" hierarchy="13" level="1">
      <sharedItems count="10">
        <s v="[BASE_HIPO_PPTO].[Metrica].&amp;[Extraordinarios]" c="Extraordinarios"/>
        <s v="[BASE_HIPO_PPTO].[Metrica].&amp;[FTP]" c="FTP"/>
        <s v="[BASE_HIPO_PPTO].[Metrica].&amp;[Gasto_Provision]" c="Gasto_Provision"/>
        <s v="[BASE_HIPO_PPTO].[Metrica].&amp;[Gastos Operativos]" c="Gastos Operativos"/>
        <s v="[BASE_HIPO_PPTO].[Metrica].&amp;[Ingreso_Financiero]" c="Ingreso_Financiero"/>
        <s v="[BASE_HIPO_PPTO].[Metrica].&amp;[INOF]" c="INOF"/>
        <s v="[BASE_HIPO_PPTO].[Metrica].&amp;[Recupero]" c="Recupero"/>
        <s v="[BASE_HIPO_PPTO].[Metrica].&amp;[ROF]" c="ROF"/>
        <s v="[BASE_HIPO_PPTO].[Metrica].&amp;[SALDO_FDP]" c="SALDO_FDP"/>
        <s v="[BASE_HIPO_PPTO].[Metrica].&amp;[SALDO_PROM]" c="SALDO_PROM"/>
      </sharedItems>
    </cacheField>
    <cacheField name="[BASE_HIPO_PPTO].[SEGMENTO_DESCRIP].[SEGMENTO_DESCRIP]" caption="SEGMENTO_DESCRIP" numFmtId="0" hierarchy="16" level="1">
      <sharedItems count="3">
        <s v="[BASE_HIPO_PPTO].[SEGMENTO_DESCRIP].&amp;[Consumo Inicial]" c="Consumo Inicial"/>
        <s v="[BASE_HIPO_PPTO].[SEGMENTO_DESCRIP].&amp;[Masivo]" c="Masivo"/>
        <s v="[BASE_HIPO_PPTO].[SEGMENTO_DESCRIP].&amp;[Renta Alta]" c="Renta Alta"/>
      </sharedItems>
    </cacheField>
    <cacheField name="[BASE_HIPO_PPTO].[SITUACION].[SITUACION]" caption="SITUACION" numFmtId="0" hierarchy="17" level="1">
      <sharedItems count="14">
        <s v="[BASE_HIPO_PPTO].[SITUACION].&amp;[Otros]" c="Otros"/>
        <s v="[BASE_HIPO_PPTO].[SITUACION].&amp;[Refinanciado]" c="Refinanciado"/>
        <s v="[BASE_HIPO_PPTO].[SITUACION].&amp;[Vencido y Judicial]" c="Vencido y Judicial"/>
        <s v="[BASE_HIPO_PPTO].[SITUACION].&amp;[Vigente]" c="Vigente"/>
        <s v="[BASE_HIPO_PPTO].[SITUACION].&amp;[Provisiones Cartera]" c="Provisiones Cartera"/>
        <s v="[BASE_HIPO_PPTO].[SITUACION].&amp;[Gasto Canal]" c="Gasto Canal"/>
        <s v="[BASE_HIPO_PPTO].[SITUACION].&amp;[Gasto Directo]" c="Gasto Directo"/>
        <s v="[BASE_HIPO_PPTO].[SITUACION].&amp;[Gasto Indirecto]" c="Gasto Indirecto"/>
        <s v="[BASE_HIPO_PPTO].[SITUACION].&amp;[Comisiones Credito Hipotecario]" c="Comisiones Credito Hipotecario"/>
        <s v="[BASE_HIPO_PPTO].[SITUACION].&amp;[Garantías]" c="Garantías"/>
        <s v="[BASE_HIPO_PPTO].[SITUACION].&amp;[Seguro de Desgravamen]" c="Seguro de Desgravamen"/>
        <s v="[BASE_HIPO_PPTO].[SITUACION].&amp;[Servicios Legales y Tasación Hipotecario]" c="Servicios Legales y Tasación Hipotecario"/>
        <s v="[BASE_HIPO_PPTO].[SITUACION].&amp;[Recupero de Castigos]" c="Recupero de Castigos"/>
        <s v="[BASE_HIPO_PPTO].[SITUACION].&amp;[Venta de Cartera]" c="Venta de Cartera"/>
      </sharedItems>
    </cacheField>
    <cacheField name="[BASE_HIPO_PPTO].[Periodo].[Periodo]" caption="Periodo" numFmtId="0" hierarchy="14" level="1">
      <sharedItems count="12">
        <s v="[BASE_HIPO_PPTO].[Periodo].&amp;[202601]" c="202601"/>
        <s v="[BASE_HIPO_PPTO].[Periodo].&amp;[202602]" c="202602"/>
        <s v="[BASE_HIPO_PPTO].[Periodo].&amp;[202603]" c="202603"/>
        <s v="[BASE_HIPO_PPTO].[Periodo].&amp;[202604]" c="202604"/>
        <s v="[BASE_HIPO_PPTO].[Periodo].&amp;[202605]" c="202605"/>
        <s v="[BASE_HIPO_PPTO].[Periodo].&amp;[202606]" c="202606"/>
        <s v="[BASE_HIPO_PPTO].[Periodo].&amp;[202607]" c="202607"/>
        <s v="[BASE_HIPO_PPTO].[Periodo].&amp;[202608]" c="202608"/>
        <s v="[BASE_HIPO_PPTO].[Periodo].&amp;[202609]" c="202609"/>
        <s v="[BASE_HIPO_PPTO].[Periodo].&amp;[202610]" c="202610"/>
        <s v="[BASE_HIPO_PPTO].[Periodo].&amp;[202611]" c="202611"/>
        <s v="[BASE_HIPO_PPTO].[Periodo].&amp;[202612]" c="202612"/>
      </sharedItems>
    </cacheField>
    <cacheField name="[BASE_HIPO_PPTO].[Importe].[Importe]" caption="Importe" numFmtId="0" hierarchy="12" level="1">
      <sharedItems containsSemiMixedTypes="0" containsString="0"/>
    </cacheField>
    <cacheField name="Unsupported0" numFmtId="0" hierarchy="102" level="32767">
      <extLst>
        <ext xmlns:xxpim="http://schemas.microsoft.com/office/spreadsheetml/2020/pivotNov2020" uri="{7ABAD63E-2A86-4513-9825-C419ED9F8A65}">
          <xxpim:ignorableAfterVersion version="7"/>
        </ext>
      </extLst>
    </cacheField>
  </cacheFields>
  <cacheHierarchies count="103">
    <cacheHierarchy uniqueName="[BASE_CONVE_PPTO].[FECHA]" caption="FECHA" attribute="1" time="1" defaultMemberUniqueName="[BASE_CONVE_PPTO].[FECHA].[All]" allUniqueName="[BASE_CONVE_PPTO].[FECHA].[All]" dimensionUniqueName="[BASE_CONVE_PPTO]" displayFolder="" count="0" memberValueDatatype="7" unbalanced="0"/>
    <cacheHierarchy uniqueName="[BASE_CONVE_PPTO].[Importe]" caption="Importe" attribute="1" defaultMemberUniqueName="[BASE_CONVE_PPTO].[Importe].[All]" allUniqueName="[BASE_CONVE_PPTO].[Importe].[All]" dimensionUniqueName="[BASE_CONVE_PPTO]" displayFolder="" count="0" memberValueDatatype="5" unbalanced="0"/>
    <cacheHierarchy uniqueName="[BASE_CONVE_PPTO].[Metrica]" caption="Metrica" attribute="1" defaultMemberUniqueName="[BASE_CONVE_PPTO].[Metrica].[All]" allUniqueName="[BASE_CONVE_PPTO].[Metrica].[All]" dimensionUniqueName="[BASE_CONVE_PPTO]" displayFolder="" count="0" memberValueDatatype="130" unbalanced="0"/>
    <cacheHierarchy uniqueName="[BASE_CONVE_PPTO].[Periodo]" caption="Periodo" attribute="1" defaultMemberUniqueName="[BASE_CONVE_PPTO].[Periodo].[All]" allUniqueName="[BASE_CONVE_PPTO].[Periodo].[All]" dimensionUniqueName="[BASE_CONVE_PPTO]" displayFolder="" count="0" memberValueDatatype="130" unbalanced="0"/>
    <cacheHierarchy uniqueName="[BASE_CONVE_PPTO].[PRODUCTO]" caption="PRODUCTO" attribute="1" defaultMemberUniqueName="[BASE_CONVE_PPTO].[PRODUCTO].[All]" allUniqueName="[BASE_CONVE_PPTO].[PRODUCTO].[All]" dimensionUniqueName="[BASE_CONVE_PPTO]" displayFolder="" count="0" memberValueDatatype="130" unbalanced="0"/>
    <cacheHierarchy uniqueName="[BASE_CONVE_PPTO].[SEGMENTO_DESCRIP]" caption="SEGMENTO_DESCRIP" attribute="1" defaultMemberUniqueName="[BASE_CONVE_PPTO].[SEGMENTO_DESCRIP].[All]" allUniqueName="[BASE_CONVE_PPTO].[SEGMENTO_DESCRIP].[All]" dimensionUniqueName="[BASE_CONVE_PPTO]" displayFolder="" count="0" memberValueDatatype="130" unbalanced="0"/>
    <cacheHierarchy uniqueName="[BASE_CONVE_PPTO].[SITUACION]" caption="SITUACION" attribute="1" defaultMemberUniqueName="[BASE_CONVE_PPTO].[SITUACION].[All]" allUniqueName="[BASE_CONVE_PPTO].[SITUACION].[All]" dimensionUniqueName="[BASE_CONVE_PPTO]" displayFolder="" count="0" memberValueDatatype="130" unbalanced="0"/>
    <cacheHierarchy uniqueName="[BASE_CONVE_PPTO].[Sub_Producto]" caption="Sub_Producto" attribute="1" defaultMemberUniqueName="[BASE_CONVE_PPTO].[Sub_Producto].[All]" allUniqueName="[BASE_CONVE_PPTO].[Sub_Producto].[All]" dimensionUniqueName="[BASE_CONVE_PPTO]" displayFolder="" count="0" memberValueDatatype="130" unbalanced="0"/>
    <cacheHierarchy uniqueName="[BASE_CONVE_PPTO].[Tipo]" caption="Tipo" attribute="1" defaultMemberUniqueName="[BASE_CONVE_PPTO].[Tipo].[All]" allUniqueName="[BASE_CONVE_PPTO].[Tipo].[All]" dimensionUniqueName="[BASE_CONVE_PPTO]" displayFolder="" count="0" memberValueDatatype="130" unbalanced="0"/>
    <cacheHierarchy uniqueName="[BASE_CONVE_PPTO].[Tipo_Valor]" caption="Tipo_Valor" attribute="1" defaultMemberUniqueName="[BASE_CONVE_PPTO].[Tipo_Valor].[All]" allUniqueName="[BASE_CONVE_PPTO].[Tipo_Valor].[All]" dimensionUniqueName="[BASE_CONVE_PPTO]" displayFolder="" count="0" memberValueDatatype="130" unbalanced="0"/>
    <cacheHierarchy uniqueName="[BASE_HIPO_PPTO].[Año]" caption="Año" attribute="1" defaultMemberUniqueName="[BASE_HIPO_PPTO].[Año].[All]" allUniqueName="[BASE_HIPO_PPTO].[Año].[All]" dimensionUniqueName="[BASE_HIPO_PPTO]" displayFolder="" count="0" memberValueDatatype="130" unbalanced="0"/>
    <cacheHierarchy uniqueName="[BASE_HIPO_PPTO].[FECHA]" caption="FECHA" attribute="1" time="1" defaultMemberUniqueName="[BASE_HIPO_PPTO].[FECHA].[All]" allUniqueName="[BASE_HIPO_PPTO].[FECHA].[All]" dimensionUniqueName="[BASE_HIPO_PPTO]" displayFolder="" count="0" memberValueDatatype="7" unbalanced="0"/>
    <cacheHierarchy uniqueName="[BASE_HIPO_PPTO].[Importe]" caption="Importe" attribute="1" defaultMemberUniqueName="[BASE_HIPO_PPTO].[Importe].[All]" allUniqueName="[BASE_HIPO_PPTO].[Importe].[All]" dimensionUniqueName="[BASE_HIPO_PPTO]" displayFolder="" count="2" memberValueDatatype="5" unbalanced="0">
      <fieldsUsage count="2">
        <fieldUsage x="-1"/>
        <fieldUsage x="8"/>
      </fieldsUsage>
    </cacheHierarchy>
    <cacheHierarchy uniqueName="[BASE_HIPO_PPTO].[Metrica]" caption="Metrica" attribute="1" defaultMemberUniqueName="[BASE_HIPO_PPTO].[Metrica].[All]" allUniqueName="[BASE_HIPO_PPTO].[Metrica].[All]" dimensionUniqueName="[BASE_HIPO_PPTO]" displayFolder="" count="2" memberValueDatatype="130" unbalanced="0">
      <fieldsUsage count="2">
        <fieldUsage x="-1"/>
        <fieldUsage x="4"/>
      </fieldsUsage>
    </cacheHierarchy>
    <cacheHierarchy uniqueName="[BASE_HIPO_PPTO].[Periodo]" caption="Periodo" attribute="1" defaultMemberUniqueName="[BASE_HIPO_PPTO].[Periodo].[All]" allUniqueName="[BASE_HIPO_PPTO].[Periodo].[All]" dimensionUniqueName="[BASE_HIPO_PPTO]" displayFolder="" count="2" memberValueDatatype="130" unbalanced="0">
      <fieldsUsage count="2">
        <fieldUsage x="-1"/>
        <fieldUsage x="7"/>
      </fieldsUsage>
    </cacheHierarchy>
    <cacheHierarchy uniqueName="[BASE_HIPO_PPTO].[PRODUCTO]" caption="PRODUCTO" attribute="1" defaultMemberUniqueName="[BASE_HIPO_PPTO].[PRODUCTO].[All]" allUniqueName="[BASE_HIPO_PPTO].[PRODUCTO].[All]" dimensionUniqueName="[BASE_HIPO_PPTO]" displayFolder="" count="2" memberValueDatatype="130" unbalanced="0">
      <fieldsUsage count="2">
        <fieldUsage x="-1"/>
        <fieldUsage x="1"/>
      </fieldsUsage>
    </cacheHierarchy>
    <cacheHierarchy uniqueName="[BASE_HIPO_PPTO].[SEGMENTO_DESCRIP]" caption="SEGMENTO_DESCRIP" attribute="1" defaultMemberUniqueName="[BASE_HIPO_PPTO].[SEGMENTO_DESCRIP].[All]" allUniqueName="[BASE_HIPO_PPTO].[SEGMENTO_DESCRIP].[All]" dimensionUniqueName="[BASE_HIPO_PPTO]" displayFolder="" count="2" memberValueDatatype="130" unbalanced="0">
      <fieldsUsage count="2">
        <fieldUsage x="-1"/>
        <fieldUsage x="5"/>
      </fieldsUsage>
    </cacheHierarchy>
    <cacheHierarchy uniqueName="[BASE_HIPO_PPTO].[SITUACION]" caption="SITUACION" attribute="1" defaultMemberUniqueName="[BASE_HIPO_PPTO].[SITUACION].[All]" allUniqueName="[BASE_HIPO_PPTO].[SITUACION].[All]" dimensionUniqueName="[BASE_HIPO_PPTO]" displayFolder="" count="2" memberValueDatatype="130" unbalanced="0">
      <fieldsUsage count="2">
        <fieldUsage x="-1"/>
        <fieldUsage x="6"/>
      </fieldsUsage>
    </cacheHierarchy>
    <cacheHierarchy uniqueName="[BASE_HIPO_PPTO].[Sub Producto]" caption="Sub Producto" attribute="1" defaultMemberUniqueName="[BASE_HIPO_PPTO].[Sub Producto].[All]" allUniqueName="[BASE_HIPO_PPTO].[Sub Producto].[All]" dimensionUniqueName="[BASE_HIPO_PPTO]" displayFolder="" count="0" memberValueDatatype="130" unbalanced="0"/>
    <cacheHierarchy uniqueName="[BASE_HIPO_PPTO].[Tipo]" caption="Tipo" attribute="1" defaultMemberUniqueName="[BASE_HIPO_PPTO].[Tipo].[All]" allUniqueName="[BASE_HIPO_PPTO].[Tipo].[All]" dimensionUniqueName="[BASE_HIPO_PPTO]" displayFolder="" count="2" memberValueDatatype="130" unbalanced="0">
      <fieldsUsage count="2">
        <fieldUsage x="-1"/>
        <fieldUsage x="3"/>
      </fieldsUsage>
    </cacheHierarchy>
    <cacheHierarchy uniqueName="[BASE_HIPO_PPTO].[Tipo_Valor]" caption="Tipo_Valor" attribute="1" defaultMemberUniqueName="[BASE_HIPO_PPTO].[Tipo_Valor].[All]" allUniqueName="[BASE_HIPO_PPTO].[Tipo_Valor].[All]" dimensionUniqueName="[BASE_HIPO_PPTO]" displayFolder="" count="2" memberValueDatatype="130" unbalanced="0">
      <fieldsUsage count="2">
        <fieldUsage x="-1"/>
        <fieldUsage x="2"/>
      </fieldsUsage>
    </cacheHierarchy>
    <cacheHierarchy uniqueName="[Base_PPE].[Año]" caption="Año" attribute="1" defaultMemberUniqueName="[Base_PPE].[Año].[All]" allUniqueName="[Base_PPE].[Año].[All]" dimensionUniqueName="[Base_PPE]" displayFolder="" count="0" memberValueDatatype="20" unbalanced="0"/>
    <cacheHierarchy uniqueName="[Base_PPE].[FECHA]" caption="FECHA" attribute="1" time="1" defaultMemberUniqueName="[Base_PPE].[FECHA].[All]" allUniqueName="[Base_PPE].[FECHA].[All]" dimensionUniqueName="[Base_PPE]" displayFolder="" count="0" memberValueDatatype="7" unbalanced="0"/>
    <cacheHierarchy uniqueName="[Base_PPE].[Importe]" caption="Importe" attribute="1" defaultMemberUniqueName="[Base_PPE].[Importe].[All]" allUniqueName="[Base_PPE].[Importe].[All]" dimensionUniqueName="[Base_PPE]" displayFolder="" count="0" memberValueDatatype="5" unbalanced="0"/>
    <cacheHierarchy uniqueName="[Base_PPE].[Metrica]" caption="Metrica" attribute="1" defaultMemberUniqueName="[Base_PPE].[Metrica].[All]" allUniqueName="[Base_PPE].[Metrica].[All]" dimensionUniqueName="[Base_PPE]" displayFolder="" count="0" memberValueDatatype="130" unbalanced="0"/>
    <cacheHierarchy uniqueName="[Base_PPE].[Periodo]" caption="Periodo" attribute="1" defaultMemberUniqueName="[Base_PPE].[Periodo].[All]" allUniqueName="[Base_PPE].[Periodo].[All]" dimensionUniqueName="[Base_PPE]" displayFolder="" count="2" memberValueDatatype="130" unbalanced="0">
      <fieldsUsage count="2">
        <fieldUsage x="-1"/>
        <fieldUsage x="0"/>
      </fieldsUsage>
    </cacheHierarchy>
    <cacheHierarchy uniqueName="[Base_PPE].[PRODUCTO]" caption="PRODUCTO" attribute="1" defaultMemberUniqueName="[Base_PPE].[PRODUCTO].[All]" allUniqueName="[Base_PPE].[PRODUCTO].[All]" dimensionUniqueName="[Base_PPE]" displayFolder="" count="0" memberValueDatatype="130" unbalanced="0"/>
    <cacheHierarchy uniqueName="[Base_PPE].[SEGMENTO_DESCRIP]" caption="SEGMENTO_DESCRIP" attribute="1" defaultMemberUniqueName="[Base_PPE].[SEGMENTO_DESCRIP].[All]" allUniqueName="[Base_PPE].[SEGMENTO_DESCRIP].[All]" dimensionUniqueName="[Base_PPE]" displayFolder="" count="0" memberValueDatatype="130" unbalanced="0"/>
    <cacheHierarchy uniqueName="[Base_PPE].[SITUACION]" caption="SITUACION" attribute="1" defaultMemberUniqueName="[Base_PPE].[SITUACION].[All]" allUniqueName="[Base_PPE].[SITUACION].[All]" dimensionUniqueName="[Base_PPE]" displayFolder="" count="0" memberValueDatatype="130" unbalanced="0"/>
    <cacheHierarchy uniqueName="[Base_PPE].[Sub Producto]" caption="Sub Producto" attribute="1" defaultMemberUniqueName="[Base_PPE].[Sub Producto].[All]" allUniqueName="[Base_PPE].[Sub Producto].[All]" dimensionUniqueName="[Base_PPE]" displayFolder="" count="0" memberValueDatatype="130" unbalanced="0"/>
    <cacheHierarchy uniqueName="[Base_PPE].[Tipo]" caption="Tipo" attribute="1" defaultMemberUniqueName="[Base_PPE].[Tipo].[All]" allUniqueName="[Base_PPE].[Tipo].[All]" dimensionUniqueName="[Base_PPE]" displayFolder="" count="0" memberValueDatatype="130" unbalanced="0"/>
    <cacheHierarchy uniqueName="[Base_PPE].[Tipo_Valor]" caption="Tipo_Valor" attribute="1" defaultMemberUniqueName="[Base_PPE].[Tipo_Valor].[All]" allUniqueName="[Base_PPE].[Tipo_Valor].[All]" dimensionUniqueName="[Base_PPE]" displayFolder="" count="0" memberValueDatatype="130" unbalanced="0"/>
    <cacheHierarchy uniqueName="[Base_TC_PPTO].[Año]" caption="Año" attribute="1" defaultMemberUniqueName="[Base_TC_PPTO].[Año].[All]" allUniqueName="[Base_TC_PPTO].[Año].[All]" dimensionUniqueName="[Base_TC_PPTO]" displayFolder="" count="0" memberValueDatatype="20" unbalanced="0"/>
    <cacheHierarchy uniqueName="[Base_TC_PPTO].[FECHA]" caption="FECHA" attribute="1" time="1" defaultMemberUniqueName="[Base_TC_PPTO].[FECHA].[All]" allUniqueName="[Base_TC_PPTO].[FECHA].[All]" dimensionUniqueName="[Base_TC_PPTO]" displayFolder="" count="0" memberValueDatatype="7" unbalanced="0"/>
    <cacheHierarchy uniqueName="[Base_TC_PPTO].[Importe]" caption="Importe" attribute="1" defaultMemberUniqueName="[Base_TC_PPTO].[Importe].[All]" allUniqueName="[Base_TC_PPTO].[Importe].[All]" dimensionUniqueName="[Base_TC_PPTO]" displayFolder="" count="0" memberValueDatatype="5" unbalanced="0"/>
    <cacheHierarchy uniqueName="[Base_TC_PPTO].[Metrica]" caption="Metrica" attribute="1" defaultMemberUniqueName="[Base_TC_PPTO].[Metrica].[All]" allUniqueName="[Base_TC_PPTO].[Metrica].[All]" dimensionUniqueName="[Base_TC_PPTO]" displayFolder="" count="0" memberValueDatatype="130" unbalanced="0"/>
    <cacheHierarchy uniqueName="[Base_TC_PPTO].[Periodo]" caption="Periodo" attribute="1" defaultMemberUniqueName="[Base_TC_PPTO].[Periodo].[All]" allUniqueName="[Base_TC_PPTO].[Periodo].[All]" dimensionUniqueName="[Base_TC_PPTO]" displayFolder="" count="0" memberValueDatatype="130" unbalanced="0"/>
    <cacheHierarchy uniqueName="[Base_TC_PPTO].[PRODUCTO]" caption="PRODUCTO" attribute="1" defaultMemberUniqueName="[Base_TC_PPTO].[PRODUCTO].[All]" allUniqueName="[Base_TC_PPTO].[PRODUCTO].[All]" dimensionUniqueName="[Base_TC_PPTO]" displayFolder="" count="0" memberValueDatatype="130" unbalanced="0"/>
    <cacheHierarchy uniqueName="[Base_TC_PPTO].[SEGMENTO_DESCRIP]" caption="SEGMENTO_DESCRIP" attribute="1" defaultMemberUniqueName="[Base_TC_PPTO].[SEGMENTO_DESCRIP].[All]" allUniqueName="[Base_TC_PPTO].[SEGMENTO_DESCRIP].[All]" dimensionUniqueName="[Base_TC_PPTO]" displayFolder="" count="0" memberValueDatatype="130" unbalanced="0"/>
    <cacheHierarchy uniqueName="[Base_TC_PPTO].[Situacion]" caption="Situacion" attribute="1" defaultMemberUniqueName="[Base_TC_PPTO].[Situacion].[All]" allUniqueName="[Base_TC_PPTO].[Situacion].[All]" dimensionUniqueName="[Base_TC_PPTO]" displayFolder="" count="0" memberValueDatatype="130" unbalanced="0"/>
    <cacheHierarchy uniqueName="[Base_TC_PPTO].[Sub Producto]" caption="Sub Producto" attribute="1" defaultMemberUniqueName="[Base_TC_PPTO].[Sub Producto].[All]" allUniqueName="[Base_TC_PPTO].[Sub Producto].[All]" dimensionUniqueName="[Base_TC_PPTO]" displayFolder="" count="0" memberValueDatatype="130" unbalanced="0"/>
    <cacheHierarchy uniqueName="[Base_TC_PPTO].[Tipo]" caption="Tipo" attribute="1" defaultMemberUniqueName="[Base_TC_PPTO].[Tipo].[All]" allUniqueName="[Base_TC_PPTO].[Tipo].[All]" dimensionUniqueName="[Base_TC_PPTO]" displayFolder="" count="0" memberValueDatatype="130" unbalanced="0"/>
    <cacheHierarchy uniqueName="[Base_TC_PPTO].[Tipo_Valor]" caption="Tipo_Valor" attribute="1" defaultMemberUniqueName="[Base_TC_PPTO].[Tipo_Valor].[All]" allUniqueName="[Base_TC_PPTO].[Tipo_Valor].[All]" dimensionUniqueName="[Base_TC_PPTO]" displayFolder="" count="0" memberValueDatatype="130" unbalanced="0"/>
    <cacheHierarchy uniqueName="[BASE_VEH_PPTO].[FECHA]" caption="FECHA" attribute="1" time="1" defaultMemberUniqueName="[BASE_VEH_PPTO].[FECHA].[All]" allUniqueName="[BASE_VEH_PPTO].[FECHA].[All]" dimensionUniqueName="[BASE_VEH_PPTO]" displayFolder="" count="0" memberValueDatatype="7" unbalanced="0"/>
    <cacheHierarchy uniqueName="[BASE_VEH_PPTO].[Importe]" caption="Importe" attribute="1" defaultMemberUniqueName="[BASE_VEH_PPTO].[Importe].[All]" allUniqueName="[BASE_VEH_PPTO].[Importe].[All]" dimensionUniqueName="[BASE_VEH_PPTO]" displayFolder="" count="0" memberValueDatatype="5" unbalanced="0"/>
    <cacheHierarchy uniqueName="[BASE_VEH_PPTO].[Metrica]" caption="Metrica" attribute="1" defaultMemberUniqueName="[BASE_VEH_PPTO].[Metrica].[All]" allUniqueName="[BASE_VEH_PPTO].[Metrica].[All]" dimensionUniqueName="[BASE_VEH_PPTO]" displayFolder="" count="0" memberValueDatatype="130" unbalanced="0"/>
    <cacheHierarchy uniqueName="[BASE_VEH_PPTO].[Periodo]" caption="Periodo" attribute="1" defaultMemberUniqueName="[BASE_VEH_PPTO].[Periodo].[All]" allUniqueName="[BASE_VEH_PPTO].[Periodo].[All]" dimensionUniqueName="[BASE_VEH_PPTO]" displayFolder="" count="0" memberValueDatatype="130" unbalanced="0"/>
    <cacheHierarchy uniqueName="[BASE_VEH_PPTO].[PRODUCTO]" caption="PRODUCTO" attribute="1" defaultMemberUniqueName="[BASE_VEH_PPTO].[PRODUCTO].[All]" allUniqueName="[BASE_VEH_PPTO].[PRODUCTO].[All]" dimensionUniqueName="[BASE_VEH_PPTO]" displayFolder="" count="0" memberValueDatatype="130" unbalanced="0"/>
    <cacheHierarchy uniqueName="[BASE_VEH_PPTO].[SEGMENTO_DESCRIP]" caption="SEGMENTO_DESCRIP" attribute="1" defaultMemberUniqueName="[BASE_VEH_PPTO].[SEGMENTO_DESCRIP].[All]" allUniqueName="[BASE_VEH_PPTO].[SEGMENTO_DESCRIP].[All]" dimensionUniqueName="[BASE_VEH_PPTO]" displayFolder="" count="0" memberValueDatatype="130" unbalanced="0"/>
    <cacheHierarchy uniqueName="[BASE_VEH_PPTO].[SITUACION]" caption="SITUACION" attribute="1" defaultMemberUniqueName="[BASE_VEH_PPTO].[SITUACION].[All]" allUniqueName="[BASE_VEH_PPTO].[SITUACION].[All]" dimensionUniqueName="[BASE_VEH_PPTO]" displayFolder="" count="0" memberValueDatatype="130" unbalanced="0"/>
    <cacheHierarchy uniqueName="[BASE_VEH_PPTO].[Sub_Producto]" caption="Sub_Producto" attribute="1" defaultMemberUniqueName="[BASE_VEH_PPTO].[Sub_Producto].[All]" allUniqueName="[BASE_VEH_PPTO].[Sub_Producto].[All]" dimensionUniqueName="[BASE_VEH_PPTO]" displayFolder="" count="0" memberValueDatatype="130" unbalanced="0"/>
    <cacheHierarchy uniqueName="[BASE_VEH_PPTO].[Tipo]" caption="Tipo" attribute="1" defaultMemberUniqueName="[BASE_VEH_PPTO].[Tipo].[All]" allUniqueName="[BASE_VEH_PPTO].[Tipo].[All]" dimensionUniqueName="[BASE_VEH_PPTO]" displayFolder="" count="0" memberValueDatatype="130" unbalanced="0"/>
    <cacheHierarchy uniqueName="[BASE_VEH_PPTO].[Tipo_Valor]" caption="Tipo_Valor" attribute="1" defaultMemberUniqueName="[BASE_VEH_PPTO].[Tipo_Valor].[All]" allUniqueName="[BASE_VEH_PPTO].[Tipo_Valor].[All]" dimensionUniqueName="[BASE_VEH_PPTO]" displayFolder="" count="0" memberValueDatatype="130" unbalanced="0"/>
    <cacheHierarchy uniqueName="[DateTableTemplate_7a49a5e4-a98b-44e8-97e3-e7368ff3c7e3].[Año]" caption="Año" attribute="1" defaultMemberUniqueName="[DateTableTemplate_7a49a5e4-a98b-44e8-97e3-e7368ff3c7e3].[Año].[All]" allUniqueName="[DateTableTemplate_7a49a5e4-a98b-44e8-97e3-e7368ff3c7e3].[Año].[All]" dimensionUniqueName="[DateTableTemplate_7a49a5e4-a98b-44e8-97e3-e7368ff3c7e3]" displayFolder="" count="0" memberValueDatatype="20" unbalanced="0" hidden="1"/>
    <cacheHierarchy uniqueName="[DateTableTemplate_7a49a5e4-a98b-44e8-97e3-e7368ff3c7e3].[Date]" caption="Date" attribute="1" time="1" defaultMemberUniqueName="[DateTableTemplate_7a49a5e4-a98b-44e8-97e3-e7368ff3c7e3].[Date].[All]" allUniqueName="[DateTableTemplate_7a49a5e4-a98b-44e8-97e3-e7368ff3c7e3].[Date].[All]" dimensionUniqueName="[DateTableTemplate_7a49a5e4-a98b-44e8-97e3-e7368ff3c7e3]" displayFolder="" count="0" memberValueDatatype="7" unbalanced="0" hidden="1"/>
    <cacheHierarchy uniqueName="[DateTableTemplate_7a49a5e4-a98b-44e8-97e3-e7368ff3c7e3].[Día]" caption="Día" attribute="1" defaultMemberUniqueName="[DateTableTemplate_7a49a5e4-a98b-44e8-97e3-e7368ff3c7e3].[Día].[All]" allUniqueName="[DateTableTemplate_7a49a5e4-a98b-44e8-97e3-e7368ff3c7e3].[Día].[All]" dimensionUniqueName="[DateTableTemplate_7a49a5e4-a98b-44e8-97e3-e7368ff3c7e3]" displayFolder="" count="0" memberValueDatatype="20" unbalanced="0" hidden="1"/>
    <cacheHierarchy uniqueName="[DateTableTemplate_7a49a5e4-a98b-44e8-97e3-e7368ff3c7e3].[Jerarquía de fechas]" caption="Jerarquía de fechas" defaultMemberUniqueName="[DateTableTemplate_7a49a5e4-a98b-44e8-97e3-e7368ff3c7e3].[Jerarquía de fechas].[All]" allUniqueName="[DateTableTemplate_7a49a5e4-a98b-44e8-97e3-e7368ff3c7e3].[Jerarquía de fechas].[All]" dimensionUniqueName="[DateTableTemplate_7a49a5e4-a98b-44e8-97e3-e7368ff3c7e3]" displayFolder="" count="0" unbalanced="0" hidden="1"/>
    <cacheHierarchy uniqueName="[DateTableTemplate_7a49a5e4-a98b-44e8-97e3-e7368ff3c7e3].[Mes]" caption="Mes" attribute="1" defaultMemberUniqueName="[DateTableTemplate_7a49a5e4-a98b-44e8-97e3-e7368ff3c7e3].[Mes].[All]" allUniqueName="[DateTableTemplate_7a49a5e4-a98b-44e8-97e3-e7368ff3c7e3].[Mes].[All]" dimensionUniqueName="[DateTableTemplate_7a49a5e4-a98b-44e8-97e3-e7368ff3c7e3]" displayFolder="" count="0" memberValueDatatype="130" unbalanced="0" hidden="1"/>
    <cacheHierarchy uniqueName="[DateTableTemplate_7a49a5e4-a98b-44e8-97e3-e7368ff3c7e3].[NroMes]" caption="NroMes" attribute="1" defaultMemberUniqueName="[DateTableTemplate_7a49a5e4-a98b-44e8-97e3-e7368ff3c7e3].[NroMes].[All]" allUniqueName="[DateTableTemplate_7a49a5e4-a98b-44e8-97e3-e7368ff3c7e3].[NroMes].[All]" dimensionUniqueName="[DateTableTemplate_7a49a5e4-a98b-44e8-97e3-e7368ff3c7e3]" displayFolder="" count="0" memberValueDatatype="20" unbalanced="0" hidden="1"/>
    <cacheHierarchy uniqueName="[DateTableTemplate_7a49a5e4-a98b-44e8-97e3-e7368ff3c7e3].[NroTrimestre]" caption="NroTrimestre" attribute="1" defaultMemberUniqueName="[DateTableTemplate_7a49a5e4-a98b-44e8-97e3-e7368ff3c7e3].[NroTrimestre].[All]" allUniqueName="[DateTableTemplate_7a49a5e4-a98b-44e8-97e3-e7368ff3c7e3].[NroTrimestre].[All]" dimensionUniqueName="[DateTableTemplate_7a49a5e4-a98b-44e8-97e3-e7368ff3c7e3]" displayFolder="" count="0" memberValueDatatype="20" unbalanced="0" hidden="1"/>
    <cacheHierarchy uniqueName="[DateTableTemplate_7a49a5e4-a98b-44e8-97e3-e7368ff3c7e3].[Trimestre]" caption="Trimestre" attribute="1" defaultMemberUniqueName="[DateTableTemplate_7a49a5e4-a98b-44e8-97e3-e7368ff3c7e3].[Trimestre].[All]" allUniqueName="[DateTableTemplate_7a49a5e4-a98b-44e8-97e3-e7368ff3c7e3].[Trimestre].[All]" dimensionUniqueName="[DateTableTemplate_7a49a5e4-a98b-44e8-97e3-e7368ff3c7e3]" displayFolder="" count="0" memberValueDatatype="130" unbalanced="0" hidden="1"/>
    <cacheHierarchy uniqueName="[LocalDateTable_4d3d2595-d713-4fa0-af74-994f2248f3a7].[Año]" caption="Año" attribute="1" defaultMemberUniqueName="[LocalDateTable_4d3d2595-d713-4fa0-af74-994f2248f3a7].[Año].[All]" allUniqueName="[LocalDateTable_4d3d2595-d713-4fa0-af74-994f2248f3a7].[Año].[All]" dimensionUniqueName="[LocalDateTable_4d3d2595-d713-4fa0-af74-994f2248f3a7]" displayFolder="" count="0" memberValueDatatype="20" unbalanced="0" hidden="1"/>
    <cacheHierarchy uniqueName="[LocalDateTable_4d3d2595-d713-4fa0-af74-994f2248f3a7].[Date]" caption="Date" attribute="1" time="1" defaultMemberUniqueName="[LocalDateTable_4d3d2595-d713-4fa0-af74-994f2248f3a7].[Date].[All]" allUniqueName="[LocalDateTable_4d3d2595-d713-4fa0-af74-994f2248f3a7].[Date].[All]" dimensionUniqueName="[LocalDateTable_4d3d2595-d713-4fa0-af74-994f2248f3a7]" displayFolder="" count="0" memberValueDatatype="7" unbalanced="0" hidden="1"/>
    <cacheHierarchy uniqueName="[LocalDateTable_4d3d2595-d713-4fa0-af74-994f2248f3a7].[Día]" caption="Día" attribute="1" defaultMemberUniqueName="[LocalDateTable_4d3d2595-d713-4fa0-af74-994f2248f3a7].[Día].[All]" allUniqueName="[LocalDateTable_4d3d2595-d713-4fa0-af74-994f2248f3a7].[Día].[All]" dimensionUniqueName="[LocalDateTable_4d3d2595-d713-4fa0-af74-994f2248f3a7]" displayFolder="" count="0" memberValueDatatype="20" unbalanced="0" hidden="1"/>
    <cacheHierarchy uniqueName="[LocalDateTable_4d3d2595-d713-4fa0-af74-994f2248f3a7].[Jerarquía de fechas]" caption="Jerarquía de fechas" defaultMemberUniqueName="[LocalDateTable_4d3d2595-d713-4fa0-af74-994f2248f3a7].[Jerarquía de fechas].[All]" allUniqueName="[LocalDateTable_4d3d2595-d713-4fa0-af74-994f2248f3a7].[Jerarquía de fechas].[All]" dimensionUniqueName="[LocalDateTable_4d3d2595-d713-4fa0-af74-994f2248f3a7]" displayFolder="" count="0" unbalanced="0" hidden="1"/>
    <cacheHierarchy uniqueName="[LocalDateTable_4d3d2595-d713-4fa0-af74-994f2248f3a7].[Mes]" caption="Mes" attribute="1" defaultMemberUniqueName="[LocalDateTable_4d3d2595-d713-4fa0-af74-994f2248f3a7].[Mes].[All]" allUniqueName="[LocalDateTable_4d3d2595-d713-4fa0-af74-994f2248f3a7].[Mes].[All]" dimensionUniqueName="[LocalDateTable_4d3d2595-d713-4fa0-af74-994f2248f3a7]" displayFolder="" count="0" memberValueDatatype="130" unbalanced="0" hidden="1"/>
    <cacheHierarchy uniqueName="[LocalDateTable_4d3d2595-d713-4fa0-af74-994f2248f3a7].[NroMes]" caption="NroMes" attribute="1" defaultMemberUniqueName="[LocalDateTable_4d3d2595-d713-4fa0-af74-994f2248f3a7].[NroMes].[All]" allUniqueName="[LocalDateTable_4d3d2595-d713-4fa0-af74-994f2248f3a7].[NroMes].[All]" dimensionUniqueName="[LocalDateTable_4d3d2595-d713-4fa0-af74-994f2248f3a7]" displayFolder="" count="0" memberValueDatatype="20" unbalanced="0" hidden="1"/>
    <cacheHierarchy uniqueName="[LocalDateTable_4d3d2595-d713-4fa0-af74-994f2248f3a7].[NroTrimestre]" caption="NroTrimestre" attribute="1" defaultMemberUniqueName="[LocalDateTable_4d3d2595-d713-4fa0-af74-994f2248f3a7].[NroTrimestre].[All]" allUniqueName="[LocalDateTable_4d3d2595-d713-4fa0-af74-994f2248f3a7].[NroTrimestre].[All]" dimensionUniqueName="[LocalDateTable_4d3d2595-d713-4fa0-af74-994f2248f3a7]" displayFolder="" count="0" memberValueDatatype="20" unbalanced="0" hidden="1"/>
    <cacheHierarchy uniqueName="[LocalDateTable_4d3d2595-d713-4fa0-af74-994f2248f3a7].[Trimestre]" caption="Trimestre" attribute="1" defaultMemberUniqueName="[LocalDateTable_4d3d2595-d713-4fa0-af74-994f2248f3a7].[Trimestre].[All]" allUniqueName="[LocalDateTable_4d3d2595-d713-4fa0-af74-994f2248f3a7].[Trimestre].[All]" dimensionUniqueName="[LocalDateTable_4d3d2595-d713-4fa0-af74-994f2248f3a7]" displayFolder="" count="0" memberValueDatatype="130" unbalanced="0" hidden="1"/>
    <cacheHierarchy uniqueName="[LocalDateTable_5bc15ee3-9fa5-490a-99b1-9e3d00fdb792].[Año]" caption="Año" attribute="1" defaultMemberUniqueName="[LocalDateTable_5bc15ee3-9fa5-490a-99b1-9e3d00fdb792].[Año].[All]" allUniqueName="[LocalDateTable_5bc15ee3-9fa5-490a-99b1-9e3d00fdb792].[Año].[All]" dimensionUniqueName="[LocalDateTable_5bc15ee3-9fa5-490a-99b1-9e3d00fdb792]" displayFolder="" count="0" memberValueDatatype="20" unbalanced="0" hidden="1"/>
    <cacheHierarchy uniqueName="[LocalDateTable_5bc15ee3-9fa5-490a-99b1-9e3d00fdb792].[Date]" caption="Date" attribute="1" time="1" defaultMemberUniqueName="[LocalDateTable_5bc15ee3-9fa5-490a-99b1-9e3d00fdb792].[Date].[All]" allUniqueName="[LocalDateTable_5bc15ee3-9fa5-490a-99b1-9e3d00fdb792].[Date].[All]" dimensionUniqueName="[LocalDateTable_5bc15ee3-9fa5-490a-99b1-9e3d00fdb792]" displayFolder="" count="0" memberValueDatatype="7" unbalanced="0" hidden="1"/>
    <cacheHierarchy uniqueName="[LocalDateTable_5bc15ee3-9fa5-490a-99b1-9e3d00fdb792].[Día]" caption="Día" attribute="1" defaultMemberUniqueName="[LocalDateTable_5bc15ee3-9fa5-490a-99b1-9e3d00fdb792].[Día].[All]" allUniqueName="[LocalDateTable_5bc15ee3-9fa5-490a-99b1-9e3d00fdb792].[Día].[All]" dimensionUniqueName="[LocalDateTable_5bc15ee3-9fa5-490a-99b1-9e3d00fdb792]" displayFolder="" count="0" memberValueDatatype="20" unbalanced="0" hidden="1"/>
    <cacheHierarchy uniqueName="[LocalDateTable_5bc15ee3-9fa5-490a-99b1-9e3d00fdb792].[Jerarquía de fechas]" caption="Jerarquía de fechas" defaultMemberUniqueName="[LocalDateTable_5bc15ee3-9fa5-490a-99b1-9e3d00fdb792].[Jerarquía de fechas].[All]" allUniqueName="[LocalDateTable_5bc15ee3-9fa5-490a-99b1-9e3d00fdb792].[Jerarquía de fechas].[All]" dimensionUniqueName="[LocalDateTable_5bc15ee3-9fa5-490a-99b1-9e3d00fdb792]" displayFolder="" count="0" unbalanced="0" hidden="1"/>
    <cacheHierarchy uniqueName="[LocalDateTable_5bc15ee3-9fa5-490a-99b1-9e3d00fdb792].[Mes]" caption="Mes" attribute="1" defaultMemberUniqueName="[LocalDateTable_5bc15ee3-9fa5-490a-99b1-9e3d00fdb792].[Mes].[All]" allUniqueName="[LocalDateTable_5bc15ee3-9fa5-490a-99b1-9e3d00fdb792].[Mes].[All]" dimensionUniqueName="[LocalDateTable_5bc15ee3-9fa5-490a-99b1-9e3d00fdb792]" displayFolder="" count="0" memberValueDatatype="130" unbalanced="0" hidden="1"/>
    <cacheHierarchy uniqueName="[LocalDateTable_5bc15ee3-9fa5-490a-99b1-9e3d00fdb792].[NroMes]" caption="NroMes" attribute="1" defaultMemberUniqueName="[LocalDateTable_5bc15ee3-9fa5-490a-99b1-9e3d00fdb792].[NroMes].[All]" allUniqueName="[LocalDateTable_5bc15ee3-9fa5-490a-99b1-9e3d00fdb792].[NroMes].[All]" dimensionUniqueName="[LocalDateTable_5bc15ee3-9fa5-490a-99b1-9e3d00fdb792]" displayFolder="" count="0" memberValueDatatype="20" unbalanced="0" hidden="1"/>
    <cacheHierarchy uniqueName="[LocalDateTable_5bc15ee3-9fa5-490a-99b1-9e3d00fdb792].[NroTrimestre]" caption="NroTrimestre" attribute="1" defaultMemberUniqueName="[LocalDateTable_5bc15ee3-9fa5-490a-99b1-9e3d00fdb792].[NroTrimestre].[All]" allUniqueName="[LocalDateTable_5bc15ee3-9fa5-490a-99b1-9e3d00fdb792].[NroTrimestre].[All]" dimensionUniqueName="[LocalDateTable_5bc15ee3-9fa5-490a-99b1-9e3d00fdb792]" displayFolder="" count="0" memberValueDatatype="20" unbalanced="0" hidden="1"/>
    <cacheHierarchy uniqueName="[LocalDateTable_5bc15ee3-9fa5-490a-99b1-9e3d00fdb792].[Trimestre]" caption="Trimestre" attribute="1" defaultMemberUniqueName="[LocalDateTable_5bc15ee3-9fa5-490a-99b1-9e3d00fdb792].[Trimestre].[All]" allUniqueName="[LocalDateTable_5bc15ee3-9fa5-490a-99b1-9e3d00fdb792].[Trimestre].[All]" dimensionUniqueName="[LocalDateTable_5bc15ee3-9fa5-490a-99b1-9e3d00fdb792]" displayFolder="" count="0" memberValueDatatype="130" unbalanced="0" hidden="1"/>
    <cacheHierarchy uniqueName="[LocalDateTable_5bf10396-4aa2-4aba-9a59-6e28c1786d8e].[Año]" caption="Año" attribute="1" defaultMemberUniqueName="[LocalDateTable_5bf10396-4aa2-4aba-9a59-6e28c1786d8e].[Año].[All]" allUniqueName="[LocalDateTable_5bf10396-4aa2-4aba-9a59-6e28c1786d8e].[Año].[All]" dimensionUniqueName="[LocalDateTable_5bf10396-4aa2-4aba-9a59-6e28c1786d8e]" displayFolder="" count="0" memberValueDatatype="20" unbalanced="0" hidden="1"/>
    <cacheHierarchy uniqueName="[LocalDateTable_5bf10396-4aa2-4aba-9a59-6e28c1786d8e].[Date]" caption="Date" attribute="1" time="1" defaultMemberUniqueName="[LocalDateTable_5bf10396-4aa2-4aba-9a59-6e28c1786d8e].[Date].[All]" allUniqueName="[LocalDateTable_5bf10396-4aa2-4aba-9a59-6e28c1786d8e].[Date].[All]" dimensionUniqueName="[LocalDateTable_5bf10396-4aa2-4aba-9a59-6e28c1786d8e]" displayFolder="" count="0" memberValueDatatype="7" unbalanced="0" hidden="1"/>
    <cacheHierarchy uniqueName="[LocalDateTable_5bf10396-4aa2-4aba-9a59-6e28c1786d8e].[Día]" caption="Día" attribute="1" defaultMemberUniqueName="[LocalDateTable_5bf10396-4aa2-4aba-9a59-6e28c1786d8e].[Día].[All]" allUniqueName="[LocalDateTable_5bf10396-4aa2-4aba-9a59-6e28c1786d8e].[Día].[All]" dimensionUniqueName="[LocalDateTable_5bf10396-4aa2-4aba-9a59-6e28c1786d8e]" displayFolder="" count="0" memberValueDatatype="20" unbalanced="0" hidden="1"/>
    <cacheHierarchy uniqueName="[LocalDateTable_5bf10396-4aa2-4aba-9a59-6e28c1786d8e].[Jerarquía de fechas]" caption="Jerarquía de fechas" defaultMemberUniqueName="[LocalDateTable_5bf10396-4aa2-4aba-9a59-6e28c1786d8e].[Jerarquía de fechas].[All]" allUniqueName="[LocalDateTable_5bf10396-4aa2-4aba-9a59-6e28c1786d8e].[Jerarquía de fechas].[All]" dimensionUniqueName="[LocalDateTable_5bf10396-4aa2-4aba-9a59-6e28c1786d8e]" displayFolder="" count="0" unbalanced="0" hidden="1"/>
    <cacheHierarchy uniqueName="[LocalDateTable_5bf10396-4aa2-4aba-9a59-6e28c1786d8e].[Mes]" caption="Mes" attribute="1" defaultMemberUniqueName="[LocalDateTable_5bf10396-4aa2-4aba-9a59-6e28c1786d8e].[Mes].[All]" allUniqueName="[LocalDateTable_5bf10396-4aa2-4aba-9a59-6e28c1786d8e].[Mes].[All]" dimensionUniqueName="[LocalDateTable_5bf10396-4aa2-4aba-9a59-6e28c1786d8e]" displayFolder="" count="0" memberValueDatatype="130" unbalanced="0" hidden="1"/>
    <cacheHierarchy uniqueName="[LocalDateTable_5bf10396-4aa2-4aba-9a59-6e28c1786d8e].[NroMes]" caption="NroMes" attribute="1" defaultMemberUniqueName="[LocalDateTable_5bf10396-4aa2-4aba-9a59-6e28c1786d8e].[NroMes].[All]" allUniqueName="[LocalDateTable_5bf10396-4aa2-4aba-9a59-6e28c1786d8e].[NroMes].[All]" dimensionUniqueName="[LocalDateTable_5bf10396-4aa2-4aba-9a59-6e28c1786d8e]" displayFolder="" count="0" memberValueDatatype="20" unbalanced="0" hidden="1"/>
    <cacheHierarchy uniqueName="[LocalDateTable_5bf10396-4aa2-4aba-9a59-6e28c1786d8e].[NroTrimestre]" caption="NroTrimestre" attribute="1" defaultMemberUniqueName="[LocalDateTable_5bf10396-4aa2-4aba-9a59-6e28c1786d8e].[NroTrimestre].[All]" allUniqueName="[LocalDateTable_5bf10396-4aa2-4aba-9a59-6e28c1786d8e].[NroTrimestre].[All]" dimensionUniqueName="[LocalDateTable_5bf10396-4aa2-4aba-9a59-6e28c1786d8e]" displayFolder="" count="0" memberValueDatatype="20" unbalanced="0" hidden="1"/>
    <cacheHierarchy uniqueName="[LocalDateTable_5bf10396-4aa2-4aba-9a59-6e28c1786d8e].[Trimestre]" caption="Trimestre" attribute="1" defaultMemberUniqueName="[LocalDateTable_5bf10396-4aa2-4aba-9a59-6e28c1786d8e].[Trimestre].[All]" allUniqueName="[LocalDateTable_5bf10396-4aa2-4aba-9a59-6e28c1786d8e].[Trimestre].[All]" dimensionUniqueName="[LocalDateTable_5bf10396-4aa2-4aba-9a59-6e28c1786d8e]" displayFolder="" count="0" memberValueDatatype="130" unbalanced="0" hidden="1"/>
    <cacheHierarchy uniqueName="[LocalDateTable_db8de294-182a-4f1e-965c-2bb93fe4c43a].[Año]" caption="Año" attribute="1" defaultMemberUniqueName="[LocalDateTable_db8de294-182a-4f1e-965c-2bb93fe4c43a].[Año].[All]" allUniqueName="[LocalDateTable_db8de294-182a-4f1e-965c-2bb93fe4c43a].[Año].[All]" dimensionUniqueName="[LocalDateTable_db8de294-182a-4f1e-965c-2bb93fe4c43a]" displayFolder="" count="0" memberValueDatatype="20" unbalanced="0" hidden="1"/>
    <cacheHierarchy uniqueName="[LocalDateTable_db8de294-182a-4f1e-965c-2bb93fe4c43a].[Date]" caption="Date" attribute="1" time="1" defaultMemberUniqueName="[LocalDateTable_db8de294-182a-4f1e-965c-2bb93fe4c43a].[Date].[All]" allUniqueName="[LocalDateTable_db8de294-182a-4f1e-965c-2bb93fe4c43a].[Date].[All]" dimensionUniqueName="[LocalDateTable_db8de294-182a-4f1e-965c-2bb93fe4c43a]" displayFolder="" count="0" memberValueDatatype="7" unbalanced="0" hidden="1"/>
    <cacheHierarchy uniqueName="[LocalDateTable_db8de294-182a-4f1e-965c-2bb93fe4c43a].[Día]" caption="Día" attribute="1" defaultMemberUniqueName="[LocalDateTable_db8de294-182a-4f1e-965c-2bb93fe4c43a].[Día].[All]" allUniqueName="[LocalDateTable_db8de294-182a-4f1e-965c-2bb93fe4c43a].[Día].[All]" dimensionUniqueName="[LocalDateTable_db8de294-182a-4f1e-965c-2bb93fe4c43a]" displayFolder="" count="0" memberValueDatatype="20" unbalanced="0" hidden="1"/>
    <cacheHierarchy uniqueName="[LocalDateTable_db8de294-182a-4f1e-965c-2bb93fe4c43a].[Jerarquía de fechas]" caption="Jerarquía de fechas" defaultMemberUniqueName="[LocalDateTable_db8de294-182a-4f1e-965c-2bb93fe4c43a].[Jerarquía de fechas].[All]" allUniqueName="[LocalDateTable_db8de294-182a-4f1e-965c-2bb93fe4c43a].[Jerarquía de fechas].[All]" dimensionUniqueName="[LocalDateTable_db8de294-182a-4f1e-965c-2bb93fe4c43a]" displayFolder="" count="0" unbalanced="0" hidden="1"/>
    <cacheHierarchy uniqueName="[LocalDateTable_db8de294-182a-4f1e-965c-2bb93fe4c43a].[Mes]" caption="Mes" attribute="1" defaultMemberUniqueName="[LocalDateTable_db8de294-182a-4f1e-965c-2bb93fe4c43a].[Mes].[All]" allUniqueName="[LocalDateTable_db8de294-182a-4f1e-965c-2bb93fe4c43a].[Mes].[All]" dimensionUniqueName="[LocalDateTable_db8de294-182a-4f1e-965c-2bb93fe4c43a]" displayFolder="" count="0" memberValueDatatype="130" unbalanced="0" hidden="1"/>
    <cacheHierarchy uniqueName="[LocalDateTable_db8de294-182a-4f1e-965c-2bb93fe4c43a].[NroMes]" caption="NroMes" attribute="1" defaultMemberUniqueName="[LocalDateTable_db8de294-182a-4f1e-965c-2bb93fe4c43a].[NroMes].[All]" allUniqueName="[LocalDateTable_db8de294-182a-4f1e-965c-2bb93fe4c43a].[NroMes].[All]" dimensionUniqueName="[LocalDateTable_db8de294-182a-4f1e-965c-2bb93fe4c43a]" displayFolder="" count="0" memberValueDatatype="20" unbalanced="0" hidden="1"/>
    <cacheHierarchy uniqueName="[LocalDateTable_db8de294-182a-4f1e-965c-2bb93fe4c43a].[NroTrimestre]" caption="NroTrimestre" attribute="1" defaultMemberUniqueName="[LocalDateTable_db8de294-182a-4f1e-965c-2bb93fe4c43a].[NroTrimestre].[All]" allUniqueName="[LocalDateTable_db8de294-182a-4f1e-965c-2bb93fe4c43a].[NroTrimestre].[All]" dimensionUniqueName="[LocalDateTable_db8de294-182a-4f1e-965c-2bb93fe4c43a]" displayFolder="" count="0" memberValueDatatype="20" unbalanced="0" hidden="1"/>
    <cacheHierarchy uniqueName="[LocalDateTable_db8de294-182a-4f1e-965c-2bb93fe4c43a].[Trimestre]" caption="Trimestre" attribute="1" defaultMemberUniqueName="[LocalDateTable_db8de294-182a-4f1e-965c-2bb93fe4c43a].[Trimestre].[All]" allUniqueName="[LocalDateTable_db8de294-182a-4f1e-965c-2bb93fe4c43a].[Trimestre].[All]" dimensionUniqueName="[LocalDateTable_db8de294-182a-4f1e-965c-2bb93fe4c43a]" displayFolder="" count="0" memberValueDatatype="130" unbalanced="0" hidden="1"/>
    <cacheHierarchy uniqueName="[LocalDateTable_e890a8dc-46ae-44e0-9138-bb3c4335c3ce].[Año]" caption="Año" attribute="1" defaultMemberUniqueName="[LocalDateTable_e890a8dc-46ae-44e0-9138-bb3c4335c3ce].[Año].[All]" allUniqueName="[LocalDateTable_e890a8dc-46ae-44e0-9138-bb3c4335c3ce].[Año].[All]" dimensionUniqueName="[LocalDateTable_e890a8dc-46ae-44e0-9138-bb3c4335c3ce]" displayFolder="" count="0" memberValueDatatype="20" unbalanced="0" hidden="1"/>
    <cacheHierarchy uniqueName="[LocalDateTable_e890a8dc-46ae-44e0-9138-bb3c4335c3ce].[Date]" caption="Date" attribute="1" time="1" defaultMemberUniqueName="[LocalDateTable_e890a8dc-46ae-44e0-9138-bb3c4335c3ce].[Date].[All]" allUniqueName="[LocalDateTable_e890a8dc-46ae-44e0-9138-bb3c4335c3ce].[Date].[All]" dimensionUniqueName="[LocalDateTable_e890a8dc-46ae-44e0-9138-bb3c4335c3ce]" displayFolder="" count="0" memberValueDatatype="7" unbalanced="0" hidden="1"/>
    <cacheHierarchy uniqueName="[LocalDateTable_e890a8dc-46ae-44e0-9138-bb3c4335c3ce].[Día]" caption="Día" attribute="1" defaultMemberUniqueName="[LocalDateTable_e890a8dc-46ae-44e0-9138-bb3c4335c3ce].[Día].[All]" allUniqueName="[LocalDateTable_e890a8dc-46ae-44e0-9138-bb3c4335c3ce].[Día].[All]" dimensionUniqueName="[LocalDateTable_e890a8dc-46ae-44e0-9138-bb3c4335c3ce]" displayFolder="" count="0" memberValueDatatype="20" unbalanced="0" hidden="1"/>
    <cacheHierarchy uniqueName="[LocalDateTable_e890a8dc-46ae-44e0-9138-bb3c4335c3ce].[Jerarquía de fechas]" caption="Jerarquía de fechas" defaultMemberUniqueName="[LocalDateTable_e890a8dc-46ae-44e0-9138-bb3c4335c3ce].[Jerarquía de fechas].[All]" allUniqueName="[LocalDateTable_e890a8dc-46ae-44e0-9138-bb3c4335c3ce].[Jerarquía de fechas].[All]" dimensionUniqueName="[LocalDateTable_e890a8dc-46ae-44e0-9138-bb3c4335c3ce]" displayFolder="" count="0" unbalanced="0" hidden="1"/>
    <cacheHierarchy uniqueName="[LocalDateTable_e890a8dc-46ae-44e0-9138-bb3c4335c3ce].[Mes]" caption="Mes" attribute="1" defaultMemberUniqueName="[LocalDateTable_e890a8dc-46ae-44e0-9138-bb3c4335c3ce].[Mes].[All]" allUniqueName="[LocalDateTable_e890a8dc-46ae-44e0-9138-bb3c4335c3ce].[Mes].[All]" dimensionUniqueName="[LocalDateTable_e890a8dc-46ae-44e0-9138-bb3c4335c3ce]" displayFolder="" count="0" memberValueDatatype="130" unbalanced="0" hidden="1"/>
    <cacheHierarchy uniqueName="[LocalDateTable_e890a8dc-46ae-44e0-9138-bb3c4335c3ce].[NroMes]" caption="NroMes" attribute="1" defaultMemberUniqueName="[LocalDateTable_e890a8dc-46ae-44e0-9138-bb3c4335c3ce].[NroMes].[All]" allUniqueName="[LocalDateTable_e890a8dc-46ae-44e0-9138-bb3c4335c3ce].[NroMes].[All]" dimensionUniqueName="[LocalDateTable_e890a8dc-46ae-44e0-9138-bb3c4335c3ce]" displayFolder="" count="0" memberValueDatatype="20" unbalanced="0" hidden="1"/>
    <cacheHierarchy uniqueName="[LocalDateTable_e890a8dc-46ae-44e0-9138-bb3c4335c3ce].[NroTrimestre]" caption="NroTrimestre" attribute="1" defaultMemberUniqueName="[LocalDateTable_e890a8dc-46ae-44e0-9138-bb3c4335c3ce].[NroTrimestre].[All]" allUniqueName="[LocalDateTable_e890a8dc-46ae-44e0-9138-bb3c4335c3ce].[NroTrimestre].[All]" dimensionUniqueName="[LocalDateTable_e890a8dc-46ae-44e0-9138-bb3c4335c3ce]" displayFolder="" count="0" memberValueDatatype="20" unbalanced="0" hidden="1"/>
    <cacheHierarchy uniqueName="[LocalDateTable_e890a8dc-46ae-44e0-9138-bb3c4335c3ce].[Trimestre]" caption="Trimestre" attribute="1" defaultMemberUniqueName="[LocalDateTable_e890a8dc-46ae-44e0-9138-bb3c4335c3ce].[Trimestre].[All]" allUniqueName="[LocalDateTable_e890a8dc-46ae-44e0-9138-bb3c4335c3ce].[Trimestre].[All]" dimensionUniqueName="[LocalDateTable_e890a8dc-46ae-44e0-9138-bb3c4335c3ce]" displayFolder="" count="0" memberValueDatatype="130" unbalanced="0" hidden="1"/>
    <cacheHierarchy uniqueName="[Measures].[__Default measure]" caption="__Default measure" measure="1" displayFolder="" count="0" hidden="1"/>
    <cacheHierarchy uniqueName="Unsupported0" caption="FECHA" measure="1" count="0">
      <extLst>
        <ext xmlns:xxpim="http://schemas.microsoft.com/office/spreadsheetml/2020/pivotNov2020" uri="{7ABAD63E-2A86-4513-9825-C419ED9F8A65}">
          <xxpim:ignorableAfterVersion version="7"/>
        </ext>
      </extLst>
    </cacheHierarchy>
  </cacheHierarchies>
  <kpis count="0"/>
  <dimensions count="6">
    <dimension name="BASE_CONVE_PPTO" uniqueName="[BASE_CONVE_PPTO]" caption="BASE_CONVE_PPTO"/>
    <dimension name="BASE_HIPO_PPTO" uniqueName="[BASE_HIPO_PPTO]" caption="BASE_HIPO_PPTO"/>
    <dimension name="Base_PPE" uniqueName="[Base_PPE]" caption="Base_PPE"/>
    <dimension name="Base_TC_PPTO" uniqueName="[Base_TC_PPTO]" caption="Base_TC_PPTO"/>
    <dimension name="BASE_VEH_PPTO" uniqueName="[BASE_VEH_PPTO]" caption="BASE_VEH_PPTO"/>
    <dimension measure="1" name="Measures" uniqueName="[Measures]" caption="Measures"/>
  </dimensions>
  <measureGroups count="11">
    <measureGroup name="BASE_CONVE_PPTO" caption="BASE_CONVE_PPTO"/>
    <measureGroup name="BASE_HIPO_PPTO" caption="BASE_HIPO_PPTO"/>
    <measureGroup name="Base_PPE" caption="Base_PPE"/>
    <measureGroup name="Base_TC_PPTO" caption="Base_TC_PPTO"/>
    <measureGroup name="BASE_VEH_PPTO" caption="BASE_VEH_PPTO"/>
    <measureGroup name="DateTableTemplate_7a49a5e4-a98b-44e8-97e3-e7368ff3c7e3" caption="DateTableTemplate_7a49a5e4-a98b-44e8-97e3-e7368ff3c7e3"/>
    <measureGroup name="LocalDateTable_4d3d2595-d713-4fa0-af74-994f2248f3a7" caption="LocalDateTable_4d3d2595-d713-4fa0-af74-994f2248f3a7"/>
    <measureGroup name="LocalDateTable_5bc15ee3-9fa5-490a-99b1-9e3d00fdb792" caption="LocalDateTable_5bc15ee3-9fa5-490a-99b1-9e3d00fdb792"/>
    <measureGroup name="LocalDateTable_5bf10396-4aa2-4aba-9a59-6e28c1786d8e" caption="LocalDateTable_5bf10396-4aa2-4aba-9a59-6e28c1786d8e"/>
    <measureGroup name="LocalDateTable_db8de294-182a-4f1e-965c-2bb93fe4c43a" caption="LocalDateTable_db8de294-182a-4f1e-965c-2bb93fe4c43a"/>
    <measureGroup name="LocalDateTable_e890a8dc-46ae-44e0-9138-bb3c4335c3ce" caption="LocalDateTable_e890a8dc-46ae-44e0-9138-bb3c4335c3ce"/>
  </measureGroups>
  <maps count="5">
    <map measureGroup="0" dimension="0"/>
    <map measureGroup="1" dimension="1"/>
    <map measureGroup="2" dimension="2"/>
    <map measureGroup="3" dimension="3"/>
    <map measureGroup="4" dimension="4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1B68C22-D2B0-490D-A8C4-0EB85CF946A2}" name="BasesPerformance" cacheId="10" applyNumberFormats="0" applyBorderFormats="0" applyFontFormats="0" applyPatternFormats="0" applyAlignmentFormats="0" applyWidthHeightFormats="1" dataCaption="Valores" updatedVersion="8" minRefreshableVersion="3" subtotalHiddenItems="1" rowGrandTotals="0" colGrandTotals="0" itemPrintTitles="1" createdVersion="8" indent="0" outline="1" outlineData="1" multipleFieldFilters="0" fieldListSortAscending="1">
  <location ref="A5:AQ133" firstHeaderRow="1" firstDataRow="2" firstDataCol="1" rowPageCount="2" colPageCount="1"/>
  <pivotFields count="8">
    <pivotField axis="axisCol" allDrilled="1" showAll="0" dataSourceSort="1" defaultAttributeDrillState="1">
      <items count="49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t="default"/>
      </items>
    </pivotField>
    <pivotField axis="axisRow" allDrilled="1" showAll="0" defaultAttributeDrillState="1">
      <items count="11">
        <item s="1" x="8"/>
        <item s="1" x="9"/>
        <item s="1" x="4"/>
        <item s="1" x="1"/>
        <item s="1" x="2"/>
        <item s="1" x="6"/>
        <item s="1" x="5"/>
        <item s="1" x="3"/>
        <item s="1" x="0"/>
        <item s="1" x="7"/>
        <item t="default"/>
      </items>
    </pivotField>
    <pivotField axis="axisRow" allDrilled="1" showAll="0" defaultAttributeDrillState="1">
      <items count="5">
        <item x="3"/>
        <item x="1"/>
        <item x="0"/>
        <item x="2"/>
        <item t="default"/>
      </items>
    </pivotField>
    <pivotField axis="axisRow" allDrilled="1" showAll="0" defaultAttributeDrillState="1">
      <items count="16">
        <item x="3"/>
        <item x="1"/>
        <item x="2"/>
        <item x="8"/>
        <item x="4"/>
        <item x="13"/>
        <item x="5"/>
        <item x="6"/>
        <item x="7"/>
        <item x="0"/>
        <item x="10"/>
        <item x="11"/>
        <item x="12"/>
        <item x="9"/>
        <item x="14"/>
        <item t="default"/>
      </items>
    </pivotField>
    <pivotField allDrilled="1" showAll="0" dataSourceSort="1" defaultAttributeDrillState="1"/>
    <pivotField axis="axisPage" allDrilled="1" showAll="0" dataSourceSort="1" defaultAttributeDrillState="1">
      <items count="1">
        <item t="default"/>
      </items>
    </pivotField>
    <pivotField axis="axisPage" allDrilled="1" showAll="0" dataSourceSort="1" defaultAttributeDrillState="1">
      <items count="1">
        <item t="default"/>
      </items>
    </pivotField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3">
    <field x="1"/>
    <field x="2"/>
    <field x="3"/>
  </rowFields>
  <rowItems count="127">
    <i>
      <x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>
      <x v="1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>
      <x v="2"/>
    </i>
    <i r="1">
      <x/>
    </i>
    <i r="2">
      <x/>
    </i>
    <i r="2">
      <x v="2"/>
    </i>
    <i r="2">
      <x v="3"/>
    </i>
    <i r="1">
      <x v="1"/>
    </i>
    <i r="2">
      <x/>
    </i>
    <i r="2">
      <x v="2"/>
    </i>
    <i r="2">
      <x v="3"/>
    </i>
    <i r="1">
      <x v="2"/>
    </i>
    <i r="2">
      <x/>
    </i>
    <i r="2">
      <x v="2"/>
    </i>
    <i r="2">
      <x v="3"/>
    </i>
    <i>
      <x v="3"/>
    </i>
    <i r="1">
      <x/>
    </i>
    <i r="2">
      <x/>
    </i>
    <i r="2">
      <x v="1"/>
    </i>
    <i r="2">
      <x v="2"/>
    </i>
    <i r="1">
      <x v="1"/>
    </i>
    <i r="2">
      <x/>
    </i>
    <i r="2">
      <x v="1"/>
    </i>
    <i r="2">
      <x v="2"/>
    </i>
    <i r="1">
      <x v="2"/>
    </i>
    <i r="2">
      <x/>
    </i>
    <i r="2">
      <x v="1"/>
    </i>
    <i r="2">
      <x v="2"/>
    </i>
    <i r="1">
      <x v="3"/>
    </i>
    <i r="2">
      <x/>
    </i>
    <i r="2">
      <x v="1"/>
    </i>
    <i r="2">
      <x v="2"/>
    </i>
    <i>
      <x v="4"/>
    </i>
    <i r="1">
      <x/>
    </i>
    <i r="2">
      <x v="4"/>
    </i>
    <i r="1">
      <x v="1"/>
    </i>
    <i r="2">
      <x v="4"/>
    </i>
    <i r="1">
      <x v="2"/>
    </i>
    <i r="2">
      <x v="4"/>
    </i>
    <i>
      <x v="5"/>
    </i>
    <i r="1">
      <x/>
    </i>
    <i r="2">
      <x v="5"/>
    </i>
    <i r="1">
      <x v="1"/>
    </i>
    <i r="2">
      <x v="5"/>
    </i>
    <i r="1">
      <x v="2"/>
    </i>
    <i r="2">
      <x v="5"/>
    </i>
    <i>
      <x v="6"/>
    </i>
    <i r="1">
      <x/>
    </i>
    <i r="2">
      <x v="10"/>
    </i>
    <i r="2">
      <x v="11"/>
    </i>
    <i r="2">
      <x v="12"/>
    </i>
    <i r="2">
      <x v="13"/>
    </i>
    <i r="1">
      <x v="1"/>
    </i>
    <i r="2">
      <x v="10"/>
    </i>
    <i r="2">
      <x v="11"/>
    </i>
    <i r="2">
      <x v="12"/>
    </i>
    <i r="2">
      <x v="13"/>
    </i>
    <i r="1">
      <x v="2"/>
    </i>
    <i r="2">
      <x v="10"/>
    </i>
    <i r="2">
      <x v="11"/>
    </i>
    <i r="2">
      <x v="12"/>
    </i>
    <i r="2">
      <x v="13"/>
    </i>
    <i r="1">
      <x v="3"/>
    </i>
    <i r="2">
      <x v="11"/>
    </i>
    <i>
      <x v="7"/>
    </i>
    <i r="1">
      <x/>
    </i>
    <i r="2">
      <x v="6"/>
    </i>
    <i r="2">
      <x v="7"/>
    </i>
    <i r="2">
      <x v="8"/>
    </i>
    <i r="1">
      <x v="1"/>
    </i>
    <i r="2">
      <x v="6"/>
    </i>
    <i r="2">
      <x v="7"/>
    </i>
    <i r="2">
      <x v="8"/>
    </i>
    <i r="1">
      <x v="2"/>
    </i>
    <i r="2">
      <x v="6"/>
    </i>
    <i r="2">
      <x v="7"/>
    </i>
    <i r="2">
      <x v="8"/>
    </i>
    <i>
      <x v="8"/>
    </i>
    <i r="1">
      <x/>
    </i>
    <i r="2">
      <x v="9"/>
    </i>
    <i r="1">
      <x v="1"/>
    </i>
    <i r="2">
      <x v="9"/>
    </i>
    <i r="1">
      <x v="2"/>
    </i>
    <i r="2">
      <x v="9"/>
    </i>
    <i r="1">
      <x v="3"/>
    </i>
    <i r="2">
      <x v="9"/>
    </i>
    <i>
      <x v="9"/>
    </i>
    <i r="1">
      <x/>
    </i>
    <i r="2">
      <x v="14"/>
    </i>
    <i r="1">
      <x v="1"/>
    </i>
    <i r="2">
      <x v="14"/>
    </i>
    <i r="1">
      <x v="2"/>
    </i>
    <i r="2">
      <x v="14"/>
    </i>
    <i r="1">
      <x v="3"/>
    </i>
    <i r="2">
      <x v="14"/>
    </i>
  </rowItems>
  <colFields count="1">
    <field x="0"/>
  </colFields>
  <colItems count="4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</colItems>
  <pageFields count="2">
    <pageField fld="5" hier="19" name="[Base].[PRODUCTO].&amp;[Hipotecario]" cap="Hipotecario"/>
    <pageField fld="6" hier="24" name="[Base].[Tipo_Valor].&amp;[Solarizado]" cap="Solarizado"/>
  </pageFields>
  <dataFields count="1">
    <dataField name="Suma de Importe" fld="7" baseField="0" baseItem="0" numFmtId="164">
      <extLst>
        <ext xmlns:xxpim="http://schemas.microsoft.com/office/spreadsheetml/2020/pivotNov2020" uri="{122EB659-6506-43C2-A71E-23821C81ECCF}">
          <xxpim:dataFieldFutureData version="7" sourceField="4"/>
        </ext>
      </extLst>
    </dataField>
  </dataFields>
  <formats count="1">
    <format dxfId="0">
      <pivotArea outline="0" collapsedLevelsAreSubtotals="1" fieldPosition="0"/>
    </format>
  </formats>
  <pivotHierarchies count="122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3">
    <rowHierarchyUsage hierarchyUsage="16"/>
    <rowHierarchyUsage hierarchyUsage="20"/>
    <rowHierarchyUsage hierarchyUsage="21"/>
  </rowHierarchiesUsage>
  <colHierarchiesUsage count="1">
    <colHierarchyUsage hierarchyUsage="4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2A795-6FD8-4E92-94D3-0B4B5E85F325}" name="DataSetPPTO26PPECONVVEH" cacheId="1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fieldListSortAscending="1">
  <location ref="A5:N116" firstHeaderRow="1" firstDataRow="2" firstDataCol="1" rowPageCount="3" colPageCount="1"/>
  <pivotFields count="10">
    <pivotField allDrilled="1" subtotalTop="0" showAll="0" sortType="ascending" defaultSubtotal="0" defaultAttributeDrillState="1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Row" allDrilled="1" subtotalTop="0" showAll="0" defaultSubtotal="0" defaultAttributeDrillState="1">
      <items count="10">
        <item x="8"/>
        <item x="9"/>
        <item x="4"/>
        <item x="1"/>
        <item x="2"/>
        <item x="6"/>
        <item x="3"/>
        <item x="7"/>
        <item x="0"/>
        <item x="5"/>
      </items>
    </pivotField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axis="axisRow" allDrilled="1" subtotalTop="0" showAll="0" dataSourceSort="1" defaultSubtotal="0" defaultAttributeDrillState="1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axis="axisCol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llDrilled="1" subtotalTop="0" showAll="0" dataSourceSort="1" defaultSubtotal="0" defaultAttributeDrillState="1"/>
    <pivotField dataField="1" compact="0" outline="0" subtotalTop="0" dragToRow="0" dragToCol="0" dragToPage="0" dragToData="0" dragOff="0" showAll="0" topAutoShow="0" includeNewItemsInFilter="1" itemPageCount="0" rankBy="0" defaultSubtotal="0">
      <extLst>
        <ext xmlns:xxpim="http://schemas.microsoft.com/office/spreadsheetml/2020/pivotNov2020" uri="{7ABAD63E-2A86-4513-9825-C419ED9F8A65}">
          <xxpim:ignorableAfterVersion version="7"/>
        </ext>
      </extLst>
    </pivotField>
  </pivotFields>
  <rowFields count="3">
    <field x="4"/>
    <field x="5"/>
    <field x="6"/>
  </rowFields>
  <rowItems count="110">
    <i>
      <x/>
    </i>
    <i r="1">
      <x/>
    </i>
    <i r="2">
      <x v="1"/>
    </i>
    <i r="2">
      <x v="2"/>
    </i>
    <i r="2">
      <x v="3"/>
    </i>
    <i r="1">
      <x v="1"/>
    </i>
    <i r="2">
      <x v="1"/>
    </i>
    <i r="2">
      <x v="2"/>
    </i>
    <i r="2">
      <x v="3"/>
    </i>
    <i r="1">
      <x v="2"/>
    </i>
    <i r="2">
      <x v="1"/>
    </i>
    <i r="2">
      <x v="2"/>
    </i>
    <i r="2">
      <x v="3"/>
    </i>
    <i>
      <x v="1"/>
    </i>
    <i r="1">
      <x/>
    </i>
    <i r="2">
      <x v="1"/>
    </i>
    <i r="2">
      <x v="2"/>
    </i>
    <i r="2">
      <x v="3"/>
    </i>
    <i r="1">
      <x v="1"/>
    </i>
    <i r="2">
      <x v="1"/>
    </i>
    <i r="2">
      <x v="2"/>
    </i>
    <i r="2">
      <x v="3"/>
    </i>
    <i r="1">
      <x v="2"/>
    </i>
    <i r="2">
      <x v="1"/>
    </i>
    <i r="2">
      <x v="2"/>
    </i>
    <i r="2">
      <x v="3"/>
    </i>
    <i>
      <x v="2"/>
    </i>
    <i r="1">
      <x/>
    </i>
    <i r="2">
      <x v="1"/>
    </i>
    <i r="2">
      <x v="2"/>
    </i>
    <i r="2">
      <x v="3"/>
    </i>
    <i r="1">
      <x v="1"/>
    </i>
    <i r="2">
      <x v="1"/>
    </i>
    <i r="2">
      <x v="2"/>
    </i>
    <i r="2">
      <x v="3"/>
    </i>
    <i r="1">
      <x v="2"/>
    </i>
    <i r="2">
      <x v="1"/>
    </i>
    <i r="2">
      <x v="2"/>
    </i>
    <i r="2">
      <x v="3"/>
    </i>
    <i>
      <x v="3"/>
    </i>
    <i r="1">
      <x/>
    </i>
    <i r="2">
      <x v="1"/>
    </i>
    <i r="2">
      <x v="2"/>
    </i>
    <i r="2">
      <x v="3"/>
    </i>
    <i r="1">
      <x v="1"/>
    </i>
    <i r="2">
      <x v="1"/>
    </i>
    <i r="2">
      <x v="2"/>
    </i>
    <i r="2">
      <x v="3"/>
    </i>
    <i r="1">
      <x v="2"/>
    </i>
    <i r="2">
      <x v="1"/>
    </i>
    <i r="2">
      <x v="2"/>
    </i>
    <i r="2">
      <x v="3"/>
    </i>
    <i>
      <x v="4"/>
    </i>
    <i r="1">
      <x/>
    </i>
    <i r="2">
      <x v="4"/>
    </i>
    <i r="1">
      <x v="1"/>
    </i>
    <i r="2">
      <x v="4"/>
    </i>
    <i r="1">
      <x v="2"/>
    </i>
    <i r="2">
      <x v="4"/>
    </i>
    <i>
      <x v="5"/>
    </i>
    <i r="1">
      <x/>
    </i>
    <i r="2">
      <x v="12"/>
    </i>
    <i r="1">
      <x v="1"/>
    </i>
    <i r="2">
      <x v="12"/>
    </i>
    <i r="1">
      <x v="2"/>
    </i>
    <i r="2">
      <x v="12"/>
    </i>
    <i>
      <x v="6"/>
    </i>
    <i r="1">
      <x/>
    </i>
    <i r="2">
      <x v="5"/>
    </i>
    <i r="2">
      <x v="6"/>
    </i>
    <i r="2">
      <x v="7"/>
    </i>
    <i r="1">
      <x v="1"/>
    </i>
    <i r="2">
      <x v="5"/>
    </i>
    <i r="2">
      <x v="6"/>
    </i>
    <i r="2">
      <x v="7"/>
    </i>
    <i r="1">
      <x v="2"/>
    </i>
    <i r="2">
      <x v="5"/>
    </i>
    <i r="2">
      <x v="6"/>
    </i>
    <i r="2">
      <x v="7"/>
    </i>
    <i>
      <x v="7"/>
    </i>
    <i r="1">
      <x/>
    </i>
    <i r="2">
      <x v="13"/>
    </i>
    <i r="1">
      <x v="1"/>
    </i>
    <i r="2">
      <x v="13"/>
    </i>
    <i r="1">
      <x v="2"/>
    </i>
    <i r="2">
      <x v="13"/>
    </i>
    <i>
      <x v="8"/>
    </i>
    <i r="1">
      <x/>
    </i>
    <i r="2">
      <x/>
    </i>
    <i r="1">
      <x v="1"/>
    </i>
    <i r="2">
      <x/>
    </i>
    <i r="1">
      <x v="2"/>
    </i>
    <i r="2">
      <x/>
    </i>
    <i>
      <x v="9"/>
    </i>
    <i r="1">
      <x/>
    </i>
    <i r="2">
      <x v="8"/>
    </i>
    <i r="2">
      <x v="9"/>
    </i>
    <i r="2">
      <x v="10"/>
    </i>
    <i r="2">
      <x v="11"/>
    </i>
    <i r="1">
      <x v="1"/>
    </i>
    <i r="2">
      <x v="8"/>
    </i>
    <i r="2">
      <x v="9"/>
    </i>
    <i r="2">
      <x v="10"/>
    </i>
    <i r="2">
      <x v="11"/>
    </i>
    <i r="1">
      <x v="2"/>
    </i>
    <i r="2">
      <x v="8"/>
    </i>
    <i r="2">
      <x v="9"/>
    </i>
    <i r="2">
      <x v="10"/>
    </i>
    <i r="2">
      <x v="11"/>
    </i>
    <i t="grand">
      <x/>
    </i>
  </rowItems>
  <colFields count="1">
    <field x="7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pageFields count="3">
    <pageField fld="1" hier="15" name="[BASE_HIPO_PPTO].[PRODUCTO].&amp;[Hipotecario]" cap="Hipotecario"/>
    <pageField fld="2" hier="20" name="[BASE_HIPO_PPTO].[Tipo_Valor].&amp;[Solarizado]" cap="Solarizado"/>
    <pageField fld="3" hier="19" name="[BASE_HIPO_PPTO].[Tipo].&amp;[P]" cap="P"/>
  </pageFields>
  <dataFields count="1">
    <dataField name="Suma de Importe" fld="9" baseField="0" baseItem="0">
      <extLst>
        <ext xmlns:xxpim="http://schemas.microsoft.com/office/spreadsheetml/2020/pivotNov2020" uri="{122EB659-6506-43C2-A71E-23821C81ECCF}">
          <xxpim:dataFieldFutureData version="7" sourceField="8"/>
        </ext>
      </extLst>
    </dataField>
  </dataFields>
  <pivotHierarchies count="103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 dragOff="0" includeNewItemsInFilter="1">
      <extLst>
        <ext xmlns:xxpim="http://schemas.microsoft.com/office/spreadsheetml/2020/pivotNov2020" uri="{7ABAD63E-2A86-4513-9825-C419ED9F8A65}">
          <xxpim:ignorableAfterVersion version="7"/>
        </ext>
      </extLst>
    </pivotHierarchy>
  </pivotHierarchies>
  <pivotTableStyleInfo name="PivotStyleLight16" showRowHeaders="1" showColHeaders="1" showRowStripes="0" showColStripes="0" showLastColumn="1"/>
  <rowHierarchiesUsage count="3">
    <rowHierarchyUsage hierarchyUsage="13"/>
    <rowHierarchyUsage hierarchyUsage="16"/>
    <rowHierarchyUsage hierarchyUsage="17"/>
  </rowHierarchiesUsage>
  <colHierarchiesUsage count="1">
    <colHierarchyUsage hierarchyUsage="14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328BB5A-830E-4AC3-BCAE-FBCB47EFE111}">
  <we:reference id="wa200003696" version="1.2.0.0" store="es-ES" storeType="OMEX"/>
  <we:alternateReferences>
    <we:reference id="WA200003696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488CD-6088-4040-9C91-BA0F601FE0CF}">
  <dimension ref="B2:F17"/>
  <sheetViews>
    <sheetView workbookViewId="0">
      <selection activeCell="F8" sqref="F8"/>
    </sheetView>
  </sheetViews>
  <sheetFormatPr baseColWidth="10" defaultRowHeight="15" x14ac:dyDescent="0.25"/>
  <sheetData>
    <row r="2" spans="2:6" x14ac:dyDescent="0.25">
      <c r="B2" t="s">
        <v>3</v>
      </c>
      <c r="C2" t="s">
        <v>4</v>
      </c>
    </row>
    <row r="4" spans="2:6" x14ac:dyDescent="0.25">
      <c r="B4" t="s">
        <v>89</v>
      </c>
      <c r="C4">
        <v>2026</v>
      </c>
    </row>
    <row r="6" spans="2:6" x14ac:dyDescent="0.25">
      <c r="B6" t="s">
        <v>95</v>
      </c>
      <c r="C6" s="21">
        <f>EOMONTH(DATE($C$4,1,1),0)</f>
        <v>46053</v>
      </c>
      <c r="E6" t="s">
        <v>96</v>
      </c>
      <c r="F6" t="s">
        <v>97</v>
      </c>
    </row>
    <row r="7" spans="2:6" x14ac:dyDescent="0.25">
      <c r="C7" s="21">
        <f>EOMONTH(C6,1)</f>
        <v>46081</v>
      </c>
      <c r="F7" t="s">
        <v>47</v>
      </c>
    </row>
    <row r="8" spans="2:6" x14ac:dyDescent="0.25">
      <c r="C8" s="21">
        <f t="shared" ref="C8:C17" si="0">EOMONTH(C7,1)</f>
        <v>46112</v>
      </c>
      <c r="F8" t="s">
        <v>98</v>
      </c>
    </row>
    <row r="9" spans="2:6" x14ac:dyDescent="0.25">
      <c r="C9" s="21">
        <f t="shared" si="0"/>
        <v>46142</v>
      </c>
      <c r="F9" t="s">
        <v>99</v>
      </c>
    </row>
    <row r="10" spans="2:6" x14ac:dyDescent="0.25">
      <c r="C10" s="21">
        <f t="shared" si="0"/>
        <v>46173</v>
      </c>
    </row>
    <row r="11" spans="2:6" x14ac:dyDescent="0.25">
      <c r="C11" s="21">
        <f t="shared" si="0"/>
        <v>46203</v>
      </c>
    </row>
    <row r="12" spans="2:6" x14ac:dyDescent="0.25">
      <c r="C12" s="21">
        <f t="shared" si="0"/>
        <v>46234</v>
      </c>
    </row>
    <row r="13" spans="2:6" x14ac:dyDescent="0.25">
      <c r="C13" s="21">
        <f t="shared" si="0"/>
        <v>46265</v>
      </c>
    </row>
    <row r="14" spans="2:6" x14ac:dyDescent="0.25">
      <c r="C14" s="21">
        <f t="shared" si="0"/>
        <v>46295</v>
      </c>
    </row>
    <row r="15" spans="2:6" x14ac:dyDescent="0.25">
      <c r="C15" s="21">
        <f t="shared" si="0"/>
        <v>46326</v>
      </c>
    </row>
    <row r="16" spans="2:6" x14ac:dyDescent="0.25">
      <c r="C16" s="21">
        <f t="shared" si="0"/>
        <v>46356</v>
      </c>
    </row>
    <row r="17" spans="3:3" x14ac:dyDescent="0.25">
      <c r="C17" s="21">
        <f t="shared" si="0"/>
        <v>46387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EFD74-678E-497C-B498-7258FBCABD4F}">
  <sheetPr>
    <tabColor rgb="FFFF0000"/>
  </sheetPr>
  <dimension ref="A1:CC102"/>
  <sheetViews>
    <sheetView showGridLines="0" tabSelected="1" zoomScale="83" zoomScaleNormal="80" workbookViewId="0">
      <pane xSplit="3" ySplit="6" topLeftCell="AO7" activePane="bottomRight" state="frozen"/>
      <selection activeCell="AT11" sqref="AT11"/>
      <selection pane="topRight" activeCell="AT11" sqref="AT11"/>
      <selection pane="bottomLeft" activeCell="AT11" sqref="AT11"/>
      <selection pane="bottomRight" activeCell="AO95" sqref="AO95"/>
    </sheetView>
  </sheetViews>
  <sheetFormatPr baseColWidth="10" defaultRowHeight="15" outlineLevelRow="1" outlineLevelCol="1" x14ac:dyDescent="0.25"/>
  <cols>
    <col min="1" max="1" width="7.140625" customWidth="1"/>
    <col min="2" max="2" width="6.28515625" customWidth="1"/>
    <col min="3" max="3" width="22.85546875" bestFit="1" customWidth="1"/>
    <col min="4" max="14" width="11.28515625" customWidth="1" outlineLevel="1"/>
    <col min="15" max="15" width="11.28515625" bestFit="1" customWidth="1"/>
    <col min="16" max="26" width="11.28515625" customWidth="1" outlineLevel="1"/>
    <col min="27" max="27" width="11.28515625" bestFit="1" customWidth="1"/>
    <col min="28" max="38" width="11.28515625" customWidth="1" outlineLevel="1"/>
    <col min="39" max="40" width="11.28515625" bestFit="1" customWidth="1"/>
    <col min="41" max="45" width="11.85546875" bestFit="1" customWidth="1"/>
    <col min="46" max="51" width="10.5703125" customWidth="1"/>
    <col min="52" max="52" width="11.85546875" bestFit="1" customWidth="1"/>
    <col min="53" max="63" width="10.5703125" customWidth="1"/>
  </cols>
  <sheetData>
    <row r="1" spans="1:81" ht="15.75" x14ac:dyDescent="0.25">
      <c r="D1" s="66" t="s">
        <v>92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7" t="s">
        <v>93</v>
      </c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O1" s="68" t="s">
        <v>90</v>
      </c>
      <c r="BP1" s="68"/>
      <c r="BQ1" s="68"/>
      <c r="BR1" s="68"/>
      <c r="BS1" s="68"/>
      <c r="BT1" s="68"/>
      <c r="BW1" s="68" t="s">
        <v>91</v>
      </c>
      <c r="BX1" s="68"/>
      <c r="BY1" s="68"/>
      <c r="BZ1" s="68"/>
      <c r="CA1" s="68"/>
      <c r="CB1" s="68"/>
    </row>
    <row r="2" spans="1:81" x14ac:dyDescent="0.25">
      <c r="C2" s="51"/>
      <c r="D2" s="52"/>
      <c r="E2" s="52"/>
      <c r="F2" s="52"/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  <c r="AK2" s="52"/>
      <c r="AL2" s="52"/>
      <c r="AM2" s="52"/>
      <c r="AN2" s="52"/>
      <c r="AO2" s="52"/>
      <c r="AP2" s="52"/>
      <c r="AQ2" s="52"/>
      <c r="AR2" s="52"/>
      <c r="AS2" s="52"/>
      <c r="AT2" s="52"/>
      <c r="AU2" s="52"/>
      <c r="AV2" s="52"/>
      <c r="AW2" s="52"/>
      <c r="AX2" s="52"/>
      <c r="AY2" s="52"/>
      <c r="AZ2" s="52"/>
      <c r="BA2" s="52"/>
      <c r="BB2" s="52"/>
      <c r="BC2" s="52"/>
      <c r="BD2" s="52"/>
      <c r="BE2" s="52"/>
      <c r="BF2" s="52"/>
      <c r="BG2" s="52"/>
      <c r="BH2" s="52"/>
      <c r="BI2" s="52"/>
      <c r="BJ2" s="52"/>
      <c r="BK2" s="52"/>
      <c r="BO2" s="53">
        <f t="shared" ref="BO2:BT2" si="0">DATE(YEAR(BO6),1,1)</f>
        <v>46023</v>
      </c>
      <c r="BP2" s="53">
        <f t="shared" si="0"/>
        <v>46023</v>
      </c>
      <c r="BQ2" s="53">
        <f t="shared" si="0"/>
        <v>46023</v>
      </c>
      <c r="BR2" s="53">
        <f t="shared" si="0"/>
        <v>45658</v>
      </c>
      <c r="BS2" s="53">
        <f t="shared" si="0"/>
        <v>45292</v>
      </c>
      <c r="BT2" s="53">
        <f t="shared" si="0"/>
        <v>44927</v>
      </c>
    </row>
    <row r="3" spans="1:81" x14ac:dyDescent="0.25">
      <c r="C3" s="51" t="s">
        <v>61</v>
      </c>
      <c r="D3" s="52">
        <f>DAY(D6)</f>
        <v>31</v>
      </c>
      <c r="E3" s="52">
        <f t="shared" ref="E3:BK3" si="1">DAY(E6)</f>
        <v>28</v>
      </c>
      <c r="F3" s="52">
        <f t="shared" si="1"/>
        <v>31</v>
      </c>
      <c r="G3" s="52">
        <f t="shared" si="1"/>
        <v>30</v>
      </c>
      <c r="H3" s="52">
        <f t="shared" si="1"/>
        <v>31</v>
      </c>
      <c r="I3" s="52">
        <f t="shared" si="1"/>
        <v>30</v>
      </c>
      <c r="J3" s="52">
        <f t="shared" si="1"/>
        <v>31</v>
      </c>
      <c r="K3" s="52">
        <f t="shared" si="1"/>
        <v>31</v>
      </c>
      <c r="L3" s="52">
        <f t="shared" si="1"/>
        <v>30</v>
      </c>
      <c r="M3" s="52">
        <f t="shared" si="1"/>
        <v>31</v>
      </c>
      <c r="N3" s="52">
        <f t="shared" si="1"/>
        <v>30</v>
      </c>
      <c r="O3" s="52">
        <f t="shared" si="1"/>
        <v>31</v>
      </c>
      <c r="P3" s="52">
        <f t="shared" si="1"/>
        <v>31</v>
      </c>
      <c r="Q3" s="52">
        <f t="shared" si="1"/>
        <v>29</v>
      </c>
      <c r="R3" s="52">
        <f t="shared" si="1"/>
        <v>31</v>
      </c>
      <c r="S3" s="52">
        <f t="shared" si="1"/>
        <v>30</v>
      </c>
      <c r="T3" s="52">
        <f t="shared" si="1"/>
        <v>31</v>
      </c>
      <c r="U3" s="52">
        <f t="shared" si="1"/>
        <v>30</v>
      </c>
      <c r="V3" s="52">
        <f t="shared" si="1"/>
        <v>31</v>
      </c>
      <c r="W3" s="52">
        <f t="shared" si="1"/>
        <v>31</v>
      </c>
      <c r="X3" s="52">
        <f t="shared" si="1"/>
        <v>30</v>
      </c>
      <c r="Y3" s="52">
        <f t="shared" si="1"/>
        <v>31</v>
      </c>
      <c r="Z3" s="52">
        <f t="shared" si="1"/>
        <v>30</v>
      </c>
      <c r="AA3" s="52">
        <f t="shared" si="1"/>
        <v>31</v>
      </c>
      <c r="AB3" s="52">
        <f t="shared" si="1"/>
        <v>31</v>
      </c>
      <c r="AC3" s="52">
        <f t="shared" si="1"/>
        <v>28</v>
      </c>
      <c r="AD3" s="52">
        <f t="shared" si="1"/>
        <v>31</v>
      </c>
      <c r="AE3" s="52">
        <f t="shared" si="1"/>
        <v>30</v>
      </c>
      <c r="AF3" s="52">
        <f t="shared" si="1"/>
        <v>31</v>
      </c>
      <c r="AG3" s="52">
        <f t="shared" si="1"/>
        <v>30</v>
      </c>
      <c r="AH3" s="52">
        <f t="shared" si="1"/>
        <v>31</v>
      </c>
      <c r="AI3" s="52">
        <f t="shared" si="1"/>
        <v>31</v>
      </c>
      <c r="AJ3" s="52">
        <f t="shared" si="1"/>
        <v>30</v>
      </c>
      <c r="AK3" s="52">
        <f t="shared" si="1"/>
        <v>31</v>
      </c>
      <c r="AL3" s="52">
        <f t="shared" si="1"/>
        <v>30</v>
      </c>
      <c r="AM3" s="52">
        <f t="shared" si="1"/>
        <v>31</v>
      </c>
      <c r="AN3" s="52">
        <f t="shared" si="1"/>
        <v>31</v>
      </c>
      <c r="AO3" s="52">
        <f t="shared" si="1"/>
        <v>28</v>
      </c>
      <c r="AP3" s="52">
        <f t="shared" si="1"/>
        <v>31</v>
      </c>
      <c r="AQ3" s="52">
        <f t="shared" si="1"/>
        <v>30</v>
      </c>
      <c r="AR3" s="52">
        <f t="shared" si="1"/>
        <v>31</v>
      </c>
      <c r="AS3" s="52">
        <f t="shared" si="1"/>
        <v>30</v>
      </c>
      <c r="AT3" s="52">
        <f t="shared" si="1"/>
        <v>31</v>
      </c>
      <c r="AU3" s="52">
        <f t="shared" si="1"/>
        <v>31</v>
      </c>
      <c r="AV3" s="52">
        <f t="shared" si="1"/>
        <v>30</v>
      </c>
      <c r="AW3" s="52">
        <f t="shared" si="1"/>
        <v>31</v>
      </c>
      <c r="AX3" s="52">
        <f t="shared" si="1"/>
        <v>30</v>
      </c>
      <c r="AY3" s="52">
        <f t="shared" si="1"/>
        <v>31</v>
      </c>
      <c r="AZ3" s="52">
        <f t="shared" si="1"/>
        <v>31</v>
      </c>
      <c r="BA3" s="52">
        <f t="shared" si="1"/>
        <v>28</v>
      </c>
      <c r="BB3" s="52">
        <f t="shared" si="1"/>
        <v>31</v>
      </c>
      <c r="BC3" s="52">
        <f t="shared" si="1"/>
        <v>30</v>
      </c>
      <c r="BD3" s="52">
        <f t="shared" si="1"/>
        <v>31</v>
      </c>
      <c r="BE3" s="52">
        <f t="shared" si="1"/>
        <v>30</v>
      </c>
      <c r="BF3" s="52">
        <f t="shared" si="1"/>
        <v>31</v>
      </c>
      <c r="BG3" s="52">
        <f t="shared" si="1"/>
        <v>31</v>
      </c>
      <c r="BH3" s="52">
        <f t="shared" si="1"/>
        <v>30</v>
      </c>
      <c r="BI3" s="52">
        <f t="shared" si="1"/>
        <v>31</v>
      </c>
      <c r="BJ3" s="52">
        <f t="shared" si="1"/>
        <v>30</v>
      </c>
      <c r="BK3" s="52">
        <f t="shared" si="1"/>
        <v>31</v>
      </c>
      <c r="BO3" s="52">
        <f t="shared" ref="BO3:BT4" si="2">AVERAGEIFS($D3:$BM3,$D$6:$BM$6,"&gt;="&amp;BO$2,$D$6:$BM$6,"&lt;="&amp;BO$6,$D$5:$BM$5,BO$5)</f>
        <v>30</v>
      </c>
      <c r="BP3" s="52">
        <f t="shared" si="2"/>
        <v>30</v>
      </c>
      <c r="BQ3" s="52">
        <f t="shared" si="2"/>
        <v>29.5</v>
      </c>
      <c r="BR3" s="52">
        <f t="shared" si="2"/>
        <v>30</v>
      </c>
      <c r="BS3" s="52">
        <f t="shared" si="2"/>
        <v>30.333333333333332</v>
      </c>
      <c r="BT3" s="52">
        <f t="shared" si="2"/>
        <v>30</v>
      </c>
    </row>
    <row r="4" spans="1:81" x14ac:dyDescent="0.25">
      <c r="C4" s="51" t="s">
        <v>62</v>
      </c>
      <c r="D4" s="52">
        <v>30</v>
      </c>
      <c r="E4" s="52">
        <v>30</v>
      </c>
      <c r="F4" s="52">
        <v>30</v>
      </c>
      <c r="G4" s="52">
        <v>30</v>
      </c>
      <c r="H4" s="52">
        <v>30</v>
      </c>
      <c r="I4" s="52">
        <v>30</v>
      </c>
      <c r="J4" s="52">
        <v>30</v>
      </c>
      <c r="K4" s="52">
        <v>30</v>
      </c>
      <c r="L4" s="52">
        <v>30</v>
      </c>
      <c r="M4" s="52">
        <v>30</v>
      </c>
      <c r="N4" s="52">
        <v>30</v>
      </c>
      <c r="O4" s="52">
        <v>30</v>
      </c>
      <c r="P4" s="52">
        <v>30</v>
      </c>
      <c r="Q4" s="52">
        <v>30</v>
      </c>
      <c r="R4" s="52">
        <v>30</v>
      </c>
      <c r="S4" s="52">
        <v>30</v>
      </c>
      <c r="T4" s="52">
        <v>30</v>
      </c>
      <c r="U4" s="52">
        <v>30</v>
      </c>
      <c r="V4" s="52">
        <v>30</v>
      </c>
      <c r="W4" s="52">
        <v>30</v>
      </c>
      <c r="X4" s="52">
        <v>30</v>
      </c>
      <c r="Y4" s="52">
        <v>30</v>
      </c>
      <c r="Z4" s="52">
        <v>30</v>
      </c>
      <c r="AA4" s="52">
        <v>30</v>
      </c>
      <c r="AB4" s="52">
        <v>30</v>
      </c>
      <c r="AC4" s="52">
        <v>30</v>
      </c>
      <c r="AD4" s="52">
        <v>30</v>
      </c>
      <c r="AE4" s="52">
        <v>30</v>
      </c>
      <c r="AF4" s="52">
        <v>30</v>
      </c>
      <c r="AG4" s="52">
        <v>30</v>
      </c>
      <c r="AH4" s="52">
        <v>30</v>
      </c>
      <c r="AI4" s="52">
        <v>30</v>
      </c>
      <c r="AJ4" s="52">
        <v>30</v>
      </c>
      <c r="AK4" s="52">
        <v>30</v>
      </c>
      <c r="AL4" s="52">
        <v>30</v>
      </c>
      <c r="AM4" s="52">
        <v>30</v>
      </c>
      <c r="AN4" s="52">
        <v>30</v>
      </c>
      <c r="AO4" s="52">
        <v>30</v>
      </c>
      <c r="AP4" s="52">
        <v>30</v>
      </c>
      <c r="AQ4" s="52">
        <v>30</v>
      </c>
      <c r="AR4" s="52">
        <v>30</v>
      </c>
      <c r="AS4" s="52">
        <v>30</v>
      </c>
      <c r="AT4" s="52">
        <v>30</v>
      </c>
      <c r="AU4" s="52">
        <v>30</v>
      </c>
      <c r="AV4" s="52">
        <v>30</v>
      </c>
      <c r="AW4" s="52">
        <v>30</v>
      </c>
      <c r="AX4" s="52">
        <v>30</v>
      </c>
      <c r="AY4" s="52">
        <v>30</v>
      </c>
      <c r="AZ4" s="52">
        <v>30</v>
      </c>
      <c r="BA4" s="52">
        <v>30</v>
      </c>
      <c r="BB4" s="52">
        <v>30</v>
      </c>
      <c r="BC4" s="52">
        <v>30</v>
      </c>
      <c r="BD4" s="52">
        <v>30</v>
      </c>
      <c r="BE4" s="52">
        <v>30</v>
      </c>
      <c r="BF4" s="52">
        <v>30</v>
      </c>
      <c r="BG4" s="52">
        <v>30</v>
      </c>
      <c r="BH4" s="52">
        <v>30</v>
      </c>
      <c r="BI4" s="52">
        <v>30</v>
      </c>
      <c r="BJ4" s="52">
        <v>30</v>
      </c>
      <c r="BK4" s="52">
        <v>30</v>
      </c>
      <c r="BO4" s="54">
        <f t="shared" si="2"/>
        <v>30</v>
      </c>
      <c r="BP4" s="54">
        <f t="shared" si="2"/>
        <v>30</v>
      </c>
      <c r="BQ4" s="54">
        <f t="shared" si="2"/>
        <v>30</v>
      </c>
      <c r="BR4" s="54">
        <f t="shared" si="2"/>
        <v>30</v>
      </c>
      <c r="BS4" s="54">
        <f t="shared" si="2"/>
        <v>30</v>
      </c>
      <c r="BT4" s="54">
        <f t="shared" si="2"/>
        <v>30</v>
      </c>
    </row>
    <row r="5" spans="1:81" ht="15.75" thickBot="1" x14ac:dyDescent="0.3">
      <c r="C5" s="51" t="s">
        <v>86</v>
      </c>
      <c r="D5" s="52" t="s">
        <v>87</v>
      </c>
      <c r="E5" s="52" t="s">
        <v>87</v>
      </c>
      <c r="F5" s="52" t="s">
        <v>87</v>
      </c>
      <c r="G5" s="52" t="s">
        <v>87</v>
      </c>
      <c r="H5" s="52" t="s">
        <v>87</v>
      </c>
      <c r="I5" s="52" t="s">
        <v>87</v>
      </c>
      <c r="J5" s="52" t="s">
        <v>87</v>
      </c>
      <c r="K5" s="52" t="s">
        <v>87</v>
      </c>
      <c r="L5" s="52" t="s">
        <v>87</v>
      </c>
      <c r="M5" s="52" t="s">
        <v>87</v>
      </c>
      <c r="N5" s="52" t="s">
        <v>87</v>
      </c>
      <c r="O5" s="52" t="s">
        <v>87</v>
      </c>
      <c r="P5" s="52" t="s">
        <v>87</v>
      </c>
      <c r="Q5" s="52" t="s">
        <v>87</v>
      </c>
      <c r="R5" s="52" t="s">
        <v>87</v>
      </c>
      <c r="S5" s="52" t="s">
        <v>87</v>
      </c>
      <c r="T5" s="52" t="s">
        <v>87</v>
      </c>
      <c r="U5" s="52" t="s">
        <v>87</v>
      </c>
      <c r="V5" s="52" t="s">
        <v>87</v>
      </c>
      <c r="W5" s="52" t="s">
        <v>87</v>
      </c>
      <c r="X5" s="52" t="s">
        <v>87</v>
      </c>
      <c r="Y5" s="52" t="s">
        <v>87</v>
      </c>
      <c r="Z5" s="52" t="s">
        <v>87</v>
      </c>
      <c r="AA5" s="52" t="s">
        <v>87</v>
      </c>
      <c r="AB5" s="52" t="s">
        <v>87</v>
      </c>
      <c r="AC5" s="52" t="s">
        <v>87</v>
      </c>
      <c r="AD5" s="52" t="s">
        <v>87</v>
      </c>
      <c r="AE5" s="52" t="s">
        <v>87</v>
      </c>
      <c r="AF5" s="52" t="s">
        <v>87</v>
      </c>
      <c r="AG5" s="52" t="s">
        <v>87</v>
      </c>
      <c r="AH5" s="52" t="s">
        <v>87</v>
      </c>
      <c r="AI5" s="52" t="s">
        <v>87</v>
      </c>
      <c r="AJ5" s="52" t="s">
        <v>87</v>
      </c>
      <c r="AK5" s="52" t="s">
        <v>87</v>
      </c>
      <c r="AL5" s="52" t="s">
        <v>87</v>
      </c>
      <c r="AM5" s="52" t="s">
        <v>87</v>
      </c>
      <c r="AN5" s="52" t="s">
        <v>87</v>
      </c>
      <c r="AO5" s="52" t="s">
        <v>87</v>
      </c>
      <c r="AP5" s="52" t="s">
        <v>87</v>
      </c>
      <c r="AQ5" s="52" t="s">
        <v>87</v>
      </c>
      <c r="AR5" s="52" t="s">
        <v>87</v>
      </c>
      <c r="AS5" s="52" t="s">
        <v>87</v>
      </c>
      <c r="AT5" s="52" t="s">
        <v>87</v>
      </c>
      <c r="AU5" s="52" t="s">
        <v>87</v>
      </c>
      <c r="AV5" s="52" t="s">
        <v>87</v>
      </c>
      <c r="AW5" s="52" t="s">
        <v>87</v>
      </c>
      <c r="AX5" s="52" t="s">
        <v>87</v>
      </c>
      <c r="AY5" s="52" t="s">
        <v>87</v>
      </c>
      <c r="AZ5" s="52" t="s">
        <v>88</v>
      </c>
      <c r="BA5" s="52" t="s">
        <v>88</v>
      </c>
      <c r="BB5" s="52" t="s">
        <v>88</v>
      </c>
      <c r="BC5" s="52" t="s">
        <v>88</v>
      </c>
      <c r="BD5" s="52" t="s">
        <v>88</v>
      </c>
      <c r="BE5" s="52" t="s">
        <v>88</v>
      </c>
      <c r="BF5" s="52" t="s">
        <v>88</v>
      </c>
      <c r="BG5" s="52" t="s">
        <v>88</v>
      </c>
      <c r="BH5" s="52" t="s">
        <v>88</v>
      </c>
      <c r="BI5" s="52" t="s">
        <v>88</v>
      </c>
      <c r="BJ5" s="52" t="s">
        <v>88</v>
      </c>
      <c r="BK5" s="52" t="s">
        <v>88</v>
      </c>
      <c r="BO5" s="52" t="s">
        <v>87</v>
      </c>
      <c r="BP5" s="52" t="s">
        <v>88</v>
      </c>
      <c r="BQ5" s="52" t="s">
        <v>87</v>
      </c>
      <c r="BR5" s="52" t="s">
        <v>87</v>
      </c>
      <c r="BS5" s="52" t="s">
        <v>87</v>
      </c>
      <c r="BT5" s="52" t="s">
        <v>87</v>
      </c>
    </row>
    <row r="6" spans="1:81" ht="16.5" thickTop="1" thickBot="1" x14ac:dyDescent="0.3">
      <c r="C6" s="45" t="s">
        <v>126</v>
      </c>
      <c r="D6" s="55">
        <v>44957</v>
      </c>
      <c r="E6" s="55">
        <v>44985</v>
      </c>
      <c r="F6" s="55">
        <v>45016</v>
      </c>
      <c r="G6" s="55">
        <v>45046</v>
      </c>
      <c r="H6" s="55">
        <v>45077</v>
      </c>
      <c r="I6" s="55">
        <v>45107</v>
      </c>
      <c r="J6" s="55">
        <v>45138</v>
      </c>
      <c r="K6" s="55">
        <v>45169</v>
      </c>
      <c r="L6" s="55">
        <v>45199</v>
      </c>
      <c r="M6" s="55">
        <v>45230</v>
      </c>
      <c r="N6" s="55">
        <v>45260</v>
      </c>
      <c r="O6" s="55">
        <v>45291</v>
      </c>
      <c r="P6" s="55">
        <v>45322</v>
      </c>
      <c r="Q6" s="55">
        <v>45351</v>
      </c>
      <c r="R6" s="55">
        <v>45382</v>
      </c>
      <c r="S6" s="55">
        <v>45412</v>
      </c>
      <c r="T6" s="55">
        <v>45443</v>
      </c>
      <c r="U6" s="55">
        <v>45473</v>
      </c>
      <c r="V6" s="55">
        <v>45504</v>
      </c>
      <c r="W6" s="55">
        <v>45535</v>
      </c>
      <c r="X6" s="55">
        <v>45565</v>
      </c>
      <c r="Y6" s="55">
        <v>45596</v>
      </c>
      <c r="Z6" s="55">
        <v>45626</v>
      </c>
      <c r="AA6" s="55">
        <v>45657</v>
      </c>
      <c r="AB6" s="55">
        <v>45688</v>
      </c>
      <c r="AC6" s="55">
        <v>45716</v>
      </c>
      <c r="AD6" s="55">
        <v>45747</v>
      </c>
      <c r="AE6" s="55">
        <v>45777</v>
      </c>
      <c r="AF6" s="55">
        <v>45808</v>
      </c>
      <c r="AG6" s="55">
        <v>45838</v>
      </c>
      <c r="AH6" s="55">
        <v>45869</v>
      </c>
      <c r="AI6" s="55">
        <v>45900</v>
      </c>
      <c r="AJ6" s="55">
        <v>45930</v>
      </c>
      <c r="AK6" s="55">
        <v>45961</v>
      </c>
      <c r="AL6" s="55">
        <v>45991</v>
      </c>
      <c r="AM6" s="55">
        <v>46022</v>
      </c>
      <c r="AN6" s="55">
        <v>46053</v>
      </c>
      <c r="AO6" s="55">
        <v>46081</v>
      </c>
      <c r="AP6" s="55">
        <v>46112</v>
      </c>
      <c r="AQ6" s="55">
        <v>46142</v>
      </c>
      <c r="AR6" s="55">
        <v>46173</v>
      </c>
      <c r="AS6" s="55">
        <v>46203</v>
      </c>
      <c r="AT6" s="55">
        <v>46234</v>
      </c>
      <c r="AU6" s="55">
        <v>46265</v>
      </c>
      <c r="AV6" s="55">
        <v>46295</v>
      </c>
      <c r="AW6" s="55">
        <v>46326</v>
      </c>
      <c r="AX6" s="55">
        <v>46356</v>
      </c>
      <c r="AY6" s="55">
        <v>46387</v>
      </c>
      <c r="AZ6" s="56">
        <v>46053</v>
      </c>
      <c r="BA6" s="56">
        <v>46081</v>
      </c>
      <c r="BB6" s="56">
        <v>46112</v>
      </c>
      <c r="BC6" s="56">
        <v>46142</v>
      </c>
      <c r="BD6" s="56">
        <v>46173</v>
      </c>
      <c r="BE6" s="56">
        <v>46203</v>
      </c>
      <c r="BF6" s="56">
        <v>46234</v>
      </c>
      <c r="BG6" s="56">
        <v>46265</v>
      </c>
      <c r="BH6" s="56">
        <v>46295</v>
      </c>
      <c r="BI6" s="56">
        <v>46326</v>
      </c>
      <c r="BJ6" s="56">
        <v>46356</v>
      </c>
      <c r="BK6" s="56">
        <v>46387</v>
      </c>
      <c r="BO6" s="55">
        <f>Desempeño_Financiero!$B$1</f>
        <v>46112</v>
      </c>
      <c r="BP6" s="57">
        <f>BO6</f>
        <v>46112</v>
      </c>
      <c r="BQ6" s="55">
        <f>EOMONTH(BO6,-1)</f>
        <v>46081</v>
      </c>
      <c r="BR6" s="55">
        <f>EOMONTH(BO6,-12)</f>
        <v>45747</v>
      </c>
      <c r="BS6" s="55">
        <f>EOMONTH(BO6,-24)</f>
        <v>45382</v>
      </c>
      <c r="BT6" s="55">
        <f>EOMONTH(BO6,-36)</f>
        <v>45016</v>
      </c>
      <c r="BW6" s="55">
        <f t="shared" ref="BW6:CB6" si="3">BO6</f>
        <v>46112</v>
      </c>
      <c r="BX6" s="57">
        <f t="shared" si="3"/>
        <v>46112</v>
      </c>
      <c r="BY6" s="55">
        <f t="shared" si="3"/>
        <v>46081</v>
      </c>
      <c r="BZ6" s="55">
        <f t="shared" si="3"/>
        <v>45747</v>
      </c>
      <c r="CA6" s="55">
        <f t="shared" si="3"/>
        <v>45382</v>
      </c>
      <c r="CB6" s="55">
        <f t="shared" si="3"/>
        <v>45016</v>
      </c>
      <c r="CC6" s="26"/>
    </row>
    <row r="7" spans="1:81" ht="15.75" thickTop="1" x14ac:dyDescent="0.25"/>
    <row r="8" spans="1:81" hidden="1" outlineLevel="1" x14ac:dyDescent="0.25">
      <c r="A8" s="58" t="s">
        <v>51</v>
      </c>
      <c r="C8" s="59" t="s">
        <v>0</v>
      </c>
      <c r="D8" s="8">
        <f>Renta_Alta!D8+Masivo!D8+Consumo_Inicial!D8</f>
        <v>9306979.20256586</v>
      </c>
      <c r="E8" s="8">
        <f>Renta_Alta!E8+Masivo!E8+Consumo_Inicial!E8</f>
        <v>9343836.9649555404</v>
      </c>
      <c r="F8" s="8">
        <f>Renta_Alta!F8+Masivo!F8+Consumo_Inicial!F8</f>
        <v>9379816.8292940985</v>
      </c>
      <c r="G8" s="8">
        <f>Renta_Alta!G8+Masivo!G8+Consumo_Inicial!G8</f>
        <v>9428101.8146641497</v>
      </c>
      <c r="H8" s="8">
        <f>Renta_Alta!H8+Masivo!H8+Consumo_Inicial!H8</f>
        <v>9463606.6530272495</v>
      </c>
      <c r="I8" s="8">
        <f>Renta_Alta!I8+Masivo!I8+Consumo_Inicial!I8</f>
        <v>9512554.0850322396</v>
      </c>
      <c r="J8" s="8">
        <f>Renta_Alta!J8+Masivo!J8+Consumo_Inicial!J8</f>
        <v>9520520.3118865192</v>
      </c>
      <c r="K8" s="8">
        <f>Renta_Alta!K8+Masivo!K8+Consumo_Inicial!K8</f>
        <v>9581896.8196001481</v>
      </c>
      <c r="L8" s="8">
        <f>Renta_Alta!L8+Masivo!L8+Consumo_Inicial!L8</f>
        <v>9665488.3535388894</v>
      </c>
      <c r="M8" s="8">
        <f>Renta_Alta!M8+Masivo!M8+Consumo_Inicial!M8</f>
        <v>9724446.4444493596</v>
      </c>
      <c r="N8" s="8">
        <f>Renta_Alta!N8+Masivo!N8+Consumo_Inicial!N8</f>
        <v>9747352.0594903212</v>
      </c>
      <c r="O8" s="8">
        <f>Renta_Alta!O8+Masivo!O8+Consumo_Inicial!O8</f>
        <v>9778369.0517228823</v>
      </c>
      <c r="P8" s="8">
        <f>Renta_Alta!P8+Masivo!P8+Consumo_Inicial!P8</f>
        <v>9795528.2894484401</v>
      </c>
      <c r="Q8" s="8">
        <f>Renta_Alta!Q8+Masivo!Q8+Consumo_Inicial!Q8</f>
        <v>9855979.9539369978</v>
      </c>
      <c r="R8" s="8">
        <f>Renta_Alta!R8+Masivo!R8+Consumo_Inicial!R8</f>
        <v>9915549.8294023983</v>
      </c>
      <c r="S8" s="8">
        <f>Renta_Alta!S8+Masivo!S8+Consumo_Inicial!S8</f>
        <v>9955143.0965828411</v>
      </c>
      <c r="T8" s="8">
        <f>Renta_Alta!T8+Masivo!T8+Consumo_Inicial!T8</f>
        <v>9989621.7935403399</v>
      </c>
      <c r="U8" s="8">
        <f>Renta_Alta!U8+Masivo!U8+Consumo_Inicial!U8</f>
        <v>10052293.565488582</v>
      </c>
      <c r="V8" s="8">
        <f>Renta_Alta!V8+Masivo!V8+Consumo_Inicial!V8</f>
        <v>10112608.334497362</v>
      </c>
      <c r="W8" s="8">
        <f>Renta_Alta!W8+Masivo!W8+Consumo_Inicial!W8</f>
        <v>10194327.26511384</v>
      </c>
      <c r="X8" s="8">
        <f>Renta_Alta!X8+Masivo!X8+Consumo_Inicial!X8</f>
        <v>10269066.08543613</v>
      </c>
      <c r="Y8" s="8">
        <f>Renta_Alta!Y8+Masivo!Y8+Consumo_Inicial!Y8</f>
        <v>10347179.411973799</v>
      </c>
      <c r="Z8" s="8">
        <f>Renta_Alta!Z8+Masivo!Z8+Consumo_Inicial!Z8</f>
        <v>10397660.635751421</v>
      </c>
      <c r="AA8" s="8">
        <f>Renta_Alta!AA8+Masivo!AA8+Consumo_Inicial!AA8</f>
        <v>10460639.821451282</v>
      </c>
      <c r="AB8" s="8">
        <f>Renta_Alta!AB8+Masivo!AB8+Consumo_Inicial!AB8</f>
        <v>10496705.260229401</v>
      </c>
      <c r="AC8" s="8">
        <f>Renta_Alta!AC8+Masivo!AC8+Consumo_Inicial!AC8</f>
        <v>10564179.82824262</v>
      </c>
      <c r="AD8" s="8">
        <f>Renta_Alta!AD8+Masivo!AD8+Consumo_Inicial!AD8</f>
        <v>10587477.88690706</v>
      </c>
      <c r="AE8" s="8">
        <f>Renta_Alta!AE8+Masivo!AE8+Consumo_Inicial!AE8</f>
        <v>10654430.14977785</v>
      </c>
      <c r="AF8" s="8">
        <f>Renta_Alta!AF8+Masivo!AF8+Consumo_Inicial!AF8</f>
        <v>10701537.272349197</v>
      </c>
      <c r="AG8" s="8">
        <f>Renta_Alta!AG8+Masivo!AG8+Consumo_Inicial!AG8</f>
        <v>10788122.535599438</v>
      </c>
      <c r="AH8" s="8">
        <f>Renta_Alta!AH8+Masivo!AH8+Consumo_Inicial!AH8</f>
        <v>10846256.431109108</v>
      </c>
      <c r="AI8" s="8">
        <f>Renta_Alta!AI8+Masivo!AI8+Consumo_Inicial!AI8</f>
        <v>10944704.421983648</v>
      </c>
      <c r="AJ8" s="8">
        <f>Renta_Alta!AJ8+Masivo!AJ8+Consumo_Inicial!AJ8</f>
        <v>11060829.9395131</v>
      </c>
      <c r="AK8" s="8">
        <f>Renta_Alta!AK8+Masivo!AK8+Consumo_Inicial!AK8</f>
        <v>11158690.717399351</v>
      </c>
      <c r="AL8" s="8">
        <f>Renta_Alta!AL8+Masivo!AL8+Consumo_Inicial!AL8</f>
        <v>11266820.003209239</v>
      </c>
      <c r="AM8" s="8">
        <f>Renta_Alta!AM8+Masivo!AM8+Consumo_Inicial!AM8</f>
        <v>11329094.884160072</v>
      </c>
      <c r="AN8" s="8">
        <f>Renta_Alta!AN8+Masivo!AN8+Consumo_Inicial!AN8</f>
        <v>11386921.82</v>
      </c>
      <c r="AO8" s="8">
        <f>Renta_Alta!AO8+Masivo!AO8+Consumo_Inicial!AO8</f>
        <v>11478075.789999999</v>
      </c>
      <c r="AP8" s="8">
        <f>Renta_Alta!AP8+Masivo!AP8+Consumo_Inicial!AP8</f>
        <v>11525776.530000001</v>
      </c>
      <c r="AQ8" s="8">
        <f>Renta_Alta!AQ8+Masivo!AQ8+Consumo_Inicial!AQ8</f>
        <v>11574712.004450014</v>
      </c>
      <c r="AR8" s="8">
        <f>Renta_Alta!AR8+Masivo!AR8+Consumo_Inicial!AR8</f>
        <v>11648203.50428278</v>
      </c>
      <c r="AS8" s="8">
        <f>Renta_Alta!AS8+Masivo!AS8+Consumo_Inicial!AS8</f>
        <v>11717730.977596499</v>
      </c>
      <c r="AT8" s="8">
        <f>Renta_Alta!AT8+Masivo!AT8+Consumo_Inicial!AT8</f>
        <v>0</v>
      </c>
      <c r="AU8" s="8">
        <f>Renta_Alta!AU8+Masivo!AU8+Consumo_Inicial!AU8</f>
        <v>0</v>
      </c>
      <c r="AV8" s="8">
        <f>Renta_Alta!AV8+Masivo!AV8+Consumo_Inicial!AV8</f>
        <v>0</v>
      </c>
      <c r="AW8" s="8">
        <f>Renta_Alta!AW8+Masivo!AW8+Consumo_Inicial!AW8</f>
        <v>0</v>
      </c>
      <c r="AX8" s="8">
        <f>Renta_Alta!AX8+Masivo!AX8+Consumo_Inicial!AX8</f>
        <v>0</v>
      </c>
      <c r="AY8" s="8">
        <f>Renta_Alta!AY8+Masivo!AY8+Consumo_Inicial!AY8</f>
        <v>0</v>
      </c>
      <c r="AZ8" s="8">
        <f>Renta_Alta!AZ8+Masivo!AZ8+Consumo_Inicial!AZ8</f>
        <v>11326290.652440311</v>
      </c>
      <c r="BA8" s="8">
        <f>Renta_Alta!BA8+Masivo!BA8+Consumo_Inicial!BA8</f>
        <v>11402292.087759869</v>
      </c>
      <c r="BB8" s="8">
        <f>Renta_Alta!BB8+Masivo!BB8+Consumo_Inicial!BB8</f>
        <v>11438228.994629497</v>
      </c>
      <c r="BC8" s="8">
        <f>Renta_Alta!BC8+Masivo!BC8+Consumo_Inicial!BC8</f>
        <v>11491820.508612284</v>
      </c>
      <c r="BD8" s="8">
        <f>Renta_Alta!BD8+Masivo!BD8+Consumo_Inicial!BD8</f>
        <v>11567080.850775456</v>
      </c>
      <c r="BE8" s="8">
        <f>Renta_Alta!BE8+Masivo!BE8+Consumo_Inicial!BE8</f>
        <v>11649751.017134342</v>
      </c>
      <c r="BF8" s="8">
        <f>Renta_Alta!BF8+Masivo!BF8+Consumo_Inicial!BF8</f>
        <v>11724801.900114397</v>
      </c>
      <c r="BG8" s="8">
        <f>Renta_Alta!BG8+Masivo!BG8+Consumo_Inicial!BG8</f>
        <v>11830711.923617369</v>
      </c>
      <c r="BH8" s="8">
        <f>Renta_Alta!BH8+Masivo!BH8+Consumo_Inicial!BH8</f>
        <v>11929438.907553593</v>
      </c>
      <c r="BI8" s="8">
        <f>Renta_Alta!BI8+Masivo!BI8+Consumo_Inicial!BI8</f>
        <v>12042319.653254448</v>
      </c>
      <c r="BJ8" s="8">
        <f>Renta_Alta!BJ8+Masivo!BJ8+Consumo_Inicial!BJ8</f>
        <v>12137248.20291579</v>
      </c>
      <c r="BK8" s="8">
        <f>Renta_Alta!BK8+Masivo!BK8+Consumo_Inicial!BK8</f>
        <v>12221962.84451507</v>
      </c>
      <c r="BO8" s="24">
        <f>_xlfn.XLOOKUP(BO$6,$D$6:$BM$6,$D8:$BM8,,0,1)</f>
        <v>11525776.530000001</v>
      </c>
      <c r="BP8" s="24">
        <f>_xlfn.XLOOKUP(BP$6,$D$6:$BM$6,$D8:$BM8,,0,-1)</f>
        <v>11438228.994629497</v>
      </c>
      <c r="BQ8" s="24">
        <f t="shared" ref="BQ8:BT10" si="4">_xlfn.XLOOKUP(BQ$6,$D$6:$BM$6,$D8:$BM8,,0,1)</f>
        <v>11478075.789999999</v>
      </c>
      <c r="BR8" s="24">
        <f t="shared" si="4"/>
        <v>10587477.88690706</v>
      </c>
      <c r="BS8" s="24">
        <f t="shared" si="4"/>
        <v>9915549.8294023983</v>
      </c>
      <c r="BT8" s="24">
        <f t="shared" si="4"/>
        <v>9379816.8292940985</v>
      </c>
    </row>
    <row r="9" spans="1:81" hidden="1" outlineLevel="1" x14ac:dyDescent="0.25">
      <c r="A9" s="58" t="s">
        <v>51</v>
      </c>
      <c r="C9" s="59" t="s">
        <v>1</v>
      </c>
      <c r="D9" s="8">
        <f>Renta_Alta!D9+Masivo!D9+Consumo_Inicial!D9</f>
        <v>34450.125868520001</v>
      </c>
      <c r="E9" s="8">
        <f>Renta_Alta!E9+Masivo!E9+Consumo_Inicial!E9</f>
        <v>33830.323116</v>
      </c>
      <c r="F9" s="8">
        <f>Renta_Alta!F9+Masivo!F9+Consumo_Inicial!F9</f>
        <v>36652.880119999994</v>
      </c>
      <c r="G9" s="8">
        <f>Renta_Alta!G9+Masivo!G9+Consumo_Inicial!G9</f>
        <v>33483.419361999993</v>
      </c>
      <c r="H9" s="8">
        <f>Renta_Alta!H9+Masivo!H9+Consumo_Inicial!H9</f>
        <v>32226.635731000006</v>
      </c>
      <c r="I9" s="8">
        <f>Renta_Alta!I9+Masivo!I9+Consumo_Inicial!I9</f>
        <v>32526.53512</v>
      </c>
      <c r="J9" s="8">
        <f>Renta_Alta!J9+Masivo!J9+Consumo_Inicial!J9</f>
        <v>32175.432251999995</v>
      </c>
      <c r="K9" s="8">
        <f>Renta_Alta!K9+Masivo!K9+Consumo_Inicial!K9</f>
        <v>31298.089395999999</v>
      </c>
      <c r="L9" s="8">
        <f>Renta_Alta!L9+Masivo!L9+Consumo_Inicial!L9</f>
        <v>30645.879686</v>
      </c>
      <c r="M9" s="8">
        <f>Renta_Alta!M9+Masivo!M9+Consumo_Inicial!M9</f>
        <v>33372.025003000002</v>
      </c>
      <c r="N9" s="8">
        <f>Renta_Alta!N9+Masivo!N9+Consumo_Inicial!N9</f>
        <v>33028.707488</v>
      </c>
      <c r="O9" s="8">
        <f>Renta_Alta!O9+Masivo!O9+Consumo_Inicial!O9</f>
        <v>32231.232969000001</v>
      </c>
      <c r="P9" s="8">
        <f>Renta_Alta!P9+Masivo!P9+Consumo_Inicial!P9</f>
        <v>31774.103919000001</v>
      </c>
      <c r="Q9" s="8">
        <f>Renta_Alta!Q9+Masivo!Q9+Consumo_Inicial!Q9</f>
        <v>32094.112188000006</v>
      </c>
      <c r="R9" s="8">
        <f>Renta_Alta!R9+Masivo!R9+Consumo_Inicial!R9</f>
        <v>31857.706951999997</v>
      </c>
      <c r="S9" s="8">
        <f>Renta_Alta!S9+Masivo!S9+Consumo_Inicial!S9</f>
        <v>31416.072474000001</v>
      </c>
      <c r="T9" s="8">
        <f>Renta_Alta!T9+Masivo!T9+Consumo_Inicial!T9</f>
        <v>30206.264951999998</v>
      </c>
      <c r="U9" s="8">
        <f>Renta_Alta!U9+Masivo!U9+Consumo_Inicial!U9</f>
        <v>30052.226316999993</v>
      </c>
      <c r="V9" s="8">
        <f>Renta_Alta!V9+Masivo!V9+Consumo_Inicial!V9</f>
        <v>29685.245795999999</v>
      </c>
      <c r="W9" s="8">
        <f>Renta_Alta!W9+Masivo!W9+Consumo_Inicial!W9</f>
        <v>29273.4143</v>
      </c>
      <c r="X9" s="8">
        <f>Renta_Alta!X9+Masivo!X9+Consumo_Inicial!X9</f>
        <v>29192.855127000003</v>
      </c>
      <c r="Y9" s="8">
        <f>Renta_Alta!Y9+Masivo!Y9+Consumo_Inicial!Y9</f>
        <v>29735.308626999999</v>
      </c>
      <c r="Z9" s="8">
        <f>Renta_Alta!Z9+Masivo!Z9+Consumo_Inicial!Z9</f>
        <v>30027.398087999994</v>
      </c>
      <c r="AA9" s="8">
        <f>Renta_Alta!AA9+Masivo!AA9+Consumo_Inicial!AA9</f>
        <v>30087.711743</v>
      </c>
      <c r="AB9" s="8">
        <f>Renta_Alta!AB9+Masivo!AB9+Consumo_Inicial!AB9</f>
        <v>30240.217034000008</v>
      </c>
      <c r="AC9" s="8">
        <f>Renta_Alta!AC9+Masivo!AC9+Consumo_Inicial!AC9</f>
        <v>29164.129860000005</v>
      </c>
      <c r="AD9" s="8">
        <f>Renta_Alta!AD9+Masivo!AD9+Consumo_Inicial!AD9</f>
        <v>29921.002739999996</v>
      </c>
      <c r="AE9" s="8">
        <f>Renta_Alta!AE9+Masivo!AE9+Consumo_Inicial!AE9</f>
        <v>30095.128513999996</v>
      </c>
      <c r="AF9" s="8">
        <f>Renta_Alta!AF9+Masivo!AF9+Consumo_Inicial!AF9</f>
        <v>29454.603180999999</v>
      </c>
      <c r="AG9" s="8">
        <f>Renta_Alta!AG9+Masivo!AG9+Consumo_Inicial!AG9</f>
        <v>29478.265428999999</v>
      </c>
      <c r="AH9" s="8">
        <f>Renta_Alta!AH9+Masivo!AH9+Consumo_Inicial!AH9</f>
        <v>30110.267646</v>
      </c>
      <c r="AI9" s="8">
        <f>Renta_Alta!AI9+Masivo!AI9+Consumo_Inicial!AI9</f>
        <v>29985.694528</v>
      </c>
      <c r="AJ9" s="8">
        <f>Renta_Alta!AJ9+Masivo!AJ9+Consumo_Inicial!AJ9</f>
        <v>30697.0516412</v>
      </c>
      <c r="AK9" s="8">
        <f>Renta_Alta!AK9+Masivo!AK9+Consumo_Inicial!AK9</f>
        <v>30351.896158799998</v>
      </c>
      <c r="AL9" s="8">
        <f>Renta_Alta!AL9+Masivo!AL9+Consumo_Inicial!AL9</f>
        <v>30784.124582999997</v>
      </c>
      <c r="AM9" s="8">
        <f>Renta_Alta!AM9+Masivo!AM9+Consumo_Inicial!AM9</f>
        <v>31571.498171500003</v>
      </c>
      <c r="AN9" s="8">
        <f>Renta_Alta!AN9+Masivo!AN9+Consumo_Inicial!AN9</f>
        <v>32759.91</v>
      </c>
      <c r="AO9" s="8">
        <f>Renta_Alta!AO9+Masivo!AO9+Consumo_Inicial!AO9</f>
        <v>32640.44</v>
      </c>
      <c r="AP9" s="8">
        <f>Renta_Alta!AP9+Masivo!AP9+Consumo_Inicial!AP9</f>
        <v>34203.919999999998</v>
      </c>
      <c r="AQ9" s="8">
        <f>Renta_Alta!AQ9+Masivo!AQ9+Consumo_Inicial!AQ9</f>
        <v>33818.533268719999</v>
      </c>
      <c r="AR9" s="8">
        <f>Renta_Alta!AR9+Masivo!AR9+Consumo_Inicial!AR9</f>
        <v>33725.610509039994</v>
      </c>
      <c r="AS9" s="8">
        <f>Renta_Alta!AS9+Masivo!AS9+Consumo_Inicial!AS9</f>
        <v>33873.9252653</v>
      </c>
      <c r="AT9" s="8">
        <f>Renta_Alta!AT9+Masivo!AT9+Consumo_Inicial!AT9</f>
        <v>0</v>
      </c>
      <c r="AU9" s="8">
        <f>Renta_Alta!AU9+Masivo!AU9+Consumo_Inicial!AU9</f>
        <v>0</v>
      </c>
      <c r="AV9" s="8">
        <f>Renta_Alta!AV9+Masivo!AV9+Consumo_Inicial!AV9</f>
        <v>0</v>
      </c>
      <c r="AW9" s="8">
        <f>Renta_Alta!AW9+Masivo!AW9+Consumo_Inicial!AW9</f>
        <v>0</v>
      </c>
      <c r="AX9" s="8">
        <f>Renta_Alta!AX9+Masivo!AX9+Consumo_Inicial!AX9</f>
        <v>0</v>
      </c>
      <c r="AY9" s="8">
        <f>Renta_Alta!AY9+Masivo!AY9+Consumo_Inicial!AY9</f>
        <v>0</v>
      </c>
      <c r="AZ9" s="8">
        <f>Renta_Alta!AZ9+Masivo!AZ9+Consumo_Inicial!AZ9</f>
        <v>29843.214847640818</v>
      </c>
      <c r="BA9" s="8">
        <f>Renta_Alta!BA9+Masivo!BA9+Consumo_Inicial!BA9</f>
        <v>29366.411886960803</v>
      </c>
      <c r="BB9" s="8">
        <f>Renta_Alta!BB9+Masivo!BB9+Consumo_Inicial!BB9</f>
        <v>29770.1866803265</v>
      </c>
      <c r="BC9" s="8">
        <f>Renta_Alta!BC9+Masivo!BC9+Consumo_Inicial!BC9</f>
        <v>28471.148011978112</v>
      </c>
      <c r="BD9" s="8">
        <f>Renta_Alta!BD9+Masivo!BD9+Consumo_Inicial!BD9</f>
        <v>28147.913441121833</v>
      </c>
      <c r="BE9" s="8">
        <f>Renta_Alta!BE9+Masivo!BE9+Consumo_Inicial!BE9</f>
        <v>28196.896985181331</v>
      </c>
      <c r="BF9" s="8">
        <f>Renta_Alta!BF9+Masivo!BF9+Consumo_Inicial!BF9</f>
        <v>28569.696004275873</v>
      </c>
      <c r="BG9" s="8">
        <f>Renta_Alta!BG9+Masivo!BG9+Consumo_Inicial!BG9</f>
        <v>28531.251527113993</v>
      </c>
      <c r="BH9" s="8">
        <f>Renta_Alta!BH9+Masivo!BH9+Consumo_Inicial!BH9</f>
        <v>28531.540674741424</v>
      </c>
      <c r="BI9" s="8">
        <f>Renta_Alta!BI9+Masivo!BI9+Consumo_Inicial!BI9</f>
        <v>25782.361859033394</v>
      </c>
      <c r="BJ9" s="8">
        <f>Renta_Alta!BJ9+Masivo!BJ9+Consumo_Inicial!BJ9</f>
        <v>25861.325857001139</v>
      </c>
      <c r="BK9" s="8">
        <f>Renta_Alta!BK9+Masivo!BK9+Consumo_Inicial!BK9</f>
        <v>25869.388221444075</v>
      </c>
      <c r="BO9" s="24">
        <f>_xlfn.XLOOKUP(BO$6,$D$6:$BM$6,$D9:$BM9,,0,1)</f>
        <v>34203.919999999998</v>
      </c>
      <c r="BP9" s="24">
        <f>_xlfn.XLOOKUP(BP$6,$D$6:$BM$6,$D9:$BM9,,0,-1)</f>
        <v>29770.1866803265</v>
      </c>
      <c r="BQ9" s="24">
        <f t="shared" si="4"/>
        <v>32640.44</v>
      </c>
      <c r="BR9" s="24">
        <f t="shared" si="4"/>
        <v>29921.002739999996</v>
      </c>
      <c r="BS9" s="24">
        <f t="shared" si="4"/>
        <v>31857.706951999997</v>
      </c>
      <c r="BT9" s="24">
        <f t="shared" si="4"/>
        <v>36652.880119999994</v>
      </c>
    </row>
    <row r="10" spans="1:81" ht="14.45" hidden="1" customHeight="1" outlineLevel="1" x14ac:dyDescent="0.25">
      <c r="A10" s="58" t="s">
        <v>51</v>
      </c>
      <c r="C10" s="59" t="s">
        <v>45</v>
      </c>
      <c r="D10" s="8">
        <f>Renta_Alta!D10+Masivo!D10+Consumo_Inicial!D10</f>
        <v>246802.44030916001</v>
      </c>
      <c r="E10" s="8">
        <f>Renta_Alta!E10+Masivo!E10+Consumo_Inicial!E10</f>
        <v>248460.61715339994</v>
      </c>
      <c r="F10" s="8">
        <f>Renta_Alta!F10+Masivo!F10+Consumo_Inicial!F10</f>
        <v>249639.31522792004</v>
      </c>
      <c r="G10" s="8">
        <f>Renta_Alta!G10+Masivo!G10+Consumo_Inicial!G10</f>
        <v>253224.16627000005</v>
      </c>
      <c r="H10" s="8">
        <f>Renta_Alta!H10+Masivo!H10+Consumo_Inicial!H10</f>
        <v>265429.47500121995</v>
      </c>
      <c r="I10" s="8">
        <f>Renta_Alta!I10+Masivo!I10+Consumo_Inicial!I10</f>
        <v>265953.29825117998</v>
      </c>
      <c r="J10" s="8">
        <f>Renta_Alta!J10+Masivo!J10+Consumo_Inicial!J10</f>
        <v>266312.89606197993</v>
      </c>
      <c r="K10" s="8">
        <f>Renta_Alta!K10+Masivo!K10+Consumo_Inicial!K10</f>
        <v>270309.72931610001</v>
      </c>
      <c r="L10" s="8">
        <f>Renta_Alta!L10+Masivo!L10+Consumo_Inicial!L10</f>
        <v>276136.75153904001</v>
      </c>
      <c r="M10" s="8">
        <f>Renta_Alta!M10+Masivo!M10+Consumo_Inicial!M10</f>
        <v>281044.93882041995</v>
      </c>
      <c r="N10" s="8">
        <f>Renta_Alta!N10+Masivo!N10+Consumo_Inicial!N10</f>
        <v>287185.04264078004</v>
      </c>
      <c r="O10" s="8">
        <f>Renta_Alta!O10+Masivo!O10+Consumo_Inicial!O10</f>
        <v>280748.95076198992</v>
      </c>
      <c r="P10" s="8">
        <f>Renta_Alta!P10+Masivo!P10+Consumo_Inicial!P10</f>
        <v>300645.08140681998</v>
      </c>
      <c r="Q10" s="8">
        <f>Renta_Alta!Q10+Masivo!Q10+Consumo_Inicial!Q10</f>
        <v>304848.05906199996</v>
      </c>
      <c r="R10" s="8">
        <f>Renta_Alta!R10+Masivo!R10+Consumo_Inicial!R10</f>
        <v>294205.10967955994</v>
      </c>
      <c r="S10" s="8">
        <f>Renta_Alta!S10+Masivo!S10+Consumo_Inicial!S10</f>
        <v>319415.66029124003</v>
      </c>
      <c r="T10" s="8">
        <f>Renta_Alta!T10+Masivo!T10+Consumo_Inicial!T10</f>
        <v>325896.94322763995</v>
      </c>
      <c r="U10" s="8">
        <f>Renta_Alta!U10+Masivo!U10+Consumo_Inicial!U10</f>
        <v>320436.33307557</v>
      </c>
      <c r="V10" s="8">
        <f>Renta_Alta!V10+Masivo!V10+Consumo_Inicial!V10</f>
        <v>317632.39333055005</v>
      </c>
      <c r="W10" s="8">
        <f>Renta_Alta!W10+Masivo!W10+Consumo_Inicial!W10</f>
        <v>311996.68835935998</v>
      </c>
      <c r="X10" s="8">
        <f>Renta_Alta!X10+Masivo!X10+Consumo_Inicial!X10</f>
        <v>314328.63721889007</v>
      </c>
      <c r="Y10" s="8">
        <f>Renta_Alta!Y10+Masivo!Y10+Consumo_Inicial!Y10</f>
        <v>324877.92415064003</v>
      </c>
      <c r="Z10" s="8">
        <f>Renta_Alta!Z10+Masivo!Z10+Consumo_Inicial!Z10</f>
        <v>327927.74879833998</v>
      </c>
      <c r="AA10" s="8">
        <f>Renta_Alta!AA10+Masivo!AA10+Consumo_Inicial!AA10</f>
        <v>334327.05478553998</v>
      </c>
      <c r="AB10" s="8">
        <f>Renta_Alta!AB10+Masivo!AB10+Consumo_Inicial!AB10</f>
        <v>332346.85461588</v>
      </c>
      <c r="AC10" s="8">
        <f>Renta_Alta!AC10+Masivo!AC10+Consumo_Inicial!AC10</f>
        <v>327090.66541134001</v>
      </c>
      <c r="AD10" s="8">
        <f>Renta_Alta!AD10+Masivo!AD10+Consumo_Inicial!AD10</f>
        <v>343769.54418926011</v>
      </c>
      <c r="AE10" s="8">
        <f>Renta_Alta!AE10+Masivo!AE10+Consumo_Inicial!AE10</f>
        <v>339146.41785379994</v>
      </c>
      <c r="AF10" s="8">
        <f>Renta_Alta!AF10+Masivo!AF10+Consumo_Inicial!AF10</f>
        <v>363047.04521406</v>
      </c>
      <c r="AG10" s="8">
        <f>Renta_Alta!AG10+Masivo!AG10+Consumo_Inicial!AG10</f>
        <v>361147.48124876001</v>
      </c>
      <c r="AH10" s="8">
        <f>Renta_Alta!AH10+Masivo!AH10+Consumo_Inicial!AH10</f>
        <v>366484.77543250995</v>
      </c>
      <c r="AI10" s="8">
        <f>Renta_Alta!AI10+Masivo!AI10+Consumo_Inicial!AI10</f>
        <v>367718.15003080002</v>
      </c>
      <c r="AJ10" s="8">
        <f>Renta_Alta!AJ10+Masivo!AJ10+Consumo_Inicial!AJ10</f>
        <v>355552.74137850001</v>
      </c>
      <c r="AK10" s="8">
        <f>Renta_Alta!AK10+Masivo!AK10+Consumo_Inicial!AK10</f>
        <v>363297.54422039998</v>
      </c>
      <c r="AL10" s="8">
        <f>Renta_Alta!AL10+Masivo!AL10+Consumo_Inicial!AL10</f>
        <v>354850.86990722001</v>
      </c>
      <c r="AM10" s="8">
        <f>Renta_Alta!AM10+Masivo!AM10+Consumo_Inicial!AM10</f>
        <v>356174.34822531004</v>
      </c>
      <c r="AN10" s="8">
        <f>Renta_Alta!AN10+Masivo!AN10+Consumo_Inicial!AN10</f>
        <v>351893.49000000005</v>
      </c>
      <c r="AO10" s="8">
        <f>Renta_Alta!AO10+Masivo!AO10+Consumo_Inicial!AO10</f>
        <v>338634.42</v>
      </c>
      <c r="AP10" s="8">
        <f>Renta_Alta!AP10+Masivo!AP10+Consumo_Inicial!AP10</f>
        <v>346980.86</v>
      </c>
      <c r="AQ10" s="8">
        <f>Renta_Alta!AQ10+Masivo!AQ10+Consumo_Inicial!AQ10</f>
        <v>342919.32348556997</v>
      </c>
      <c r="AR10" s="8">
        <f>Renta_Alta!AR10+Masivo!AR10+Consumo_Inicial!AR10</f>
        <v>337485.0124363199</v>
      </c>
      <c r="AS10" s="8">
        <f>Renta_Alta!AS10+Masivo!AS10+Consumo_Inicial!AS10</f>
        <v>353784.62845079997</v>
      </c>
      <c r="AT10" s="8">
        <f>Renta_Alta!AT10+Masivo!AT10+Consumo_Inicial!AT10</f>
        <v>0</v>
      </c>
      <c r="AU10" s="8">
        <f>Renta_Alta!AU10+Masivo!AU10+Consumo_Inicial!AU10</f>
        <v>0</v>
      </c>
      <c r="AV10" s="8">
        <f>Renta_Alta!AV10+Masivo!AV10+Consumo_Inicial!AV10</f>
        <v>0</v>
      </c>
      <c r="AW10" s="8">
        <f>Renta_Alta!AW10+Masivo!AW10+Consumo_Inicial!AW10</f>
        <v>0</v>
      </c>
      <c r="AX10" s="8">
        <f>Renta_Alta!AX10+Masivo!AX10+Consumo_Inicial!AX10</f>
        <v>0</v>
      </c>
      <c r="AY10" s="8">
        <f>Renta_Alta!AY10+Masivo!AY10+Consumo_Inicial!AY10</f>
        <v>0</v>
      </c>
      <c r="AZ10" s="8">
        <f>Renta_Alta!AZ10+Masivo!AZ10+Consumo_Inicial!AZ10</f>
        <v>372831.96275189857</v>
      </c>
      <c r="BA10" s="8">
        <f>Renta_Alta!BA10+Masivo!BA10+Consumo_Inicial!BA10</f>
        <v>369890.05412182515</v>
      </c>
      <c r="BB10" s="8">
        <f>Renta_Alta!BB10+Masivo!BB10+Consumo_Inicial!BB10</f>
        <v>375811.30618258036</v>
      </c>
      <c r="BC10" s="8">
        <f>Renta_Alta!BC10+Masivo!BC10+Consumo_Inicial!BC10</f>
        <v>384054.73018436879</v>
      </c>
      <c r="BD10" s="8">
        <f>Renta_Alta!BD10+Masivo!BD10+Consumo_Inicial!BD10</f>
        <v>378906.22706856299</v>
      </c>
      <c r="BE10" s="8">
        <f>Renta_Alta!BE10+Masivo!BE10+Consumo_Inicial!BE10</f>
        <v>385178.30872103764</v>
      </c>
      <c r="BF10" s="8">
        <f>Renta_Alta!BF10+Masivo!BF10+Consumo_Inicial!BF10</f>
        <v>380551.00111814146</v>
      </c>
      <c r="BG10" s="8">
        <f>Renta_Alta!BG10+Masivo!BG10+Consumo_Inicial!BG10</f>
        <v>383508.78307273018</v>
      </c>
      <c r="BH10" s="8">
        <f>Renta_Alta!BH10+Masivo!BH10+Consumo_Inicial!BH10</f>
        <v>383744.28113190306</v>
      </c>
      <c r="BI10" s="8">
        <f>Renta_Alta!BI10+Masivo!BI10+Consumo_Inicial!BI10</f>
        <v>388773.72830815188</v>
      </c>
      <c r="BJ10" s="8">
        <f>Renta_Alta!BJ10+Masivo!BJ10+Consumo_Inicial!BJ10</f>
        <v>393177.81844519137</v>
      </c>
      <c r="BK10" s="8">
        <f>Renta_Alta!BK10+Masivo!BK10+Consumo_Inicial!BK10</f>
        <v>391039.78600064578</v>
      </c>
      <c r="BO10" s="24">
        <f>_xlfn.XLOOKUP(BO$6,$D$6:$BM$6,$D10:$BM10,,0,1)</f>
        <v>346980.86</v>
      </c>
      <c r="BP10" s="24">
        <f>_xlfn.XLOOKUP(BP$6,$D$6:$BM$6,$D10:$BM10,,0,-1)</f>
        <v>375811.30618258036</v>
      </c>
      <c r="BQ10" s="24">
        <f t="shared" si="4"/>
        <v>338634.42</v>
      </c>
      <c r="BR10" s="24">
        <f t="shared" si="4"/>
        <v>343769.54418926011</v>
      </c>
      <c r="BS10" s="24">
        <f t="shared" si="4"/>
        <v>294205.10967955994</v>
      </c>
      <c r="BT10" s="24">
        <f t="shared" si="4"/>
        <v>249639.31522792004</v>
      </c>
    </row>
    <row r="11" spans="1:81" collapsed="1" x14ac:dyDescent="0.25">
      <c r="C11" s="60" t="s">
        <v>2</v>
      </c>
      <c r="D11" s="61">
        <f t="shared" ref="D11:AI11" si="5">SUM(D8:D10)</f>
        <v>9588231.7687435392</v>
      </c>
      <c r="E11" s="61">
        <f t="shared" si="5"/>
        <v>9626127.9052249417</v>
      </c>
      <c r="F11" s="61">
        <f t="shared" si="5"/>
        <v>9666109.0246420186</v>
      </c>
      <c r="G11" s="61">
        <f t="shared" si="5"/>
        <v>9714809.4002961498</v>
      </c>
      <c r="H11" s="61">
        <f t="shared" si="5"/>
        <v>9761262.7637594696</v>
      </c>
      <c r="I11" s="61">
        <f t="shared" si="5"/>
        <v>9811033.9184034187</v>
      </c>
      <c r="J11" s="61">
        <f t="shared" si="5"/>
        <v>9819008.6402004976</v>
      </c>
      <c r="K11" s="61">
        <f t="shared" si="5"/>
        <v>9883504.6383122485</v>
      </c>
      <c r="L11" s="61">
        <f t="shared" si="5"/>
        <v>9972270.9847639296</v>
      </c>
      <c r="M11" s="61">
        <f t="shared" si="5"/>
        <v>10038863.408272779</v>
      </c>
      <c r="N11" s="61">
        <f t="shared" si="5"/>
        <v>10067565.809619101</v>
      </c>
      <c r="O11" s="61">
        <f t="shared" si="5"/>
        <v>10091349.235453872</v>
      </c>
      <c r="P11" s="61">
        <f t="shared" si="5"/>
        <v>10127947.47477426</v>
      </c>
      <c r="Q11" s="61">
        <f t="shared" si="5"/>
        <v>10192922.125186998</v>
      </c>
      <c r="R11" s="61">
        <f t="shared" si="5"/>
        <v>10241612.646033958</v>
      </c>
      <c r="S11" s="61">
        <f t="shared" si="5"/>
        <v>10305974.82934808</v>
      </c>
      <c r="T11" s="61">
        <f t="shared" si="5"/>
        <v>10345725.00171998</v>
      </c>
      <c r="U11" s="61">
        <f t="shared" si="5"/>
        <v>10402782.124881152</v>
      </c>
      <c r="V11" s="61">
        <f t="shared" si="5"/>
        <v>10459925.973623913</v>
      </c>
      <c r="W11" s="61">
        <f t="shared" si="5"/>
        <v>10535597.367773199</v>
      </c>
      <c r="X11" s="61">
        <f t="shared" si="5"/>
        <v>10612587.57778202</v>
      </c>
      <c r="Y11" s="61">
        <f t="shared" si="5"/>
        <v>10701792.644751439</v>
      </c>
      <c r="Z11" s="61">
        <f t="shared" si="5"/>
        <v>10755615.782637762</v>
      </c>
      <c r="AA11" s="61">
        <f t="shared" si="5"/>
        <v>10825054.587979823</v>
      </c>
      <c r="AB11" s="61">
        <f t="shared" si="5"/>
        <v>10859292.331879282</v>
      </c>
      <c r="AC11" s="61">
        <f t="shared" si="5"/>
        <v>10920434.623513961</v>
      </c>
      <c r="AD11" s="61">
        <f t="shared" si="5"/>
        <v>10961168.433836319</v>
      </c>
      <c r="AE11" s="61">
        <f t="shared" si="5"/>
        <v>11023671.69614565</v>
      </c>
      <c r="AF11" s="61">
        <f t="shared" si="5"/>
        <v>11094038.920744259</v>
      </c>
      <c r="AG11" s="61">
        <f t="shared" si="5"/>
        <v>11178748.282277199</v>
      </c>
      <c r="AH11" s="61">
        <f t="shared" si="5"/>
        <v>11242851.474187618</v>
      </c>
      <c r="AI11" s="61">
        <f t="shared" si="5"/>
        <v>11342408.266542448</v>
      </c>
      <c r="AJ11" s="61">
        <f t="shared" ref="AJ11:BK11" si="6">SUM(AJ8:AJ10)</f>
        <v>11447079.732532799</v>
      </c>
      <c r="AK11" s="61">
        <f t="shared" si="6"/>
        <v>11552340.15777855</v>
      </c>
      <c r="AL11" s="61">
        <f t="shared" si="6"/>
        <v>11652454.99769946</v>
      </c>
      <c r="AM11" s="61">
        <f t="shared" si="6"/>
        <v>11716840.730556883</v>
      </c>
      <c r="AN11" s="61">
        <f t="shared" si="6"/>
        <v>11771575.220000001</v>
      </c>
      <c r="AO11" s="61">
        <f t="shared" si="6"/>
        <v>11849350.649999999</v>
      </c>
      <c r="AP11" s="61">
        <f t="shared" si="6"/>
        <v>11906961.310000001</v>
      </c>
      <c r="AQ11" s="61">
        <f t="shared" si="6"/>
        <v>11951449.861204304</v>
      </c>
      <c r="AR11" s="61">
        <f t="shared" si="6"/>
        <v>12019414.127228139</v>
      </c>
      <c r="AS11" s="61">
        <f t="shared" si="6"/>
        <v>12105389.531312598</v>
      </c>
      <c r="AT11" s="61">
        <f t="shared" si="6"/>
        <v>0</v>
      </c>
      <c r="AU11" s="61">
        <f t="shared" si="6"/>
        <v>0</v>
      </c>
      <c r="AV11" s="61">
        <f t="shared" si="6"/>
        <v>0</v>
      </c>
      <c r="AW11" s="61">
        <f t="shared" si="6"/>
        <v>0</v>
      </c>
      <c r="AX11" s="61">
        <f t="shared" si="6"/>
        <v>0</v>
      </c>
      <c r="AY11" s="61">
        <f t="shared" si="6"/>
        <v>0</v>
      </c>
      <c r="AZ11" s="61">
        <f t="shared" si="6"/>
        <v>11728965.830039851</v>
      </c>
      <c r="BA11" s="61">
        <f t="shared" si="6"/>
        <v>11801548.553768655</v>
      </c>
      <c r="BB11" s="61">
        <f t="shared" si="6"/>
        <v>11843810.487492403</v>
      </c>
      <c r="BC11" s="61">
        <f t="shared" si="6"/>
        <v>11904346.386808632</v>
      </c>
      <c r="BD11" s="61">
        <f t="shared" si="6"/>
        <v>11974134.991285142</v>
      </c>
      <c r="BE11" s="61">
        <f t="shared" si="6"/>
        <v>12063126.222840561</v>
      </c>
      <c r="BF11" s="61">
        <f t="shared" si="6"/>
        <v>12133922.597236814</v>
      </c>
      <c r="BG11" s="61">
        <f t="shared" si="6"/>
        <v>12242751.958217213</v>
      </c>
      <c r="BH11" s="61">
        <f t="shared" si="6"/>
        <v>12341714.729360238</v>
      </c>
      <c r="BI11" s="61">
        <f t="shared" si="6"/>
        <v>12456875.743421633</v>
      </c>
      <c r="BJ11" s="61">
        <f t="shared" si="6"/>
        <v>12556287.347217981</v>
      </c>
      <c r="BK11" s="61">
        <f t="shared" si="6"/>
        <v>12638872.018737162</v>
      </c>
      <c r="BO11" s="62">
        <f t="shared" ref="BO11:BT11" si="7">SUM(BO8:BO10)</f>
        <v>11906961.310000001</v>
      </c>
      <c r="BP11" s="62">
        <f t="shared" si="7"/>
        <v>11843810.487492403</v>
      </c>
      <c r="BQ11" s="62">
        <f t="shared" si="7"/>
        <v>11849350.649999999</v>
      </c>
      <c r="BR11" s="62">
        <f t="shared" si="7"/>
        <v>10961168.433836319</v>
      </c>
      <c r="BS11" s="62">
        <f t="shared" si="7"/>
        <v>10241612.646033958</v>
      </c>
      <c r="BT11" s="62">
        <f t="shared" si="7"/>
        <v>9666109.0246420186</v>
      </c>
    </row>
    <row r="12" spans="1:81" x14ac:dyDescent="0.25">
      <c r="D12" s="19">
        <f>[1]Base_Evolutivo!BE166-D11</f>
        <v>7.099006325006485E-4</v>
      </c>
      <c r="E12" s="19">
        <f>[1]Base_Evolutivo!BF166-E11</f>
        <v>-5.0620175898075104E-4</v>
      </c>
      <c r="F12" s="19">
        <f>[1]Base_Evolutivo!BG166-F11</f>
        <v>-1.7984025180339813E-4</v>
      </c>
      <c r="G12" s="19">
        <f>[1]Base_Evolutivo!BH166-G11</f>
        <v>5.7735107839107513E-4</v>
      </c>
      <c r="H12" s="19">
        <f>[1]Base_Evolutivo!BI166-H11</f>
        <v>4.1825883090496063E-4</v>
      </c>
      <c r="I12" s="19">
        <f>[1]Base_Evolutivo!BJ166-I11</f>
        <v>2.1660700440406799E-5</v>
      </c>
      <c r="J12" s="19">
        <f>[1]Base_Evolutivo!BK166-J11</f>
        <v>1.9318237900733948E-4</v>
      </c>
      <c r="K12" s="19">
        <f>[1]Base_Evolutivo!BL166-K11</f>
        <v>-8.649975061416626E-4</v>
      </c>
      <c r="L12" s="19">
        <f>[1]Base_Evolutivo!BM166-L11</f>
        <v>-5.681309849023819E-4</v>
      </c>
      <c r="M12" s="19">
        <f>[1]Base_Evolutivo!BN166-M11</f>
        <v>-6.3479878008365631E-4</v>
      </c>
      <c r="N12" s="19">
        <f>[1]Base_Evolutivo!BO166-N11</f>
        <v>-4.7334097325801849E-4</v>
      </c>
      <c r="O12" s="19">
        <f>[1]Base_Evolutivo!BP166-O11</f>
        <v>-7.460080087184906E-5</v>
      </c>
      <c r="P12" s="19">
        <f>[1]Base_Evolutivo!BQ166-P11</f>
        <v>-3.0293874442577362E-4</v>
      </c>
      <c r="Q12" s="19">
        <f>[1]Base_Evolutivo!BR166-Q11</f>
        <v>8.4080174565315247E-4</v>
      </c>
      <c r="R12" s="19">
        <f>[1]Base_Evolutivo!BS166-R11</f>
        <v>-1.6757845878601074E-4</v>
      </c>
      <c r="S12" s="19">
        <f>[1]Base_Evolutivo!BT166-S11</f>
        <v>-7.3757022619247437E-4</v>
      </c>
      <c r="T12" s="19">
        <f>[1]Base_Evolutivo!BU166-T11</f>
        <v>7.8411959111690521E-4</v>
      </c>
      <c r="U12" s="19">
        <f>[1]Base_Evolutivo!BV166-U11</f>
        <v>-3.2068043947219849E-4</v>
      </c>
      <c r="V12" s="19">
        <f>[1]Base_Evolutivo!BW166-V11</f>
        <v>2.7834810316562653E-4</v>
      </c>
      <c r="W12" s="19">
        <f>[1]Base_Evolutivo!BX166-W11</f>
        <v>3.5208091139793396E-4</v>
      </c>
      <c r="X12" s="19">
        <f>[1]Base_Evolutivo!BY166-X11</f>
        <v>-1.963004469871521E-4</v>
      </c>
      <c r="Y12" s="19">
        <f>[1]Base_Evolutivo!BZ166-Y11</f>
        <v>5.2352063357830048E-4</v>
      </c>
      <c r="Z12" s="19">
        <f>[1]Base_Evolutivo!CA166-Z11</f>
        <v>6.5449438989162445E-4</v>
      </c>
      <c r="AA12" s="19">
        <f>[1]Base_Evolutivo!CB166-AA11</f>
        <v>3.0009821057319641E-4</v>
      </c>
      <c r="AB12" s="19">
        <f>[1]Base_Evolutivo!CC166-AB11</f>
        <v>-1.0586343705654144E-4</v>
      </c>
      <c r="AC12" s="19">
        <f>[1]Base_Evolutivo!CD166-AC11</f>
        <v>-5.8124028146266937E-4</v>
      </c>
      <c r="AD12" s="19">
        <f>[1]Base_Evolutivo!CE166-AD11</f>
        <v>-9.2415697872638702E-4</v>
      </c>
      <c r="AE12" s="19">
        <f>[1]Base_Evolutivo!CF166-AE11</f>
        <v>5.2599236369132996E-5</v>
      </c>
      <c r="AF12" s="19">
        <f>[1]Base_Evolutivo!CG166-AF11</f>
        <v>3.6512129008769989E-4</v>
      </c>
      <c r="AG12" s="19">
        <f>[1]Base_Evolutivo!CH166-AG11</f>
        <v>-1.093987375497818E-4</v>
      </c>
      <c r="AH12" s="19">
        <f>[1]Base_Evolutivo!CI166-AH11</f>
        <v>2.8612278401851654E-4</v>
      </c>
      <c r="AI12" s="19">
        <f>[1]Base_Evolutivo!CJ166-AI11</f>
        <v>-4.2564794421195984E-4</v>
      </c>
      <c r="AJ12" s="19">
        <f>[1]Base_Evolutivo!CK166-AJ11</f>
        <v>5.1970034837722778E-4</v>
      </c>
      <c r="AK12" s="19">
        <f>[1]Base_Evolutivo!CL166-AK11</f>
        <v>-8.8354945182800293E-4</v>
      </c>
      <c r="AL12" s="19">
        <f>[1]Base_Evolutivo!CM166-AL11</f>
        <v>3.5508163273334503E-4</v>
      </c>
      <c r="AM12" s="19">
        <f>[1]Base_Evolutivo!CN166-AM11</f>
        <v>-4.2997300624847412E-4</v>
      </c>
      <c r="AN12" s="19">
        <f>[1]Base_Evolutivo!CO166-AN11</f>
        <v>-1.8400009721517563E-3</v>
      </c>
      <c r="AO12" s="19">
        <f>[1]Base_Evolutivo!CP166-AO11</f>
        <v>-3.8049995899200439E-2</v>
      </c>
      <c r="AP12" s="19">
        <f>[1]Base_Evolutivo!CQ166-AP11</f>
        <v>3.758000023663044E-2</v>
      </c>
      <c r="AQ12" s="19">
        <f>[1]Base_Evolutivo!CR166-AQ11</f>
        <v>0</v>
      </c>
      <c r="AR12" s="19">
        <f>[1]Base_Evolutivo!CS166-AR11</f>
        <v>0</v>
      </c>
      <c r="AS12" s="19">
        <f>[1]Base_Evolutivo!CT166-AS11</f>
        <v>0</v>
      </c>
      <c r="AT12" s="19">
        <f>[1]Base_Evolutivo!CU166-AT11</f>
        <v>12145515.235546324</v>
      </c>
      <c r="AU12" s="19">
        <f>[1]Base_Evolutivo!CV166-AU11</f>
        <v>0</v>
      </c>
      <c r="AV12" s="19">
        <f>[1]Base_Evolutivo!CW166-AV11</f>
        <v>0</v>
      </c>
      <c r="AW12" s="19">
        <f>[1]Base_Evolutivo!CX166-AW11</f>
        <v>0</v>
      </c>
      <c r="AX12" s="19">
        <f>[1]Base_Evolutivo!CY166-AX11</f>
        <v>0</v>
      </c>
      <c r="AY12" s="19">
        <f>[1]Base_Evolutivo!CZ166-AY11</f>
        <v>0</v>
      </c>
      <c r="AZ12" s="19">
        <f>[1]Base_Evolutivo!DA166-AZ11</f>
        <v>-11728965.830039851</v>
      </c>
      <c r="BA12" s="19">
        <f>[1]Base_Evolutivo!DB166-BA11</f>
        <v>-11801548.553768655</v>
      </c>
      <c r="BB12" s="19">
        <f>[1]Base_Evolutivo!DC166-BB11</f>
        <v>-11843810.487492403</v>
      </c>
      <c r="BC12" s="19">
        <f>[1]Base_Evolutivo!DD166-BC11</f>
        <v>-11904346.386808632</v>
      </c>
      <c r="BD12" s="19">
        <f>[1]Base_Evolutivo!DE166-BD11</f>
        <v>-11974134.991285142</v>
      </c>
      <c r="BE12" s="19">
        <f>[1]Base_Evolutivo!DF166-BE11</f>
        <v>-12063126.222840561</v>
      </c>
      <c r="BF12" s="19">
        <f>[1]Base_Evolutivo!DG166-BF11</f>
        <v>-12133922.597236814</v>
      </c>
      <c r="BG12" s="19">
        <f>[1]Base_Evolutivo!DH166-BG11</f>
        <v>-12242751.958217213</v>
      </c>
      <c r="BH12" s="19">
        <f>[1]Base_Evolutivo!DI166-BH11</f>
        <v>-12341714.729360238</v>
      </c>
      <c r="BI12" s="19">
        <f>[1]Base_Evolutivo!DJ166-BI11</f>
        <v>-12456875.743421633</v>
      </c>
      <c r="BJ12" s="19">
        <f>[1]Base_Evolutivo!DK166-BJ11</f>
        <v>-12556287.347217981</v>
      </c>
      <c r="BK12" s="19">
        <f>[1]Base_Evolutivo!DL166-BK11</f>
        <v>-12638872.018737162</v>
      </c>
    </row>
    <row r="14" spans="1:81" hidden="1" outlineLevel="1" x14ac:dyDescent="0.25">
      <c r="A14" s="58" t="s">
        <v>52</v>
      </c>
      <c r="C14" s="59" t="s">
        <v>0</v>
      </c>
      <c r="D14" s="8">
        <f>Renta_Alta!D14+Masivo!D14+Consumo_Inicial!D14</f>
        <v>9257226.0599262193</v>
      </c>
      <c r="E14" s="8">
        <f>Renta_Alta!E14+Masivo!E14+Consumo_Inicial!E14</f>
        <v>9300808.0004779492</v>
      </c>
      <c r="F14" s="8">
        <f>Renta_Alta!F14+Masivo!F14+Consumo_Inicial!F14</f>
        <v>9331212.7951529995</v>
      </c>
      <c r="G14" s="8">
        <f>Renta_Alta!G14+Masivo!G14+Consumo_Inicial!G14</f>
        <v>9371473.2039145995</v>
      </c>
      <c r="H14" s="8">
        <f>Renta_Alta!H14+Masivo!H14+Consumo_Inicial!H14</f>
        <v>9412260.8619280998</v>
      </c>
      <c r="I14" s="8">
        <f>Renta_Alta!I14+Masivo!I14+Consumo_Inicial!I14</f>
        <v>9461220.7277274989</v>
      </c>
      <c r="J14" s="8">
        <f>Renta_Alta!J14+Masivo!J14+Consumo_Inicial!J14</f>
        <v>9506413.5743523091</v>
      </c>
      <c r="K14" s="8">
        <f>Renta_Alta!K14+Masivo!K14+Consumo_Inicial!K14</f>
        <v>9526935.6340961996</v>
      </c>
      <c r="L14" s="8">
        <f>Renta_Alta!L14+Masivo!L14+Consumo_Inicial!L14</f>
        <v>9592630.8490344305</v>
      </c>
      <c r="M14" s="8">
        <f>Renta_Alta!M14+Masivo!M14+Consumo_Inicial!M14</f>
        <v>9669507.7116371002</v>
      </c>
      <c r="N14" s="8">
        <f>Renta_Alta!N14+Masivo!N14+Consumo_Inicial!N14</f>
        <v>9702552.1762100812</v>
      </c>
      <c r="O14" s="8">
        <f>Renta_Alta!O14+Masivo!O14+Consumo_Inicial!O14</f>
        <v>9739162.9613283724</v>
      </c>
      <c r="P14" s="8">
        <f>Renta_Alta!P14+Masivo!P14+Consumo_Inicial!P14</f>
        <v>9747695.4353680797</v>
      </c>
      <c r="Q14" s="8">
        <f>Renta_Alta!Q14+Masivo!Q14+Consumo_Inicial!Q14</f>
        <v>9799686.0989566613</v>
      </c>
      <c r="R14" s="8">
        <f>Renta_Alta!R14+Masivo!R14+Consumo_Inicial!R14</f>
        <v>9850997.1308992617</v>
      </c>
      <c r="S14" s="8">
        <f>Renta_Alta!S14+Masivo!S14+Consumo_Inicial!S14</f>
        <v>9886753.7703361996</v>
      </c>
      <c r="T14" s="8">
        <f>Renta_Alta!T14+Masivo!T14+Consumo_Inicial!T14</f>
        <v>9929376.2210489996</v>
      </c>
      <c r="U14" s="8">
        <f>Renta_Alta!U14+Masivo!U14+Consumo_Inicial!U14</f>
        <v>9977507.8512796219</v>
      </c>
      <c r="V14" s="8">
        <f>Renta_Alta!V14+Masivo!V14+Consumo_Inicial!V14</f>
        <v>10052929.584745342</v>
      </c>
      <c r="W14" s="8">
        <f>Renta_Alta!W14+Masivo!W14+Consumo_Inicial!W14</f>
        <v>10107129.939942988</v>
      </c>
      <c r="X14" s="8">
        <f>Renta_Alta!X14+Masivo!X14+Consumo_Inicial!X14</f>
        <v>10199955.090073062</v>
      </c>
      <c r="Y14" s="8">
        <f>Renta_Alta!Y14+Masivo!Y14+Consumo_Inicial!Y14</f>
        <v>10270733.4478918</v>
      </c>
      <c r="Z14" s="8">
        <f>Renta_Alta!Z14+Masivo!Z14+Consumo_Inicial!Z14</f>
        <v>10330535.161615919</v>
      </c>
      <c r="AA14" s="8">
        <f>Renta_Alta!AA14+Masivo!AA14+Consumo_Inicial!AA14</f>
        <v>10383537.15198105</v>
      </c>
      <c r="AB14" s="8">
        <f>Renta_Alta!AB14+Masivo!AB14+Consumo_Inicial!AB14</f>
        <v>10432588.92905288</v>
      </c>
      <c r="AC14" s="8">
        <f>Renta_Alta!AC14+Masivo!AC14+Consumo_Inicial!AC14</f>
        <v>10481241.961297</v>
      </c>
      <c r="AD14" s="8">
        <f>Renta_Alta!AD14+Masivo!AD14+Consumo_Inicial!AD14</f>
        <v>10528771.344747979</v>
      </c>
      <c r="AE14" s="8">
        <f>Renta_Alta!AE14+Masivo!AE14+Consumo_Inicial!AE14</f>
        <v>10574549.954997713</v>
      </c>
      <c r="AF14" s="8">
        <f>Renta_Alta!AF14+Masivo!AF14+Consumo_Inicial!AF14</f>
        <v>10623446.366065003</v>
      </c>
      <c r="AG14" s="8">
        <f>Renta_Alta!AG14+Masivo!AG14+Consumo_Inicial!AG14</f>
        <v>10695915.6870653</v>
      </c>
      <c r="AH14" s="8">
        <f>Renta_Alta!AH14+Masivo!AH14+Consumo_Inicial!AH14</f>
        <v>10778106.46800624</v>
      </c>
      <c r="AI14" s="8">
        <f>Renta_Alta!AI14+Masivo!AI14+Consumo_Inicial!AI14</f>
        <v>10845038.777288852</v>
      </c>
      <c r="AJ14" s="8">
        <f>Renta_Alta!AJ14+Masivo!AJ14+Consumo_Inicial!AJ14</f>
        <v>10952915.951011669</v>
      </c>
      <c r="AK14" s="8">
        <f>Renta_Alta!AK14+Masivo!AK14+Consumo_Inicial!AK14</f>
        <v>11044829.9881327</v>
      </c>
      <c r="AL14" s="8">
        <f>Renta_Alta!AL14+Masivo!AL14+Consumo_Inicial!AL14</f>
        <v>11151643.981318271</v>
      </c>
      <c r="AM14" s="8">
        <f>Renta_Alta!AM14+Masivo!AM14+Consumo_Inicial!AM14</f>
        <v>11241529.555046061</v>
      </c>
      <c r="AN14" s="8">
        <f>Renta_Alta!AN14+Masivo!AN14+Consumo_Inicial!AN14</f>
        <v>11298411.280000001</v>
      </c>
      <c r="AO14" s="8">
        <f>Renta_Alta!AO14+Masivo!AO14+Consumo_Inicial!AO14</f>
        <v>11375328.35</v>
      </c>
      <c r="AP14" s="8">
        <f>Renta_Alta!AP14+Masivo!AP14+Consumo_Inicial!AP14</f>
        <v>11451669.57</v>
      </c>
      <c r="AQ14" s="8">
        <f>Renta_Alta!AQ14+Masivo!AQ14+Consumo_Inicial!AQ14</f>
        <v>11484136.814052707</v>
      </c>
      <c r="AR14" s="8">
        <f>Renta_Alta!AR14+Masivo!AR14+Consumo_Inicial!AR14</f>
        <v>11551324.845299371</v>
      </c>
      <c r="AS14" s="8">
        <f>Renta_Alta!AS14+Masivo!AS14+Consumo_Inicial!AS14</f>
        <v>11623774.813821055</v>
      </c>
      <c r="AT14" s="8">
        <f>Renta_Alta!AT14+Masivo!AT14+Consumo_Inicial!AT14</f>
        <v>0</v>
      </c>
      <c r="AU14" s="8">
        <f>Renta_Alta!AU14+Masivo!AU14+Consumo_Inicial!AU14</f>
        <v>0</v>
      </c>
      <c r="AV14" s="8">
        <f>Renta_Alta!AV14+Masivo!AV14+Consumo_Inicial!AV14</f>
        <v>0</v>
      </c>
      <c r="AW14" s="8">
        <f>Renta_Alta!AW14+Masivo!AW14+Consumo_Inicial!AW14</f>
        <v>0</v>
      </c>
      <c r="AX14" s="8">
        <f>Renta_Alta!AX14+Masivo!AX14+Consumo_Inicial!AX14</f>
        <v>0</v>
      </c>
      <c r="AY14" s="8">
        <f>Renta_Alta!AY14+Masivo!AY14+Consumo_Inicial!AY14</f>
        <v>0</v>
      </c>
      <c r="AZ14" s="8">
        <f>Renta_Alta!AZ14+Masivo!AZ14+Consumo_Inicial!AZ14</f>
        <v>11236598.211234367</v>
      </c>
      <c r="BA14" s="8">
        <f>Renta_Alta!BA14+Masivo!BA14+Consumo_Inicial!BA14</f>
        <v>11308144.365209246</v>
      </c>
      <c r="BB14" s="8">
        <f>Renta_Alta!BB14+Masivo!BB14+Consumo_Inicial!BB14</f>
        <v>11344716.353114665</v>
      </c>
      <c r="BC14" s="8">
        <f>Renta_Alta!BC14+Masivo!BC14+Consumo_Inicial!BC14</f>
        <v>11400120.542960124</v>
      </c>
      <c r="BD14" s="8">
        <f>Renta_Alta!BD14+Masivo!BD14+Consumo_Inicial!BD14</f>
        <v>11474111.907668257</v>
      </c>
      <c r="BE14" s="8">
        <f>Renta_Alta!BE14+Masivo!BE14+Consumo_Inicial!BE14</f>
        <v>11555757.941081723</v>
      </c>
      <c r="BF14" s="8">
        <f>Renta_Alta!BF14+Masivo!BF14+Consumo_Inicial!BF14</f>
        <v>11629965.81201704</v>
      </c>
      <c r="BG14" s="8">
        <f>Renta_Alta!BG14+Masivo!BG14+Consumo_Inicial!BG14</f>
        <v>11734623.124391818</v>
      </c>
      <c r="BH14" s="8">
        <f>Renta_Alta!BH14+Masivo!BH14+Consumo_Inicial!BH14</f>
        <v>11832785.067605842</v>
      </c>
      <c r="BI14" s="8">
        <f>Renta_Alta!BI14+Masivo!BI14+Consumo_Inicial!BI14</f>
        <v>11944852.399387859</v>
      </c>
      <c r="BJ14" s="8">
        <f>Renta_Alta!BJ14+Masivo!BJ14+Consumo_Inicial!BJ14</f>
        <v>12038775.869250963</v>
      </c>
      <c r="BK14" s="8">
        <f>Renta_Alta!BK14+Masivo!BK14+Consumo_Inicial!BK14</f>
        <v>12122644.542318741</v>
      </c>
      <c r="BO14" s="24">
        <f t="shared" ref="BO14:BT16" si="8">IFERROR(AVERAGEIFS($D14:$BM14,$D$6:$BM$6,"&gt;="&amp;BO$2,$D$6:$BM$6,"&lt;="&amp;BO$6,$D$5:$BM$5,BO$5,$D14:$BM14,"&lt;&gt;0"),0)</f>
        <v>11375136.4</v>
      </c>
      <c r="BP14" s="24">
        <f t="shared" si="8"/>
        <v>11296486.309852758</v>
      </c>
      <c r="BQ14" s="24">
        <f t="shared" si="8"/>
        <v>11336869.815000001</v>
      </c>
      <c r="BR14" s="24">
        <f t="shared" si="8"/>
        <v>10480867.411699286</v>
      </c>
      <c r="BS14" s="24">
        <f t="shared" si="8"/>
        <v>9799459.5550746676</v>
      </c>
      <c r="BT14" s="24">
        <f t="shared" si="8"/>
        <v>9296415.6185190547</v>
      </c>
      <c r="BW14" s="24">
        <f t="shared" ref="BW14:CB16" si="9">SUMIFS($D14:$BM14,$D$6:$BM$6,"&gt;="&amp;BO$2,$D$6:$BM$6,"&lt;="&amp;BO$6,$D$5:$BM$5,BO$5)</f>
        <v>34125409.200000003</v>
      </c>
      <c r="BX14" s="24">
        <f t="shared" si="9"/>
        <v>33889458.929558277</v>
      </c>
      <c r="BY14" s="24">
        <f t="shared" si="9"/>
        <v>22673739.630000003</v>
      </c>
      <c r="BZ14" s="24">
        <f t="shared" si="9"/>
        <v>31442602.235097859</v>
      </c>
      <c r="CA14" s="24">
        <f t="shared" si="9"/>
        <v>29398378.665224005</v>
      </c>
      <c r="CB14" s="24">
        <f t="shared" si="9"/>
        <v>27889246.855557166</v>
      </c>
    </row>
    <row r="15" spans="1:81" hidden="1" outlineLevel="1" x14ac:dyDescent="0.25">
      <c r="A15" s="58" t="s">
        <v>52</v>
      </c>
      <c r="C15" s="59" t="s">
        <v>1</v>
      </c>
      <c r="D15" s="8">
        <f>Renta_Alta!D15+Masivo!D15+Consumo_Inicial!D15</f>
        <v>33664.68750493</v>
      </c>
      <c r="E15" s="8">
        <f>Renta_Alta!E15+Masivo!E15+Consumo_Inicial!E15</f>
        <v>33016.353656699997</v>
      </c>
      <c r="F15" s="8">
        <f>Renta_Alta!F15+Masivo!F15+Consumo_Inicial!F15</f>
        <v>33680.967703000002</v>
      </c>
      <c r="G15" s="8">
        <f>Renta_Alta!G15+Masivo!G15+Consumo_Inicial!G15</f>
        <v>35462.042327679999</v>
      </c>
      <c r="H15" s="8">
        <f>Renta_Alta!H15+Masivo!H15+Consumo_Inicial!H15</f>
        <v>32168.941914999999</v>
      </c>
      <c r="I15" s="8">
        <f>Renta_Alta!I15+Masivo!I15+Consumo_Inicial!I15</f>
        <v>31816.475266999998</v>
      </c>
      <c r="J15" s="8">
        <f>Renta_Alta!J15+Masivo!J15+Consumo_Inicial!J15</f>
        <v>31950.150091999996</v>
      </c>
      <c r="K15" s="8">
        <f>Renta_Alta!K15+Masivo!K15+Consumo_Inicial!K15</f>
        <v>31049.96227</v>
      </c>
      <c r="L15" s="8">
        <f>Renta_Alta!L15+Masivo!L15+Consumo_Inicial!L15</f>
        <v>30140.273293000002</v>
      </c>
      <c r="M15" s="8">
        <f>Renta_Alta!M15+Masivo!M15+Consumo_Inicial!M15</f>
        <v>31185.569309999999</v>
      </c>
      <c r="N15" s="8">
        <f>Renta_Alta!N15+Masivo!N15+Consumo_Inicial!N15</f>
        <v>32287.885033999999</v>
      </c>
      <c r="O15" s="8">
        <f>Renta_Alta!O15+Masivo!O15+Consumo_Inicial!O15</f>
        <v>32022.883992000003</v>
      </c>
      <c r="P15" s="8">
        <f>Renta_Alta!P15+Masivo!P15+Consumo_Inicial!P15</f>
        <v>31388.609351000003</v>
      </c>
      <c r="Q15" s="8">
        <f>Renta_Alta!Q15+Masivo!Q15+Consumo_Inicial!Q15</f>
        <v>31114.788418999997</v>
      </c>
      <c r="R15" s="8">
        <f>Renta_Alta!R15+Masivo!R15+Consumo_Inicial!R15</f>
        <v>31397.627214</v>
      </c>
      <c r="S15" s="8">
        <f>Renta_Alta!S15+Masivo!S15+Consumo_Inicial!S15</f>
        <v>31076.223066999999</v>
      </c>
      <c r="T15" s="8">
        <f>Renta_Alta!T15+Masivo!T15+Consumo_Inicial!T15</f>
        <v>29863.766595999998</v>
      </c>
      <c r="U15" s="8">
        <f>Renta_Alta!U15+Masivo!U15+Consumo_Inicial!U15</f>
        <v>29615.935447000003</v>
      </c>
      <c r="V15" s="8">
        <f>Renta_Alta!V15+Masivo!V15+Consumo_Inicial!V15</f>
        <v>29302.929525</v>
      </c>
      <c r="W15" s="8">
        <f>Renta_Alta!W15+Masivo!W15+Consumo_Inicial!W15</f>
        <v>28825.368410999999</v>
      </c>
      <c r="X15" s="8">
        <f>Renta_Alta!X15+Masivo!X15+Consumo_Inicial!X15</f>
        <v>28553.898128000001</v>
      </c>
      <c r="Y15" s="8">
        <f>Renta_Alta!Y15+Masivo!Y15+Consumo_Inicial!Y15</f>
        <v>28960.984007999999</v>
      </c>
      <c r="Z15" s="8">
        <f>Renta_Alta!Z15+Masivo!Z15+Consumo_Inicial!Z15</f>
        <v>29059.660706999999</v>
      </c>
      <c r="AA15" s="8">
        <f>Renta_Alta!AA15+Masivo!AA15+Consumo_Inicial!AA15</f>
        <v>29033.65149</v>
      </c>
      <c r="AB15" s="8">
        <f>Renta_Alta!AB15+Masivo!AB15+Consumo_Inicial!AB15</f>
        <v>30006.003107000004</v>
      </c>
      <c r="AC15" s="8">
        <f>Renta_Alta!AC15+Masivo!AC15+Consumo_Inicial!AC15</f>
        <v>29209.503111999999</v>
      </c>
      <c r="AD15" s="8">
        <f>Renta_Alta!AD15+Masivo!AD15+Consumo_Inicial!AD15</f>
        <v>29133.808720000001</v>
      </c>
      <c r="AE15" s="8">
        <f>Renta_Alta!AE15+Masivo!AE15+Consumo_Inicial!AE15</f>
        <v>30124.895724000002</v>
      </c>
      <c r="AF15" s="8">
        <f>Renta_Alta!AF15+Masivo!AF15+Consumo_Inicial!AF15</f>
        <v>29582.486515999997</v>
      </c>
      <c r="AG15" s="8">
        <f>Renta_Alta!AG15+Masivo!AG15+Consumo_Inicial!AG15</f>
        <v>29337.699035000001</v>
      </c>
      <c r="AH15" s="8">
        <f>Renta_Alta!AH15+Masivo!AH15+Consumo_Inicial!AH15</f>
        <v>30072.738721000002</v>
      </c>
      <c r="AI15" s="8">
        <f>Renta_Alta!AI15+Masivo!AI15+Consumo_Inicial!AI15</f>
        <v>29860.630967999998</v>
      </c>
      <c r="AJ15" s="8">
        <f>Renta_Alta!AJ15+Masivo!AJ15+Consumo_Inicial!AJ15</f>
        <v>30097.715786000001</v>
      </c>
      <c r="AK15" s="8">
        <f>Renta_Alta!AK15+Masivo!AK15+Consumo_Inicial!AK15</f>
        <v>30328.433640900003</v>
      </c>
      <c r="AL15" s="8">
        <f>Renta_Alta!AL15+Masivo!AL15+Consumo_Inicial!AL15</f>
        <v>30392.644781000003</v>
      </c>
      <c r="AM15" s="8">
        <f>Renta_Alta!AM15+Masivo!AM15+Consumo_Inicial!AM15</f>
        <v>30539.203081</v>
      </c>
      <c r="AN15" s="8">
        <f>Renta_Alta!AN15+Masivo!AN15+Consumo_Inicial!AN15</f>
        <v>32199.99</v>
      </c>
      <c r="AO15" s="8">
        <f>Renta_Alta!AO15+Masivo!AO15+Consumo_Inicial!AO15</f>
        <v>31737.910000000003</v>
      </c>
      <c r="AP15" s="8">
        <f>Renta_Alta!AP15+Masivo!AP15+Consumo_Inicial!AP15</f>
        <v>33692.729999999996</v>
      </c>
      <c r="AQ15" s="8">
        <f>Renta_Alta!AQ15+Masivo!AQ15+Consumo_Inicial!AQ15</f>
        <v>33479.589350540002</v>
      </c>
      <c r="AR15" s="8">
        <f>Renta_Alta!AR15+Masivo!AR15+Consumo_Inicial!AR15</f>
        <v>33631.278909660003</v>
      </c>
      <c r="AS15" s="8">
        <f>Renta_Alta!AS15+Masivo!AS15+Consumo_Inicial!AS15</f>
        <v>32715.558494850015</v>
      </c>
      <c r="AT15" s="8">
        <f>Renta_Alta!AT15+Masivo!AT15+Consumo_Inicial!AT15</f>
        <v>0</v>
      </c>
      <c r="AU15" s="8">
        <f>Renta_Alta!AU15+Masivo!AU15+Consumo_Inicial!AU15</f>
        <v>0</v>
      </c>
      <c r="AV15" s="8">
        <f>Renta_Alta!AV15+Masivo!AV15+Consumo_Inicial!AV15</f>
        <v>0</v>
      </c>
      <c r="AW15" s="8">
        <f>Renta_Alta!AW15+Masivo!AW15+Consumo_Inicial!AW15</f>
        <v>0</v>
      </c>
      <c r="AX15" s="8">
        <f>Renta_Alta!AX15+Masivo!AX15+Consumo_Inicial!AX15</f>
        <v>0</v>
      </c>
      <c r="AY15" s="8">
        <f>Renta_Alta!AY15+Masivo!AY15+Consumo_Inicial!AY15</f>
        <v>0</v>
      </c>
      <c r="AZ15" s="8">
        <f>Renta_Alta!AZ15+Masivo!AZ15+Consumo_Inicial!AZ15</f>
        <v>29611.859202446081</v>
      </c>
      <c r="BA15" s="8">
        <f>Renta_Alta!BA15+Masivo!BA15+Consumo_Inicial!BA15</f>
        <v>29125.214466432881</v>
      </c>
      <c r="BB15" s="8">
        <f>Renta_Alta!BB15+Masivo!BB15+Consumo_Inicial!BB15</f>
        <v>29533.240684444303</v>
      </c>
      <c r="BC15" s="8">
        <f>Renta_Alta!BC15+Masivo!BC15+Consumo_Inicial!BC15</f>
        <v>28235.574414945193</v>
      </c>
      <c r="BD15" s="8">
        <f>Renta_Alta!BD15+Masivo!BD15+Consumo_Inicial!BD15</f>
        <v>27915.117670654916</v>
      </c>
      <c r="BE15" s="8">
        <f>Renta_Alta!BE15+Masivo!BE15+Consumo_Inicial!BE15</f>
        <v>27963.531966441951</v>
      </c>
      <c r="BF15" s="8">
        <f>Renta_Alta!BF15+Masivo!BF15+Consumo_Inicial!BF15</f>
        <v>28334.826046468585</v>
      </c>
      <c r="BG15" s="8">
        <f>Renta_Alta!BG15+Masivo!BG15+Consumo_Inicial!BG15</f>
        <v>28295.464917469675</v>
      </c>
      <c r="BH15" s="8">
        <f>Renta_Alta!BH15+Masivo!BH15+Consumo_Inicial!BH15</f>
        <v>28297.303926844354</v>
      </c>
      <c r="BI15" s="8">
        <f>Renta_Alta!BI15+Masivo!BI15+Consumo_Inicial!BI15</f>
        <v>25557.814102962555</v>
      </c>
      <c r="BJ15" s="8">
        <f>Renta_Alta!BJ15+Masivo!BJ15+Consumo_Inicial!BJ15</f>
        <v>25636.429821796533</v>
      </c>
      <c r="BK15" s="8">
        <f>Renta_Alta!BK15+Masivo!BK15+Consumo_Inicial!BK15</f>
        <v>25645.237967554924</v>
      </c>
      <c r="BO15" s="24">
        <f t="shared" si="8"/>
        <v>32543.543333333335</v>
      </c>
      <c r="BP15" s="24">
        <f t="shared" si="8"/>
        <v>29423.438117774422</v>
      </c>
      <c r="BQ15" s="24">
        <f t="shared" si="8"/>
        <v>31968.950000000004</v>
      </c>
      <c r="BR15" s="24">
        <f t="shared" si="8"/>
        <v>29449.771646333335</v>
      </c>
      <c r="BS15" s="24">
        <f t="shared" si="8"/>
        <v>31300.341661333328</v>
      </c>
      <c r="BT15" s="24">
        <f t="shared" si="8"/>
        <v>33454.002954876669</v>
      </c>
      <c r="BW15" s="24">
        <f t="shared" si="9"/>
        <v>97630.63</v>
      </c>
      <c r="BX15" s="24">
        <f t="shared" si="9"/>
        <v>88270.314353323265</v>
      </c>
      <c r="BY15" s="24">
        <f t="shared" si="9"/>
        <v>63937.900000000009</v>
      </c>
      <c r="BZ15" s="24">
        <f t="shared" si="9"/>
        <v>88349.314939000004</v>
      </c>
      <c r="CA15" s="24">
        <f t="shared" si="9"/>
        <v>93901.024983999989</v>
      </c>
      <c r="CB15" s="24">
        <f t="shared" si="9"/>
        <v>100362.00886463</v>
      </c>
    </row>
    <row r="16" spans="1:81" hidden="1" outlineLevel="1" x14ac:dyDescent="0.25">
      <c r="A16" s="58" t="s">
        <v>52</v>
      </c>
      <c r="C16" s="59" t="s">
        <v>45</v>
      </c>
      <c r="D16" s="8">
        <f>Renta_Alta!D16+Masivo!D16+Consumo_Inicial!D16</f>
        <v>250475.73108632999</v>
      </c>
      <c r="E16" s="8">
        <f>Renta_Alta!E16+Masivo!E16+Consumo_Inicial!E16</f>
        <v>250988.20809968995</v>
      </c>
      <c r="F16" s="8">
        <f>Renta_Alta!F16+Masivo!F16+Consumo_Inicial!F16</f>
        <v>256054.79527120004</v>
      </c>
      <c r="G16" s="8">
        <f>Renta_Alta!G16+Masivo!G16+Consumo_Inicial!G16</f>
        <v>258747.31587515995</v>
      </c>
      <c r="H16" s="8">
        <f>Renta_Alta!H16+Masivo!H16+Consumo_Inicial!H16</f>
        <v>266957.02190186008</v>
      </c>
      <c r="I16" s="8">
        <f>Renta_Alta!I16+Masivo!I16+Consumo_Inicial!I16</f>
        <v>269070.21948700002</v>
      </c>
      <c r="J16" s="8">
        <f>Renta_Alta!J16+Masivo!J16+Consumo_Inicial!J16</f>
        <v>264874.70050917001</v>
      </c>
      <c r="K16" s="8">
        <f>Renta_Alta!K16+Masivo!K16+Consumo_Inicial!K16</f>
        <v>270189.02802590007</v>
      </c>
      <c r="L16" s="8">
        <f>Renta_Alta!L16+Masivo!L16+Consumo_Inicial!L16</f>
        <v>277017.93273902999</v>
      </c>
      <c r="M16" s="8">
        <f>Renta_Alta!M16+Masivo!M16+Consumo_Inicial!M16</f>
        <v>282404.04114064993</v>
      </c>
      <c r="N16" s="8">
        <f>Renta_Alta!N16+Masivo!N16+Consumo_Inicial!N16</f>
        <v>290615.26805705996</v>
      </c>
      <c r="O16" s="8">
        <f>Renta_Alta!O16+Masivo!O16+Consumo_Inicial!O16</f>
        <v>288114.40040431003</v>
      </c>
      <c r="P16" s="8">
        <f>Renta_Alta!P16+Masivo!P16+Consumo_Inicial!P16</f>
        <v>299603.89699944004</v>
      </c>
      <c r="Q16" s="8">
        <f>Renta_Alta!Q16+Masivo!Q16+Consumo_Inicial!Q16</f>
        <v>305940.01039277989</v>
      </c>
      <c r="R16" s="8">
        <f>Renta_Alta!R16+Masivo!R16+Consumo_Inicial!R16</f>
        <v>306654.19162747997</v>
      </c>
      <c r="S16" s="8">
        <f>Renta_Alta!S16+Masivo!S16+Consumo_Inicial!S16</f>
        <v>319837.71864367992</v>
      </c>
      <c r="T16" s="8">
        <f>Renta_Alta!T16+Masivo!T16+Consumo_Inicial!T16</f>
        <v>329146.90274989995</v>
      </c>
      <c r="U16" s="8">
        <f>Renta_Alta!U16+Masivo!U16+Consumo_Inicial!U16</f>
        <v>335915.58679579996</v>
      </c>
      <c r="V16" s="8">
        <f>Renta_Alta!V16+Masivo!V16+Consumo_Inicial!V16</f>
        <v>327420.235659</v>
      </c>
      <c r="W16" s="8">
        <f>Renta_Alta!W16+Masivo!W16+Consumo_Inicial!W16</f>
        <v>322384.69294405996</v>
      </c>
      <c r="X16" s="8">
        <f>Renta_Alta!X16+Masivo!X16+Consumo_Inicial!X16</f>
        <v>319941.02421054</v>
      </c>
      <c r="Y16" s="8">
        <f>Renta_Alta!Y16+Masivo!Y16+Consumo_Inicial!Y16</f>
        <v>314961.81859668001</v>
      </c>
      <c r="Z16" s="8">
        <f>Renta_Alta!Z16+Masivo!Z16+Consumo_Inicial!Z16</f>
        <v>330968.16151728004</v>
      </c>
      <c r="AA16" s="8">
        <f>Renta_Alta!AA16+Masivo!AA16+Consumo_Inicial!AA16</f>
        <v>334881.68431749992</v>
      </c>
      <c r="AB16" s="8">
        <f>Renta_Alta!AB16+Masivo!AB16+Consumo_Inicial!AB16</f>
        <v>336830.26982804999</v>
      </c>
      <c r="AC16" s="8">
        <f>Renta_Alta!AC16+Masivo!AC16+Consumo_Inicial!AC16</f>
        <v>338850.01500399999</v>
      </c>
      <c r="AD16" s="8">
        <f>Renta_Alta!AD16+Masivo!AD16+Consumo_Inicial!AD16</f>
        <v>347248.64839410997</v>
      </c>
      <c r="AE16" s="8">
        <f>Renta_Alta!AE16+Masivo!AE16+Consumo_Inicial!AE16</f>
        <v>351935.24420632998</v>
      </c>
      <c r="AF16" s="8">
        <f>Renta_Alta!AF16+Masivo!AF16+Consumo_Inicial!AF16</f>
        <v>365999.8628327999</v>
      </c>
      <c r="AG16" s="8">
        <f>Renta_Alta!AG16+Masivo!AG16+Consumo_Inicial!AG16</f>
        <v>371695.33138821996</v>
      </c>
      <c r="AH16" s="8">
        <f>Renta_Alta!AH16+Masivo!AH16+Consumo_Inicial!AH16</f>
        <v>365640.32965312008</v>
      </c>
      <c r="AI16" s="8">
        <f>Renta_Alta!AI16+Masivo!AI16+Consumo_Inicial!AI16</f>
        <v>370426.73745900003</v>
      </c>
      <c r="AJ16" s="8">
        <f>Renta_Alta!AJ16+Masivo!AJ16+Consumo_Inicial!AJ16</f>
        <v>363089.31727121008</v>
      </c>
      <c r="AK16" s="8">
        <f>Renta_Alta!AK16+Masivo!AK16+Consumo_Inicial!AK16</f>
        <v>368332.69970861997</v>
      </c>
      <c r="AL16" s="8">
        <f>Renta_Alta!AL16+Masivo!AL16+Consumo_Inicial!AL16</f>
        <v>372344.92970203009</v>
      </c>
      <c r="AM16" s="8">
        <f>Renta_Alta!AM16+Masivo!AM16+Consumo_Inicial!AM16</f>
        <v>369181.59966645989</v>
      </c>
      <c r="AN16" s="8">
        <f>Renta_Alta!AN16+Masivo!AN16+Consumo_Inicial!AN16</f>
        <v>363174.95999999996</v>
      </c>
      <c r="AO16" s="8">
        <f>Renta_Alta!AO16+Masivo!AO16+Consumo_Inicial!AO16</f>
        <v>357954.66</v>
      </c>
      <c r="AP16" s="8">
        <f>Renta_Alta!AP16+Masivo!AP16+Consumo_Inicial!AP16</f>
        <v>352941.66</v>
      </c>
      <c r="AQ16" s="8">
        <f>Renta_Alta!AQ16+Masivo!AQ16+Consumo_Inicial!AQ16</f>
        <v>356737.77392857982</v>
      </c>
      <c r="AR16" s="8">
        <f>Renta_Alta!AR16+Masivo!AR16+Consumo_Inicial!AR16</f>
        <v>355084.09884455998</v>
      </c>
      <c r="AS16" s="8">
        <f>Renta_Alta!AS16+Masivo!AS16+Consumo_Inicial!AS16</f>
        <v>357221.57208399998</v>
      </c>
      <c r="AT16" s="8">
        <f>Renta_Alta!AT16+Masivo!AT16+Consumo_Inicial!AT16</f>
        <v>0</v>
      </c>
      <c r="AU16" s="8">
        <f>Renta_Alta!AU16+Masivo!AU16+Consumo_Inicial!AU16</f>
        <v>0</v>
      </c>
      <c r="AV16" s="8">
        <f>Renta_Alta!AV16+Masivo!AV16+Consumo_Inicial!AV16</f>
        <v>0</v>
      </c>
      <c r="AW16" s="8">
        <f>Renta_Alta!AW16+Masivo!AW16+Consumo_Inicial!AW16</f>
        <v>0</v>
      </c>
      <c r="AX16" s="8">
        <f>Renta_Alta!AX16+Masivo!AX16+Consumo_Inicial!AX16</f>
        <v>0</v>
      </c>
      <c r="AY16" s="8">
        <f>Renta_Alta!AY16+Masivo!AY16+Consumo_Inicial!AY16</f>
        <v>0</v>
      </c>
      <c r="AZ16" s="8">
        <f>Renta_Alta!AZ16+Masivo!AZ16+Consumo_Inicial!AZ16</f>
        <v>369804.1004393847</v>
      </c>
      <c r="BA16" s="8">
        <f>Renta_Alta!BA16+Masivo!BA16+Consumo_Inicial!BA16</f>
        <v>366764.10018532863</v>
      </c>
      <c r="BB16" s="8">
        <f>Renta_Alta!BB16+Masivo!BB16+Consumo_Inicial!BB16</f>
        <v>372710.8047826768</v>
      </c>
      <c r="BC16" s="8">
        <f>Renta_Alta!BC16+Masivo!BC16+Consumo_Inicial!BC16</f>
        <v>380900.59002540505</v>
      </c>
      <c r="BD16" s="8">
        <f>Renta_Alta!BD16+Masivo!BD16+Consumo_Inicial!BD16</f>
        <v>375788.28794791573</v>
      </c>
      <c r="BE16" s="8">
        <f>Renta_Alta!BE16+Masivo!BE16+Consumo_Inicial!BE16</f>
        <v>382016.57836275682</v>
      </c>
      <c r="BF16" s="8">
        <f>Renta_Alta!BF16+Masivo!BF16+Consumo_Inicial!BF16</f>
        <v>377421.58365435986</v>
      </c>
      <c r="BG16" s="8">
        <f>Renta_Alta!BG16+Masivo!BG16+Consumo_Inicial!BG16</f>
        <v>380354.35398655041</v>
      </c>
      <c r="BH16" s="8">
        <f>Renta_Alta!BH16+Masivo!BH16+Consumo_Inicial!BH16</f>
        <v>380602.42959857691</v>
      </c>
      <c r="BI16" s="8">
        <f>Renta_Alta!BI16+Masivo!BI16+Consumo_Inicial!BI16</f>
        <v>385590.57756554225</v>
      </c>
      <c r="BJ16" s="8">
        <f>Renta_Alta!BJ16+Masivo!BJ16+Consumo_Inicial!BJ16</f>
        <v>389965.03467270167</v>
      </c>
      <c r="BK16" s="8">
        <f>Renta_Alta!BK16+Masivo!BK16+Consumo_Inicial!BK16</f>
        <v>387844.30456611735</v>
      </c>
      <c r="BO16" s="24">
        <f t="shared" si="8"/>
        <v>358023.75999999995</v>
      </c>
      <c r="BP16" s="24">
        <f t="shared" si="8"/>
        <v>369759.66846913006</v>
      </c>
      <c r="BQ16" s="24">
        <f t="shared" si="8"/>
        <v>360564.80999999994</v>
      </c>
      <c r="BR16" s="24">
        <f t="shared" si="8"/>
        <v>340976.31107538665</v>
      </c>
      <c r="BS16" s="24">
        <f t="shared" si="8"/>
        <v>304066.03300656663</v>
      </c>
      <c r="BT16" s="24">
        <f t="shared" si="8"/>
        <v>252506.24481907333</v>
      </c>
      <c r="BW16" s="24">
        <f t="shared" si="9"/>
        <v>1074071.2799999998</v>
      </c>
      <c r="BX16" s="24">
        <f t="shared" si="9"/>
        <v>1109279.0054073902</v>
      </c>
      <c r="BY16" s="24">
        <f t="shared" si="9"/>
        <v>721129.61999999988</v>
      </c>
      <c r="BZ16" s="24">
        <f t="shared" si="9"/>
        <v>1022928.93322616</v>
      </c>
      <c r="CA16" s="24">
        <f t="shared" si="9"/>
        <v>912198.09901969985</v>
      </c>
      <c r="CB16" s="24">
        <f t="shared" si="9"/>
        <v>757518.73445721995</v>
      </c>
    </row>
    <row r="17" spans="1:80" collapsed="1" x14ac:dyDescent="0.25">
      <c r="C17" s="60" t="s">
        <v>56</v>
      </c>
      <c r="D17" s="61">
        <f t="shared" ref="D17:AI17" si="10">SUM(D14:D16)</f>
        <v>9541366.4785174802</v>
      </c>
      <c r="E17" s="61">
        <f t="shared" si="10"/>
        <v>9584812.5622343384</v>
      </c>
      <c r="F17" s="61">
        <f t="shared" si="10"/>
        <v>9620948.5581271984</v>
      </c>
      <c r="G17" s="61">
        <f t="shared" si="10"/>
        <v>9665682.5621174388</v>
      </c>
      <c r="H17" s="61">
        <f t="shared" si="10"/>
        <v>9711386.8257449605</v>
      </c>
      <c r="I17" s="61">
        <f t="shared" si="10"/>
        <v>9762107.4224814996</v>
      </c>
      <c r="J17" s="61">
        <f t="shared" si="10"/>
        <v>9803238.4249534793</v>
      </c>
      <c r="K17" s="61">
        <f t="shared" si="10"/>
        <v>9828174.6243920997</v>
      </c>
      <c r="L17" s="61">
        <f t="shared" si="10"/>
        <v>9899789.0550664607</v>
      </c>
      <c r="M17" s="61">
        <f t="shared" si="10"/>
        <v>9983097.3220877498</v>
      </c>
      <c r="N17" s="61">
        <f t="shared" si="10"/>
        <v>10025455.329301141</v>
      </c>
      <c r="O17" s="61">
        <f t="shared" si="10"/>
        <v>10059300.245724682</v>
      </c>
      <c r="P17" s="61">
        <f t="shared" si="10"/>
        <v>10078687.941718519</v>
      </c>
      <c r="Q17" s="61">
        <f t="shared" si="10"/>
        <v>10136740.897768442</v>
      </c>
      <c r="R17" s="61">
        <f t="shared" si="10"/>
        <v>10189048.949740741</v>
      </c>
      <c r="S17" s="61">
        <f t="shared" si="10"/>
        <v>10237667.71204688</v>
      </c>
      <c r="T17" s="61">
        <f t="shared" si="10"/>
        <v>10288386.8903949</v>
      </c>
      <c r="U17" s="61">
        <f t="shared" si="10"/>
        <v>10343039.373522421</v>
      </c>
      <c r="V17" s="61">
        <f t="shared" si="10"/>
        <v>10409652.749929341</v>
      </c>
      <c r="W17" s="61">
        <f t="shared" si="10"/>
        <v>10458340.001298048</v>
      </c>
      <c r="X17" s="61">
        <f t="shared" si="10"/>
        <v>10548450.012411602</v>
      </c>
      <c r="Y17" s="61">
        <f t="shared" si="10"/>
        <v>10614656.250496479</v>
      </c>
      <c r="Z17" s="61">
        <f t="shared" si="10"/>
        <v>10690562.983840199</v>
      </c>
      <c r="AA17" s="61">
        <f t="shared" si="10"/>
        <v>10747452.487788549</v>
      </c>
      <c r="AB17" s="61">
        <f t="shared" si="10"/>
        <v>10799425.20198793</v>
      </c>
      <c r="AC17" s="61">
        <f t="shared" si="10"/>
        <v>10849301.479412999</v>
      </c>
      <c r="AD17" s="61">
        <f t="shared" si="10"/>
        <v>10905153.801862089</v>
      </c>
      <c r="AE17" s="61">
        <f t="shared" si="10"/>
        <v>10956610.094928043</v>
      </c>
      <c r="AF17" s="61">
        <f t="shared" si="10"/>
        <v>11019028.715413803</v>
      </c>
      <c r="AG17" s="61">
        <f t="shared" si="10"/>
        <v>11096948.71748852</v>
      </c>
      <c r="AH17" s="61">
        <f t="shared" si="10"/>
        <v>11173819.53638036</v>
      </c>
      <c r="AI17" s="61">
        <f t="shared" si="10"/>
        <v>11245326.145715853</v>
      </c>
      <c r="AJ17" s="61">
        <f t="shared" ref="AJ17:BK17" si="11">SUM(AJ14:AJ16)</f>
        <v>11346102.98406888</v>
      </c>
      <c r="AK17" s="61">
        <f t="shared" si="11"/>
        <v>11443491.12148222</v>
      </c>
      <c r="AL17" s="61">
        <f t="shared" si="11"/>
        <v>11554381.555801302</v>
      </c>
      <c r="AM17" s="61">
        <f t="shared" si="11"/>
        <v>11641250.357793521</v>
      </c>
      <c r="AN17" s="61">
        <f t="shared" si="11"/>
        <v>11693786.23</v>
      </c>
      <c r="AO17" s="61">
        <f t="shared" si="11"/>
        <v>11765020.92</v>
      </c>
      <c r="AP17" s="61">
        <f t="shared" si="11"/>
        <v>11838303.960000001</v>
      </c>
      <c r="AQ17" s="61">
        <f t="shared" si="11"/>
        <v>11874354.177331826</v>
      </c>
      <c r="AR17" s="61">
        <f t="shared" si="11"/>
        <v>11940040.223053591</v>
      </c>
      <c r="AS17" s="61">
        <f t="shared" si="11"/>
        <v>12013711.944399904</v>
      </c>
      <c r="AT17" s="61">
        <f t="shared" si="11"/>
        <v>0</v>
      </c>
      <c r="AU17" s="61">
        <f t="shared" si="11"/>
        <v>0</v>
      </c>
      <c r="AV17" s="61">
        <f t="shared" si="11"/>
        <v>0</v>
      </c>
      <c r="AW17" s="61">
        <f t="shared" si="11"/>
        <v>0</v>
      </c>
      <c r="AX17" s="61">
        <f t="shared" si="11"/>
        <v>0</v>
      </c>
      <c r="AY17" s="61">
        <f t="shared" si="11"/>
        <v>0</v>
      </c>
      <c r="AZ17" s="61">
        <f t="shared" si="11"/>
        <v>11636014.170876198</v>
      </c>
      <c r="BA17" s="61">
        <f t="shared" si="11"/>
        <v>11704033.679861007</v>
      </c>
      <c r="BB17" s="61">
        <f t="shared" si="11"/>
        <v>11746960.398581786</v>
      </c>
      <c r="BC17" s="61">
        <f t="shared" si="11"/>
        <v>11809256.707400473</v>
      </c>
      <c r="BD17" s="61">
        <f t="shared" si="11"/>
        <v>11877815.313286828</v>
      </c>
      <c r="BE17" s="61">
        <f t="shared" si="11"/>
        <v>11965738.051410923</v>
      </c>
      <c r="BF17" s="61">
        <f t="shared" si="11"/>
        <v>12035722.221717868</v>
      </c>
      <c r="BG17" s="61">
        <f t="shared" si="11"/>
        <v>12143272.943295838</v>
      </c>
      <c r="BH17" s="61">
        <f t="shared" si="11"/>
        <v>12241684.801131263</v>
      </c>
      <c r="BI17" s="61">
        <f t="shared" si="11"/>
        <v>12356000.791056363</v>
      </c>
      <c r="BJ17" s="61">
        <f t="shared" si="11"/>
        <v>12454377.333745461</v>
      </c>
      <c r="BK17" s="61">
        <f t="shared" si="11"/>
        <v>12536134.084852412</v>
      </c>
      <c r="BO17" s="62">
        <f t="shared" ref="BO17:BT17" si="12">SUM(BO14:BO16)</f>
        <v>11765703.703333333</v>
      </c>
      <c r="BP17" s="62">
        <f t="shared" si="12"/>
        <v>11695669.416439664</v>
      </c>
      <c r="BQ17" s="62">
        <f t="shared" si="12"/>
        <v>11729403.575000001</v>
      </c>
      <c r="BR17" s="62">
        <f t="shared" si="12"/>
        <v>10851293.494421007</v>
      </c>
      <c r="BS17" s="62">
        <f t="shared" si="12"/>
        <v>10134825.929742569</v>
      </c>
      <c r="BT17" s="62">
        <f t="shared" si="12"/>
        <v>9582375.8662930038</v>
      </c>
      <c r="BW17" s="62">
        <f t="shared" ref="BW17:CB17" si="13">SUM(BW14:BW16)</f>
        <v>35297111.110000007</v>
      </c>
      <c r="BX17" s="62">
        <f t="shared" si="13"/>
        <v>35087008.249318995</v>
      </c>
      <c r="BY17" s="62">
        <f t="shared" si="13"/>
        <v>23458807.150000002</v>
      </c>
      <c r="BZ17" s="62">
        <f t="shared" si="13"/>
        <v>32553880.483263019</v>
      </c>
      <c r="CA17" s="62">
        <f t="shared" si="13"/>
        <v>30404477.789227702</v>
      </c>
      <c r="CB17" s="62">
        <f t="shared" si="13"/>
        <v>28747127.598879017</v>
      </c>
    </row>
    <row r="18" spans="1:80" x14ac:dyDescent="0.25">
      <c r="D18" s="19">
        <f>[1]Base_Evolutivo!BE322-D17</f>
        <v>-8.5789710283279419E-5</v>
      </c>
      <c r="E18" s="19">
        <f>[1]Base_Evolutivo!BF322-E17</f>
        <v>2.0773336291313171E-4</v>
      </c>
      <c r="F18" s="19">
        <f>[1]Base_Evolutivo!BG322-F17</f>
        <v>-5.581974983215332E-4</v>
      </c>
      <c r="G18" s="19">
        <f>[1]Base_Evolutivo!BH322-G17</f>
        <v>6.7692063748836517E-4</v>
      </c>
      <c r="H18" s="19">
        <f>[1]Base_Evolutivo!BI322-H17</f>
        <v>5.3415820002555847E-4</v>
      </c>
      <c r="I18" s="19">
        <f>[1]Base_Evolutivo!BJ322-I17</f>
        <v>3.2800249755382538E-4</v>
      </c>
      <c r="J18" s="19">
        <f>[1]Base_Evolutivo!BK322-J17</f>
        <v>2.4420022964477539E-4</v>
      </c>
      <c r="K18" s="19">
        <f>[1]Base_Evolutivo!BL322-K17</f>
        <v>-2.2026151418685913E-4</v>
      </c>
      <c r="L18" s="19">
        <f>[1]Base_Evolutivo!BM322-L17</f>
        <v>-1.7268024384975433E-4</v>
      </c>
      <c r="M18" s="19">
        <f>[1]Base_Evolutivo!BN322-M17</f>
        <v>-3.0304864048957825E-4</v>
      </c>
      <c r="N18" s="19">
        <f>[1]Base_Evolutivo!BO322-N17</f>
        <v>4.7199428081512451E-5</v>
      </c>
      <c r="O18" s="19">
        <f>[1]Base_Evolutivo!BP322-O17</f>
        <v>5.8397836983203888E-4</v>
      </c>
      <c r="P18" s="19">
        <f>[1]Base_Evolutivo!BQ322-P17</f>
        <v>3.6820210516452789E-4</v>
      </c>
      <c r="Q18" s="19">
        <f>[1]Base_Evolutivo!BR322-Q17</f>
        <v>7.1351975202560425E-4</v>
      </c>
      <c r="R18" s="19">
        <f>[1]Base_Evolutivo!BS322-R17</f>
        <v>-6.1294063925743103E-4</v>
      </c>
      <c r="S18" s="19">
        <f>[1]Base_Evolutivo!BT322-S17</f>
        <v>-6.4992159605026245E-4</v>
      </c>
      <c r="T18" s="19">
        <f>[1]Base_Evolutivo!BU322-T17</f>
        <v>-4.4349953532218933E-4</v>
      </c>
      <c r="U18" s="19">
        <f>[1]Base_Evolutivo!BV322-U17</f>
        <v>1.6468949615955353E-4</v>
      </c>
      <c r="V18" s="19">
        <f>[1]Base_Evolutivo!BW322-V17</f>
        <v>4.7216005623340607E-4</v>
      </c>
      <c r="W18" s="19">
        <f>[1]Base_Evolutivo!BX322-W17</f>
        <v>-3.7073716521263123E-4</v>
      </c>
      <c r="X18" s="19">
        <f>[1]Base_Evolutivo!BY322-X17</f>
        <v>2.3251771926879883E-4</v>
      </c>
      <c r="Y18" s="19">
        <f>[1]Base_Evolutivo!BZ322-Y17</f>
        <v>-1.7487816512584686E-4</v>
      </c>
      <c r="Z18" s="19">
        <f>[1]Base_Evolutivo!CA322-Z17</f>
        <v>1.3057887554168701E-4</v>
      </c>
      <c r="AA18" s="19">
        <f>[1]Base_Evolutivo!CB322-AA17</f>
        <v>-1.7689913511276245E-4</v>
      </c>
      <c r="AB18" s="19">
        <f>[1]Base_Evolutivo!CC322-AB17</f>
        <v>-2.3865886032581329E-4</v>
      </c>
      <c r="AC18" s="19">
        <f>[1]Base_Evolutivo!CD322-AC17</f>
        <v>2.6199966669082642E-4</v>
      </c>
      <c r="AD18" s="19">
        <f>[1]Base_Evolutivo!CE322-AD17</f>
        <v>-5.6350789964199066E-4</v>
      </c>
      <c r="AE18" s="19">
        <f>[1]Base_Evolutivo!CF322-AE17</f>
        <v>3.9247795939445496E-5</v>
      </c>
      <c r="AF18" s="19">
        <f>[1]Base_Evolutivo!CG322-AF17</f>
        <v>-6.8040378391742706E-4</v>
      </c>
      <c r="AG18" s="19">
        <f>[1]Base_Evolutivo!CH322-AG17</f>
        <v>1.7044320702552795E-4</v>
      </c>
      <c r="AH18" s="19">
        <f>[1]Base_Evolutivo!CI322-AH17</f>
        <v>4.4321641325950623E-5</v>
      </c>
      <c r="AI18" s="19">
        <f>[1]Base_Evolutivo!CJ322-AI17</f>
        <v>-2.7380511164665222E-4</v>
      </c>
      <c r="AJ18" s="19">
        <f>[1]Base_Evolutivo!CK322-AJ17</f>
        <v>3.0171871185302734E-4</v>
      </c>
      <c r="AK18" s="19">
        <f>[1]Base_Evolutivo!CL322-AK17</f>
        <v>-4.8310123383998871E-4</v>
      </c>
      <c r="AL18" s="19">
        <f>[1]Base_Evolutivo!CM322-AL17</f>
        <v>-7.4356421828269958E-4</v>
      </c>
      <c r="AM18" s="19">
        <f>[1]Base_Evolutivo!CN322-AM17</f>
        <v>6.9434195756912231E-4</v>
      </c>
      <c r="AN18" s="19">
        <f>[1]Base_Evolutivo!CO322-AN17</f>
        <v>1.7270000651478767E-2</v>
      </c>
      <c r="AO18" s="19">
        <f>[1]Base_Evolutivo!CP322-AO17</f>
        <v>9.5100011676549911E-3</v>
      </c>
      <c r="AP18" s="19">
        <f>[1]Base_Evolutivo!CQ322-AP17</f>
        <v>-1.7000000923871994E-2</v>
      </c>
      <c r="AQ18" s="19">
        <f>[1]Base_Evolutivo!CR322-AQ17</f>
        <v>0</v>
      </c>
      <c r="AR18" s="19">
        <f>[1]Base_Evolutivo!CS322-AR17</f>
        <v>0</v>
      </c>
      <c r="AS18" s="19">
        <f>[1]Base_Evolutivo!CT322-AS17</f>
        <v>0</v>
      </c>
      <c r="AT18" s="19">
        <f>[1]Base_Evolutivo!CU322-AT17</f>
        <v>12085106.659532109</v>
      </c>
      <c r="AU18" s="19">
        <f>[1]Base_Evolutivo!CV322-AU17</f>
        <v>0</v>
      </c>
      <c r="AV18" s="19">
        <f>[1]Base_Evolutivo!CW322-AV17</f>
        <v>0</v>
      </c>
      <c r="AW18" s="19">
        <f>[1]Base_Evolutivo!CX322-AW17</f>
        <v>0</v>
      </c>
      <c r="AX18" s="19">
        <f>[1]Base_Evolutivo!CY322-AX17</f>
        <v>0</v>
      </c>
      <c r="AY18" s="19">
        <f>[1]Base_Evolutivo!CZ322-AY17</f>
        <v>0</v>
      </c>
      <c r="AZ18" s="19">
        <f>[1]Base_Evolutivo!DA322-AZ17</f>
        <v>-11636014.170876198</v>
      </c>
      <c r="BA18" s="19">
        <f>[1]Base_Evolutivo!DB322-BA17</f>
        <v>-11704033.679861007</v>
      </c>
      <c r="BB18" s="19">
        <f>[1]Base_Evolutivo!DC322-BB17</f>
        <v>-11746960.398581786</v>
      </c>
      <c r="BC18" s="19">
        <f>[1]Base_Evolutivo!DD322-BC17</f>
        <v>-11809256.707400473</v>
      </c>
      <c r="BD18" s="19">
        <f>[1]Base_Evolutivo!DE322-BD17</f>
        <v>-11877815.313286828</v>
      </c>
      <c r="BE18" s="19">
        <f>[1]Base_Evolutivo!DF322-BE17</f>
        <v>-11965738.051410923</v>
      </c>
      <c r="BF18" s="19">
        <f>[1]Base_Evolutivo!DG322-BF17</f>
        <v>-12035722.221717868</v>
      </c>
      <c r="BG18" s="19">
        <f>[1]Base_Evolutivo!DH322-BG17</f>
        <v>-12143272.943295838</v>
      </c>
      <c r="BH18" s="19">
        <f>[1]Base_Evolutivo!DI322-BH17</f>
        <v>-12241684.801131263</v>
      </c>
      <c r="BI18" s="19">
        <f>[1]Base_Evolutivo!DJ322-BI17</f>
        <v>-12356000.791056363</v>
      </c>
      <c r="BJ18" s="19">
        <f>[1]Base_Evolutivo!DK322-BJ17</f>
        <v>-12454377.333745461</v>
      </c>
      <c r="BK18" s="19">
        <f>[1]Base_Evolutivo!DL322-BK17</f>
        <v>-12536134.084852412</v>
      </c>
    </row>
    <row r="19" spans="1:80" x14ac:dyDescent="0.25"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spans="1:80" hidden="1" outlineLevel="1" x14ac:dyDescent="0.25">
      <c r="A20" s="58"/>
      <c r="C20" s="59" t="s">
        <v>0</v>
      </c>
      <c r="D20" s="14">
        <f t="shared" ref="D20:AY20" si="14">IFERROR(((1+D38/D14)^(360/D$3))-1,0)</f>
        <v>7.0556702821075845E-2</v>
      </c>
      <c r="E20" s="14">
        <f t="shared" si="14"/>
        <v>7.0993743956029753E-2</v>
      </c>
      <c r="F20" s="14">
        <f t="shared" si="14"/>
        <v>7.1198037564876415E-2</v>
      </c>
      <c r="G20" s="14">
        <f t="shared" si="14"/>
        <v>7.163316108028317E-2</v>
      </c>
      <c r="H20" s="14">
        <f t="shared" si="14"/>
        <v>7.185346178081442E-2</v>
      </c>
      <c r="I20" s="14">
        <f t="shared" si="14"/>
        <v>7.1854220230040955E-2</v>
      </c>
      <c r="J20" s="14">
        <f t="shared" si="14"/>
        <v>7.22688292192597E-2</v>
      </c>
      <c r="K20" s="14">
        <f t="shared" si="14"/>
        <v>7.2101272941020422E-2</v>
      </c>
      <c r="L20" s="14">
        <f t="shared" si="14"/>
        <v>7.2291957271796381E-2</v>
      </c>
      <c r="M20" s="14">
        <f t="shared" si="14"/>
        <v>7.2411634086571475E-2</v>
      </c>
      <c r="N20" s="14">
        <f t="shared" si="14"/>
        <v>7.2772985911174759E-2</v>
      </c>
      <c r="O20" s="14">
        <f t="shared" si="14"/>
        <v>7.3406302358749009E-2</v>
      </c>
      <c r="P20" s="14">
        <f t="shared" si="14"/>
        <v>7.2897555619083398E-2</v>
      </c>
      <c r="Q20" s="14">
        <f t="shared" si="14"/>
        <v>7.3101491138733765E-2</v>
      </c>
      <c r="R20" s="14">
        <f t="shared" si="14"/>
        <v>7.3558083913045635E-2</v>
      </c>
      <c r="S20" s="14">
        <f t="shared" si="14"/>
        <v>7.296981756772225E-2</v>
      </c>
      <c r="T20" s="14">
        <f t="shared" si="14"/>
        <v>7.3825600022310534E-2</v>
      </c>
      <c r="U20" s="14">
        <f t="shared" si="14"/>
        <v>7.4272943378065559E-2</v>
      </c>
      <c r="V20" s="14">
        <f t="shared" si="14"/>
        <v>7.4286890091799451E-2</v>
      </c>
      <c r="W20" s="14">
        <f t="shared" si="14"/>
        <v>7.4624888468957096E-2</v>
      </c>
      <c r="X20" s="14">
        <f t="shared" si="14"/>
        <v>7.4112172637704088E-2</v>
      </c>
      <c r="Y20" s="14">
        <f t="shared" si="14"/>
        <v>7.424297528694912E-2</v>
      </c>
      <c r="Z20" s="14">
        <f t="shared" si="14"/>
        <v>7.469219939631766E-2</v>
      </c>
      <c r="AA20" s="14">
        <f t="shared" si="14"/>
        <v>7.4508786484658751E-2</v>
      </c>
      <c r="AB20" s="14">
        <f t="shared" si="14"/>
        <v>7.3954181312164469E-2</v>
      </c>
      <c r="AC20" s="14">
        <f t="shared" si="14"/>
        <v>7.4361776612118735E-2</v>
      </c>
      <c r="AD20" s="14">
        <f t="shared" si="14"/>
        <v>7.3833101800927725E-2</v>
      </c>
      <c r="AE20" s="14">
        <f t="shared" si="14"/>
        <v>7.3971650243551013E-2</v>
      </c>
      <c r="AF20" s="14">
        <f t="shared" si="14"/>
        <v>7.4703342247192328E-2</v>
      </c>
      <c r="AG20" s="14">
        <f t="shared" si="14"/>
        <v>7.394110084517691E-2</v>
      </c>
      <c r="AH20" s="14">
        <f t="shared" si="14"/>
        <v>7.4635756790532914E-2</v>
      </c>
      <c r="AI20" s="14">
        <f t="shared" si="14"/>
        <v>7.4375340983255045E-2</v>
      </c>
      <c r="AJ20" s="14">
        <f t="shared" si="14"/>
        <v>7.3823722691916505E-2</v>
      </c>
      <c r="AK20" s="14">
        <f t="shared" si="14"/>
        <v>7.4171595817052349E-2</v>
      </c>
      <c r="AL20" s="14">
        <f t="shared" si="14"/>
        <v>7.4603723118717546E-2</v>
      </c>
      <c r="AM20" s="14">
        <f t="shared" si="14"/>
        <v>7.4551365292933269E-2</v>
      </c>
      <c r="AN20" s="14">
        <f t="shared" si="14"/>
        <v>7.4473077707260416E-2</v>
      </c>
      <c r="AO20" s="14">
        <f t="shared" si="14"/>
        <v>7.4713591424133474E-2</v>
      </c>
      <c r="AP20" s="14">
        <f t="shared" si="14"/>
        <v>7.4352368339906549E-2</v>
      </c>
      <c r="AQ20" s="14">
        <f t="shared" si="14"/>
        <v>7.4269283821021048E-2</v>
      </c>
      <c r="AR20" s="14">
        <f t="shared" si="14"/>
        <v>7.4571546802975286E-2</v>
      </c>
      <c r="AS20" s="14">
        <f t="shared" si="14"/>
        <v>7.3724199373010224E-2</v>
      </c>
      <c r="AT20" s="14">
        <f t="shared" si="14"/>
        <v>0</v>
      </c>
      <c r="AU20" s="14">
        <f t="shared" si="14"/>
        <v>0</v>
      </c>
      <c r="AV20" s="14">
        <f t="shared" si="14"/>
        <v>0</v>
      </c>
      <c r="AW20" s="14">
        <f t="shared" si="14"/>
        <v>0</v>
      </c>
      <c r="AX20" s="14">
        <f t="shared" si="14"/>
        <v>0</v>
      </c>
      <c r="AY20" s="14">
        <f t="shared" si="14"/>
        <v>0</v>
      </c>
      <c r="AZ20" s="14">
        <f t="shared" ref="AZ20:BK20" si="15">IFERROR(((1+AZ38/AZ14)^(360/AZ$3))-1,0)</f>
        <v>7.3464064388713446E-2</v>
      </c>
      <c r="BA20" s="14">
        <f t="shared" si="15"/>
        <v>7.4002164641483237E-2</v>
      </c>
      <c r="BB20" s="14">
        <f t="shared" si="15"/>
        <v>7.331778266855471E-2</v>
      </c>
      <c r="BC20" s="14">
        <f t="shared" si="15"/>
        <v>7.3894926234169711E-2</v>
      </c>
      <c r="BD20" s="14">
        <f t="shared" si="15"/>
        <v>7.4385476598472833E-2</v>
      </c>
      <c r="BE20" s="14">
        <f t="shared" si="15"/>
        <v>7.3845953524301011E-2</v>
      </c>
      <c r="BF20" s="14">
        <f t="shared" si="15"/>
        <v>7.4404555785267501E-2</v>
      </c>
      <c r="BG20" s="14">
        <f t="shared" si="15"/>
        <v>7.4420189594576636E-2</v>
      </c>
      <c r="BH20" s="14">
        <f t="shared" si="15"/>
        <v>7.3870920368012571E-2</v>
      </c>
      <c r="BI20" s="14">
        <f t="shared" si="15"/>
        <v>7.4081179316442425E-2</v>
      </c>
      <c r="BJ20" s="14">
        <f t="shared" si="15"/>
        <v>7.4572727384585535E-2</v>
      </c>
      <c r="BK20" s="14">
        <f t="shared" si="15"/>
        <v>7.4236708829655385E-2</v>
      </c>
      <c r="BO20" s="28">
        <f t="shared" ref="BO20:BT23" si="16">IFERROR(((1+BO38/BW14)^(360/BO$3))-1,0)</f>
        <v>7.4506470327017071E-2</v>
      </c>
      <c r="BP20" s="28">
        <f t="shared" si="16"/>
        <v>7.35788148045049E-2</v>
      </c>
      <c r="BQ20" s="28">
        <f t="shared" si="16"/>
        <v>7.4574839731003983E-2</v>
      </c>
      <c r="BR20" s="28">
        <f t="shared" si="16"/>
        <v>7.4039432587309495E-2</v>
      </c>
      <c r="BS20" s="28">
        <f t="shared" si="16"/>
        <v>7.3188903395655647E-2</v>
      </c>
      <c r="BT20" s="28">
        <f t="shared" si="16"/>
        <v>7.0913736550247242E-2</v>
      </c>
    </row>
    <row r="21" spans="1:80" hidden="1" outlineLevel="1" x14ac:dyDescent="0.25">
      <c r="A21" s="58"/>
      <c r="C21" s="59" t="s">
        <v>1</v>
      </c>
      <c r="D21" s="14">
        <f t="shared" ref="D21:AY21" si="17">IFERROR(((1+D39/D15)^(360/D$3))-1,0)</f>
        <v>0</v>
      </c>
      <c r="E21" s="14">
        <f t="shared" si="17"/>
        <v>0</v>
      </c>
      <c r="F21" s="14">
        <f t="shared" si="17"/>
        <v>0</v>
      </c>
      <c r="G21" s="14">
        <f t="shared" si="17"/>
        <v>0</v>
      </c>
      <c r="H21" s="14">
        <f t="shared" si="17"/>
        <v>0</v>
      </c>
      <c r="I21" s="14">
        <f t="shared" si="17"/>
        <v>0</v>
      </c>
      <c r="J21" s="14">
        <f t="shared" si="17"/>
        <v>0</v>
      </c>
      <c r="K21" s="14">
        <f t="shared" si="17"/>
        <v>0</v>
      </c>
      <c r="L21" s="14">
        <f t="shared" si="17"/>
        <v>0</v>
      </c>
      <c r="M21" s="14">
        <f t="shared" si="17"/>
        <v>0</v>
      </c>
      <c r="N21" s="14">
        <f t="shared" si="17"/>
        <v>0</v>
      </c>
      <c r="O21" s="14">
        <f t="shared" si="17"/>
        <v>0</v>
      </c>
      <c r="P21" s="14">
        <f t="shared" si="17"/>
        <v>0</v>
      </c>
      <c r="Q21" s="14">
        <f t="shared" si="17"/>
        <v>0</v>
      </c>
      <c r="R21" s="14">
        <f t="shared" si="17"/>
        <v>0</v>
      </c>
      <c r="S21" s="14">
        <f t="shared" si="17"/>
        <v>0</v>
      </c>
      <c r="T21" s="14">
        <f t="shared" si="17"/>
        <v>0</v>
      </c>
      <c r="U21" s="14">
        <f t="shared" si="17"/>
        <v>0</v>
      </c>
      <c r="V21" s="14">
        <f t="shared" si="17"/>
        <v>0</v>
      </c>
      <c r="W21" s="14">
        <f t="shared" si="17"/>
        <v>0</v>
      </c>
      <c r="X21" s="14">
        <f t="shared" si="17"/>
        <v>0</v>
      </c>
      <c r="Y21" s="14">
        <f t="shared" si="17"/>
        <v>0</v>
      </c>
      <c r="Z21" s="14">
        <f t="shared" si="17"/>
        <v>0</v>
      </c>
      <c r="AA21" s="14">
        <f t="shared" si="17"/>
        <v>0</v>
      </c>
      <c r="AB21" s="14">
        <f t="shared" si="17"/>
        <v>0</v>
      </c>
      <c r="AC21" s="14">
        <f t="shared" si="17"/>
        <v>0</v>
      </c>
      <c r="AD21" s="14">
        <f t="shared" si="17"/>
        <v>0</v>
      </c>
      <c r="AE21" s="14">
        <f t="shared" si="17"/>
        <v>0</v>
      </c>
      <c r="AF21" s="14">
        <f t="shared" si="17"/>
        <v>0</v>
      </c>
      <c r="AG21" s="14">
        <f t="shared" si="17"/>
        <v>0</v>
      </c>
      <c r="AH21" s="14">
        <f t="shared" si="17"/>
        <v>0</v>
      </c>
      <c r="AI21" s="14">
        <f t="shared" si="17"/>
        <v>0</v>
      </c>
      <c r="AJ21" s="14">
        <f t="shared" si="17"/>
        <v>0</v>
      </c>
      <c r="AK21" s="14">
        <f t="shared" si="17"/>
        <v>0</v>
      </c>
      <c r="AL21" s="14">
        <f t="shared" si="17"/>
        <v>0</v>
      </c>
      <c r="AM21" s="14">
        <f t="shared" si="17"/>
        <v>0</v>
      </c>
      <c r="AN21" s="14">
        <f t="shared" si="17"/>
        <v>0</v>
      </c>
      <c r="AO21" s="14">
        <f t="shared" si="17"/>
        <v>0</v>
      </c>
      <c r="AP21" s="14">
        <f t="shared" si="17"/>
        <v>0</v>
      </c>
      <c r="AQ21" s="14">
        <f t="shared" si="17"/>
        <v>0</v>
      </c>
      <c r="AR21" s="14">
        <f t="shared" si="17"/>
        <v>0</v>
      </c>
      <c r="AS21" s="14">
        <f t="shared" si="17"/>
        <v>0</v>
      </c>
      <c r="AT21" s="14">
        <f t="shared" si="17"/>
        <v>0</v>
      </c>
      <c r="AU21" s="14">
        <f t="shared" si="17"/>
        <v>0</v>
      </c>
      <c r="AV21" s="14">
        <f t="shared" si="17"/>
        <v>0</v>
      </c>
      <c r="AW21" s="14">
        <f t="shared" si="17"/>
        <v>0</v>
      </c>
      <c r="AX21" s="14">
        <f t="shared" si="17"/>
        <v>0</v>
      </c>
      <c r="AY21" s="14">
        <f t="shared" si="17"/>
        <v>0</v>
      </c>
      <c r="AZ21" s="14">
        <f t="shared" ref="AZ21:BK21" si="18">IFERROR(((1+AZ39/AZ15)^(360/AZ$3))-1,0)</f>
        <v>0</v>
      </c>
      <c r="BA21" s="14">
        <f t="shared" si="18"/>
        <v>0</v>
      </c>
      <c r="BB21" s="14">
        <f t="shared" si="18"/>
        <v>0</v>
      </c>
      <c r="BC21" s="14">
        <f t="shared" si="18"/>
        <v>0</v>
      </c>
      <c r="BD21" s="14">
        <f t="shared" si="18"/>
        <v>0</v>
      </c>
      <c r="BE21" s="14">
        <f t="shared" si="18"/>
        <v>0</v>
      </c>
      <c r="BF21" s="14">
        <f t="shared" si="18"/>
        <v>0</v>
      </c>
      <c r="BG21" s="14">
        <f t="shared" si="18"/>
        <v>0</v>
      </c>
      <c r="BH21" s="14">
        <f t="shared" si="18"/>
        <v>0</v>
      </c>
      <c r="BI21" s="14">
        <f t="shared" si="18"/>
        <v>0</v>
      </c>
      <c r="BJ21" s="14">
        <f t="shared" si="18"/>
        <v>0</v>
      </c>
      <c r="BK21" s="14">
        <f t="shared" si="18"/>
        <v>0</v>
      </c>
      <c r="BO21" s="28">
        <f t="shared" si="16"/>
        <v>0</v>
      </c>
      <c r="BP21" s="28">
        <f t="shared" si="16"/>
        <v>0</v>
      </c>
      <c r="BQ21" s="28">
        <f t="shared" si="16"/>
        <v>0</v>
      </c>
      <c r="BR21" s="28">
        <f t="shared" si="16"/>
        <v>0</v>
      </c>
      <c r="BS21" s="28">
        <f t="shared" si="16"/>
        <v>0</v>
      </c>
      <c r="BT21" s="28">
        <f t="shared" si="16"/>
        <v>0</v>
      </c>
    </row>
    <row r="22" spans="1:80" hidden="1" outlineLevel="1" x14ac:dyDescent="0.25">
      <c r="A22" s="58"/>
      <c r="C22" s="59" t="s">
        <v>45</v>
      </c>
      <c r="D22" s="14">
        <f t="shared" ref="D22:AY22" si="19">IFERROR(((1+D40/D16)^(360/D$3))-1,0)</f>
        <v>8.8464748115934189E-2</v>
      </c>
      <c r="E22" s="14">
        <f t="shared" si="19"/>
        <v>8.4267310608516999E-2</v>
      </c>
      <c r="F22" s="14">
        <f t="shared" si="19"/>
        <v>0.10630799796760737</v>
      </c>
      <c r="G22" s="14">
        <f t="shared" si="19"/>
        <v>8.2116297168939978E-2</v>
      </c>
      <c r="H22" s="14">
        <f t="shared" si="19"/>
        <v>9.7043007871886688E-2</v>
      </c>
      <c r="I22" s="14">
        <f t="shared" si="19"/>
        <v>0.10549496257553925</v>
      </c>
      <c r="J22" s="14">
        <f t="shared" si="19"/>
        <v>0.10728553153875708</v>
      </c>
      <c r="K22" s="14">
        <f t="shared" si="19"/>
        <v>9.6635794477456072E-2</v>
      </c>
      <c r="L22" s="14">
        <f t="shared" si="19"/>
        <v>0.1009851016025396</v>
      </c>
      <c r="M22" s="14">
        <f t="shared" si="19"/>
        <v>0.12148481537610278</v>
      </c>
      <c r="N22" s="14">
        <f t="shared" si="19"/>
        <v>9.990389115829279E-2</v>
      </c>
      <c r="O22" s="14">
        <f t="shared" si="19"/>
        <v>9.3866446837489681E-2</v>
      </c>
      <c r="P22" s="14">
        <f t="shared" si="19"/>
        <v>0.11179213842872815</v>
      </c>
      <c r="Q22" s="14">
        <f t="shared" si="19"/>
        <v>9.4287885457941423E-2</v>
      </c>
      <c r="R22" s="14">
        <f t="shared" si="19"/>
        <v>0.10315959361253291</v>
      </c>
      <c r="S22" s="14">
        <f t="shared" si="19"/>
        <v>0.10520744488646727</v>
      </c>
      <c r="T22" s="14">
        <f t="shared" si="19"/>
        <v>0.10196484920771454</v>
      </c>
      <c r="U22" s="14">
        <f t="shared" si="19"/>
        <v>9.8592440251836111E-2</v>
      </c>
      <c r="V22" s="14">
        <f t="shared" si="19"/>
        <v>0.12056862226203613</v>
      </c>
      <c r="W22" s="14">
        <f t="shared" si="19"/>
        <v>0.11243730808014485</v>
      </c>
      <c r="X22" s="14">
        <f t="shared" si="19"/>
        <v>0.10527797026255858</v>
      </c>
      <c r="Y22" s="14">
        <f t="shared" si="19"/>
        <v>9.6639900303990389E-2</v>
      </c>
      <c r="Z22" s="14">
        <f t="shared" si="19"/>
        <v>0.10000768340304322</v>
      </c>
      <c r="AA22" s="14">
        <f t="shared" si="19"/>
        <v>0.11328152213481069</v>
      </c>
      <c r="AB22" s="14">
        <f t="shared" si="19"/>
        <v>0.10759120847343628</v>
      </c>
      <c r="AC22" s="14">
        <f t="shared" si="19"/>
        <v>9.2433700869728019E-2</v>
      </c>
      <c r="AD22" s="14">
        <f t="shared" si="19"/>
        <v>0.11095812601709909</v>
      </c>
      <c r="AE22" s="14">
        <f t="shared" si="19"/>
        <v>0.10281191962439418</v>
      </c>
      <c r="AF22" s="14">
        <f t="shared" si="19"/>
        <v>0.11347313476909227</v>
      </c>
      <c r="AG22" s="14">
        <f t="shared" si="19"/>
        <v>9.7958786467151615E-2</v>
      </c>
      <c r="AH22" s="14">
        <f t="shared" si="19"/>
        <v>9.3902234844024157E-2</v>
      </c>
      <c r="AI22" s="14">
        <f t="shared" si="19"/>
        <v>8.7572593224441109E-2</v>
      </c>
      <c r="AJ22" s="14">
        <f t="shared" si="19"/>
        <v>0.122183895446073</v>
      </c>
      <c r="AK22" s="14">
        <f t="shared" si="19"/>
        <v>9.4979872366455664E-2</v>
      </c>
      <c r="AL22" s="14">
        <f t="shared" si="19"/>
        <v>0.10322607195845346</v>
      </c>
      <c r="AM22" s="14">
        <f t="shared" si="19"/>
        <v>0.1137335065864391</v>
      </c>
      <c r="AN22" s="14">
        <f t="shared" si="19"/>
        <v>9.4585349673850017E-2</v>
      </c>
      <c r="AO22" s="14">
        <f t="shared" si="19"/>
        <v>9.8066155187935378E-2</v>
      </c>
      <c r="AP22" s="14">
        <f t="shared" si="19"/>
        <v>0.11211581194826059</v>
      </c>
      <c r="AQ22" s="14">
        <f t="shared" si="19"/>
        <v>9.2393385330026723E-2</v>
      </c>
      <c r="AR22" s="14">
        <f t="shared" si="19"/>
        <v>0.1016600511132375</v>
      </c>
      <c r="AS22" s="14">
        <f t="shared" si="19"/>
        <v>9.424921907809436E-2</v>
      </c>
      <c r="AT22" s="14">
        <f t="shared" si="19"/>
        <v>0</v>
      </c>
      <c r="AU22" s="14">
        <f t="shared" si="19"/>
        <v>0</v>
      </c>
      <c r="AV22" s="14">
        <f t="shared" si="19"/>
        <v>0</v>
      </c>
      <c r="AW22" s="14">
        <f t="shared" si="19"/>
        <v>0</v>
      </c>
      <c r="AX22" s="14">
        <f t="shared" si="19"/>
        <v>0</v>
      </c>
      <c r="AY22" s="14">
        <f t="shared" si="19"/>
        <v>0</v>
      </c>
      <c r="AZ22" s="14">
        <f t="shared" ref="AZ22:BK22" si="20">IFERROR(((1+AZ40/AZ16)^(360/AZ$3))-1,0)</f>
        <v>0.11854088735581092</v>
      </c>
      <c r="BA22" s="14">
        <f t="shared" si="20"/>
        <v>0.12179189946859159</v>
      </c>
      <c r="BB22" s="14">
        <f t="shared" si="20"/>
        <v>0.11903352847949278</v>
      </c>
      <c r="BC22" s="14">
        <f t="shared" si="20"/>
        <v>0.11843366679077283</v>
      </c>
      <c r="BD22" s="14">
        <f t="shared" si="20"/>
        <v>0.12189672827441056</v>
      </c>
      <c r="BE22" s="14">
        <f t="shared" si="20"/>
        <v>0.11987930955222348</v>
      </c>
      <c r="BF22" s="14">
        <f t="shared" si="20"/>
        <v>0.12350907187309423</v>
      </c>
      <c r="BG22" s="14">
        <f t="shared" si="20"/>
        <v>0.12391863852721907</v>
      </c>
      <c r="BH22" s="14">
        <f t="shared" si="20"/>
        <v>0.12361821070046419</v>
      </c>
      <c r="BI22" s="14">
        <f t="shared" si="20"/>
        <v>0.12390467166510422</v>
      </c>
      <c r="BJ22" s="14">
        <f t="shared" si="20"/>
        <v>0.1246988826906279</v>
      </c>
      <c r="BK22" s="14">
        <f t="shared" si="20"/>
        <v>0.12575293053105696</v>
      </c>
      <c r="BO22" s="28">
        <f t="shared" si="16"/>
        <v>0.10159882702963419</v>
      </c>
      <c r="BP22" s="28">
        <f t="shared" si="16"/>
        <v>0.11974894462577512</v>
      </c>
      <c r="BQ22" s="28">
        <f t="shared" si="16"/>
        <v>9.6260818545675697E-2</v>
      </c>
      <c r="BR22" s="28">
        <f t="shared" si="16"/>
        <v>0.10408722028716144</v>
      </c>
      <c r="BS22" s="28">
        <f t="shared" si="16"/>
        <v>0.10317896901963652</v>
      </c>
      <c r="BT22" s="28">
        <f t="shared" si="16"/>
        <v>9.3382026489696734E-2</v>
      </c>
    </row>
    <row r="23" spans="1:80" collapsed="1" x14ac:dyDescent="0.25">
      <c r="C23" s="60" t="s">
        <v>59</v>
      </c>
      <c r="D23" s="63">
        <f t="shared" ref="D23:AY23" si="21">IFERROR(((1+D41/D17)^(360/D$3))-1,0)</f>
        <v>7.0766507520017008E-2</v>
      </c>
      <c r="E23" s="63">
        <f t="shared" si="21"/>
        <v>7.1087001588394649E-2</v>
      </c>
      <c r="F23" s="63">
        <f t="shared" si="21"/>
        <v>7.186178619916439E-2</v>
      </c>
      <c r="G23" s="63">
        <f t="shared" si="21"/>
        <v>7.1641315504274772E-2</v>
      </c>
      <c r="H23" s="63">
        <f t="shared" si="21"/>
        <v>7.229302205670618E-2</v>
      </c>
      <c r="I23" s="63">
        <f t="shared" si="21"/>
        <v>7.252686171393341E-2</v>
      </c>
      <c r="J23" s="63">
        <f t="shared" si="21"/>
        <v>7.2958204308336994E-2</v>
      </c>
      <c r="K23" s="63">
        <f t="shared" si="21"/>
        <v>7.2533782009102765E-2</v>
      </c>
      <c r="L23" s="63">
        <f t="shared" si="21"/>
        <v>7.2858105133236872E-2</v>
      </c>
      <c r="M23" s="63">
        <f t="shared" si="21"/>
        <v>7.3538663724565634E-2</v>
      </c>
      <c r="N23" s="63">
        <f t="shared" si="21"/>
        <v>7.3308609074848041E-2</v>
      </c>
      <c r="O23" s="63">
        <f t="shared" si="21"/>
        <v>7.374599977125551E-2</v>
      </c>
      <c r="P23" s="63">
        <f t="shared" si="21"/>
        <v>7.3800982133690685E-2</v>
      </c>
      <c r="Q23" s="63">
        <f t="shared" si="21"/>
        <v>7.3503526886099735E-2</v>
      </c>
      <c r="R23" s="63">
        <f t="shared" si="21"/>
        <v>7.4204037354676844E-2</v>
      </c>
      <c r="S23" s="63">
        <f t="shared" si="21"/>
        <v>7.3734885111378823E-2</v>
      </c>
      <c r="T23" s="63">
        <f t="shared" si="21"/>
        <v>7.449408658860901E-2</v>
      </c>
      <c r="U23" s="63">
        <f t="shared" si="21"/>
        <v>7.4835111424309986E-2</v>
      </c>
      <c r="V23" s="63">
        <f t="shared" si="21"/>
        <v>7.5499314532148531E-2</v>
      </c>
      <c r="W23" s="63">
        <f t="shared" si="21"/>
        <v>7.556000739771096E-2</v>
      </c>
      <c r="X23" s="63">
        <f t="shared" si="21"/>
        <v>7.4838077314607343E-2</v>
      </c>
      <c r="Y23" s="63">
        <f t="shared" si="21"/>
        <v>7.4692123892377005E-2</v>
      </c>
      <c r="Z23" s="63">
        <f t="shared" si="21"/>
        <v>7.5257936712086693E-2</v>
      </c>
      <c r="AA23" s="63">
        <f t="shared" si="21"/>
        <v>7.5489892209114062E-2</v>
      </c>
      <c r="AB23" s="63">
        <f t="shared" si="21"/>
        <v>7.4776629360284064E-2</v>
      </c>
      <c r="AC23" s="63">
        <f t="shared" si="21"/>
        <v>7.471503699171711E-2</v>
      </c>
      <c r="AD23" s="63">
        <f t="shared" si="21"/>
        <v>7.4793645388227858E-2</v>
      </c>
      <c r="AE23" s="63">
        <f t="shared" si="21"/>
        <v>7.467692441019036E-2</v>
      </c>
      <c r="AF23" s="63">
        <f t="shared" si="21"/>
        <v>7.5763595289441099E-2</v>
      </c>
      <c r="AG23" s="63">
        <f t="shared" si="21"/>
        <v>7.4535663276763531E-2</v>
      </c>
      <c r="AH23" s="63">
        <f t="shared" si="21"/>
        <v>7.5053636597242068E-2</v>
      </c>
      <c r="AI23" s="63">
        <f t="shared" si="21"/>
        <v>7.460363336538256E-2</v>
      </c>
      <c r="AJ23" s="63">
        <f t="shared" si="21"/>
        <v>7.5138703725472711E-2</v>
      </c>
      <c r="AK23" s="63">
        <f t="shared" si="21"/>
        <v>7.4632522379948663E-2</v>
      </c>
      <c r="AL23" s="63">
        <f t="shared" si="21"/>
        <v>7.5312459067391035E-2</v>
      </c>
      <c r="AM23" s="63">
        <f t="shared" si="21"/>
        <v>7.5572100977792322E-2</v>
      </c>
      <c r="AN23" s="63">
        <f t="shared" si="21"/>
        <v>7.4880631029555556E-2</v>
      </c>
      <c r="AO23" s="63">
        <f t="shared" si="21"/>
        <v>7.5208869370058329E-2</v>
      </c>
      <c r="AP23" s="63">
        <f t="shared" si="21"/>
        <v>7.5242263150208766E-2</v>
      </c>
      <c r="AQ23" s="63">
        <f t="shared" si="21"/>
        <v>7.4593314952991596E-2</v>
      </c>
      <c r="AR23" s="63">
        <f t="shared" si="21"/>
        <v>7.51511245255434E-2</v>
      </c>
      <c r="AS23" s="63">
        <f t="shared" si="21"/>
        <v>7.4121910613909492E-2</v>
      </c>
      <c r="AT23" s="63">
        <f t="shared" si="21"/>
        <v>0</v>
      </c>
      <c r="AU23" s="63">
        <f t="shared" si="21"/>
        <v>0</v>
      </c>
      <c r="AV23" s="63">
        <f t="shared" si="21"/>
        <v>0</v>
      </c>
      <c r="AW23" s="63">
        <f t="shared" si="21"/>
        <v>0</v>
      </c>
      <c r="AX23" s="63">
        <f t="shared" si="21"/>
        <v>0</v>
      </c>
      <c r="AY23" s="63">
        <f t="shared" si="21"/>
        <v>0</v>
      </c>
      <c r="AZ23" s="63">
        <f t="shared" ref="AZ23:BK23" si="22">IFERROR(((1+AZ41/AZ17)^(360/AZ$3))-1,0)</f>
        <v>7.4677433266139515E-2</v>
      </c>
      <c r="BA23" s="63">
        <f t="shared" si="22"/>
        <v>7.528027700126394E-2</v>
      </c>
      <c r="BB23" s="63">
        <f t="shared" si="22"/>
        <v>7.455107841005959E-2</v>
      </c>
      <c r="BC23" s="63">
        <f t="shared" si="22"/>
        <v>7.5123024283023643E-2</v>
      </c>
      <c r="BD23" s="63">
        <f t="shared" si="22"/>
        <v>7.5679188877716186E-2</v>
      </c>
      <c r="BE23" s="63">
        <f t="shared" si="22"/>
        <v>7.5109914795287391E-2</v>
      </c>
      <c r="BF23" s="63">
        <f t="shared" si="22"/>
        <v>7.5732930190686165E-2</v>
      </c>
      <c r="BG23" s="63">
        <f t="shared" si="22"/>
        <v>7.576049169375132E-2</v>
      </c>
      <c r="BH23" s="63">
        <f t="shared" si="22"/>
        <v>7.521007396257029E-2</v>
      </c>
      <c r="BI23" s="63">
        <f t="shared" si="22"/>
        <v>7.5446501013290312E-2</v>
      </c>
      <c r="BJ23" s="63">
        <f t="shared" si="22"/>
        <v>7.5951859837427582E-2</v>
      </c>
      <c r="BK23" s="63">
        <f t="shared" si="22"/>
        <v>7.5640583148733453E-2</v>
      </c>
      <c r="BO23" s="64">
        <f t="shared" si="16"/>
        <v>7.5108716254587371E-2</v>
      </c>
      <c r="BP23" s="64">
        <f t="shared" si="16"/>
        <v>7.4819950868336038E-2</v>
      </c>
      <c r="BQ23" s="64">
        <f t="shared" si="16"/>
        <v>7.5025427623375718E-2</v>
      </c>
      <c r="BR23" s="64">
        <f t="shared" si="16"/>
        <v>7.4764361038663241E-2</v>
      </c>
      <c r="BS23" s="64">
        <f t="shared" si="16"/>
        <v>7.3844122248217348E-2</v>
      </c>
      <c r="BT23" s="64">
        <f t="shared" si="16"/>
        <v>7.1244807632643292E-2</v>
      </c>
    </row>
    <row r="24" spans="1:80" x14ac:dyDescent="0.25">
      <c r="D24" s="17">
        <f>+'[1]Desempeño_Financiero (Evol)-Seg'!BE442-D23</f>
        <v>4.5565773376665675E-12</v>
      </c>
      <c r="E24" s="17">
        <f>+'[1]Desempeño_Financiero (Evol)-Seg'!BF442-E23</f>
        <v>-1.9890755709184305E-12</v>
      </c>
      <c r="F24" s="17">
        <f>+'[1]Desempeño_Financiero (Evol)-Seg'!BG442-F23</f>
        <v>6.7339467335614245E-12</v>
      </c>
      <c r="G24" s="17">
        <f>+'[1]Desempeño_Financiero (Evol)-Seg'!BH442-G23</f>
        <v>2.3074875343809254E-12</v>
      </c>
      <c r="H24" s="17">
        <f>+'[1]Desempeño_Financiero (Evol)-Seg'!BI442-H23</f>
        <v>3.6333158703882873E-12</v>
      </c>
      <c r="I24" s="17">
        <f>+'[1]Desempeño_Financiero (Evol)-Seg'!BJ442-I23</f>
        <v>-1.0120571047878002E-11</v>
      </c>
      <c r="J24" s="17">
        <f>+'[1]Desempeño_Financiero (Evol)-Seg'!BK442-J23</f>
        <v>-9.8614449939304905E-12</v>
      </c>
      <c r="K24" s="17">
        <f>+'[1]Desempeño_Financiero (Evol)-Seg'!BL442-K23</f>
        <v>1.0227374502846942E-12</v>
      </c>
      <c r="L24" s="17">
        <f>+'[1]Desempeño_Financiero (Evol)-Seg'!BM442-L23</f>
        <v>2.6572077871378497E-12</v>
      </c>
      <c r="M24" s="17">
        <f>+'[1]Desempeño_Financiero (Evol)-Seg'!BN442-M23</f>
        <v>1.9204637879965958E-12</v>
      </c>
      <c r="N24" s="17">
        <f>+'[1]Desempeño_Financiero (Evol)-Seg'!BO442-N23</f>
        <v>-1.5307755063531658E-12</v>
      </c>
      <c r="O24" s="17">
        <f>+'[1]Desempeño_Financiero (Evol)-Seg'!BP442-O23</f>
        <v>-7.1254113720442547E-13</v>
      </c>
      <c r="P24" s="17">
        <f>+'[1]Desempeño_Financiero (Evol)-Seg'!BQ442-P23</f>
        <v>-2.1078694345533222E-12</v>
      </c>
      <c r="Q24" s="17">
        <f>+'[1]Desempeño_Financiero (Evol)-Seg'!BR442-Q23</f>
        <v>5.2047255394427339E-12</v>
      </c>
      <c r="R24" s="17">
        <f>+'[1]Desempeño_Financiero (Evol)-Seg'!BS442-R23</f>
        <v>1.0015099860538612E-11</v>
      </c>
      <c r="S24" s="17">
        <f>+'[1]Desempeño_Financiero (Evol)-Seg'!BT442-S23</f>
        <v>6.2116978227777508E-12</v>
      </c>
      <c r="T24" s="17">
        <f>+'[1]Desempeño_Financiero (Evol)-Seg'!BU442-T23</f>
        <v>2.1727064591914313E-12</v>
      </c>
      <c r="U24" s="17">
        <f>+'[1]Desempeño_Financiero (Evol)-Seg'!BV442-U23</f>
        <v>2.0539125955565396E-13</v>
      </c>
      <c r="V24" s="17">
        <f>+'[1]Desempeño_Financiero (Evol)-Seg'!BW442-V23</f>
        <v>-1.492606038766553E-11</v>
      </c>
      <c r="W24" s="17">
        <f>+'[1]Desempeño_Financiero (Evol)-Seg'!BX442-W23</f>
        <v>7.276401703393276E-13</v>
      </c>
      <c r="X24" s="17">
        <f>+'[1]Desempeño_Financiero (Evol)-Seg'!BY442-X23</f>
        <v>-1.8640644583456378E-12</v>
      </c>
      <c r="Y24" s="17">
        <f>+'[1]Desempeño_Financiero (Evol)-Seg'!BZ442-Y23</f>
        <v>2.5448532170457838E-12</v>
      </c>
      <c r="Z24" s="17">
        <f>+'[1]Desempeño_Financiero (Evol)-Seg'!CA442-Z23</f>
        <v>4.5299319850755637E-12</v>
      </c>
      <c r="AA24" s="17">
        <f>+'[1]Desempeño_Financiero (Evol)-Seg'!CB442-AA23</f>
        <v>-4.3873793487136936E-12</v>
      </c>
      <c r="AB24" s="17">
        <f>+'[1]Desempeño_Financiero (Evol)-Seg'!CC442-AB23</f>
        <v>3.5007552412480436E-12</v>
      </c>
      <c r="AC24" s="17">
        <f>+'[1]Desempeño_Financiero (Evol)-Seg'!CD442-AC23</f>
        <v>4.5186077102243871E-12</v>
      </c>
      <c r="AD24" s="17">
        <f>+'[1]Desempeño_Financiero (Evol)-Seg'!CE442-AD23</f>
        <v>-2.787325925623918E-12</v>
      </c>
      <c r="AE24" s="17">
        <f>+'[1]Desempeño_Financiero (Evol)-Seg'!CF442-AE23</f>
        <v>-1.3526957332032907E-12</v>
      </c>
      <c r="AF24" s="17">
        <f>+'[1]Desempeño_Financiero (Evol)-Seg'!CG442-AF23</f>
        <v>-2.5663915437235119E-12</v>
      </c>
      <c r="AG24" s="17">
        <f>+'[1]Desempeño_Financiero (Evol)-Seg'!CH442-AG23</f>
        <v>-2.0607959783092156E-12</v>
      </c>
      <c r="AH24" s="17">
        <f>+'[1]Desempeño_Financiero (Evol)-Seg'!CI442-AH23</f>
        <v>4.9780179978142769E-12</v>
      </c>
      <c r="AI24" s="17">
        <f>+'[1]Desempeño_Financiero (Evol)-Seg'!CJ442-AI23</f>
        <v>3.0677682616442326E-12</v>
      </c>
      <c r="AJ24" s="17">
        <f>+'[1]Desempeño_Financiero (Evol)-Seg'!CK442-AJ23</f>
        <v>-6.8116623452851854E-12</v>
      </c>
      <c r="AK24" s="17">
        <f>+'[1]Desempeño_Financiero (Evol)-Seg'!CL442-AK23</f>
        <v>9.1511243027753153E-12</v>
      </c>
      <c r="AL24" s="17">
        <f>+'[1]Desempeño_Financiero (Evol)-Seg'!CM442-AL23</f>
        <v>6.45394848675096E-12</v>
      </c>
      <c r="AM24" s="17">
        <f>+'[1]Desempeño_Financiero (Evol)-Seg'!CN442-AM23</f>
        <v>-7.0914385474907249E-12</v>
      </c>
      <c r="AN24" s="17">
        <f>+'[1]Desempeño_Financiero (Evol)-Seg'!CO442-AN23</f>
        <v>0</v>
      </c>
      <c r="AO24" s="17">
        <f>+'[1]Desempeño_Financiero (Evol)-Seg'!CP442-AO23</f>
        <v>0</v>
      </c>
      <c r="AP24" s="17">
        <f>+'[1]Desempeño_Financiero (Evol)-Seg'!CQ442-AP23</f>
        <v>0</v>
      </c>
      <c r="AQ24" s="17">
        <f>+'[1]Desempeño_Financiero (Evol)-Seg'!CR442-AQ23</f>
        <v>0</v>
      </c>
      <c r="AR24" s="17">
        <f>+'[1]Desempeño_Financiero (Evol)-Seg'!CS442-AR23</f>
        <v>0</v>
      </c>
      <c r="AS24" s="17">
        <f>+'[1]Desempeño_Financiero (Evol)-Seg'!CT442-AS23</f>
        <v>0</v>
      </c>
    </row>
    <row r="26" spans="1:80" hidden="1" outlineLevel="1" x14ac:dyDescent="0.25">
      <c r="A26" s="58"/>
      <c r="C26" s="59" t="s">
        <v>0</v>
      </c>
      <c r="D26" s="14">
        <f t="shared" ref="D26:AY26" si="23">-IFERROR(((1-D44/D14)^(360/D$4))-1,0)</f>
        <v>-4.9635423919124566E-2</v>
      </c>
      <c r="E26" s="14">
        <f t="shared" si="23"/>
        <v>-4.9978926091030829E-2</v>
      </c>
      <c r="F26" s="14">
        <f t="shared" si="23"/>
        <v>-5.0379356606933046E-2</v>
      </c>
      <c r="G26" s="14">
        <f t="shared" si="23"/>
        <v>-5.0860042172308217E-2</v>
      </c>
      <c r="H26" s="14">
        <f t="shared" si="23"/>
        <v>-5.1126729194270748E-2</v>
      </c>
      <c r="I26" s="14">
        <f t="shared" si="23"/>
        <v>-5.1459915681329349E-2</v>
      </c>
      <c r="J26" s="14">
        <f t="shared" si="23"/>
        <v>-5.1756525740916715E-2</v>
      </c>
      <c r="K26" s="14">
        <f t="shared" si="23"/>
        <v>-5.195289142292614E-2</v>
      </c>
      <c r="L26" s="14">
        <f t="shared" si="23"/>
        <v>-5.2130284334287458E-2</v>
      </c>
      <c r="M26" s="14">
        <f t="shared" si="23"/>
        <v>-5.2359502264607283E-2</v>
      </c>
      <c r="N26" s="14">
        <f t="shared" si="23"/>
        <v>-5.2602053780623992E-2</v>
      </c>
      <c r="O26" s="14">
        <f t="shared" si="23"/>
        <v>-5.2863551471757031E-2</v>
      </c>
      <c r="P26" s="14">
        <f t="shared" si="23"/>
        <v>-5.3227353319708293E-2</v>
      </c>
      <c r="Q26" s="14">
        <f t="shared" si="23"/>
        <v>-5.3247678939099874E-2</v>
      </c>
      <c r="R26" s="14">
        <f t="shared" si="23"/>
        <v>-5.362560885520784E-2</v>
      </c>
      <c r="S26" s="14">
        <f t="shared" si="23"/>
        <v>-5.3677377591211606E-2</v>
      </c>
      <c r="T26" s="14">
        <f t="shared" si="23"/>
        <v>-5.4057332868603147E-2</v>
      </c>
      <c r="U26" s="14">
        <f t="shared" si="23"/>
        <v>-5.4119089843216894E-2</v>
      </c>
      <c r="V26" s="14">
        <f t="shared" si="23"/>
        <v>-5.4511110295673459E-2</v>
      </c>
      <c r="W26" s="14">
        <f t="shared" si="23"/>
        <v>-5.5005495922390901E-2</v>
      </c>
      <c r="X26" s="14">
        <f t="shared" si="23"/>
        <v>-5.489434053817055E-2</v>
      </c>
      <c r="Y26" s="14">
        <f t="shared" si="23"/>
        <v>-5.4925304053850432E-2</v>
      </c>
      <c r="Z26" s="14">
        <f t="shared" si="23"/>
        <v>-5.5115283833656381E-2</v>
      </c>
      <c r="AA26" s="14">
        <f t="shared" si="23"/>
        <v>-5.5181683742884235E-2</v>
      </c>
      <c r="AB26" s="14">
        <f t="shared" si="23"/>
        <v>-5.5396800953330994E-2</v>
      </c>
      <c r="AC26" s="14">
        <f t="shared" si="23"/>
        <v>-5.5455061391538552E-2</v>
      </c>
      <c r="AD26" s="14">
        <f t="shared" si="23"/>
        <v>-5.5674096187105171E-2</v>
      </c>
      <c r="AE26" s="14">
        <f t="shared" si="23"/>
        <v>-5.5670696965296029E-2</v>
      </c>
      <c r="AF26" s="14">
        <f t="shared" si="23"/>
        <v>-5.5841866433151699E-2</v>
      </c>
      <c r="AG26" s="14">
        <f t="shared" si="23"/>
        <v>-5.5927981470862642E-2</v>
      </c>
      <c r="AH26" s="14">
        <f t="shared" si="23"/>
        <v>-5.6115816698065757E-2</v>
      </c>
      <c r="AI26" s="14">
        <f t="shared" si="23"/>
        <v>-5.6203428937029454E-2</v>
      </c>
      <c r="AJ26" s="14">
        <f t="shared" si="23"/>
        <v>-5.626306784769719E-2</v>
      </c>
      <c r="AK26" s="14">
        <f t="shared" si="23"/>
        <v>-5.6232989305920356E-2</v>
      </c>
      <c r="AL26" s="14">
        <f t="shared" si="23"/>
        <v>-5.6269080243357861E-2</v>
      </c>
      <c r="AM26" s="14">
        <f t="shared" si="23"/>
        <v>-5.6218499978779146E-2</v>
      </c>
      <c r="AN26" s="14">
        <f t="shared" si="23"/>
        <v>-5.6287787522760091E-2</v>
      </c>
      <c r="AO26" s="14">
        <f t="shared" si="23"/>
        <v>-5.6201188779835487E-2</v>
      </c>
      <c r="AP26" s="14">
        <f t="shared" si="23"/>
        <v>-5.6230462835789918E-2</v>
      </c>
      <c r="AQ26" s="14">
        <f t="shared" si="23"/>
        <v>-5.6120076532588659E-2</v>
      </c>
      <c r="AR26" s="14">
        <f t="shared" si="23"/>
        <v>-5.6256517927662175E-2</v>
      </c>
      <c r="AS26" s="14">
        <f t="shared" si="23"/>
        <v>-5.6242519110928368E-2</v>
      </c>
      <c r="AT26" s="14">
        <f t="shared" si="23"/>
        <v>0</v>
      </c>
      <c r="AU26" s="14">
        <f t="shared" si="23"/>
        <v>0</v>
      </c>
      <c r="AV26" s="14">
        <f t="shared" si="23"/>
        <v>0</v>
      </c>
      <c r="AW26" s="14">
        <f t="shared" si="23"/>
        <v>0</v>
      </c>
      <c r="AX26" s="14">
        <f t="shared" si="23"/>
        <v>0</v>
      </c>
      <c r="AY26" s="14">
        <f t="shared" si="23"/>
        <v>0</v>
      </c>
      <c r="AZ26" s="14">
        <f t="shared" ref="AZ26:BK26" si="24">-IFERROR(((1-AZ44/AZ14)^(360/AZ$4))-1,0)</f>
        <v>-5.6466907438849301E-2</v>
      </c>
      <c r="BA26" s="14">
        <f t="shared" si="24"/>
        <v>-5.6462853134799706E-2</v>
      </c>
      <c r="BB26" s="14">
        <f t="shared" si="24"/>
        <v>-5.6516786275854658E-2</v>
      </c>
      <c r="BC26" s="14">
        <f t="shared" si="24"/>
        <v>-5.6568165609052201E-2</v>
      </c>
      <c r="BD26" s="14">
        <f t="shared" si="24"/>
        <v>-5.6559262038199165E-2</v>
      </c>
      <c r="BE26" s="14">
        <f t="shared" si="24"/>
        <v>-5.660173476687258E-2</v>
      </c>
      <c r="BF26" s="14">
        <f t="shared" si="24"/>
        <v>-5.6591959413076598E-2</v>
      </c>
      <c r="BG26" s="14">
        <f t="shared" si="24"/>
        <v>-5.660633810958049E-2</v>
      </c>
      <c r="BH26" s="14">
        <f t="shared" si="24"/>
        <v>-5.6607459957021655E-2</v>
      </c>
      <c r="BI26" s="14">
        <f t="shared" si="24"/>
        <v>-5.6616892802251684E-2</v>
      </c>
      <c r="BJ26" s="14">
        <f t="shared" si="24"/>
        <v>-5.6637583067214337E-2</v>
      </c>
      <c r="BK26" s="14">
        <f t="shared" si="24"/>
        <v>-5.6630360842882199E-2</v>
      </c>
      <c r="BO26" s="28">
        <f t="shared" ref="BO26:BT29" si="25">-IFERROR(((1-BO44/BW14)^(360/BO$4))-1,0)</f>
        <v>-5.6239683437592003E-2</v>
      </c>
      <c r="BP26" s="28">
        <f t="shared" si="25"/>
        <v>-5.6482251612386625E-2</v>
      </c>
      <c r="BQ26" s="28">
        <f t="shared" si="25"/>
        <v>-5.624434045150517E-2</v>
      </c>
      <c r="BR26" s="28">
        <f t="shared" si="25"/>
        <v>-5.5509069809386968E-2</v>
      </c>
      <c r="BS26" s="28">
        <f t="shared" si="25"/>
        <v>-5.3367564071846951E-2</v>
      </c>
      <c r="BT26" s="28">
        <f t="shared" si="25"/>
        <v>-4.9998844164216294E-2</v>
      </c>
    </row>
    <row r="27" spans="1:80" hidden="1" outlineLevel="1" x14ac:dyDescent="0.25">
      <c r="A27" s="58"/>
      <c r="C27" s="59" t="s">
        <v>1</v>
      </c>
      <c r="D27" s="14">
        <f t="shared" ref="D27:AY27" si="26">-IFERROR(((1-D45/D15)^(360/D$4))-1,0)</f>
        <v>-4.9774856299973358E-2</v>
      </c>
      <c r="E27" s="14">
        <f t="shared" si="26"/>
        <v>-4.9151990351060437E-2</v>
      </c>
      <c r="F27" s="14">
        <f t="shared" si="26"/>
        <v>-4.9487574120109734E-2</v>
      </c>
      <c r="G27" s="14">
        <f t="shared" si="26"/>
        <v>-4.9914999192132381E-2</v>
      </c>
      <c r="H27" s="14">
        <f t="shared" si="26"/>
        <v>-5.0471536759125968E-2</v>
      </c>
      <c r="I27" s="14">
        <f t="shared" si="26"/>
        <v>-5.0609898060786751E-2</v>
      </c>
      <c r="J27" s="14">
        <f t="shared" si="26"/>
        <v>-5.0602731443375015E-2</v>
      </c>
      <c r="K27" s="14">
        <f t="shared" si="26"/>
        <v>-5.0042799260097803E-2</v>
      </c>
      <c r="L27" s="14">
        <f t="shared" si="26"/>
        <v>-4.941310463393922E-2</v>
      </c>
      <c r="M27" s="14">
        <f t="shared" si="26"/>
        <v>-4.8837568132209741E-2</v>
      </c>
      <c r="N27" s="14">
        <f t="shared" si="26"/>
        <v>-4.910033125097879E-2</v>
      </c>
      <c r="O27" s="14">
        <f t="shared" si="26"/>
        <v>-4.959334885607003E-2</v>
      </c>
      <c r="P27" s="14">
        <f t="shared" si="26"/>
        <v>-4.9797677088000425E-2</v>
      </c>
      <c r="Q27" s="14">
        <f t="shared" si="26"/>
        <v>-4.9689645924105408E-2</v>
      </c>
      <c r="R27" s="14">
        <f t="shared" si="26"/>
        <v>-5.0464696270325682E-2</v>
      </c>
      <c r="S27" s="14">
        <f t="shared" si="26"/>
        <v>-5.0473102757740307E-2</v>
      </c>
      <c r="T27" s="14">
        <f t="shared" si="26"/>
        <v>-5.1121987112751954E-2</v>
      </c>
      <c r="U27" s="14">
        <f t="shared" si="26"/>
        <v>-5.0756947491213289E-2</v>
      </c>
      <c r="V27" s="14">
        <f t="shared" si="26"/>
        <v>-5.117857111009072E-2</v>
      </c>
      <c r="W27" s="14">
        <f t="shared" si="26"/>
        <v>-5.0923523857198116E-2</v>
      </c>
      <c r="X27" s="14">
        <f t="shared" si="26"/>
        <v>-5.1468458443976184E-2</v>
      </c>
      <c r="Y27" s="14">
        <f t="shared" si="26"/>
        <v>-5.1250662030251082E-2</v>
      </c>
      <c r="Z27" s="14">
        <f t="shared" si="26"/>
        <v>-5.1678821701254707E-2</v>
      </c>
      <c r="AA27" s="14">
        <f t="shared" si="26"/>
        <v>-5.1582317568384051E-2</v>
      </c>
      <c r="AB27" s="14">
        <f t="shared" si="26"/>
        <v>-5.215326603007564E-2</v>
      </c>
      <c r="AC27" s="14">
        <f t="shared" si="26"/>
        <v>-5.1643196430799954E-2</v>
      </c>
      <c r="AD27" s="14">
        <f t="shared" si="26"/>
        <v>-5.243571434333183E-2</v>
      </c>
      <c r="AE27" s="14">
        <f t="shared" si="26"/>
        <v>-5.2601084035242218E-2</v>
      </c>
      <c r="AF27" s="14">
        <f t="shared" si="26"/>
        <v>-5.3086409004751367E-2</v>
      </c>
      <c r="AG27" s="14">
        <f t="shared" si="26"/>
        <v>-5.2992154202449848E-2</v>
      </c>
      <c r="AH27" s="14">
        <f t="shared" si="26"/>
        <v>-5.3876476389345562E-2</v>
      </c>
      <c r="AI27" s="14">
        <f t="shared" si="26"/>
        <v>-5.3950239810600875E-2</v>
      </c>
      <c r="AJ27" s="14">
        <f t="shared" si="26"/>
        <v>-5.4125331120697506E-2</v>
      </c>
      <c r="AK27" s="14">
        <f t="shared" si="26"/>
        <v>-5.4156840099705894E-2</v>
      </c>
      <c r="AL27" s="14">
        <f t="shared" si="26"/>
        <v>-5.4389267169492106E-2</v>
      </c>
      <c r="AM27" s="14">
        <f t="shared" si="26"/>
        <v>-5.4144712724792043E-2</v>
      </c>
      <c r="AN27" s="14">
        <f t="shared" si="26"/>
        <v>-5.4902728753346786E-2</v>
      </c>
      <c r="AO27" s="14">
        <f t="shared" si="26"/>
        <v>-5.4233227799195927E-2</v>
      </c>
      <c r="AP27" s="14">
        <f t="shared" si="26"/>
        <v>-5.5115095365981581E-2</v>
      </c>
      <c r="AQ27" s="14">
        <f t="shared" si="26"/>
        <v>-5.5261908837203277E-2</v>
      </c>
      <c r="AR27" s="14">
        <f t="shared" si="26"/>
        <v>-5.5745340551476286E-2</v>
      </c>
      <c r="AS27" s="14">
        <f t="shared" si="26"/>
        <v>-5.5229667588616804E-2</v>
      </c>
      <c r="AT27" s="14">
        <f t="shared" si="26"/>
        <v>0</v>
      </c>
      <c r="AU27" s="14">
        <f t="shared" si="26"/>
        <v>0</v>
      </c>
      <c r="AV27" s="14">
        <f t="shared" si="26"/>
        <v>0</v>
      </c>
      <c r="AW27" s="14">
        <f t="shared" si="26"/>
        <v>0</v>
      </c>
      <c r="AX27" s="14">
        <f t="shared" si="26"/>
        <v>0</v>
      </c>
      <c r="AY27" s="14">
        <f t="shared" si="26"/>
        <v>0</v>
      </c>
      <c r="AZ27" s="14">
        <f t="shared" ref="AZ27:BK27" si="27">-IFERROR(((1-AZ45/AZ15)^(360/AZ$4))-1,0)</f>
        <v>-5.6288469384282891E-2</v>
      </c>
      <c r="BA27" s="14">
        <f t="shared" si="27"/>
        <v>-5.777195065028029E-2</v>
      </c>
      <c r="BB27" s="14">
        <f t="shared" si="27"/>
        <v>-5.7351467035919423E-2</v>
      </c>
      <c r="BC27" s="14">
        <f t="shared" si="27"/>
        <v>-6.0545248913136396E-2</v>
      </c>
      <c r="BD27" s="14">
        <f t="shared" si="27"/>
        <v>-6.1720878945685342E-2</v>
      </c>
      <c r="BE27" s="14">
        <f t="shared" si="27"/>
        <v>-6.2224164865651188E-2</v>
      </c>
      <c r="BF27" s="14">
        <f t="shared" si="27"/>
        <v>-6.1888994884377491E-2</v>
      </c>
      <c r="BG27" s="14">
        <f t="shared" si="27"/>
        <v>-6.2694316256457272E-2</v>
      </c>
      <c r="BH27" s="14">
        <f t="shared" si="27"/>
        <v>-6.3367554674801596E-2</v>
      </c>
      <c r="BI27" s="14">
        <f t="shared" si="27"/>
        <v>-7.1202196980813648E-2</v>
      </c>
      <c r="BJ27" s="14">
        <f t="shared" si="27"/>
        <v>-7.1706932949383573E-2</v>
      </c>
      <c r="BK27" s="14">
        <f t="shared" si="27"/>
        <v>-7.2265953504549785E-2</v>
      </c>
      <c r="BO27" s="28">
        <f t="shared" si="25"/>
        <v>-5.4758313943739534E-2</v>
      </c>
      <c r="BP27" s="28">
        <f t="shared" si="25"/>
        <v>-5.7133436915243196E-2</v>
      </c>
      <c r="BQ27" s="28">
        <f t="shared" si="25"/>
        <v>-5.457034882237477E-2</v>
      </c>
      <c r="BR27" s="28">
        <f t="shared" si="25"/>
        <v>-5.2077722846431085E-2</v>
      </c>
      <c r="BS27" s="28">
        <f t="shared" si="25"/>
        <v>-4.9984859646687418E-2</v>
      </c>
      <c r="BT27" s="28">
        <f t="shared" si="25"/>
        <v>-4.9473511864425612E-2</v>
      </c>
    </row>
    <row r="28" spans="1:80" hidden="1" outlineLevel="1" x14ac:dyDescent="0.25">
      <c r="A28" s="58"/>
      <c r="C28" s="59" t="s">
        <v>45</v>
      </c>
      <c r="D28" s="14">
        <f t="shared" ref="D28:AY28" si="28">-IFERROR(((1-D46/D16)^(360/D$4))-1,0)</f>
        <v>-5.162153666347713E-2</v>
      </c>
      <c r="E28" s="14">
        <f t="shared" si="28"/>
        <v>-5.1707902579163134E-2</v>
      </c>
      <c r="F28" s="14">
        <f t="shared" si="28"/>
        <v>-5.1812921362664799E-2</v>
      </c>
      <c r="G28" s="14">
        <f t="shared" si="28"/>
        <v>-5.1979733728171551E-2</v>
      </c>
      <c r="H28" s="14">
        <f t="shared" si="28"/>
        <v>-5.1971154481135429E-2</v>
      </c>
      <c r="I28" s="14">
        <f t="shared" si="28"/>
        <v>-5.1615817463681379E-2</v>
      </c>
      <c r="J28" s="14">
        <f t="shared" si="28"/>
        <v>-5.1380331661361911E-2</v>
      </c>
      <c r="K28" s="14">
        <f t="shared" si="28"/>
        <v>-5.1678708914593141E-2</v>
      </c>
      <c r="L28" s="14">
        <f t="shared" si="28"/>
        <v>-5.1472898567759051E-2</v>
      </c>
      <c r="M28" s="14">
        <f t="shared" si="28"/>
        <v>-5.2036976053675188E-2</v>
      </c>
      <c r="N28" s="14">
        <f t="shared" si="28"/>
        <v>-5.2814999268444573E-2</v>
      </c>
      <c r="O28" s="14">
        <f t="shared" si="28"/>
        <v>-5.2956692093760083E-2</v>
      </c>
      <c r="P28" s="14">
        <f t="shared" si="28"/>
        <v>-5.2907987895054021E-2</v>
      </c>
      <c r="Q28" s="14">
        <f t="shared" si="28"/>
        <v>-5.264818179938624E-2</v>
      </c>
      <c r="R28" s="14">
        <f t="shared" si="28"/>
        <v>-5.3333386999306676E-2</v>
      </c>
      <c r="S28" s="14">
        <f t="shared" si="28"/>
        <v>-5.2995396155672614E-2</v>
      </c>
      <c r="T28" s="14">
        <f t="shared" si="28"/>
        <v>-5.3361134587314618E-2</v>
      </c>
      <c r="U28" s="14">
        <f t="shared" si="28"/>
        <v>-5.3256508182530471E-2</v>
      </c>
      <c r="V28" s="14">
        <f t="shared" si="28"/>
        <v>-5.3686496535608308E-2</v>
      </c>
      <c r="W28" s="14">
        <f t="shared" si="28"/>
        <v>-5.3311977558458512E-2</v>
      </c>
      <c r="X28" s="14">
        <f t="shared" si="28"/>
        <v>-5.3424976058572549E-2</v>
      </c>
      <c r="Y28" s="14">
        <f t="shared" si="28"/>
        <v>-5.324403642844433E-2</v>
      </c>
      <c r="Z28" s="14">
        <f t="shared" si="28"/>
        <v>-5.3913185912796813E-2</v>
      </c>
      <c r="AA28" s="14">
        <f t="shared" si="28"/>
        <v>-5.3721430018049965E-2</v>
      </c>
      <c r="AB28" s="14">
        <f t="shared" si="28"/>
        <v>-5.4067129707526584E-2</v>
      </c>
      <c r="AC28" s="14">
        <f t="shared" si="28"/>
        <v>-5.3377671025733875E-2</v>
      </c>
      <c r="AD28" s="14">
        <f t="shared" si="28"/>
        <v>-5.1958339114523078E-2</v>
      </c>
      <c r="AE28" s="14">
        <f t="shared" si="28"/>
        <v>-5.4236682698293626E-2</v>
      </c>
      <c r="AF28" s="14">
        <f t="shared" si="28"/>
        <v>-5.5652712457292086E-2</v>
      </c>
      <c r="AG28" s="14">
        <f t="shared" si="28"/>
        <v>-5.4304335858901931E-2</v>
      </c>
      <c r="AH28" s="14">
        <f t="shared" si="28"/>
        <v>-5.4625554018915556E-2</v>
      </c>
      <c r="AI28" s="14">
        <f t="shared" si="28"/>
        <v>-5.6069915619229027E-2</v>
      </c>
      <c r="AJ28" s="14">
        <f t="shared" si="28"/>
        <v>-5.4795241519611571E-2</v>
      </c>
      <c r="AK28" s="14">
        <f t="shared" si="28"/>
        <v>-5.4729341119108099E-2</v>
      </c>
      <c r="AL28" s="14">
        <f t="shared" si="28"/>
        <v>-5.4955558503291257E-2</v>
      </c>
      <c r="AM28" s="14">
        <f t="shared" si="28"/>
        <v>-5.487592577117506E-2</v>
      </c>
      <c r="AN28" s="14">
        <f t="shared" si="28"/>
        <v>-5.4993692609804246E-2</v>
      </c>
      <c r="AO28" s="14">
        <f t="shared" si="28"/>
        <v>-5.471618995074401E-2</v>
      </c>
      <c r="AP28" s="14">
        <f t="shared" si="28"/>
        <v>-5.4868606890827065E-2</v>
      </c>
      <c r="AQ28" s="14">
        <f t="shared" si="28"/>
        <v>-5.4613080379974477E-2</v>
      </c>
      <c r="AR28" s="14">
        <f t="shared" si="28"/>
        <v>-5.6011923979136125E-2</v>
      </c>
      <c r="AS28" s="14">
        <f t="shared" si="28"/>
        <v>-5.4762202589671016E-2</v>
      </c>
      <c r="AT28" s="14">
        <f t="shared" si="28"/>
        <v>0</v>
      </c>
      <c r="AU28" s="14">
        <f t="shared" si="28"/>
        <v>0</v>
      </c>
      <c r="AV28" s="14">
        <f t="shared" si="28"/>
        <v>0</v>
      </c>
      <c r="AW28" s="14">
        <f t="shared" si="28"/>
        <v>0</v>
      </c>
      <c r="AX28" s="14">
        <f t="shared" si="28"/>
        <v>0</v>
      </c>
      <c r="AY28" s="14">
        <f t="shared" si="28"/>
        <v>0</v>
      </c>
      <c r="AZ28" s="14">
        <f t="shared" ref="AZ28:BK28" si="29">-IFERROR(((1-AZ46/AZ16)^(360/AZ$4))-1,0)</f>
        <v>-5.5532305356374767E-2</v>
      </c>
      <c r="BA28" s="14">
        <f t="shared" si="29"/>
        <v>-5.6489129051812137E-2</v>
      </c>
      <c r="BB28" s="14">
        <f t="shared" si="29"/>
        <v>-5.5932599120812831E-2</v>
      </c>
      <c r="BC28" s="14">
        <f t="shared" si="29"/>
        <v>-5.5131709060069367E-2</v>
      </c>
      <c r="BD28" s="14">
        <f t="shared" si="29"/>
        <v>-5.6333978829797182E-2</v>
      </c>
      <c r="BE28" s="14">
        <f t="shared" si="29"/>
        <v>-5.5907461104449663E-2</v>
      </c>
      <c r="BF28" s="14">
        <f t="shared" si="29"/>
        <v>-5.7043219608893914E-2</v>
      </c>
      <c r="BG28" s="14">
        <f t="shared" si="29"/>
        <v>-5.7191809657831882E-2</v>
      </c>
      <c r="BH28" s="14">
        <f t="shared" si="29"/>
        <v>-5.773002112947756E-2</v>
      </c>
      <c r="BI28" s="14">
        <f t="shared" si="29"/>
        <v>-5.7590179634288141E-2</v>
      </c>
      <c r="BJ28" s="14">
        <f t="shared" si="29"/>
        <v>-5.7475461906082215E-2</v>
      </c>
      <c r="BK28" s="14">
        <f t="shared" si="29"/>
        <v>-5.8254451389053719E-2</v>
      </c>
      <c r="BO28" s="28">
        <f t="shared" si="25"/>
        <v>-5.4860100563947301E-2</v>
      </c>
      <c r="BP28" s="28">
        <f t="shared" si="25"/>
        <v>-5.5983092400021972E-2</v>
      </c>
      <c r="BQ28" s="28">
        <f t="shared" si="25"/>
        <v>-5.4855937344853611E-2</v>
      </c>
      <c r="BR28" s="28">
        <f t="shared" si="25"/>
        <v>-5.3122544962380447E-2</v>
      </c>
      <c r="BS28" s="28">
        <f t="shared" si="25"/>
        <v>-5.2963823832300916E-2</v>
      </c>
      <c r="BT28" s="28">
        <f t="shared" si="25"/>
        <v>-5.1714840979512511E-2</v>
      </c>
    </row>
    <row r="29" spans="1:80" collapsed="1" x14ac:dyDescent="0.25">
      <c r="C29" s="60" t="s">
        <v>60</v>
      </c>
      <c r="D29" s="63">
        <f t="shared" ref="D29:AY29" si="30">-IFERROR(((1-D47/D17)^(360/D$4))-1,0)</f>
        <v>-4.9688010444370434E-2</v>
      </c>
      <c r="E29" s="63">
        <f t="shared" si="30"/>
        <v>-5.0021318239210633E-2</v>
      </c>
      <c r="F29" s="63">
        <f t="shared" si="30"/>
        <v>-5.0414363453173294E-2</v>
      </c>
      <c r="G29" s="63">
        <f t="shared" si="30"/>
        <v>-5.088653298425605E-2</v>
      </c>
      <c r="H29" s="63">
        <f t="shared" si="30"/>
        <v>-5.1147762369637251E-2</v>
      </c>
      <c r="I29" s="63">
        <f t="shared" si="30"/>
        <v>-5.1461441078986647E-2</v>
      </c>
      <c r="J29" s="63">
        <f t="shared" si="30"/>
        <v>-5.1742597460510797E-2</v>
      </c>
      <c r="K29" s="63">
        <f t="shared" si="30"/>
        <v>-5.1939313431393241E-2</v>
      </c>
      <c r="L29" s="63">
        <f t="shared" si="30"/>
        <v>-5.2103601908718211E-2</v>
      </c>
      <c r="M29" s="63">
        <f t="shared" si="30"/>
        <v>-5.233935860700778E-2</v>
      </c>
      <c r="N29" s="63">
        <f t="shared" si="30"/>
        <v>-5.2596931181582818E-2</v>
      </c>
      <c r="O29" s="63">
        <f t="shared" si="30"/>
        <v>-5.2855793838174181E-2</v>
      </c>
      <c r="P29" s="63">
        <f t="shared" si="30"/>
        <v>-5.3207161364886568E-2</v>
      </c>
      <c r="Q29" s="63">
        <f t="shared" si="30"/>
        <v>-5.3218642630873392E-2</v>
      </c>
      <c r="R29" s="63">
        <f t="shared" si="30"/>
        <v>-5.3607059252904543E-2</v>
      </c>
      <c r="S29" s="63">
        <f t="shared" si="30"/>
        <v>-5.364632563136662E-2</v>
      </c>
      <c r="T29" s="63">
        <f t="shared" si="30"/>
        <v>-5.4026522477121475E-2</v>
      </c>
      <c r="U29" s="63">
        <f t="shared" si="30"/>
        <v>-5.4081424335908235E-2</v>
      </c>
      <c r="V29" s="63">
        <f t="shared" si="30"/>
        <v>-5.4475769895694803E-2</v>
      </c>
      <c r="W29" s="63">
        <f t="shared" si="30"/>
        <v>-5.4941984725564774E-2</v>
      </c>
      <c r="X29" s="63">
        <f t="shared" si="30"/>
        <v>-5.4840459137595943E-2</v>
      </c>
      <c r="Y29" s="63">
        <f t="shared" si="30"/>
        <v>-5.4865340053015244E-2</v>
      </c>
      <c r="Z29" s="63">
        <f t="shared" si="30"/>
        <v>-5.5068694540829632E-2</v>
      </c>
      <c r="AA29" s="63">
        <f t="shared" si="30"/>
        <v>-5.5126417167109754E-2</v>
      </c>
      <c r="AB29" s="63">
        <f t="shared" si="30"/>
        <v>-5.5346281295584276E-2</v>
      </c>
      <c r="AC29" s="63">
        <f t="shared" si="30"/>
        <v>-5.5379843615279922E-2</v>
      </c>
      <c r="AD29" s="63">
        <f t="shared" si="30"/>
        <v>-5.5546928737267853E-2</v>
      </c>
      <c r="AE29" s="63">
        <f t="shared" si="30"/>
        <v>-5.5616156762854141E-2</v>
      </c>
      <c r="AF29" s="63">
        <f t="shared" si="30"/>
        <v>-5.5828176836090648E-2</v>
      </c>
      <c r="AG29" s="63">
        <f t="shared" si="30"/>
        <v>-5.5865788791700677E-2</v>
      </c>
      <c r="AH29" s="63">
        <f t="shared" si="30"/>
        <v>-5.6060987915741434E-2</v>
      </c>
      <c r="AI29" s="63">
        <f t="shared" si="30"/>
        <v>-5.6193041798024979E-2</v>
      </c>
      <c r="AJ29" s="63">
        <f t="shared" si="30"/>
        <v>-5.6210390827238221E-2</v>
      </c>
      <c r="AK29" s="63">
        <f t="shared" si="30"/>
        <v>-5.6179053562348535E-2</v>
      </c>
      <c r="AL29" s="63">
        <f t="shared" si="30"/>
        <v>-5.6221779566541175E-2</v>
      </c>
      <c r="AM29" s="63">
        <f t="shared" si="30"/>
        <v>-5.617045360162809E-2</v>
      </c>
      <c r="AN29" s="63">
        <f t="shared" si="30"/>
        <v>-5.6243758767851482E-2</v>
      </c>
      <c r="AO29" s="63">
        <f t="shared" si="30"/>
        <v>-5.6150665755273277E-2</v>
      </c>
      <c r="AP29" s="63">
        <f t="shared" si="30"/>
        <v>-5.6186661958623318E-2</v>
      </c>
      <c r="AQ29" s="63">
        <f t="shared" si="30"/>
        <v>-5.6072353142317954E-2</v>
      </c>
      <c r="AR29" s="63">
        <f t="shared" si="30"/>
        <v>-5.6247803081727943E-2</v>
      </c>
      <c r="AS29" s="63">
        <f t="shared" si="30"/>
        <v>-5.6195715913583744E-2</v>
      </c>
      <c r="AT29" s="63">
        <f t="shared" si="30"/>
        <v>0</v>
      </c>
      <c r="AU29" s="63">
        <f t="shared" si="30"/>
        <v>0</v>
      </c>
      <c r="AV29" s="63">
        <f t="shared" si="30"/>
        <v>0</v>
      </c>
      <c r="AW29" s="63">
        <f t="shared" si="30"/>
        <v>0</v>
      </c>
      <c r="AX29" s="63">
        <f t="shared" si="30"/>
        <v>0</v>
      </c>
      <c r="AY29" s="63">
        <f t="shared" si="30"/>
        <v>0</v>
      </c>
      <c r="AZ29" s="63">
        <f t="shared" ref="AZ29:BK29" si="31">-IFERROR(((1-AZ47/AZ17)^(360/AZ$4))-1,0)</f>
        <v>-5.6436739067625918E-2</v>
      </c>
      <c r="BA29" s="63">
        <f t="shared" si="31"/>
        <v>-5.6466932339276799E-2</v>
      </c>
      <c r="BB29" s="63">
        <f t="shared" si="31"/>
        <v>-5.6500344168825878E-2</v>
      </c>
      <c r="BC29" s="63">
        <f t="shared" si="31"/>
        <v>-5.6531297965917382E-2</v>
      </c>
      <c r="BD29" s="63">
        <f t="shared" si="31"/>
        <v>-5.6564237581387067E-2</v>
      </c>
      <c r="BE29" s="63">
        <f t="shared" si="31"/>
        <v>-5.6592670329723038E-2</v>
      </c>
      <c r="BF29" s="63">
        <f t="shared" si="31"/>
        <v>-5.6618549633283832E-2</v>
      </c>
      <c r="BG29" s="63">
        <f t="shared" si="31"/>
        <v>-5.6638820670180001E-2</v>
      </c>
      <c r="BH29" s="63">
        <f t="shared" si="31"/>
        <v>-5.6657925961734135E-2</v>
      </c>
      <c r="BI29" s="63">
        <f t="shared" si="31"/>
        <v>-5.6677234500846385E-2</v>
      </c>
      <c r="BJ29" s="63">
        <f t="shared" si="31"/>
        <v>-5.6694628408397119E-2</v>
      </c>
      <c r="BK29" s="63">
        <f t="shared" si="31"/>
        <v>-5.6712345599781999E-2</v>
      </c>
      <c r="BO29" s="64">
        <f t="shared" si="25"/>
        <v>-5.6193579220781942E-2</v>
      </c>
      <c r="BP29" s="64">
        <f t="shared" si="25"/>
        <v>-5.6468105076239006E-2</v>
      </c>
      <c r="BQ29" s="64">
        <f t="shared" si="25"/>
        <v>-5.6197069978914937E-2</v>
      </c>
      <c r="BR29" s="64">
        <f t="shared" si="25"/>
        <v>-5.5424677782611509E-2</v>
      </c>
      <c r="BS29" s="64">
        <f t="shared" si="25"/>
        <v>-5.3344986576897568E-2</v>
      </c>
      <c r="BT29" s="64">
        <f t="shared" si="25"/>
        <v>-5.0042195109231136E-2</v>
      </c>
    </row>
    <row r="30" spans="1:80" x14ac:dyDescent="0.25">
      <c r="D30" s="17">
        <f>+'[1]Desempeño_Financiero (Evol)-Seg'!BE586-D29</f>
        <v>-9.1038288019262836E-15</v>
      </c>
      <c r="E30" s="17">
        <f>+'[1]Desempeño_Financiero (Evol)-Seg'!BF586-E29</f>
        <v>6.7723604502134549E-13</v>
      </c>
      <c r="F30" s="17">
        <f>+'[1]Desempeño_Financiero (Evol)-Seg'!BG586-F29</f>
        <v>-3.5127456499139953E-12</v>
      </c>
      <c r="G30" s="17">
        <f>+'[1]Desempeño_Financiero (Evol)-Seg'!BH586-G29</f>
        <v>3.5171865420124959E-12</v>
      </c>
      <c r="H30" s="17">
        <f>+'[1]Desempeño_Financiero (Evol)-Seg'!BI586-H29</f>
        <v>3.4230396295242826E-12</v>
      </c>
      <c r="I30" s="17">
        <f>+'[1]Desempeño_Financiero (Evol)-Seg'!BJ586-I29</f>
        <v>1.7679191444130993E-12</v>
      </c>
      <c r="J30" s="17">
        <f>+'[1]Desempeño_Financiero (Evol)-Seg'!BK586-J29</f>
        <v>9.8809849191638932E-13</v>
      </c>
      <c r="K30" s="17">
        <f>+'[1]Desempeño_Financiero (Evol)-Seg'!BL586-K29</f>
        <v>-1.2911893776390571E-12</v>
      </c>
      <c r="L30" s="17">
        <f>+'[1]Desempeño_Financiero (Evol)-Seg'!BM586-L29</f>
        <v>-8.4088291885109356E-13</v>
      </c>
      <c r="M30" s="17">
        <f>+'[1]Desempeño_Financiero (Evol)-Seg'!BN586-M29</f>
        <v>-9.978684545330907E-13</v>
      </c>
      <c r="N30" s="17">
        <f>+'[1]Desempeño_Financiero (Evol)-Seg'!BO586-N29</f>
        <v>2.0206059048177849E-13</v>
      </c>
      <c r="O30" s="17">
        <f>+'[1]Desempeño_Financiero (Evol)-Seg'!BP586-O29</f>
        <v>2.7149393844183578E-12</v>
      </c>
      <c r="P30" s="17">
        <f>+'[1]Desempeño_Financiero (Evol)-Seg'!BQ586-P29</f>
        <v>1.5150103394034886E-12</v>
      </c>
      <c r="Q30" s="17">
        <f>+'[1]Desempeño_Financiero (Evol)-Seg'!BR586-Q29</f>
        <v>3.2658320492373605E-12</v>
      </c>
      <c r="R30" s="17">
        <f>+'[1]Desempeño_Financiero (Evol)-Seg'!BS586-R29</f>
        <v>-3.3293368062459194E-12</v>
      </c>
      <c r="S30" s="17">
        <f>+'[1]Desempeño_Financiero (Evol)-Seg'!BT586-S29</f>
        <v>-3.4161562467716067E-12</v>
      </c>
      <c r="T30" s="17">
        <f>+'[1]Desempeño_Financiero (Evol)-Seg'!BU586-T29</f>
        <v>-2.0183854587685346E-12</v>
      </c>
      <c r="U30" s="17">
        <f>+'[1]Desempeño_Financiero (Evol)-Seg'!BV586-U29</f>
        <v>1.2732037646401295E-12</v>
      </c>
      <c r="V30" s="17">
        <f>+'[1]Desempeño_Financiero (Evol)-Seg'!BW586-V29</f>
        <v>2.6008084574868917E-12</v>
      </c>
      <c r="W30" s="17">
        <f>+'[1]Desempeño_Financiero (Evol)-Seg'!BX586-W29</f>
        <v>-2.0936585798381202E-12</v>
      </c>
      <c r="X30" s="17">
        <f>+'[1]Desempeño_Financiero (Evol)-Seg'!BY586-X29</f>
        <v>1.2150280781497713E-12</v>
      </c>
      <c r="Y30" s="17">
        <f>+'[1]Desempeño_Financiero (Evol)-Seg'!BZ586-Y29</f>
        <v>-8.5309537212197029E-13</v>
      </c>
      <c r="Z30" s="17">
        <f>+'[1]Desempeño_Financiero (Evol)-Seg'!CA586-Z29</f>
        <v>5.2335913380829879E-13</v>
      </c>
      <c r="AA30" s="17">
        <f>+'[1]Desempeño_Financiero (Evol)-Seg'!CB586-AA29</f>
        <v>-4.6140868903421506E-13</v>
      </c>
      <c r="AB30" s="17">
        <f>+'[1]Desempeño_Financiero (Evol)-Seg'!CC586-AB29</f>
        <v>-1.1513012765362873E-12</v>
      </c>
      <c r="AC30" s="17">
        <f>+'[1]Desempeño_Financiero (Evol)-Seg'!CD586-AC29</f>
        <v>1.3726797476465435E-12</v>
      </c>
      <c r="AD30" s="17">
        <f>+'[1]Desempeño_Financiero (Evol)-Seg'!CE586-AD29</f>
        <v>-3.4423575101527604E-12</v>
      </c>
      <c r="AE30" s="17">
        <f>+'[1]Desempeño_Financiero (Evol)-Seg'!CF586-AE29</f>
        <v>1.4921397450962104E-13</v>
      </c>
      <c r="AF30" s="17">
        <f>+'[1]Desempeño_Financiero (Evol)-Seg'!CG586-AF29</f>
        <v>-3.3077984795681914E-12</v>
      </c>
      <c r="AG30" s="17">
        <f>+'[1]Desempeño_Financiero (Evol)-Seg'!CH586-AG29</f>
        <v>1.0402789740737717E-12</v>
      </c>
      <c r="AH30" s="17">
        <f>+'[1]Desempeño_Financiero (Evol)-Seg'!CI586-AH29</f>
        <v>1.3677947663381929E-13</v>
      </c>
      <c r="AI30" s="17">
        <f>+'[1]Desempeño_Financiero (Evol)-Seg'!CJ586-AI29</f>
        <v>-1.3995471448424723E-12</v>
      </c>
      <c r="AJ30" s="17">
        <f>+'[1]Desempeño_Financiero (Evol)-Seg'!CK586-AJ29</f>
        <v>1.389999226830696E-12</v>
      </c>
      <c r="AK30" s="17">
        <f>+'[1]Desempeño_Financiero (Evol)-Seg'!CL586-AK29</f>
        <v>-2.4988899838263023E-12</v>
      </c>
      <c r="AL30" s="17">
        <f>+'[1]Desempeño_Financiero (Evol)-Seg'!CM586-AL29</f>
        <v>-3.8198333385253136E-12</v>
      </c>
      <c r="AM30" s="17">
        <f>+'[1]Desempeño_Financiero (Evol)-Seg'!CN586-AM29</f>
        <v>3.9108716265445764E-12</v>
      </c>
      <c r="AN30" s="17">
        <f>+'[1]Desempeño_Financiero (Evol)-Seg'!CO586-AN29</f>
        <v>0</v>
      </c>
      <c r="AO30" s="17">
        <f>+'[1]Desempeño_Financiero (Evol)-Seg'!CP586-AO29</f>
        <v>0</v>
      </c>
      <c r="AP30" s="17">
        <f>+'[1]Desempeño_Financiero (Evol)-Seg'!CQ586-AP29</f>
        <v>0</v>
      </c>
      <c r="AQ30" s="17">
        <f>+'[1]Desempeño_Financiero (Evol)-Seg'!CR586-AQ29</f>
        <v>0</v>
      </c>
      <c r="AR30" s="17">
        <f>+'[1]Desempeño_Financiero (Evol)-Seg'!CS586-AR29</f>
        <v>0</v>
      </c>
      <c r="AS30" s="17">
        <f>+'[1]Desempeño_Financiero (Evol)-Seg'!CT586-AS29</f>
        <v>0</v>
      </c>
    </row>
    <row r="32" spans="1:80" hidden="1" outlineLevel="1" x14ac:dyDescent="0.25">
      <c r="A32" s="58"/>
      <c r="C32" s="59" t="s">
        <v>0</v>
      </c>
      <c r="D32" s="14">
        <f t="shared" ref="D32:AY32" si="32">D20+D26</f>
        <v>2.0921278901951279E-2</v>
      </c>
      <c r="E32" s="14">
        <f t="shared" si="32"/>
        <v>2.1014817864998925E-2</v>
      </c>
      <c r="F32" s="14">
        <f t="shared" si="32"/>
        <v>2.081868095794337E-2</v>
      </c>
      <c r="G32" s="14">
        <f t="shared" si="32"/>
        <v>2.0773118907974952E-2</v>
      </c>
      <c r="H32" s="14">
        <f t="shared" si="32"/>
        <v>2.0726732586543672E-2</v>
      </c>
      <c r="I32" s="14">
        <f t="shared" si="32"/>
        <v>2.0394304548711606E-2</v>
      </c>
      <c r="J32" s="14">
        <f t="shared" si="32"/>
        <v>2.0512303478342986E-2</v>
      </c>
      <c r="K32" s="14">
        <f t="shared" si="32"/>
        <v>2.0148381518094283E-2</v>
      </c>
      <c r="L32" s="14">
        <f t="shared" si="32"/>
        <v>2.0161672937508923E-2</v>
      </c>
      <c r="M32" s="14">
        <f t="shared" si="32"/>
        <v>2.0052131821964192E-2</v>
      </c>
      <c r="N32" s="14">
        <f t="shared" si="32"/>
        <v>2.0170932130550767E-2</v>
      </c>
      <c r="O32" s="14">
        <f t="shared" si="32"/>
        <v>2.0542750886991978E-2</v>
      </c>
      <c r="P32" s="14">
        <f t="shared" si="32"/>
        <v>1.9670202299375106E-2</v>
      </c>
      <c r="Q32" s="14">
        <f t="shared" si="32"/>
        <v>1.9853812199633891E-2</v>
      </c>
      <c r="R32" s="14">
        <f t="shared" si="32"/>
        <v>1.9932475057837795E-2</v>
      </c>
      <c r="S32" s="14">
        <f t="shared" si="32"/>
        <v>1.9292439976510645E-2</v>
      </c>
      <c r="T32" s="14">
        <f t="shared" si="32"/>
        <v>1.9768267153707386E-2</v>
      </c>
      <c r="U32" s="14">
        <f t="shared" si="32"/>
        <v>2.0153853534848665E-2</v>
      </c>
      <c r="V32" s="14">
        <f t="shared" si="32"/>
        <v>1.9775779796125992E-2</v>
      </c>
      <c r="W32" s="14">
        <f t="shared" si="32"/>
        <v>1.9619392546566194E-2</v>
      </c>
      <c r="X32" s="14">
        <f t="shared" si="32"/>
        <v>1.9217832099533538E-2</v>
      </c>
      <c r="Y32" s="14">
        <f t="shared" si="32"/>
        <v>1.9317671233098688E-2</v>
      </c>
      <c r="Z32" s="14">
        <f t="shared" si="32"/>
        <v>1.9576915562661279E-2</v>
      </c>
      <c r="AA32" s="14">
        <f t="shared" si="32"/>
        <v>1.9327102741774516E-2</v>
      </c>
      <c r="AB32" s="14">
        <f t="shared" si="32"/>
        <v>1.8557380358833475E-2</v>
      </c>
      <c r="AC32" s="14">
        <f t="shared" si="32"/>
        <v>1.8906715220580184E-2</v>
      </c>
      <c r="AD32" s="14">
        <f t="shared" si="32"/>
        <v>1.8159005613822554E-2</v>
      </c>
      <c r="AE32" s="14">
        <f t="shared" si="32"/>
        <v>1.8300953278254983E-2</v>
      </c>
      <c r="AF32" s="14">
        <f t="shared" si="32"/>
        <v>1.8861475814040629E-2</v>
      </c>
      <c r="AG32" s="14">
        <f t="shared" si="32"/>
        <v>1.8013119374314268E-2</v>
      </c>
      <c r="AH32" s="14">
        <f t="shared" si="32"/>
        <v>1.8519940092467158E-2</v>
      </c>
      <c r="AI32" s="14">
        <f t="shared" si="32"/>
        <v>1.8171912046225591E-2</v>
      </c>
      <c r="AJ32" s="14">
        <f t="shared" si="32"/>
        <v>1.7560654844219314E-2</v>
      </c>
      <c r="AK32" s="14">
        <f t="shared" si="32"/>
        <v>1.7938606511131994E-2</v>
      </c>
      <c r="AL32" s="14">
        <f t="shared" si="32"/>
        <v>1.8334642875359686E-2</v>
      </c>
      <c r="AM32" s="14">
        <f t="shared" si="32"/>
        <v>1.8332865314154123E-2</v>
      </c>
      <c r="AN32" s="14">
        <f t="shared" si="32"/>
        <v>1.8185290184500325E-2</v>
      </c>
      <c r="AO32" s="14">
        <f t="shared" si="32"/>
        <v>1.8512402644297987E-2</v>
      </c>
      <c r="AP32" s="14">
        <f t="shared" si="32"/>
        <v>1.8121905504116631E-2</v>
      </c>
      <c r="AQ32" s="14">
        <f t="shared" si="32"/>
        <v>1.814920728843239E-2</v>
      </c>
      <c r="AR32" s="14">
        <f t="shared" si="32"/>
        <v>1.8315028875313111E-2</v>
      </c>
      <c r="AS32" s="14">
        <f t="shared" si="32"/>
        <v>1.7481680262081856E-2</v>
      </c>
      <c r="AT32" s="14">
        <f t="shared" si="32"/>
        <v>0</v>
      </c>
      <c r="AU32" s="14">
        <f t="shared" si="32"/>
        <v>0</v>
      </c>
      <c r="AV32" s="14">
        <f t="shared" si="32"/>
        <v>0</v>
      </c>
      <c r="AW32" s="14">
        <f t="shared" si="32"/>
        <v>0</v>
      </c>
      <c r="AX32" s="14">
        <f t="shared" si="32"/>
        <v>0</v>
      </c>
      <c r="AY32" s="14">
        <f t="shared" si="32"/>
        <v>0</v>
      </c>
      <c r="AZ32" s="14">
        <f t="shared" ref="AZ32:BK32" si="33">AZ20+AZ26</f>
        <v>1.6997156949864145E-2</v>
      </c>
      <c r="BA32" s="14">
        <f t="shared" si="33"/>
        <v>1.753931150668353E-2</v>
      </c>
      <c r="BB32" s="14">
        <f t="shared" si="33"/>
        <v>1.6800996392700052E-2</v>
      </c>
      <c r="BC32" s="14">
        <f t="shared" si="33"/>
        <v>1.732676062511751E-2</v>
      </c>
      <c r="BD32" s="14">
        <f t="shared" si="33"/>
        <v>1.7826214560273668E-2</v>
      </c>
      <c r="BE32" s="14">
        <f t="shared" si="33"/>
        <v>1.7244218757428431E-2</v>
      </c>
      <c r="BF32" s="14">
        <f t="shared" si="33"/>
        <v>1.7812596372190903E-2</v>
      </c>
      <c r="BG32" s="14">
        <f t="shared" si="33"/>
        <v>1.7813851484996146E-2</v>
      </c>
      <c r="BH32" s="14">
        <f t="shared" si="33"/>
        <v>1.7263460410990916E-2</v>
      </c>
      <c r="BI32" s="14">
        <f t="shared" si="33"/>
        <v>1.7464286514190741E-2</v>
      </c>
      <c r="BJ32" s="14">
        <f t="shared" si="33"/>
        <v>1.7935144317371199E-2</v>
      </c>
      <c r="BK32" s="14">
        <f t="shared" si="33"/>
        <v>1.7606347986773185E-2</v>
      </c>
      <c r="BO32" s="28">
        <f t="shared" ref="BO32:BT35" si="34">BO20+BO26</f>
        <v>1.8266786889425068E-2</v>
      </c>
      <c r="BP32" s="28">
        <f t="shared" si="34"/>
        <v>1.7096563192118275E-2</v>
      </c>
      <c r="BQ32" s="28">
        <f t="shared" si="34"/>
        <v>1.8330499279498813E-2</v>
      </c>
      <c r="BR32" s="28">
        <f t="shared" si="34"/>
        <v>1.8530362777922527E-2</v>
      </c>
      <c r="BS32" s="28">
        <f t="shared" si="34"/>
        <v>1.9821339323808695E-2</v>
      </c>
      <c r="BT32" s="28">
        <f t="shared" si="34"/>
        <v>2.0914892386030948E-2</v>
      </c>
    </row>
    <row r="33" spans="1:72" hidden="1" outlineLevel="1" x14ac:dyDescent="0.25">
      <c r="A33" s="58"/>
      <c r="C33" s="59" t="s">
        <v>1</v>
      </c>
      <c r="D33" s="14">
        <f t="shared" ref="D33:AY33" si="35">D21+D27</f>
        <v>-4.9774856299973358E-2</v>
      </c>
      <c r="E33" s="14">
        <f t="shared" si="35"/>
        <v>-4.9151990351060437E-2</v>
      </c>
      <c r="F33" s="14">
        <f t="shared" si="35"/>
        <v>-4.9487574120109734E-2</v>
      </c>
      <c r="G33" s="14">
        <f t="shared" si="35"/>
        <v>-4.9914999192132381E-2</v>
      </c>
      <c r="H33" s="14">
        <f t="shared" si="35"/>
        <v>-5.0471536759125968E-2</v>
      </c>
      <c r="I33" s="14">
        <f t="shared" si="35"/>
        <v>-5.0609898060786751E-2</v>
      </c>
      <c r="J33" s="14">
        <f t="shared" si="35"/>
        <v>-5.0602731443375015E-2</v>
      </c>
      <c r="K33" s="14">
        <f t="shared" si="35"/>
        <v>-5.0042799260097803E-2</v>
      </c>
      <c r="L33" s="14">
        <f t="shared" si="35"/>
        <v>-4.941310463393922E-2</v>
      </c>
      <c r="M33" s="14">
        <f t="shared" si="35"/>
        <v>-4.8837568132209741E-2</v>
      </c>
      <c r="N33" s="14">
        <f t="shared" si="35"/>
        <v>-4.910033125097879E-2</v>
      </c>
      <c r="O33" s="14">
        <f t="shared" si="35"/>
        <v>-4.959334885607003E-2</v>
      </c>
      <c r="P33" s="14">
        <f t="shared" si="35"/>
        <v>-4.9797677088000425E-2</v>
      </c>
      <c r="Q33" s="14">
        <f t="shared" si="35"/>
        <v>-4.9689645924105408E-2</v>
      </c>
      <c r="R33" s="14">
        <f t="shared" si="35"/>
        <v>-5.0464696270325682E-2</v>
      </c>
      <c r="S33" s="14">
        <f t="shared" si="35"/>
        <v>-5.0473102757740307E-2</v>
      </c>
      <c r="T33" s="14">
        <f t="shared" si="35"/>
        <v>-5.1121987112751954E-2</v>
      </c>
      <c r="U33" s="14">
        <f t="shared" si="35"/>
        <v>-5.0756947491213289E-2</v>
      </c>
      <c r="V33" s="14">
        <f t="shared" si="35"/>
        <v>-5.117857111009072E-2</v>
      </c>
      <c r="W33" s="14">
        <f t="shared" si="35"/>
        <v>-5.0923523857198116E-2</v>
      </c>
      <c r="X33" s="14">
        <f t="shared" si="35"/>
        <v>-5.1468458443976184E-2</v>
      </c>
      <c r="Y33" s="14">
        <f t="shared" si="35"/>
        <v>-5.1250662030251082E-2</v>
      </c>
      <c r="Z33" s="14">
        <f t="shared" si="35"/>
        <v>-5.1678821701254707E-2</v>
      </c>
      <c r="AA33" s="14">
        <f t="shared" si="35"/>
        <v>-5.1582317568384051E-2</v>
      </c>
      <c r="AB33" s="14">
        <f t="shared" si="35"/>
        <v>-5.215326603007564E-2</v>
      </c>
      <c r="AC33" s="14">
        <f t="shared" si="35"/>
        <v>-5.1643196430799954E-2</v>
      </c>
      <c r="AD33" s="14">
        <f t="shared" si="35"/>
        <v>-5.243571434333183E-2</v>
      </c>
      <c r="AE33" s="14">
        <f t="shared" si="35"/>
        <v>-5.2601084035242218E-2</v>
      </c>
      <c r="AF33" s="14">
        <f t="shared" si="35"/>
        <v>-5.3086409004751367E-2</v>
      </c>
      <c r="AG33" s="14">
        <f t="shared" si="35"/>
        <v>-5.2992154202449848E-2</v>
      </c>
      <c r="AH33" s="14">
        <f t="shared" si="35"/>
        <v>-5.3876476389345562E-2</v>
      </c>
      <c r="AI33" s="14">
        <f t="shared" si="35"/>
        <v>-5.3950239810600875E-2</v>
      </c>
      <c r="AJ33" s="14">
        <f t="shared" si="35"/>
        <v>-5.4125331120697506E-2</v>
      </c>
      <c r="AK33" s="14">
        <f t="shared" si="35"/>
        <v>-5.4156840099705894E-2</v>
      </c>
      <c r="AL33" s="14">
        <f t="shared" si="35"/>
        <v>-5.4389267169492106E-2</v>
      </c>
      <c r="AM33" s="14">
        <f t="shared" si="35"/>
        <v>-5.4144712724792043E-2</v>
      </c>
      <c r="AN33" s="14">
        <f t="shared" si="35"/>
        <v>-5.4902728753346786E-2</v>
      </c>
      <c r="AO33" s="14">
        <f t="shared" si="35"/>
        <v>-5.4233227799195927E-2</v>
      </c>
      <c r="AP33" s="14">
        <f t="shared" si="35"/>
        <v>-5.5115095365981581E-2</v>
      </c>
      <c r="AQ33" s="14">
        <f t="shared" si="35"/>
        <v>-5.5261908837203277E-2</v>
      </c>
      <c r="AR33" s="14">
        <f t="shared" si="35"/>
        <v>-5.5745340551476286E-2</v>
      </c>
      <c r="AS33" s="14">
        <f t="shared" si="35"/>
        <v>-5.5229667588616804E-2</v>
      </c>
      <c r="AT33" s="14">
        <f t="shared" si="35"/>
        <v>0</v>
      </c>
      <c r="AU33" s="14">
        <f t="shared" si="35"/>
        <v>0</v>
      </c>
      <c r="AV33" s="14">
        <f t="shared" si="35"/>
        <v>0</v>
      </c>
      <c r="AW33" s="14">
        <f t="shared" si="35"/>
        <v>0</v>
      </c>
      <c r="AX33" s="14">
        <f t="shared" si="35"/>
        <v>0</v>
      </c>
      <c r="AY33" s="14">
        <f t="shared" si="35"/>
        <v>0</v>
      </c>
      <c r="AZ33" s="14">
        <f t="shared" ref="AZ33:BK33" si="36">AZ21+AZ27</f>
        <v>-5.6288469384282891E-2</v>
      </c>
      <c r="BA33" s="14">
        <f t="shared" si="36"/>
        <v>-5.777195065028029E-2</v>
      </c>
      <c r="BB33" s="14">
        <f t="shared" si="36"/>
        <v>-5.7351467035919423E-2</v>
      </c>
      <c r="BC33" s="14">
        <f t="shared" si="36"/>
        <v>-6.0545248913136396E-2</v>
      </c>
      <c r="BD33" s="14">
        <f t="shared" si="36"/>
        <v>-6.1720878945685342E-2</v>
      </c>
      <c r="BE33" s="14">
        <f t="shared" si="36"/>
        <v>-6.2224164865651188E-2</v>
      </c>
      <c r="BF33" s="14">
        <f t="shared" si="36"/>
        <v>-6.1888994884377491E-2</v>
      </c>
      <c r="BG33" s="14">
        <f t="shared" si="36"/>
        <v>-6.2694316256457272E-2</v>
      </c>
      <c r="BH33" s="14">
        <f t="shared" si="36"/>
        <v>-6.3367554674801596E-2</v>
      </c>
      <c r="BI33" s="14">
        <f t="shared" si="36"/>
        <v>-7.1202196980813648E-2</v>
      </c>
      <c r="BJ33" s="14">
        <f t="shared" si="36"/>
        <v>-7.1706932949383573E-2</v>
      </c>
      <c r="BK33" s="14">
        <f t="shared" si="36"/>
        <v>-7.2265953504549785E-2</v>
      </c>
      <c r="BO33" s="28">
        <f t="shared" si="34"/>
        <v>-5.4758313943739534E-2</v>
      </c>
      <c r="BP33" s="28">
        <f t="shared" si="34"/>
        <v>-5.7133436915243196E-2</v>
      </c>
      <c r="BQ33" s="28">
        <f t="shared" si="34"/>
        <v>-5.457034882237477E-2</v>
      </c>
      <c r="BR33" s="28">
        <f t="shared" si="34"/>
        <v>-5.2077722846431085E-2</v>
      </c>
      <c r="BS33" s="28">
        <f t="shared" si="34"/>
        <v>-4.9984859646687418E-2</v>
      </c>
      <c r="BT33" s="28">
        <f t="shared" si="34"/>
        <v>-4.9473511864425612E-2</v>
      </c>
    </row>
    <row r="34" spans="1:72" hidden="1" outlineLevel="1" x14ac:dyDescent="0.25">
      <c r="A34" s="58"/>
      <c r="C34" s="59" t="s">
        <v>45</v>
      </c>
      <c r="D34" s="14">
        <f t="shared" ref="D34:AY34" si="37">D22+D28</f>
        <v>3.6843211452457059E-2</v>
      </c>
      <c r="E34" s="14">
        <f t="shared" si="37"/>
        <v>3.2559408029353865E-2</v>
      </c>
      <c r="F34" s="14">
        <f t="shared" si="37"/>
        <v>5.4495076604942572E-2</v>
      </c>
      <c r="G34" s="14">
        <f t="shared" si="37"/>
        <v>3.0136563440768427E-2</v>
      </c>
      <c r="H34" s="14">
        <f t="shared" si="37"/>
        <v>4.507185339075126E-2</v>
      </c>
      <c r="I34" s="14">
        <f t="shared" si="37"/>
        <v>5.3879145111857873E-2</v>
      </c>
      <c r="J34" s="14">
        <f t="shared" si="37"/>
        <v>5.5905199877395173E-2</v>
      </c>
      <c r="K34" s="14">
        <f t="shared" si="37"/>
        <v>4.4957085562862931E-2</v>
      </c>
      <c r="L34" s="14">
        <f t="shared" si="37"/>
        <v>4.9512203034780544E-2</v>
      </c>
      <c r="M34" s="14">
        <f t="shared" si="37"/>
        <v>6.9447839322427596E-2</v>
      </c>
      <c r="N34" s="14">
        <f t="shared" si="37"/>
        <v>4.7088891889848217E-2</v>
      </c>
      <c r="O34" s="14">
        <f t="shared" si="37"/>
        <v>4.0909754743729598E-2</v>
      </c>
      <c r="P34" s="14">
        <f t="shared" si="37"/>
        <v>5.8884150533674129E-2</v>
      </c>
      <c r="Q34" s="14">
        <f t="shared" si="37"/>
        <v>4.1639703658555183E-2</v>
      </c>
      <c r="R34" s="14">
        <f t="shared" si="37"/>
        <v>4.9826206613226232E-2</v>
      </c>
      <c r="S34" s="14">
        <f t="shared" si="37"/>
        <v>5.2212048730794658E-2</v>
      </c>
      <c r="T34" s="14">
        <f t="shared" si="37"/>
        <v>4.8603714620399918E-2</v>
      </c>
      <c r="U34" s="14">
        <f t="shared" si="37"/>
        <v>4.533593206930564E-2</v>
      </c>
      <c r="V34" s="14">
        <f t="shared" si="37"/>
        <v>6.6882125726427821E-2</v>
      </c>
      <c r="W34" s="14">
        <f t="shared" si="37"/>
        <v>5.9125330521686337E-2</v>
      </c>
      <c r="X34" s="14">
        <f t="shared" si="37"/>
        <v>5.1852994203986036E-2</v>
      </c>
      <c r="Y34" s="14">
        <f t="shared" si="37"/>
        <v>4.3395863875546059E-2</v>
      </c>
      <c r="Z34" s="14">
        <f t="shared" si="37"/>
        <v>4.6094497490246411E-2</v>
      </c>
      <c r="AA34" s="14">
        <f t="shared" si="37"/>
        <v>5.9560092116760721E-2</v>
      </c>
      <c r="AB34" s="14">
        <f t="shared" si="37"/>
        <v>5.3524078765909699E-2</v>
      </c>
      <c r="AC34" s="14">
        <f t="shared" si="37"/>
        <v>3.9056029843994144E-2</v>
      </c>
      <c r="AD34" s="14">
        <f t="shared" si="37"/>
        <v>5.8999786902576012E-2</v>
      </c>
      <c r="AE34" s="14">
        <f t="shared" si="37"/>
        <v>4.8575236926100551E-2</v>
      </c>
      <c r="AF34" s="14">
        <f t="shared" si="37"/>
        <v>5.7820422311800179E-2</v>
      </c>
      <c r="AG34" s="14">
        <f t="shared" si="37"/>
        <v>4.3654450608249684E-2</v>
      </c>
      <c r="AH34" s="14">
        <f t="shared" si="37"/>
        <v>3.9276680825108601E-2</v>
      </c>
      <c r="AI34" s="14">
        <f t="shared" si="37"/>
        <v>3.1502677605212082E-2</v>
      </c>
      <c r="AJ34" s="14">
        <f t="shared" si="37"/>
        <v>6.7388653926461428E-2</v>
      </c>
      <c r="AK34" s="14">
        <f t="shared" si="37"/>
        <v>4.0250531247347565E-2</v>
      </c>
      <c r="AL34" s="14">
        <f t="shared" si="37"/>
        <v>4.8270513455162201E-2</v>
      </c>
      <c r="AM34" s="14">
        <f t="shared" si="37"/>
        <v>5.8857580815264043E-2</v>
      </c>
      <c r="AN34" s="14">
        <f t="shared" si="37"/>
        <v>3.9591657064045771E-2</v>
      </c>
      <c r="AO34" s="14">
        <f t="shared" si="37"/>
        <v>4.3349965237191368E-2</v>
      </c>
      <c r="AP34" s="14">
        <f t="shared" si="37"/>
        <v>5.7247205057433526E-2</v>
      </c>
      <c r="AQ34" s="14">
        <f t="shared" si="37"/>
        <v>3.7780304950052246E-2</v>
      </c>
      <c r="AR34" s="14">
        <f t="shared" si="37"/>
        <v>4.5648127134101379E-2</v>
      </c>
      <c r="AS34" s="14">
        <f t="shared" si="37"/>
        <v>3.9487016488423343E-2</v>
      </c>
      <c r="AT34" s="14">
        <f t="shared" si="37"/>
        <v>0</v>
      </c>
      <c r="AU34" s="14">
        <f t="shared" si="37"/>
        <v>0</v>
      </c>
      <c r="AV34" s="14">
        <f t="shared" si="37"/>
        <v>0</v>
      </c>
      <c r="AW34" s="14">
        <f t="shared" si="37"/>
        <v>0</v>
      </c>
      <c r="AX34" s="14">
        <f t="shared" si="37"/>
        <v>0</v>
      </c>
      <c r="AY34" s="14">
        <f t="shared" si="37"/>
        <v>0</v>
      </c>
      <c r="AZ34" s="14">
        <f t="shared" ref="AZ34:BK34" si="38">AZ22+AZ28</f>
        <v>6.3008581999436153E-2</v>
      </c>
      <c r="BA34" s="14">
        <f t="shared" si="38"/>
        <v>6.5302770416779454E-2</v>
      </c>
      <c r="BB34" s="14">
        <f t="shared" si="38"/>
        <v>6.3100929358679947E-2</v>
      </c>
      <c r="BC34" s="14">
        <f t="shared" si="38"/>
        <v>6.3301957730703462E-2</v>
      </c>
      <c r="BD34" s="14">
        <f t="shared" si="38"/>
        <v>6.5562749444613377E-2</v>
      </c>
      <c r="BE34" s="14">
        <f t="shared" si="38"/>
        <v>6.3971848447773816E-2</v>
      </c>
      <c r="BF34" s="14">
        <f t="shared" si="38"/>
        <v>6.646585226420032E-2</v>
      </c>
      <c r="BG34" s="14">
        <f t="shared" si="38"/>
        <v>6.6726828869387189E-2</v>
      </c>
      <c r="BH34" s="14">
        <f t="shared" si="38"/>
        <v>6.5888189570986633E-2</v>
      </c>
      <c r="BI34" s="14">
        <f t="shared" si="38"/>
        <v>6.6314492030816075E-2</v>
      </c>
      <c r="BJ34" s="14">
        <f t="shared" si="38"/>
        <v>6.7223420784545684E-2</v>
      </c>
      <c r="BK34" s="14">
        <f t="shared" si="38"/>
        <v>6.7498479142003243E-2</v>
      </c>
      <c r="BO34" s="28">
        <f t="shared" si="34"/>
        <v>4.6738726465686886E-2</v>
      </c>
      <c r="BP34" s="28">
        <f t="shared" si="34"/>
        <v>6.376585222575315E-2</v>
      </c>
      <c r="BQ34" s="28">
        <f t="shared" si="34"/>
        <v>4.1404881200822086E-2</v>
      </c>
      <c r="BR34" s="28">
        <f t="shared" si="34"/>
        <v>5.0964675324780995E-2</v>
      </c>
      <c r="BS34" s="28">
        <f t="shared" si="34"/>
        <v>5.0215145187335608E-2</v>
      </c>
      <c r="BT34" s="28">
        <f t="shared" si="34"/>
        <v>4.1667185510184224E-2</v>
      </c>
    </row>
    <row r="35" spans="1:72" collapsed="1" x14ac:dyDescent="0.25">
      <c r="C35" s="60" t="s">
        <v>63</v>
      </c>
      <c r="D35" s="63">
        <f t="shared" ref="D35:AY35" si="39">D23+D29</f>
        <v>2.1078497075646574E-2</v>
      </c>
      <c r="E35" s="63">
        <f t="shared" si="39"/>
        <v>2.1065683349184017E-2</v>
      </c>
      <c r="F35" s="63">
        <f t="shared" si="39"/>
        <v>2.1447422745991096E-2</v>
      </c>
      <c r="G35" s="63">
        <f t="shared" si="39"/>
        <v>2.0754782520018722E-2</v>
      </c>
      <c r="H35" s="63">
        <f t="shared" si="39"/>
        <v>2.1145259687068929E-2</v>
      </c>
      <c r="I35" s="63">
        <f t="shared" si="39"/>
        <v>2.1065420634946763E-2</v>
      </c>
      <c r="J35" s="63">
        <f t="shared" si="39"/>
        <v>2.1215606847826196E-2</v>
      </c>
      <c r="K35" s="63">
        <f t="shared" si="39"/>
        <v>2.0594468577709524E-2</v>
      </c>
      <c r="L35" s="63">
        <f t="shared" si="39"/>
        <v>2.0754503224518661E-2</v>
      </c>
      <c r="M35" s="63">
        <f t="shared" si="39"/>
        <v>2.1199305117557854E-2</v>
      </c>
      <c r="N35" s="63">
        <f t="shared" si="39"/>
        <v>2.0711677893265223E-2</v>
      </c>
      <c r="O35" s="63">
        <f t="shared" si="39"/>
        <v>2.0890205933081329E-2</v>
      </c>
      <c r="P35" s="63">
        <f t="shared" si="39"/>
        <v>2.0593820768804116E-2</v>
      </c>
      <c r="Q35" s="63">
        <f t="shared" si="39"/>
        <v>2.0284884255226343E-2</v>
      </c>
      <c r="R35" s="63">
        <f t="shared" si="39"/>
        <v>2.0596978101772301E-2</v>
      </c>
      <c r="S35" s="63">
        <f t="shared" si="39"/>
        <v>2.0088559480012202E-2</v>
      </c>
      <c r="T35" s="63">
        <f t="shared" si="39"/>
        <v>2.0467564111487535E-2</v>
      </c>
      <c r="U35" s="63">
        <f t="shared" si="39"/>
        <v>2.0753687088401751E-2</v>
      </c>
      <c r="V35" s="63">
        <f t="shared" si="39"/>
        <v>2.1023544636453728E-2</v>
      </c>
      <c r="W35" s="63">
        <f t="shared" si="39"/>
        <v>2.0618022672146186E-2</v>
      </c>
      <c r="X35" s="63">
        <f t="shared" si="39"/>
        <v>1.99976181770114E-2</v>
      </c>
      <c r="Y35" s="63">
        <f t="shared" si="39"/>
        <v>1.9826783839361761E-2</v>
      </c>
      <c r="Z35" s="63">
        <f t="shared" si="39"/>
        <v>2.018924217125706E-2</v>
      </c>
      <c r="AA35" s="63">
        <f t="shared" si="39"/>
        <v>2.0363475042004309E-2</v>
      </c>
      <c r="AB35" s="63">
        <f t="shared" si="39"/>
        <v>1.9430348064699787E-2</v>
      </c>
      <c r="AC35" s="63">
        <f t="shared" si="39"/>
        <v>1.9335193376437187E-2</v>
      </c>
      <c r="AD35" s="63">
        <f t="shared" si="39"/>
        <v>1.9246716650960005E-2</v>
      </c>
      <c r="AE35" s="63">
        <f t="shared" si="39"/>
        <v>1.9060767647336219E-2</v>
      </c>
      <c r="AF35" s="63">
        <f t="shared" si="39"/>
        <v>1.9935418453350451E-2</v>
      </c>
      <c r="AG35" s="63">
        <f t="shared" si="39"/>
        <v>1.8669874485062854E-2</v>
      </c>
      <c r="AH35" s="63">
        <f t="shared" si="39"/>
        <v>1.8992648681500635E-2</v>
      </c>
      <c r="AI35" s="63">
        <f t="shared" si="39"/>
        <v>1.8410591567357582E-2</v>
      </c>
      <c r="AJ35" s="63">
        <f t="shared" si="39"/>
        <v>1.8928312898234489E-2</v>
      </c>
      <c r="AK35" s="63">
        <f t="shared" si="39"/>
        <v>1.8453468817600127E-2</v>
      </c>
      <c r="AL35" s="63">
        <f t="shared" si="39"/>
        <v>1.9090679500849861E-2</v>
      </c>
      <c r="AM35" s="63">
        <f t="shared" si="39"/>
        <v>1.9401647376164233E-2</v>
      </c>
      <c r="AN35" s="63">
        <f t="shared" si="39"/>
        <v>1.8636872261704074E-2</v>
      </c>
      <c r="AO35" s="63">
        <f t="shared" si="39"/>
        <v>1.9058203614785052E-2</v>
      </c>
      <c r="AP35" s="63">
        <f t="shared" si="39"/>
        <v>1.9055601191585447E-2</v>
      </c>
      <c r="AQ35" s="63">
        <f t="shared" si="39"/>
        <v>1.8520961810673642E-2</v>
      </c>
      <c r="AR35" s="63">
        <f t="shared" si="39"/>
        <v>1.8903321443815457E-2</v>
      </c>
      <c r="AS35" s="63">
        <f t="shared" si="39"/>
        <v>1.7926194700325748E-2</v>
      </c>
      <c r="AT35" s="63">
        <f t="shared" si="39"/>
        <v>0</v>
      </c>
      <c r="AU35" s="63">
        <f t="shared" si="39"/>
        <v>0</v>
      </c>
      <c r="AV35" s="63">
        <f t="shared" si="39"/>
        <v>0</v>
      </c>
      <c r="AW35" s="63">
        <f t="shared" si="39"/>
        <v>0</v>
      </c>
      <c r="AX35" s="63">
        <f t="shared" si="39"/>
        <v>0</v>
      </c>
      <c r="AY35" s="63">
        <f t="shared" si="39"/>
        <v>0</v>
      </c>
      <c r="AZ35" s="63">
        <f t="shared" ref="AZ35:BK35" si="40">AZ23+AZ29</f>
        <v>1.8240694198513596E-2</v>
      </c>
      <c r="BA35" s="63">
        <f t="shared" si="40"/>
        <v>1.8813344661987141E-2</v>
      </c>
      <c r="BB35" s="63">
        <f t="shared" si="40"/>
        <v>1.8050734241233712E-2</v>
      </c>
      <c r="BC35" s="63">
        <f t="shared" si="40"/>
        <v>1.8591726317106261E-2</v>
      </c>
      <c r="BD35" s="63">
        <f t="shared" si="40"/>
        <v>1.9114951296329119E-2</v>
      </c>
      <c r="BE35" s="63">
        <f t="shared" si="40"/>
        <v>1.8517244465564353E-2</v>
      </c>
      <c r="BF35" s="63">
        <f t="shared" si="40"/>
        <v>1.9114380557402333E-2</v>
      </c>
      <c r="BG35" s="63">
        <f t="shared" si="40"/>
        <v>1.9121671023571318E-2</v>
      </c>
      <c r="BH35" s="63">
        <f t="shared" si="40"/>
        <v>1.8552148000836155E-2</v>
      </c>
      <c r="BI35" s="63">
        <f t="shared" si="40"/>
        <v>1.8769266512443927E-2</v>
      </c>
      <c r="BJ35" s="63">
        <f t="shared" si="40"/>
        <v>1.9257231429030464E-2</v>
      </c>
      <c r="BK35" s="63">
        <f t="shared" si="40"/>
        <v>1.8928237548951454E-2</v>
      </c>
      <c r="BO35" s="64">
        <f t="shared" si="34"/>
        <v>1.8915137033805429E-2</v>
      </c>
      <c r="BP35" s="64">
        <f t="shared" si="34"/>
        <v>1.8351845792097032E-2</v>
      </c>
      <c r="BQ35" s="64">
        <f t="shared" si="34"/>
        <v>1.882835764446078E-2</v>
      </c>
      <c r="BR35" s="64">
        <f t="shared" si="34"/>
        <v>1.9339683256051732E-2</v>
      </c>
      <c r="BS35" s="64">
        <f t="shared" si="34"/>
        <v>2.0499135671319779E-2</v>
      </c>
      <c r="BT35" s="64">
        <f t="shared" si="34"/>
        <v>2.1202612523412157E-2</v>
      </c>
    </row>
    <row r="36" spans="1:72" x14ac:dyDescent="0.25">
      <c r="AS36" s="17"/>
    </row>
    <row r="38" spans="1:72" hidden="1" outlineLevel="1" x14ac:dyDescent="0.25">
      <c r="A38" s="58" t="s">
        <v>55</v>
      </c>
      <c r="C38" s="59" t="s">
        <v>0</v>
      </c>
      <c r="D38" s="8">
        <f>Renta_Alta!D38+Masivo!D38+Consumo_Inicial!D38</f>
        <v>54508.580927259994</v>
      </c>
      <c r="E38" s="8">
        <f>Renta_Alta!E38+Masivo!E38+Consumo_Inicial!E38</f>
        <v>49748.111261589998</v>
      </c>
      <c r="F38" s="8">
        <f>Renta_Alta!F38+Masivo!F38+Consumo_Inicial!F38</f>
        <v>55428.295594479998</v>
      </c>
      <c r="G38" s="8">
        <f>Renta_Alta!G38+Masivo!G38+Consumo_Inicial!G38</f>
        <v>54185.561845739983</v>
      </c>
      <c r="H38" s="8">
        <f>Renta_Alta!H38+Masivo!H38+Consumo_Inicial!H38</f>
        <v>56408.448630899999</v>
      </c>
      <c r="I38" s="8">
        <f>Renta_Alta!I38+Masivo!I38+Consumo_Inicial!I38</f>
        <v>54868.044451369999</v>
      </c>
      <c r="J38" s="8">
        <f>Renta_Alta!J38+Masivo!J38+Consumo_Inicial!J38</f>
        <v>57291.787250259986</v>
      </c>
      <c r="K38" s="8">
        <f>Renta_Alta!K38+Masivo!K38+Consumo_Inicial!K38</f>
        <v>57286.490126109988</v>
      </c>
      <c r="L38" s="8">
        <f>Renta_Alta!L38+Masivo!L38+Consumo_Inicial!L38</f>
        <v>55958.420301590006</v>
      </c>
      <c r="M38" s="8">
        <f>Renta_Alta!M38+Masivo!M38+Consumo_Inicial!M38</f>
        <v>58386.252048469993</v>
      </c>
      <c r="N38" s="8">
        <f>Renta_Alta!N38+Masivo!N38+Consumo_Inicial!N38</f>
        <v>56964.397639439994</v>
      </c>
      <c r="O38" s="8">
        <f>Renta_Alta!O38+Masivo!O38+Consumo_Inicial!O38</f>
        <v>59589.061589569996</v>
      </c>
      <c r="P38" s="8">
        <f>Renta_Alta!P38+Masivo!P38+Consumo_Inicial!P38</f>
        <v>59240.915665559987</v>
      </c>
      <c r="Q38" s="8">
        <f>Renta_Alta!Q38+Masivo!Q38+Consumo_Inicial!Q38</f>
        <v>55854.498270279997</v>
      </c>
      <c r="R38" s="8">
        <f>Renta_Alta!R38+Masivo!R38+Consumo_Inicial!R38</f>
        <v>60393.993322369999</v>
      </c>
      <c r="S38" s="8">
        <f>Renta_Alta!S38+Masivo!S38+Consumo_Inicial!S38</f>
        <v>58197.901386330006</v>
      </c>
      <c r="T38" s="8">
        <f>Renta_Alta!T38+Masivo!T38+Consumo_Inicial!T38</f>
        <v>61088.85947493001</v>
      </c>
      <c r="U38" s="8">
        <f>Renta_Alta!U38+Masivo!U38+Consumo_Inicial!U38</f>
        <v>59747.310160410008</v>
      </c>
      <c r="V38" s="8">
        <f>Renta_Alta!V38+Masivo!V38+Consumo_Inicial!V38</f>
        <v>62223.086633309984</v>
      </c>
      <c r="W38" s="8">
        <f>Renta_Alta!W38+Masivo!W38+Consumo_Inicial!W38</f>
        <v>62834.047819859996</v>
      </c>
      <c r="X38" s="8">
        <f>Renta_Alta!X38+Masivo!X38+Consumo_Inicial!X38</f>
        <v>60951.391622110001</v>
      </c>
      <c r="Y38" s="8">
        <f>Renta_Alta!Y38+Masivo!Y38+Consumo_Inicial!Y38</f>
        <v>63534.815985609996</v>
      </c>
      <c r="Z38" s="8">
        <f>Renta_Alta!Z38+Masivo!Z38+Consumo_Inicial!Z38</f>
        <v>62199.234099639987</v>
      </c>
      <c r="AA38" s="8">
        <f>Renta_Alta!AA38+Masivo!AA38+Consumo_Inicial!AA38</f>
        <v>64455.20972466001</v>
      </c>
      <c r="AB38" s="8">
        <f>Renta_Alta!AB38+Masivo!AB38+Consumo_Inicial!AB38</f>
        <v>64293.020087290002</v>
      </c>
      <c r="AC38" s="8">
        <f>Renta_Alta!AC38+Masivo!AC38+Consumo_Inicial!AC38</f>
        <v>58635.636060989993</v>
      </c>
      <c r="AD38" s="8">
        <f>Renta_Alta!AD38+Masivo!AD38+Consumo_Inicial!AD38</f>
        <v>64782.91250631</v>
      </c>
      <c r="AE38" s="8">
        <f>Renta_Alta!AE38+Masivo!AE38+Consumo_Inicial!AE38</f>
        <v>63073.858670009991</v>
      </c>
      <c r="AF38" s="8">
        <f>Renta_Alta!AF38+Masivo!AF38+Consumo_Inicial!AF38</f>
        <v>66111.084303600015</v>
      </c>
      <c r="AG38" s="8">
        <f>Renta_Alta!AG38+Masivo!AG38+Consumo_Inicial!AG38</f>
        <v>63772.261456040003</v>
      </c>
      <c r="AH38" s="8">
        <f>Renta_Alta!AH38+Masivo!AH38+Consumo_Inicial!AH38</f>
        <v>67014.822402800011</v>
      </c>
      <c r="AI38" s="8">
        <f>Renta_Alta!AI38+Masivo!AI38+Consumo_Inicial!AI38</f>
        <v>67203.247648050004</v>
      </c>
      <c r="AJ38" s="8">
        <f>Renta_Alta!AJ38+Masivo!AJ38+Consumo_Inicial!AJ38</f>
        <v>65204.214643189996</v>
      </c>
      <c r="AK38" s="8">
        <f>Renta_Alta!AK38+Masivo!AK38+Consumo_Inicial!AK38</f>
        <v>68259.792842409981</v>
      </c>
      <c r="AL38" s="8">
        <f>Renta_Alta!AL38+Masivo!AL38+Consumo_Inicial!AL38</f>
        <v>67066.086919859983</v>
      </c>
      <c r="AM38" s="8">
        <f>Renta_Alta!AM38+Masivo!AM38+Consumo_Inicial!AM38</f>
        <v>69819.744712739994</v>
      </c>
      <c r="AN38" s="8">
        <f>Renta_Alta!AN38+Masivo!AN38+Consumo_Inicial!AN38</f>
        <v>70101.704392689993</v>
      </c>
      <c r="AO38" s="8">
        <f>Renta_Alta!AO38+Masivo!AO38+Consumo_Inicial!AO38</f>
        <v>63928.75960042001</v>
      </c>
      <c r="AP38" s="8">
        <f>Renta_Alta!AP38+Masivo!AP38+Consumo_Inicial!AP38</f>
        <v>70941.128941929986</v>
      </c>
      <c r="AQ38" s="8">
        <f>Renta_Alta!AQ38+Masivo!AQ38+Consumo_Inicial!AQ38</f>
        <v>68766.02573193</v>
      </c>
      <c r="AR38" s="8">
        <f>Renta_Alta!AR38+Masivo!AR38+Consumo_Inicial!AR38</f>
        <v>71762.642422110017</v>
      </c>
      <c r="AS38" s="8">
        <f>Renta_Alta!AS38+Masivo!AS38+Consumo_Inicial!AS38</f>
        <v>69107.61591896</v>
      </c>
      <c r="AT38" s="8">
        <f>Renta_Alta!AT38+Masivo!AT38+Consumo_Inicial!AT38</f>
        <v>0</v>
      </c>
      <c r="AU38" s="8">
        <f>Renta_Alta!AU38+Masivo!AU38+Consumo_Inicial!AU38</f>
        <v>0</v>
      </c>
      <c r="AV38" s="8">
        <f>Renta_Alta!AV38+Masivo!AV38+Consumo_Inicial!AV38</f>
        <v>0</v>
      </c>
      <c r="AW38" s="8">
        <f>Renta_Alta!AW38+Masivo!AW38+Consumo_Inicial!AW38</f>
        <v>0</v>
      </c>
      <c r="AX38" s="8">
        <f>Renta_Alta!AX38+Masivo!AX38+Consumo_Inicial!AX38</f>
        <v>0</v>
      </c>
      <c r="AY38" s="8">
        <f>Renta_Alta!AY38+Masivo!AY38+Consumo_Inicial!AY38</f>
        <v>0</v>
      </c>
      <c r="AZ38" s="8">
        <f>Renta_Alta!AZ38+Masivo!AZ38+Consumo_Inicial!AZ38</f>
        <v>68803.503556982978</v>
      </c>
      <c r="BA38" s="8">
        <f>Renta_Alta!BA38+Masivo!BA38+Consumo_Inicial!BA38</f>
        <v>62965.521969726164</v>
      </c>
      <c r="BB38" s="8">
        <f>Renta_Alta!BB38+Masivo!BB38+Consumo_Inicial!BB38</f>
        <v>69331.581201752662</v>
      </c>
      <c r="BC38" s="8">
        <f>Renta_Alta!BC38+Masivo!BC38+Consumo_Inicial!BC38</f>
        <v>67929.851806531267</v>
      </c>
      <c r="BD38" s="8">
        <f>Renta_Alta!BD38+Masivo!BD38+Consumo_Inicial!BD38</f>
        <v>71110.792205162521</v>
      </c>
      <c r="BE38" s="8">
        <f>Renta_Alta!BE38+Masivo!BE38+Consumo_Inicial!BE38</f>
        <v>68813.070477672649</v>
      </c>
      <c r="BF38" s="8">
        <f>Renta_Alta!BF38+Masivo!BF38+Consumo_Inicial!BF38</f>
        <v>72094.590952509519</v>
      </c>
      <c r="BG38" s="8">
        <f>Renta_Alta!BG38+Masivo!BG38+Consumo_Inicial!BG38</f>
        <v>72758.160232696668</v>
      </c>
      <c r="BH38" s="8">
        <f>Renta_Alta!BH38+Masivo!BH38+Consumo_Inicial!BH38</f>
        <v>70485.794050012235</v>
      </c>
      <c r="BI38" s="8">
        <f>Renta_Alta!BI38+Masivo!BI38+Consumo_Inicial!BI38</f>
        <v>73735.037187378461</v>
      </c>
      <c r="BJ38" s="8">
        <f>Renta_Alta!BJ38+Masivo!BJ38+Consumo_Inicial!BJ38</f>
        <v>72372.194560023752</v>
      </c>
      <c r="BK38" s="8">
        <f>Renta_Alta!BK38+Masivo!BK38+Consumo_Inicial!BK38</f>
        <v>74984.621523515802</v>
      </c>
      <c r="BO38" s="24">
        <f t="shared" ref="BO38:BT40" si="41">SUMIFS($D38:$BM38,$D$6:$BM$6,"&gt;="&amp;BO$2,$D$6:$BM$6,"&lt;="&amp;BO$6,$D$5:$BM$5,BO$5)</f>
        <v>204971.59293503998</v>
      </c>
      <c r="BP38" s="24">
        <f t="shared" si="41"/>
        <v>201100.6067284618</v>
      </c>
      <c r="BQ38" s="24">
        <f t="shared" si="41"/>
        <v>134030.46399311</v>
      </c>
      <c r="BR38" s="24">
        <f t="shared" si="41"/>
        <v>187711.56865459</v>
      </c>
      <c r="BS38" s="24">
        <f t="shared" si="41"/>
        <v>175489.40725820998</v>
      </c>
      <c r="BT38" s="24">
        <f t="shared" si="41"/>
        <v>159684.98778333</v>
      </c>
    </row>
    <row r="39" spans="1:72" hidden="1" outlineLevel="1" x14ac:dyDescent="0.25">
      <c r="A39" s="58" t="s">
        <v>55</v>
      </c>
      <c r="C39" s="59" t="s">
        <v>1</v>
      </c>
      <c r="D39" s="8">
        <f>Renta_Alta!D39+Masivo!D39+Consumo_Inicial!D39</f>
        <v>0</v>
      </c>
      <c r="E39" s="8">
        <f>Renta_Alta!E39+Masivo!E39+Consumo_Inicial!E39</f>
        <v>0</v>
      </c>
      <c r="F39" s="8">
        <f>Renta_Alta!F39+Masivo!F39+Consumo_Inicial!F39</f>
        <v>0</v>
      </c>
      <c r="G39" s="8">
        <f>Renta_Alta!G39+Masivo!G39+Consumo_Inicial!G39</f>
        <v>0</v>
      </c>
      <c r="H39" s="8">
        <f>Renta_Alta!H39+Masivo!H39+Consumo_Inicial!H39</f>
        <v>0</v>
      </c>
      <c r="I39" s="8">
        <f>Renta_Alta!I39+Masivo!I39+Consumo_Inicial!I39</f>
        <v>0</v>
      </c>
      <c r="J39" s="8">
        <f>Renta_Alta!J39+Masivo!J39+Consumo_Inicial!J39</f>
        <v>0</v>
      </c>
      <c r="K39" s="8">
        <f>Renta_Alta!K39+Masivo!K39+Consumo_Inicial!K39</f>
        <v>0</v>
      </c>
      <c r="L39" s="8">
        <f>Renta_Alta!L39+Masivo!L39+Consumo_Inicial!L39</f>
        <v>0</v>
      </c>
      <c r="M39" s="8">
        <f>Renta_Alta!M39+Masivo!M39+Consumo_Inicial!M39</f>
        <v>0</v>
      </c>
      <c r="N39" s="8">
        <f>Renta_Alta!N39+Masivo!N39+Consumo_Inicial!N39</f>
        <v>0</v>
      </c>
      <c r="O39" s="8">
        <f>Renta_Alta!O39+Masivo!O39+Consumo_Inicial!O39</f>
        <v>0</v>
      </c>
      <c r="P39" s="8">
        <f>Renta_Alta!P39+Masivo!P39+Consumo_Inicial!P39</f>
        <v>0</v>
      </c>
      <c r="Q39" s="8">
        <f>Renta_Alta!Q39+Masivo!Q39+Consumo_Inicial!Q39</f>
        <v>0</v>
      </c>
      <c r="R39" s="8">
        <f>Renta_Alta!R39+Masivo!R39+Consumo_Inicial!R39</f>
        <v>0</v>
      </c>
      <c r="S39" s="8">
        <f>Renta_Alta!S39+Masivo!S39+Consumo_Inicial!S39</f>
        <v>0</v>
      </c>
      <c r="T39" s="8">
        <f>Renta_Alta!T39+Masivo!T39+Consumo_Inicial!T39</f>
        <v>0</v>
      </c>
      <c r="U39" s="8">
        <f>Renta_Alta!U39+Masivo!U39+Consumo_Inicial!U39</f>
        <v>0</v>
      </c>
      <c r="V39" s="8">
        <f>Renta_Alta!V39+Masivo!V39+Consumo_Inicial!V39</f>
        <v>0</v>
      </c>
      <c r="W39" s="8">
        <f>Renta_Alta!W39+Masivo!W39+Consumo_Inicial!W39</f>
        <v>0</v>
      </c>
      <c r="X39" s="8">
        <f>Renta_Alta!X39+Masivo!X39+Consumo_Inicial!X39</f>
        <v>0</v>
      </c>
      <c r="Y39" s="8">
        <f>Renta_Alta!Y39+Masivo!Y39+Consumo_Inicial!Y39</f>
        <v>0</v>
      </c>
      <c r="Z39" s="8">
        <f>Renta_Alta!Z39+Masivo!Z39+Consumo_Inicial!Z39</f>
        <v>0</v>
      </c>
      <c r="AA39" s="8">
        <f>Renta_Alta!AA39+Masivo!AA39+Consumo_Inicial!AA39</f>
        <v>0</v>
      </c>
      <c r="AB39" s="8">
        <f>Renta_Alta!AB39+Masivo!AB39+Consumo_Inicial!AB39</f>
        <v>0</v>
      </c>
      <c r="AC39" s="8">
        <f>Renta_Alta!AC39+Masivo!AC39+Consumo_Inicial!AC39</f>
        <v>0</v>
      </c>
      <c r="AD39" s="8">
        <f>Renta_Alta!AD39+Masivo!AD39+Consumo_Inicial!AD39</f>
        <v>0</v>
      </c>
      <c r="AE39" s="8">
        <f>Renta_Alta!AE39+Masivo!AE39+Consumo_Inicial!AE39</f>
        <v>0</v>
      </c>
      <c r="AF39" s="8">
        <f>Renta_Alta!AF39+Masivo!AF39+Consumo_Inicial!AF39</f>
        <v>0</v>
      </c>
      <c r="AG39" s="8">
        <f>Renta_Alta!AG39+Masivo!AG39+Consumo_Inicial!AG39</f>
        <v>0</v>
      </c>
      <c r="AH39" s="8">
        <f>Renta_Alta!AH39+Masivo!AH39+Consumo_Inicial!AH39</f>
        <v>0</v>
      </c>
      <c r="AI39" s="8">
        <f>Renta_Alta!AI39+Masivo!AI39+Consumo_Inicial!AI39</f>
        <v>0</v>
      </c>
      <c r="AJ39" s="8">
        <f>Renta_Alta!AJ39+Masivo!AJ39+Consumo_Inicial!AJ39</f>
        <v>0</v>
      </c>
      <c r="AK39" s="8">
        <f>Renta_Alta!AK39+Masivo!AK39+Consumo_Inicial!AK39</f>
        <v>0</v>
      </c>
      <c r="AL39" s="8">
        <f>Renta_Alta!AL39+Masivo!AL39+Consumo_Inicial!AL39</f>
        <v>0</v>
      </c>
      <c r="AM39" s="8">
        <f>Renta_Alta!AM39+Masivo!AM39+Consumo_Inicial!AM39</f>
        <v>0</v>
      </c>
      <c r="AN39" s="8">
        <f>Renta_Alta!AN39+Masivo!AN39+Consumo_Inicial!AN39</f>
        <v>0</v>
      </c>
      <c r="AO39" s="8">
        <f>Renta_Alta!AO39+Masivo!AO39+Consumo_Inicial!AO39</f>
        <v>0</v>
      </c>
      <c r="AP39" s="8">
        <f>Renta_Alta!AP39+Masivo!AP39+Consumo_Inicial!AP39</f>
        <v>0</v>
      </c>
      <c r="AQ39" s="8">
        <f>Renta_Alta!AQ39+Masivo!AQ39+Consumo_Inicial!AQ39</f>
        <v>0</v>
      </c>
      <c r="AR39" s="8">
        <f>Renta_Alta!AR39+Masivo!AR39+Consumo_Inicial!AR39</f>
        <v>0</v>
      </c>
      <c r="AS39" s="8">
        <f>Renta_Alta!AS39+Masivo!AS39+Consumo_Inicial!AS39</f>
        <v>0</v>
      </c>
      <c r="AT39" s="8">
        <f>Renta_Alta!AT39+Masivo!AT39+Consumo_Inicial!AT39</f>
        <v>0</v>
      </c>
      <c r="AU39" s="8">
        <f>Renta_Alta!AU39+Masivo!AU39+Consumo_Inicial!AU39</f>
        <v>0</v>
      </c>
      <c r="AV39" s="8">
        <f>Renta_Alta!AV39+Masivo!AV39+Consumo_Inicial!AV39</f>
        <v>0</v>
      </c>
      <c r="AW39" s="8">
        <f>Renta_Alta!AW39+Masivo!AW39+Consumo_Inicial!AW39</f>
        <v>0</v>
      </c>
      <c r="AX39" s="8">
        <f>Renta_Alta!AX39+Masivo!AX39+Consumo_Inicial!AX39</f>
        <v>0</v>
      </c>
      <c r="AY39" s="8">
        <f>Renta_Alta!AY39+Masivo!AY39+Consumo_Inicial!AY39</f>
        <v>0</v>
      </c>
      <c r="AZ39" s="8">
        <f>Renta_Alta!AZ39+Masivo!AZ39+Consumo_Inicial!AZ39</f>
        <v>0</v>
      </c>
      <c r="BA39" s="8">
        <f>Renta_Alta!BA39+Masivo!BA39+Consumo_Inicial!BA39</f>
        <v>0</v>
      </c>
      <c r="BB39" s="8">
        <f>Renta_Alta!BB39+Masivo!BB39+Consumo_Inicial!BB39</f>
        <v>0</v>
      </c>
      <c r="BC39" s="8">
        <f>Renta_Alta!BC39+Masivo!BC39+Consumo_Inicial!BC39</f>
        <v>0</v>
      </c>
      <c r="BD39" s="8">
        <f>Renta_Alta!BD39+Masivo!BD39+Consumo_Inicial!BD39</f>
        <v>0</v>
      </c>
      <c r="BE39" s="8">
        <f>Renta_Alta!BE39+Masivo!BE39+Consumo_Inicial!BE39</f>
        <v>0</v>
      </c>
      <c r="BF39" s="8">
        <f>Renta_Alta!BF39+Masivo!BF39+Consumo_Inicial!BF39</f>
        <v>0</v>
      </c>
      <c r="BG39" s="8">
        <f>Renta_Alta!BG39+Masivo!BG39+Consumo_Inicial!BG39</f>
        <v>0</v>
      </c>
      <c r="BH39" s="8">
        <f>Renta_Alta!BH39+Masivo!BH39+Consumo_Inicial!BH39</f>
        <v>0</v>
      </c>
      <c r="BI39" s="8">
        <f>Renta_Alta!BI39+Masivo!BI39+Consumo_Inicial!BI39</f>
        <v>0</v>
      </c>
      <c r="BJ39" s="8">
        <f>Renta_Alta!BJ39+Masivo!BJ39+Consumo_Inicial!BJ39</f>
        <v>0</v>
      </c>
      <c r="BK39" s="8">
        <f>Renta_Alta!BK39+Masivo!BK39+Consumo_Inicial!BK39</f>
        <v>0</v>
      </c>
      <c r="BO39" s="24">
        <f t="shared" si="41"/>
        <v>0</v>
      </c>
      <c r="BP39" s="24">
        <f t="shared" si="41"/>
        <v>0</v>
      </c>
      <c r="BQ39" s="24">
        <f t="shared" si="41"/>
        <v>0</v>
      </c>
      <c r="BR39" s="24">
        <f t="shared" si="41"/>
        <v>0</v>
      </c>
      <c r="BS39" s="24">
        <f t="shared" si="41"/>
        <v>0</v>
      </c>
      <c r="BT39" s="24">
        <f t="shared" si="41"/>
        <v>0</v>
      </c>
    </row>
    <row r="40" spans="1:72" hidden="1" outlineLevel="1" x14ac:dyDescent="0.25">
      <c r="A40" s="58" t="s">
        <v>55</v>
      </c>
      <c r="C40" s="59" t="s">
        <v>45</v>
      </c>
      <c r="D40" s="8">
        <f>Renta_Alta!D40+Masivo!D40+Consumo_Inicial!D40</f>
        <v>1835.03314701</v>
      </c>
      <c r="E40" s="8">
        <f>Renta_Alta!E40+Masivo!E40+Consumo_Inicial!E40</f>
        <v>1584.3403819599996</v>
      </c>
      <c r="F40" s="8">
        <f>Renta_Alta!F40+Masivo!F40+Consumo_Inicial!F40</f>
        <v>2237.3082090600005</v>
      </c>
      <c r="G40" s="8">
        <f>Renta_Alta!G40+Masivo!G40+Consumo_Inicial!G40</f>
        <v>1707.2737507500001</v>
      </c>
      <c r="H40" s="8">
        <f>Renta_Alta!H40+Masivo!H40+Consumo_Inicial!H40</f>
        <v>2137.62121462</v>
      </c>
      <c r="I40" s="8">
        <f>Renta_Alta!I40+Masivo!I40+Consumo_Inicial!I40</f>
        <v>2258.2491289500003</v>
      </c>
      <c r="J40" s="8">
        <f>Renta_Alta!J40+Masivo!J40+Consumo_Inicial!J40</f>
        <v>2334.6947605299997</v>
      </c>
      <c r="K40" s="8">
        <f>Renta_Alta!K40+Masivo!K40+Consumo_Inicial!K40</f>
        <v>2154.7941716</v>
      </c>
      <c r="L40" s="8">
        <f>Renta_Alta!L40+Masivo!L40+Consumo_Inicial!L40</f>
        <v>2229.8097485000003</v>
      </c>
      <c r="M40" s="8">
        <f>Renta_Alta!M40+Masivo!M40+Consumo_Inicial!M40</f>
        <v>2801.9681676299997</v>
      </c>
      <c r="N40" s="8">
        <f>Renta_Alta!N40+Masivo!N40+Consumo_Inicial!N40</f>
        <v>2315.274038</v>
      </c>
      <c r="O40" s="8">
        <f>Renta_Alta!O40+Masivo!O40+Consumo_Inicial!O40</f>
        <v>2234.5261781899999</v>
      </c>
      <c r="P40" s="8">
        <f>Renta_Alta!P40+Masivo!P40+Consumo_Inicial!P40</f>
        <v>2746.5404105600001</v>
      </c>
      <c r="Q40" s="8">
        <f>Renta_Alta!Q40+Masivo!Q40+Consumo_Inicial!Q40</f>
        <v>2228.7022875499997</v>
      </c>
      <c r="R40" s="8">
        <f>Renta_Alta!R40+Masivo!R40+Consumo_Inicial!R40</f>
        <v>2603.5219857699999</v>
      </c>
      <c r="S40" s="8">
        <f>Renta_Alta!S40+Masivo!S40+Consumo_Inicial!S40</f>
        <v>2677.3389777900011</v>
      </c>
      <c r="T40" s="8">
        <f>Renta_Alta!T40+Masivo!T40+Consumo_Inicial!T40</f>
        <v>2763.5149335399997</v>
      </c>
      <c r="U40" s="8">
        <f>Renta_Alta!U40+Masivo!U40+Consumo_Inicial!U40</f>
        <v>2642.5114444299998</v>
      </c>
      <c r="V40" s="8">
        <f>Renta_Alta!V40+Masivo!V40+Consumo_Inicial!V40</f>
        <v>3225.3410825000001</v>
      </c>
      <c r="W40" s="8">
        <f>Renta_Alta!W40+Masivo!W40+Consumo_Inicial!W40</f>
        <v>2971.6303432100008</v>
      </c>
      <c r="X40" s="8">
        <f>Renta_Alta!X40+Masivo!X40+Consumo_Inicial!X40</f>
        <v>2679.9192697900003</v>
      </c>
      <c r="Y40" s="8">
        <f>Renta_Alta!Y40+Masivo!Y40+Consumo_Inicial!Y40</f>
        <v>2511.9656073599999</v>
      </c>
      <c r="Z40" s="8">
        <f>Renta_Alta!Z40+Masivo!Z40+Consumo_Inicial!Z40</f>
        <v>2639.3807816399999</v>
      </c>
      <c r="AA40" s="8">
        <f>Renta_Alta!AA40+Masivo!AA40+Consumo_Inicial!AA40</f>
        <v>3108.9013882400004</v>
      </c>
      <c r="AB40" s="8">
        <f>Renta_Alta!AB40+Masivo!AB40+Consumo_Inicial!AB40</f>
        <v>2977.0119900999998</v>
      </c>
      <c r="AC40" s="8">
        <f>Renta_Alta!AC40+Masivo!AC40+Consumo_Inicial!AC40</f>
        <v>2338.0210089699999</v>
      </c>
      <c r="AD40" s="8">
        <f>Renta_Alta!AD40+Masivo!AD40+Consumo_Inicial!AD40</f>
        <v>3160.6668195500001</v>
      </c>
      <c r="AE40" s="8">
        <f>Renta_Alta!AE40+Masivo!AE40+Consumo_Inicial!AE40</f>
        <v>2881.8612207699998</v>
      </c>
      <c r="AF40" s="8">
        <f>Renta_Alta!AF40+Masivo!AF40+Consumo_Inicial!AF40</f>
        <v>3403.26395516</v>
      </c>
      <c r="AG40" s="8">
        <f>Renta_Alta!AG40+Masivo!AG40+Consumo_Inicial!AG40</f>
        <v>2905.96510248</v>
      </c>
      <c r="AH40" s="8">
        <f>Renta_Alta!AH40+Masivo!AH40+Consumo_Inicial!AH40</f>
        <v>2836.8313979300001</v>
      </c>
      <c r="AI40" s="8">
        <f>Renta_Alta!AI40+Masivo!AI40+Consumo_Inicial!AI40</f>
        <v>2687.4708408499996</v>
      </c>
      <c r="AJ40" s="8">
        <f>Renta_Alta!AJ40+Masivo!AJ40+Consumo_Inicial!AJ40</f>
        <v>3504.7852068000007</v>
      </c>
      <c r="AK40" s="8">
        <f>Renta_Alta!AK40+Masivo!AK40+Consumo_Inicial!AK40</f>
        <v>2889.1944333000001</v>
      </c>
      <c r="AL40" s="8">
        <f>Renta_Alta!AL40+Masivo!AL40+Consumo_Inicial!AL40</f>
        <v>3060.7342172099998</v>
      </c>
      <c r="AM40" s="8">
        <f>Renta_Alta!AM40+Masivo!AM40+Consumo_Inicial!AM40</f>
        <v>3440.35162562</v>
      </c>
      <c r="AN40" s="8">
        <f>Renta_Alta!AN40+Masivo!AN40+Consumo_Inicial!AN40</f>
        <v>2837.3791228299997</v>
      </c>
      <c r="AO40" s="8">
        <f>Renta_Alta!AO40+Masivo!AO40+Consumo_Inicial!AO40</f>
        <v>2614.032882160001</v>
      </c>
      <c r="AP40" s="8">
        <f>Renta_Alta!AP40+Masivo!AP40+Consumo_Inicial!AP40</f>
        <v>3244.4283465299995</v>
      </c>
      <c r="AQ40" s="8">
        <f>Renta_Alta!AQ40+Masivo!AQ40+Consumo_Inicial!AQ40</f>
        <v>2636.8049342100003</v>
      </c>
      <c r="AR40" s="8">
        <f>Renta_Alta!AR40+Masivo!AR40+Consumo_Inicial!AR40</f>
        <v>2972.7539898500004</v>
      </c>
      <c r="AS40" s="8">
        <f>Renta_Alta!AS40+Masivo!AS40+Consumo_Inicial!AS40</f>
        <v>2691.2878113600004</v>
      </c>
      <c r="AT40" s="8">
        <f>Renta_Alta!AT40+Masivo!AT40+Consumo_Inicial!AT40</f>
        <v>0</v>
      </c>
      <c r="AU40" s="8">
        <f>Renta_Alta!AU40+Masivo!AU40+Consumo_Inicial!AU40</f>
        <v>0</v>
      </c>
      <c r="AV40" s="8">
        <f>Renta_Alta!AV40+Masivo!AV40+Consumo_Inicial!AV40</f>
        <v>0</v>
      </c>
      <c r="AW40" s="8">
        <f>Renta_Alta!AW40+Masivo!AW40+Consumo_Inicial!AW40</f>
        <v>0</v>
      </c>
      <c r="AX40" s="8">
        <f>Renta_Alta!AX40+Masivo!AX40+Consumo_Inicial!AX40</f>
        <v>0</v>
      </c>
      <c r="AY40" s="8">
        <f>Renta_Alta!AY40+Masivo!AY40+Consumo_Inicial!AY40</f>
        <v>0</v>
      </c>
      <c r="AZ40" s="8">
        <f>Renta_Alta!AZ40+Masivo!AZ40+Consumo_Inicial!AZ40</f>
        <v>3584.6148960934565</v>
      </c>
      <c r="BA40" s="8">
        <f>Renta_Alta!BA40+Masivo!BA40+Consumo_Inicial!BA40</f>
        <v>3293.1241049346827</v>
      </c>
      <c r="BB40" s="8">
        <f>Renta_Alta!BB40+Masivo!BB40+Consumo_Inicial!BB40</f>
        <v>3627.0600051209385</v>
      </c>
      <c r="BC40" s="8">
        <f>Renta_Alta!BC40+Masivo!BC40+Consumo_Inicial!BC40</f>
        <v>3569.4456951556626</v>
      </c>
      <c r="BD40" s="8">
        <f>Renta_Alta!BD40+Masivo!BD40+Consumo_Inicial!BD40</f>
        <v>3740.5132020348606</v>
      </c>
      <c r="BE40" s="8">
        <f>Renta_Alta!BE40+Masivo!BE40+Consumo_Inicial!BE40</f>
        <v>3621.412999933867</v>
      </c>
      <c r="BF40" s="8">
        <f>Renta_Alta!BF40+Masivo!BF40+Consumo_Inicial!BF40</f>
        <v>3803.9125674937177</v>
      </c>
      <c r="BG40" s="8">
        <f>Renta_Alta!BG40+Masivo!BG40+Consumo_Inicial!BG40</f>
        <v>3845.5291189761965</v>
      </c>
      <c r="BH40" s="8">
        <f>Renta_Alta!BH40+Masivo!BH40+Consumo_Inicial!BH40</f>
        <v>3714.7398370467317</v>
      </c>
      <c r="BI40" s="8">
        <f>Renta_Alta!BI40+Masivo!BI40+Consumo_Inicial!BI40</f>
        <v>3898.0525641146755</v>
      </c>
      <c r="BJ40" s="8">
        <f>Renta_Alta!BJ40+Masivo!BJ40+Consumo_Inicial!BJ40</f>
        <v>3837.6664950133681</v>
      </c>
      <c r="BK40" s="8">
        <f>Renta_Alta!BK40+Masivo!BK40+Consumo_Inicial!BK40</f>
        <v>3976.2722136657762</v>
      </c>
      <c r="BO40" s="24">
        <f t="shared" si="41"/>
        <v>8695.8403515200007</v>
      </c>
      <c r="BP40" s="24">
        <f t="shared" si="41"/>
        <v>10504.799006149078</v>
      </c>
      <c r="BQ40" s="24">
        <f t="shared" si="41"/>
        <v>5451.4120049900012</v>
      </c>
      <c r="BR40" s="24">
        <f t="shared" si="41"/>
        <v>8475.6998186199999</v>
      </c>
      <c r="BS40" s="24">
        <f t="shared" si="41"/>
        <v>7578.7646838799992</v>
      </c>
      <c r="BT40" s="24">
        <f t="shared" si="41"/>
        <v>5656.6817380299999</v>
      </c>
    </row>
    <row r="41" spans="1:72" collapsed="1" x14ac:dyDescent="0.25">
      <c r="C41" s="60" t="s">
        <v>57</v>
      </c>
      <c r="D41" s="61">
        <f t="shared" ref="D41:AI41" si="42">SUM(D38:D40)</f>
        <v>56343.614074269994</v>
      </c>
      <c r="E41" s="61">
        <f t="shared" si="42"/>
        <v>51332.451643549997</v>
      </c>
      <c r="F41" s="61">
        <f t="shared" si="42"/>
        <v>57665.603803539998</v>
      </c>
      <c r="G41" s="61">
        <f t="shared" si="42"/>
        <v>55892.835596489982</v>
      </c>
      <c r="H41" s="61">
        <f t="shared" si="42"/>
        <v>58546.069845519996</v>
      </c>
      <c r="I41" s="61">
        <f t="shared" si="42"/>
        <v>57126.293580320002</v>
      </c>
      <c r="J41" s="61">
        <f t="shared" si="42"/>
        <v>59626.482010789987</v>
      </c>
      <c r="K41" s="61">
        <f t="shared" si="42"/>
        <v>59441.284297709986</v>
      </c>
      <c r="L41" s="61">
        <f t="shared" si="42"/>
        <v>58188.230050090009</v>
      </c>
      <c r="M41" s="61">
        <f t="shared" si="42"/>
        <v>61188.220216099995</v>
      </c>
      <c r="N41" s="61">
        <f t="shared" si="42"/>
        <v>59279.671677439997</v>
      </c>
      <c r="O41" s="61">
        <f t="shared" si="42"/>
        <v>61823.587767759993</v>
      </c>
      <c r="P41" s="61">
        <f t="shared" si="42"/>
        <v>61987.45607611999</v>
      </c>
      <c r="Q41" s="61">
        <f t="shared" si="42"/>
        <v>58083.200557829994</v>
      </c>
      <c r="R41" s="61">
        <f t="shared" si="42"/>
        <v>62997.515308139999</v>
      </c>
      <c r="S41" s="61">
        <f t="shared" si="42"/>
        <v>60875.240364120007</v>
      </c>
      <c r="T41" s="61">
        <f t="shared" si="42"/>
        <v>63852.374408470008</v>
      </c>
      <c r="U41" s="61">
        <f t="shared" si="42"/>
        <v>62389.821604840006</v>
      </c>
      <c r="V41" s="61">
        <f t="shared" si="42"/>
        <v>65448.427715809987</v>
      </c>
      <c r="W41" s="61">
        <f t="shared" si="42"/>
        <v>65805.678163069999</v>
      </c>
      <c r="X41" s="61">
        <f t="shared" si="42"/>
        <v>63631.310891900001</v>
      </c>
      <c r="Y41" s="61">
        <f t="shared" si="42"/>
        <v>66046.781592970001</v>
      </c>
      <c r="Z41" s="61">
        <f t="shared" si="42"/>
        <v>64838.614881279987</v>
      </c>
      <c r="AA41" s="61">
        <f t="shared" si="42"/>
        <v>67564.111112900006</v>
      </c>
      <c r="AB41" s="61">
        <f t="shared" si="42"/>
        <v>67270.032077390002</v>
      </c>
      <c r="AC41" s="61">
        <f t="shared" si="42"/>
        <v>60973.657069959991</v>
      </c>
      <c r="AD41" s="61">
        <f t="shared" si="42"/>
        <v>67943.579325860002</v>
      </c>
      <c r="AE41" s="61">
        <f t="shared" si="42"/>
        <v>65955.71989077999</v>
      </c>
      <c r="AF41" s="61">
        <f t="shared" si="42"/>
        <v>69514.348258760016</v>
      </c>
      <c r="AG41" s="61">
        <f t="shared" si="42"/>
        <v>66678.226558520008</v>
      </c>
      <c r="AH41" s="61">
        <f t="shared" si="42"/>
        <v>69851.653800730011</v>
      </c>
      <c r="AI41" s="61">
        <f t="shared" si="42"/>
        <v>69890.718488900005</v>
      </c>
      <c r="AJ41" s="61">
        <f t="shared" ref="AJ41:AY41" si="43">SUM(AJ38:AJ40)</f>
        <v>68708.999849989996</v>
      </c>
      <c r="AK41" s="61">
        <f t="shared" si="43"/>
        <v>71148.98727570998</v>
      </c>
      <c r="AL41" s="61">
        <f t="shared" si="43"/>
        <v>70126.821137069986</v>
      </c>
      <c r="AM41" s="61">
        <f t="shared" si="43"/>
        <v>73260.096338359988</v>
      </c>
      <c r="AN41" s="61">
        <f t="shared" si="43"/>
        <v>72939.083515519989</v>
      </c>
      <c r="AO41" s="61">
        <f t="shared" si="43"/>
        <v>66542.792482580015</v>
      </c>
      <c r="AP41" s="61">
        <f t="shared" si="43"/>
        <v>74185.557288459982</v>
      </c>
      <c r="AQ41" s="61">
        <f t="shared" si="43"/>
        <v>71402.830666139998</v>
      </c>
      <c r="AR41" s="61">
        <f t="shared" si="43"/>
        <v>74735.396411960013</v>
      </c>
      <c r="AS41" s="61">
        <f t="shared" si="43"/>
        <v>71798.903730320002</v>
      </c>
      <c r="AT41" s="61">
        <f t="shared" si="43"/>
        <v>0</v>
      </c>
      <c r="AU41" s="61">
        <f t="shared" si="43"/>
        <v>0</v>
      </c>
      <c r="AV41" s="61">
        <f t="shared" si="43"/>
        <v>0</v>
      </c>
      <c r="AW41" s="61">
        <f t="shared" si="43"/>
        <v>0</v>
      </c>
      <c r="AX41" s="61">
        <f t="shared" si="43"/>
        <v>0</v>
      </c>
      <c r="AY41" s="61">
        <f t="shared" si="43"/>
        <v>0</v>
      </c>
      <c r="AZ41" s="61">
        <f t="shared" ref="AZ41:BK41" si="44">SUM(AZ38:AZ40)</f>
        <v>72388.118453076429</v>
      </c>
      <c r="BA41" s="61">
        <f t="shared" si="44"/>
        <v>66258.64607466085</v>
      </c>
      <c r="BB41" s="61">
        <f t="shared" si="44"/>
        <v>72958.641206873595</v>
      </c>
      <c r="BC41" s="61">
        <f t="shared" si="44"/>
        <v>71499.297501686931</v>
      </c>
      <c r="BD41" s="61">
        <f t="shared" si="44"/>
        <v>74851.305407197375</v>
      </c>
      <c r="BE41" s="61">
        <f t="shared" si="44"/>
        <v>72434.483477606511</v>
      </c>
      <c r="BF41" s="61">
        <f t="shared" si="44"/>
        <v>75898.503520003243</v>
      </c>
      <c r="BG41" s="61">
        <f t="shared" si="44"/>
        <v>76603.68935167286</v>
      </c>
      <c r="BH41" s="61">
        <f t="shared" si="44"/>
        <v>74200.533887058962</v>
      </c>
      <c r="BI41" s="61">
        <f t="shared" si="44"/>
        <v>77633.089751493142</v>
      </c>
      <c r="BJ41" s="61">
        <f t="shared" si="44"/>
        <v>76209.861055037123</v>
      </c>
      <c r="BK41" s="61">
        <f t="shared" si="44"/>
        <v>78960.893737181585</v>
      </c>
      <c r="BO41" s="62">
        <f t="shared" ref="BO41:BT41" si="45">SUM(BO38:BO40)</f>
        <v>213667.43328655997</v>
      </c>
      <c r="BP41" s="62">
        <f t="shared" si="45"/>
        <v>211605.40573461089</v>
      </c>
      <c r="BQ41" s="62">
        <f t="shared" si="45"/>
        <v>139481.8759981</v>
      </c>
      <c r="BR41" s="62">
        <f t="shared" si="45"/>
        <v>196187.26847320999</v>
      </c>
      <c r="BS41" s="62">
        <f t="shared" si="45"/>
        <v>183068.17194208998</v>
      </c>
      <c r="BT41" s="62">
        <f t="shared" si="45"/>
        <v>165341.66952135999</v>
      </c>
    </row>
    <row r="42" spans="1:72" x14ac:dyDescent="0.25">
      <c r="AS42" s="17"/>
    </row>
    <row r="44" spans="1:72" hidden="1" outlineLevel="1" x14ac:dyDescent="0.25">
      <c r="A44" s="58" t="s">
        <v>50</v>
      </c>
      <c r="C44" s="59" t="s">
        <v>0</v>
      </c>
      <c r="D44" s="8">
        <f>Renta_Alta!D44+Masivo!D44+Consumo_Inicial!D44</f>
        <v>-37446.096558559999</v>
      </c>
      <c r="E44" s="8">
        <f>Renta_Alta!E44+Masivo!E44+Consumo_Inicial!E44</f>
        <v>-37877.023658270009</v>
      </c>
      <c r="F44" s="8">
        <f>Renta_Alta!F44+Masivo!F44+Consumo_Inicial!F44</f>
        <v>-38298.554916799992</v>
      </c>
      <c r="G44" s="8">
        <f>Renta_Alta!G44+Masivo!G44+Consumo_Inicial!G44</f>
        <v>-38822.578575400003</v>
      </c>
      <c r="H44" s="8">
        <f>Renta_Alta!H44+Masivo!H44+Consumo_Inicial!H44</f>
        <v>-39191.401704359982</v>
      </c>
      <c r="I44" s="8">
        <f>Renta_Alta!I44+Masivo!I44+Consumo_Inicial!I44</f>
        <v>-39646.186642500004</v>
      </c>
      <c r="J44" s="8">
        <f>Renta_Alta!J44+Masivo!J44+Consumo_Inicial!J44</f>
        <v>-40059.944474280004</v>
      </c>
      <c r="K44" s="8">
        <f>Renta_Alta!K44+Masivo!K44+Consumo_Inicial!K44</f>
        <v>-40295.261448099998</v>
      </c>
      <c r="L44" s="8">
        <f>Renta_Alta!L44+Masivo!L44+Consumo_Inicial!L44</f>
        <v>-40708.488592689988</v>
      </c>
      <c r="M44" s="8">
        <f>Renta_Alta!M44+Masivo!M44+Consumo_Inicial!M44</f>
        <v>-41211.010799050004</v>
      </c>
      <c r="N44" s="8">
        <f>Renta_Alta!N44+Masivo!N44+Consumo_Inicial!N44</f>
        <v>-41538.975836420002</v>
      </c>
      <c r="O44" s="8">
        <f>Renta_Alta!O44+Masivo!O44+Consumo_Inicial!O44</f>
        <v>-41898.18046548999</v>
      </c>
      <c r="P44" s="8">
        <f>Renta_Alta!P44+Masivo!P44+Consumo_Inicial!P44</f>
        <v>-42216.731622419997</v>
      </c>
      <c r="Q44" s="8">
        <f>Renta_Alta!Q44+Masivo!Q44+Consumo_Inicial!Q44</f>
        <v>-42457.728303819997</v>
      </c>
      <c r="R44" s="8">
        <f>Renta_Alta!R44+Masivo!R44+Consumo_Inicial!R44</f>
        <v>-42975.828029239987</v>
      </c>
      <c r="S44" s="8">
        <f>Renta_Alta!S44+Masivo!S44+Consumo_Inicial!S44</f>
        <v>-43172.476383900008</v>
      </c>
      <c r="T44" s="8">
        <f>Renta_Alta!T44+Masivo!T44+Consumo_Inicial!T44</f>
        <v>-43658.226334700019</v>
      </c>
      <c r="U44" s="8">
        <f>Renta_Alta!U44+Masivo!U44+Consumo_Inicial!U44</f>
        <v>-43918.782966689992</v>
      </c>
      <c r="V44" s="8">
        <f>Renta_Alta!V44+Masivo!V44+Consumo_Inicial!V44</f>
        <v>-44563.642741479998</v>
      </c>
      <c r="W44" s="8">
        <f>Renta_Alta!W44+Masivo!W44+Consumo_Inicial!W44</f>
        <v>-45200.449294569997</v>
      </c>
      <c r="X44" s="8">
        <f>Renta_Alta!X44+Masivo!X44+Consumo_Inicial!X44</f>
        <v>-45525.615436060005</v>
      </c>
      <c r="Y44" s="8">
        <f>Renta_Alta!Y44+Masivo!Y44+Consumo_Inicial!Y44</f>
        <v>-45866.75577453999</v>
      </c>
      <c r="Z44" s="8">
        <f>Renta_Alta!Z44+Masivo!Z44+Consumo_Inicial!Z44</f>
        <v>-46289.530203460003</v>
      </c>
      <c r="AA44" s="8">
        <f>Renta_Alta!AA44+Masivo!AA44+Consumo_Inicial!AA44</f>
        <v>-46581.72058085</v>
      </c>
      <c r="AB44" s="8">
        <f>Renta_Alta!AB44+Masivo!AB44+Consumo_Inicial!AB44</f>
        <v>-46979.789658130001</v>
      </c>
      <c r="AC44" s="8">
        <f>Renta_Alta!AC44+Masivo!AC44+Consumo_Inicial!AC44</f>
        <v>-47247.314560999999</v>
      </c>
      <c r="AD44" s="8">
        <f>Renta_Alta!AD44+Masivo!AD44+Consumo_Inicial!AD44</f>
        <v>-47644.453961220017</v>
      </c>
      <c r="AE44" s="8">
        <f>Renta_Alta!AE44+Masivo!AE44+Consumo_Inicial!AE44</f>
        <v>-47848.759533039993</v>
      </c>
      <c r="AF44" s="8">
        <f>Renta_Alta!AF44+Masivo!AF44+Consumo_Inicial!AF44</f>
        <v>-48214.192606200013</v>
      </c>
      <c r="AG44" s="8">
        <f>Renta_Alta!AG44+Masivo!AG44+Consumo_Inicial!AG44</f>
        <v>-48616.116708100009</v>
      </c>
      <c r="AH44" s="8">
        <f>Renta_Alta!AH44+Masivo!AH44+Consumo_Inicial!AH44</f>
        <v>-49150.184588559998</v>
      </c>
      <c r="AI44" s="8">
        <f>Renta_Alta!AI44+Masivo!AI44+Consumo_Inicial!AI44</f>
        <v>-49530.720173900008</v>
      </c>
      <c r="AJ44" s="8">
        <f>Renta_Alta!AJ44+Masivo!AJ44+Consumo_Inicial!AJ44</f>
        <v>-50075.181839389996</v>
      </c>
      <c r="AK44" s="8">
        <f>Renta_Alta!AK44+Masivo!AK44+Consumo_Inicial!AK44</f>
        <v>-50469.06991458001</v>
      </c>
      <c r="AL44" s="8">
        <f>Renta_Alta!AL44+Masivo!AL44+Consumo_Inicial!AL44</f>
        <v>-50989.052168180002</v>
      </c>
      <c r="AM44" s="8">
        <f>Renta_Alta!AM44+Masivo!AM44+Consumo_Inicial!AM44</f>
        <v>-51354.973909779997</v>
      </c>
      <c r="AN44" s="8">
        <f>Renta_Alta!AN44+Masivo!AN44+Consumo_Inicial!AN44</f>
        <v>-51676.872778809993</v>
      </c>
      <c r="AO44" s="8">
        <f>Renta_Alta!AO44+Masivo!AO44+Consumo_Inicial!AO44</f>
        <v>-51950.602752619998</v>
      </c>
      <c r="AP44" s="8">
        <f>Renta_Alta!AP44+Masivo!AP44+Consumo_Inicial!AP44</f>
        <v>-52325.8199465</v>
      </c>
      <c r="AQ44" s="8">
        <f>Renta_Alta!AQ44+Masivo!AQ44+Consumo_Inicial!AQ44</f>
        <v>-52373.692922549999</v>
      </c>
      <c r="AR44" s="8">
        <f>Renta_Alta!AR44+Masivo!AR44+Consumo_Inicial!AR44</f>
        <v>-52805.026142189992</v>
      </c>
      <c r="AS44" s="8">
        <f>Renta_Alta!AS44+Masivo!AS44+Consumo_Inicial!AS44</f>
        <v>-53123.323053300002</v>
      </c>
      <c r="AT44" s="8">
        <f>Renta_Alta!AT44+Masivo!AT44+Consumo_Inicial!AT44</f>
        <v>0</v>
      </c>
      <c r="AU44" s="8">
        <f>Renta_Alta!AU44+Masivo!AU44+Consumo_Inicial!AU44</f>
        <v>0</v>
      </c>
      <c r="AV44" s="8">
        <f>Renta_Alta!AV44+Masivo!AV44+Consumo_Inicial!AV44</f>
        <v>0</v>
      </c>
      <c r="AW44" s="8">
        <f>Renta_Alta!AW44+Masivo!AW44+Consumo_Inicial!AW44</f>
        <v>0</v>
      </c>
      <c r="AX44" s="8">
        <f>Renta_Alta!AX44+Masivo!AX44+Consumo_Inicial!AX44</f>
        <v>0</v>
      </c>
      <c r="AY44" s="8">
        <f>Renta_Alta!AY44+Masivo!AY44+Consumo_Inicial!AY44</f>
        <v>0</v>
      </c>
      <c r="AZ44" s="8">
        <f>Renta_Alta!AZ44+Masivo!AZ44+Consumo_Inicial!AZ44</f>
        <v>-51553.652044331808</v>
      </c>
      <c r="BA44" s="8">
        <f>Renta_Alta!BA44+Masivo!BA44+Consumo_Inicial!BA44</f>
        <v>-51878.273737939067</v>
      </c>
      <c r="BB44" s="8">
        <f>Renta_Alta!BB44+Masivo!BB44+Consumo_Inicial!BB44</f>
        <v>-52094.537955665888</v>
      </c>
      <c r="BC44" s="8">
        <f>Renta_Alta!BC44+Masivo!BC44+Consumo_Inicial!BC44</f>
        <v>-52395.362975143129</v>
      </c>
      <c r="BD44" s="8">
        <f>Renta_Alta!BD44+Masivo!BD44+Consumo_Inicial!BD44</f>
        <v>-52727.335299197388</v>
      </c>
      <c r="BE44" s="8">
        <f>Renta_Alta!BE44+Masivo!BE44+Consumo_Inicial!BE44</f>
        <v>-53141.41389172963</v>
      </c>
      <c r="BF44" s="8">
        <f>Renta_Alta!BF44+Masivo!BF44+Consumo_Inicial!BF44</f>
        <v>-53473.665628652154</v>
      </c>
      <c r="BG44" s="8">
        <f>Renta_Alta!BG44+Masivo!BG44+Consumo_Inicial!BG44</f>
        <v>-53968.240412877909</v>
      </c>
      <c r="BH44" s="8">
        <f>Renta_Alta!BH44+Masivo!BH44+Consumo_Inicial!BH44</f>
        <v>-54420.744883196217</v>
      </c>
      <c r="BI44" s="8">
        <f>Renta_Alta!BI44+Masivo!BI44+Consumo_Inicial!BI44</f>
        <v>-54945.086560343494</v>
      </c>
      <c r="BJ44" s="8">
        <f>Renta_Alta!BJ44+Masivo!BJ44+Consumo_Inicial!BJ44</f>
        <v>-55396.859891536755</v>
      </c>
      <c r="BK44" s="8">
        <f>Renta_Alta!BK44+Masivo!BK44+Consumo_Inicial!BK44</f>
        <v>-55775.847852080973</v>
      </c>
      <c r="BO44" s="24">
        <f t="shared" ref="BO44:BT46" si="46">SUMIFS($D44:$BM44,$D$6:$BM$6,"&gt;="&amp;BO$2,$D$6:$BM$6,"&lt;="&amp;BO$6,$D$5:$BM$5,BO$5)</f>
        <v>-155953.29547792999</v>
      </c>
      <c r="BP44" s="24">
        <f t="shared" si="46"/>
        <v>-155526.46373793675</v>
      </c>
      <c r="BQ44" s="24">
        <f t="shared" si="46"/>
        <v>-103627.47553142998</v>
      </c>
      <c r="BR44" s="24">
        <f t="shared" si="46"/>
        <v>-141871.55818035002</v>
      </c>
      <c r="BS44" s="24">
        <f t="shared" si="46"/>
        <v>-127650.28795547999</v>
      </c>
      <c r="BT44" s="24">
        <f t="shared" si="46"/>
        <v>-113621.67513362999</v>
      </c>
    </row>
    <row r="45" spans="1:72" hidden="1" outlineLevel="1" x14ac:dyDescent="0.25">
      <c r="A45" s="58" t="s">
        <v>50</v>
      </c>
      <c r="C45" s="59" t="s">
        <v>1</v>
      </c>
      <c r="D45" s="8">
        <f>Renta_Alta!D45+Masivo!D45+Consumo_Inicial!D45</f>
        <v>-136.55005484999998</v>
      </c>
      <c r="E45" s="8">
        <f>Renta_Alta!E45+Masivo!E45+Consumo_Inicial!E45</f>
        <v>-132.28075405999999</v>
      </c>
      <c r="F45" s="8">
        <f>Renta_Alta!F45+Masivo!F45+Consumo_Inicial!F45</f>
        <v>-135.84478140000002</v>
      </c>
      <c r="G45" s="8">
        <f>Renta_Alta!G45+Masivo!G45+Consumo_Inicial!G45</f>
        <v>-144.23653616000001</v>
      </c>
      <c r="H45" s="8">
        <f>Renta_Alta!H45+Masivo!H45+Consumo_Inicial!H45</f>
        <v>-132.26878343999999</v>
      </c>
      <c r="I45" s="8">
        <f>Renta_Alta!I45+Masivo!I45+Consumo_Inicial!I45</f>
        <v>-131.1701855</v>
      </c>
      <c r="J45" s="8">
        <f>Renta_Alta!J45+Masivo!J45+Consumo_Inicial!J45</f>
        <v>-131.70305143000002</v>
      </c>
      <c r="K45" s="8">
        <f>Renta_Alta!K45+Masivo!K45+Consumo_Inicial!K45</f>
        <v>-126.60728696</v>
      </c>
      <c r="L45" s="8">
        <f>Renta_Alta!L45+Masivo!L45+Consumo_Inicial!L45</f>
        <v>-121.38521962999999</v>
      </c>
      <c r="M45" s="8">
        <f>Renta_Alta!M45+Masivo!M45+Consumo_Inicial!M45</f>
        <v>-124.16360985</v>
      </c>
      <c r="N45" s="8">
        <f>Renta_Alta!N45+Masivo!N45+Consumo_Inicial!N45</f>
        <v>-129.22910952000004</v>
      </c>
      <c r="O45" s="8">
        <f>Renta_Alta!O45+Masivo!O45+Consumo_Inicial!O45</f>
        <v>-129.42729506000001</v>
      </c>
      <c r="P45" s="8">
        <f>Renta_Alta!P45+Masivo!P45+Consumo_Inicial!P45</f>
        <v>-127.37496312</v>
      </c>
      <c r="Q45" s="8">
        <f>Renta_Alta!Q45+Masivo!Q45+Consumo_Inicial!Q45</f>
        <v>-125.99587592</v>
      </c>
      <c r="R45" s="8">
        <f>Renta_Alta!R45+Masivo!R45+Consumo_Inicial!R45</f>
        <v>-129.0802668</v>
      </c>
      <c r="S45" s="8">
        <f>Renta_Alta!S45+Masivo!S45+Consumo_Inicial!S45</f>
        <v>-127.77973648</v>
      </c>
      <c r="T45" s="8">
        <f>Renta_Alta!T45+Masivo!T45+Consumo_Inicial!T45</f>
        <v>-124.33747590000002</v>
      </c>
      <c r="U45" s="8">
        <f>Renta_Alta!U45+Masivo!U45+Consumo_Inicial!U45</f>
        <v>-122.44482877999999</v>
      </c>
      <c r="V45" s="8">
        <f>Renta_Alta!V45+Masivo!V45+Consumo_Inicial!V45</f>
        <v>-122.13443368</v>
      </c>
      <c r="W45" s="8">
        <f>Renta_Alta!W45+Masivo!W45+Consumo_Inicial!W45</f>
        <v>-119.55864307</v>
      </c>
      <c r="X45" s="8">
        <f>Renta_Alta!X45+Masivo!X45+Consumo_Inicial!X45</f>
        <v>-119.67132812</v>
      </c>
      <c r="Y45" s="8">
        <f>Renta_Alta!Y45+Masivo!Y45+Consumo_Inicial!Y45</f>
        <v>-120.875406</v>
      </c>
      <c r="Z45" s="8">
        <f>Renta_Alta!Z45+Masivo!Z45+Consumo_Inicial!Z45</f>
        <v>-122.27748728</v>
      </c>
      <c r="AA45" s="8">
        <f>Renta_Alta!AA45+Masivo!AA45+Consumo_Inicial!AA45</f>
        <v>-121.94508644999999</v>
      </c>
      <c r="AB45" s="8">
        <f>Renta_Alta!AB45+Masivo!AB45+Consumo_Inicial!AB45</f>
        <v>-127.39207912000001</v>
      </c>
      <c r="AC45" s="8">
        <f>Renta_Alta!AC45+Masivo!AC45+Consumo_Inicial!AC45</f>
        <v>-122.825192</v>
      </c>
      <c r="AD45" s="8">
        <f>Renta_Alta!AD45+Masivo!AD45+Consumo_Inicial!AD45</f>
        <v>-124.34356047000001</v>
      </c>
      <c r="AE45" s="8">
        <f>Renta_Alta!AE45+Masivo!AE45+Consumo_Inicial!AE45</f>
        <v>-128.96965218</v>
      </c>
      <c r="AF45" s="8">
        <f>Renta_Alta!AF45+Masivo!AF45+Consumo_Inicial!AF45</f>
        <v>-127.78877199999999</v>
      </c>
      <c r="AG45" s="8">
        <f>Renta_Alta!AG45+Masivo!AG45+Consumo_Inicial!AG45</f>
        <v>-126.51157984</v>
      </c>
      <c r="AH45" s="8">
        <f>Renta_Alta!AH45+Masivo!AH45+Consumo_Inicial!AH45</f>
        <v>-131.79415607999999</v>
      </c>
      <c r="AI45" s="8">
        <f>Renta_Alta!AI45+Masivo!AI45+Consumo_Inicial!AI45</f>
        <v>-131.03951715000002</v>
      </c>
      <c r="AJ45" s="8">
        <f>Renta_Alta!AJ45+Masivo!AJ45+Consumo_Inicial!AJ45</f>
        <v>-132.49840423000001</v>
      </c>
      <c r="AK45" s="8">
        <f>Renta_Alta!AK45+Masivo!AK45+Consumo_Inicial!AK45</f>
        <v>-133.58996496</v>
      </c>
      <c r="AL45" s="8">
        <f>Renta_Alta!AL45+Masivo!AL45+Consumo_Inicial!AL45</f>
        <v>-134.43363373</v>
      </c>
      <c r="AM45" s="8">
        <f>Renta_Alta!AM45+Masivo!AM45+Consumo_Inicial!AM45</f>
        <v>-134.48895030000003</v>
      </c>
      <c r="AN45" s="8">
        <f>Renta_Alta!AN45+Masivo!AN45+Consumo_Inicial!AN45</f>
        <v>-143.74013970999999</v>
      </c>
      <c r="AO45" s="8">
        <f>Renta_Alta!AO45+Masivo!AO45+Consumo_Inicial!AO45</f>
        <v>-139.99088362999998</v>
      </c>
      <c r="AP45" s="8">
        <f>Renta_Alta!AP45+Masivo!AP45+Consumo_Inicial!AP45</f>
        <v>-150.971408</v>
      </c>
      <c r="AQ45" s="8">
        <f>Renta_Alta!AQ45+Masivo!AQ45+Consumo_Inicial!AQ45</f>
        <v>-150.40628395000002</v>
      </c>
      <c r="AR45" s="8">
        <f>Renta_Alta!AR45+Masivo!AR45+Consumo_Inicial!AR45</f>
        <v>-152.37716024000002</v>
      </c>
      <c r="AS45" s="8">
        <f>Renta_Alta!AS45+Masivo!AS45+Consumo_Inicial!AS45</f>
        <v>-146.89022145000001</v>
      </c>
      <c r="AT45" s="8">
        <f>Renta_Alta!AT45+Masivo!AT45+Consumo_Inicial!AT45</f>
        <v>0</v>
      </c>
      <c r="AU45" s="8">
        <f>Renta_Alta!AU45+Masivo!AU45+Consumo_Inicial!AU45</f>
        <v>0</v>
      </c>
      <c r="AV45" s="8">
        <f>Renta_Alta!AV45+Masivo!AV45+Consumo_Inicial!AV45</f>
        <v>0</v>
      </c>
      <c r="AW45" s="8">
        <f>Renta_Alta!AW45+Masivo!AW45+Consumo_Inicial!AW45</f>
        <v>0</v>
      </c>
      <c r="AX45" s="8">
        <f>Renta_Alta!AX45+Masivo!AX45+Consumo_Inicial!AX45</f>
        <v>0</v>
      </c>
      <c r="AY45" s="8">
        <f>Renta_Alta!AY45+Masivo!AY45+Consumo_Inicial!AY45</f>
        <v>0</v>
      </c>
      <c r="AZ45" s="8">
        <f>Renta_Alta!AZ45+Masivo!AZ45+Consumo_Inicial!AZ45</f>
        <v>-135.44084409615607</v>
      </c>
      <c r="BA45" s="8">
        <f>Renta_Alta!BA45+Masivo!BA45+Consumo_Inicial!BA45</f>
        <v>-136.63707147594141</v>
      </c>
      <c r="BB45" s="8">
        <f>Renta_Alta!BB45+Masivo!BB45+Consumo_Inicial!BB45</f>
        <v>-137.5681699606402</v>
      </c>
      <c r="BC45" s="8">
        <f>Renta_Alta!BC45+Masivo!BC45+Consumo_Inicial!BC45</f>
        <v>-138.65402238030384</v>
      </c>
      <c r="BD45" s="8">
        <f>Renta_Alta!BD45+Masivo!BD45+Consumo_Inicial!BD45</f>
        <v>-139.67042340864703</v>
      </c>
      <c r="BE45" s="8">
        <f>Renta_Alta!BE45+Masivo!BE45+Consumo_Inicial!BE45</f>
        <v>-141.02257097129399</v>
      </c>
      <c r="BF45" s="8">
        <f>Renta_Alta!BF45+Masivo!BF45+Consumo_Inicial!BF45</f>
        <v>-142.14611939867422</v>
      </c>
      <c r="BG45" s="8">
        <f>Renta_Alta!BG45+Masivo!BG45+Consumo_Inicial!BG45</f>
        <v>-143.74524422081578</v>
      </c>
      <c r="BH45" s="8">
        <f>Renta_Alta!BH45+Masivo!BH45+Consumo_Inicial!BH45</f>
        <v>-145.25564984792663</v>
      </c>
      <c r="BI45" s="8">
        <f>Renta_Alta!BI45+Masivo!BI45+Consumo_Inicial!BI45</f>
        <v>-146.91284228998148</v>
      </c>
      <c r="BJ45" s="8">
        <f>Renta_Alta!BJ45+Masivo!BJ45+Consumo_Inicial!BJ45</f>
        <v>-148.37694151141682</v>
      </c>
      <c r="BK45" s="8">
        <f>Renta_Alta!BK45+Masivo!BK45+Consumo_Inicial!BK45</f>
        <v>-149.54885400904746</v>
      </c>
      <c r="BO45" s="24">
        <f t="shared" si="46"/>
        <v>-434.70243133999998</v>
      </c>
      <c r="BP45" s="24">
        <f t="shared" si="46"/>
        <v>-409.64608553273769</v>
      </c>
      <c r="BQ45" s="24">
        <f t="shared" si="46"/>
        <v>-283.73102333999998</v>
      </c>
      <c r="BR45" s="24">
        <f t="shared" si="46"/>
        <v>-374.56083159000002</v>
      </c>
      <c r="BS45" s="24">
        <f t="shared" si="46"/>
        <v>-382.45110584000003</v>
      </c>
      <c r="BT45" s="24">
        <f t="shared" si="46"/>
        <v>-404.67559030999996</v>
      </c>
    </row>
    <row r="46" spans="1:72" hidden="1" outlineLevel="1" x14ac:dyDescent="0.25">
      <c r="A46" s="58" t="s">
        <v>50</v>
      </c>
      <c r="C46" s="59" t="s">
        <v>45</v>
      </c>
      <c r="D46" s="8">
        <f>Renta_Alta!D46+Masivo!D46+Consumo_Inicial!D46</f>
        <v>-1052.8121443699999</v>
      </c>
      <c r="E46" s="8">
        <f>Renta_Alta!E46+Masivo!E46+Consumo_Inicial!E46</f>
        <v>-1056.6910988800003</v>
      </c>
      <c r="F46" s="8">
        <f>Renta_Alta!F46+Masivo!F46+Consumo_Inicial!F46</f>
        <v>-1080.1616300000001</v>
      </c>
      <c r="G46" s="8">
        <f>Renta_Alta!G46+Masivo!G46+Consumo_Inicial!G46</f>
        <v>-1094.95381746</v>
      </c>
      <c r="H46" s="8">
        <f>Renta_Alta!H46+Masivo!H46+Consumo_Inicial!H46</f>
        <v>-1129.5130411800001</v>
      </c>
      <c r="I46" s="8">
        <f>Renta_Alta!I46+Masivo!I46+Consumo_Inicial!I46</f>
        <v>-1130.8469730000002</v>
      </c>
      <c r="J46" s="8">
        <f>Renta_Alta!J46+Masivo!J46+Consumo_Inicial!J46</f>
        <v>-1108.25005446</v>
      </c>
      <c r="K46" s="8">
        <f>Renta_Alta!K46+Masivo!K46+Consumo_Inicial!K46</f>
        <v>-1136.9012634199999</v>
      </c>
      <c r="L46" s="8">
        <f>Renta_Alta!L46+Masivo!L46+Consumo_Inicial!L46</f>
        <v>-1161.0988781099998</v>
      </c>
      <c r="M46" s="8">
        <f>Renta_Alta!M46+Masivo!M46+Consumo_Inicial!M46</f>
        <v>-1196.3490979500002</v>
      </c>
      <c r="N46" s="8">
        <f>Renta_Alta!N46+Masivo!N46+Consumo_Inicial!N46</f>
        <v>-1249.1142524200002</v>
      </c>
      <c r="O46" s="8">
        <f>Renta_Alta!O46+Masivo!O46+Consumo_Inicial!O46</f>
        <v>-1241.6100996600001</v>
      </c>
      <c r="P46" s="8">
        <f>Renta_Alta!P46+Masivo!P46+Consumo_Inicial!P46</f>
        <v>-1289.9634891199998</v>
      </c>
      <c r="Q46" s="8">
        <f>Renta_Alta!Q46+Masivo!Q46+Consumo_Inicial!Q46</f>
        <v>-1310.9253077999999</v>
      </c>
      <c r="R46" s="8">
        <f>Renta_Alta!R46+Masivo!R46+Consumo_Inicial!R46</f>
        <v>-1330.6861249700003</v>
      </c>
      <c r="S46" s="8">
        <f>Renta_Alta!S46+Masivo!S46+Consumo_Inicial!S46</f>
        <v>-1379.3035660799999</v>
      </c>
      <c r="T46" s="8">
        <f>Renta_Alta!T46+Masivo!T46+Consumo_Inicial!T46</f>
        <v>-1429.0160066999997</v>
      </c>
      <c r="U46" s="8">
        <f>Renta_Alta!U46+Masivo!U46+Consumo_Inicial!U46</f>
        <v>-1455.610122280001</v>
      </c>
      <c r="V46" s="8">
        <f>Renta_Alta!V46+Masivo!V46+Consumo_Inicial!V46</f>
        <v>-1429.9827342999997</v>
      </c>
      <c r="W46" s="8">
        <f>Renta_Alta!W46+Masivo!W46+Consumo_Inicial!W46</f>
        <v>-1398.39817199</v>
      </c>
      <c r="X46" s="8">
        <f>Renta_Alta!X46+Masivo!X46+Consumo_Inicial!X46</f>
        <v>-1390.6708631200001</v>
      </c>
      <c r="Y46" s="8">
        <f>Renta_Alta!Y46+Masivo!Y46+Consumo_Inicial!Y46</f>
        <v>-1364.4998219999998</v>
      </c>
      <c r="Z46" s="8">
        <f>Renta_Alta!Z46+Masivo!Z46+Consumo_Inicial!Z46</f>
        <v>-1451.43704364</v>
      </c>
      <c r="AA46" s="8">
        <f>Renta_Alta!AA46+Masivo!AA46+Consumo_Inicial!AA46</f>
        <v>-1463.4992756000004</v>
      </c>
      <c r="AB46" s="8">
        <f>Renta_Alta!AB46+Masivo!AB46+Consumo_Inicial!AB46</f>
        <v>-1481.2626340300001</v>
      </c>
      <c r="AC46" s="8">
        <f>Renta_Alta!AC46+Masivo!AC46+Consumo_Inicial!AC46</f>
        <v>-1471.5880120000002</v>
      </c>
      <c r="AD46" s="8">
        <f>Renta_Alta!AD46+Masivo!AD46+Consumo_Inicial!AD46</f>
        <v>-1468.8782752599998</v>
      </c>
      <c r="AE46" s="8">
        <f>Renta_Alta!AE46+Masivo!AE46+Consumo_Inicial!AE46</f>
        <v>-1552.4270400700002</v>
      </c>
      <c r="AF46" s="8">
        <f>Renta_Alta!AF46+Masivo!AF46+Consumo_Inicial!AF46</f>
        <v>-1655.5900772000005</v>
      </c>
      <c r="AG46" s="8">
        <f>Renta_Alta!AG46+Masivo!AG46+Consumo_Inicial!AG46</f>
        <v>-1641.5875007600002</v>
      </c>
      <c r="AH46" s="8">
        <f>Renta_Alta!AH46+Masivo!AH46+Consumo_Inicial!AH46</f>
        <v>-1624.1687615200005</v>
      </c>
      <c r="AI46" s="8">
        <f>Renta_Alta!AI46+Masivo!AI46+Consumo_Inicial!AI46</f>
        <v>-1687.8675420499997</v>
      </c>
      <c r="AJ46" s="8">
        <f>Renta_Alta!AJ46+Masivo!AJ46+Consumo_Inicial!AJ46</f>
        <v>-1617.7268404900001</v>
      </c>
      <c r="AK46" s="8">
        <f>Renta_Alta!AK46+Masivo!AK46+Consumo_Inicial!AK46</f>
        <v>-1639.1621849599999</v>
      </c>
      <c r="AL46" s="8">
        <f>Renta_Alta!AL46+Masivo!AL46+Consumo_Inicial!AL46</f>
        <v>-1663.7014739999997</v>
      </c>
      <c r="AM46" s="8">
        <f>Renta_Alta!AM46+Masivo!AM46+Consumo_Inicial!AM46</f>
        <v>-1647.2344228600002</v>
      </c>
      <c r="AN46" s="8">
        <f>Renta_Alta!AN46+Masivo!AN46+Consumo_Inicial!AN46</f>
        <v>-1623.82732685</v>
      </c>
      <c r="AO46" s="8">
        <f>Renta_Alta!AO46+Masivo!AO46+Consumo_Inicial!AO46</f>
        <v>-1592.6040121700003</v>
      </c>
      <c r="AP46" s="8">
        <f>Renta_Alta!AP46+Masivo!AP46+Consumo_Inicial!AP46</f>
        <v>-1574.5692075000002</v>
      </c>
      <c r="AQ46" s="8">
        <f>Renta_Alta!AQ46+Masivo!AQ46+Consumo_Inicial!AQ46</f>
        <v>-1584.2705699299997</v>
      </c>
      <c r="AR46" s="8">
        <f>Renta_Alta!AR46+Masivo!AR46+Consumo_Inicial!AR46</f>
        <v>-1616.32572878</v>
      </c>
      <c r="AS46" s="8">
        <f>Renta_Alta!AS46+Masivo!AS46+Consumo_Inicial!AS46</f>
        <v>-1590.6467929000003</v>
      </c>
      <c r="AT46" s="8">
        <f>Renta_Alta!AT46+Masivo!AT46+Consumo_Inicial!AT46</f>
        <v>0</v>
      </c>
      <c r="AU46" s="8">
        <f>Renta_Alta!AU46+Masivo!AU46+Consumo_Inicial!AU46</f>
        <v>0</v>
      </c>
      <c r="AV46" s="8">
        <f>Renta_Alta!AV46+Masivo!AV46+Consumo_Inicial!AV46</f>
        <v>0</v>
      </c>
      <c r="AW46" s="8">
        <f>Renta_Alta!AW46+Masivo!AW46+Consumo_Inicial!AW46</f>
        <v>0</v>
      </c>
      <c r="AX46" s="8">
        <f>Renta_Alta!AX46+Masivo!AX46+Consumo_Inicial!AX46</f>
        <v>0</v>
      </c>
      <c r="AY46" s="8">
        <f>Renta_Alta!AY46+Masivo!AY46+Consumo_Inicial!AY46</f>
        <v>0</v>
      </c>
      <c r="AZ46" s="8">
        <f>Renta_Alta!AZ46+Masivo!AZ46+Consumo_Inicial!AZ46</f>
        <v>-1669.267385395309</v>
      </c>
      <c r="BA46" s="8">
        <f>Renta_Alta!BA46+Masivo!BA46+Consumo_Inicial!BA46</f>
        <v>-1683.3640597408951</v>
      </c>
      <c r="BB46" s="8">
        <f>Renta_Alta!BB46+Masivo!BB46+Consumo_Inicial!BB46</f>
        <v>-1694.2178565490908</v>
      </c>
      <c r="BC46" s="8">
        <f>Renta_Alta!BC46+Masivo!BC46+Consumo_Inicial!BC46</f>
        <v>-1707.2529701312262</v>
      </c>
      <c r="BD46" s="8">
        <f>Renta_Alta!BD46+Masivo!BD46+Consumo_Inicial!BD46</f>
        <v>-1720.1627654943293</v>
      </c>
      <c r="BE46" s="8">
        <f>Renta_Alta!BE46+Masivo!BE46+Consumo_Inicial!BE46</f>
        <v>-1735.7574455540209</v>
      </c>
      <c r="BF46" s="8">
        <f>Renta_Alta!BF46+Masivo!BF46+Consumo_Inicial!BF46</f>
        <v>-1748.8465576265878</v>
      </c>
      <c r="BG46" s="8">
        <f>Renta_Alta!BG46+Masivo!BG46+Consumo_Inicial!BG46</f>
        <v>-1766.911979639382</v>
      </c>
      <c r="BH46" s="8">
        <f>Renta_Alta!BH46+Masivo!BH46+Consumo_Inicial!BH46</f>
        <v>-1784.2825363753934</v>
      </c>
      <c r="BI46" s="8">
        <f>Renta_Alta!BI46+Masivo!BI46+Consumo_Inicial!BI46</f>
        <v>-1803.3988259203927</v>
      </c>
      <c r="BJ46" s="8">
        <f>Renta_Alta!BJ46+Masivo!BJ46+Consumo_Inicial!BJ46</f>
        <v>-1820.316417963337</v>
      </c>
      <c r="BK46" s="8">
        <f>Renta_Alta!BK46+Masivo!BK46+Consumo_Inicial!BK46</f>
        <v>-1834.3289318875263</v>
      </c>
      <c r="BO46" s="24">
        <f t="shared" si="46"/>
        <v>-4791.0005465200011</v>
      </c>
      <c r="BP46" s="24">
        <f t="shared" si="46"/>
        <v>-5046.8493016852954</v>
      </c>
      <c r="BQ46" s="24">
        <f t="shared" si="46"/>
        <v>-3216.4313390200005</v>
      </c>
      <c r="BR46" s="24">
        <f t="shared" si="46"/>
        <v>-4421.7289212900005</v>
      </c>
      <c r="BS46" s="24">
        <f t="shared" si="46"/>
        <v>-3931.57492189</v>
      </c>
      <c r="BT46" s="24">
        <f t="shared" si="46"/>
        <v>-3189.6648732500003</v>
      </c>
    </row>
    <row r="47" spans="1:72" collapsed="1" x14ac:dyDescent="0.25">
      <c r="C47" s="60" t="s">
        <v>58</v>
      </c>
      <c r="D47" s="61">
        <f t="shared" ref="D47:AI47" si="47">SUM(D44:D46)</f>
        <v>-38635.458757779998</v>
      </c>
      <c r="E47" s="61">
        <f t="shared" si="47"/>
        <v>-39065.995511210007</v>
      </c>
      <c r="F47" s="61">
        <f t="shared" si="47"/>
        <v>-39514.561328199998</v>
      </c>
      <c r="G47" s="61">
        <f t="shared" si="47"/>
        <v>-40061.768929020007</v>
      </c>
      <c r="H47" s="61">
        <f t="shared" si="47"/>
        <v>-40453.183528979978</v>
      </c>
      <c r="I47" s="61">
        <f t="shared" si="47"/>
        <v>-40908.203801000003</v>
      </c>
      <c r="J47" s="61">
        <f t="shared" si="47"/>
        <v>-41299.89758017</v>
      </c>
      <c r="K47" s="61">
        <f t="shared" si="47"/>
        <v>-41558.769998479998</v>
      </c>
      <c r="L47" s="61">
        <f t="shared" si="47"/>
        <v>-41990.97269042999</v>
      </c>
      <c r="M47" s="61">
        <f t="shared" si="47"/>
        <v>-42531.523506850004</v>
      </c>
      <c r="N47" s="61">
        <f t="shared" si="47"/>
        <v>-42917.319198359997</v>
      </c>
      <c r="O47" s="61">
        <f t="shared" si="47"/>
        <v>-43269.217860209988</v>
      </c>
      <c r="P47" s="61">
        <f t="shared" si="47"/>
        <v>-43634.07007465999</v>
      </c>
      <c r="Q47" s="61">
        <f t="shared" si="47"/>
        <v>-43894.649487539995</v>
      </c>
      <c r="R47" s="61">
        <f t="shared" si="47"/>
        <v>-44435.594421009991</v>
      </c>
      <c r="S47" s="61">
        <f t="shared" si="47"/>
        <v>-44679.559686460008</v>
      </c>
      <c r="T47" s="61">
        <f t="shared" si="47"/>
        <v>-45211.579817300022</v>
      </c>
      <c r="U47" s="61">
        <f t="shared" si="47"/>
        <v>-45496.837917749988</v>
      </c>
      <c r="V47" s="61">
        <f t="shared" si="47"/>
        <v>-46115.759909460001</v>
      </c>
      <c r="W47" s="61">
        <f t="shared" si="47"/>
        <v>-46718.406109629992</v>
      </c>
      <c r="X47" s="61">
        <f t="shared" si="47"/>
        <v>-47035.957627300006</v>
      </c>
      <c r="Y47" s="61">
        <f t="shared" si="47"/>
        <v>-47352.131002539987</v>
      </c>
      <c r="Z47" s="61">
        <f t="shared" si="47"/>
        <v>-47863.244734380001</v>
      </c>
      <c r="AA47" s="61">
        <f t="shared" si="47"/>
        <v>-48167.164942900003</v>
      </c>
      <c r="AB47" s="61">
        <f t="shared" si="47"/>
        <v>-48588.444371279998</v>
      </c>
      <c r="AC47" s="61">
        <f t="shared" si="47"/>
        <v>-48841.727764999996</v>
      </c>
      <c r="AD47" s="61">
        <f t="shared" si="47"/>
        <v>-49237.675796950018</v>
      </c>
      <c r="AE47" s="61">
        <f t="shared" si="47"/>
        <v>-49530.156225289989</v>
      </c>
      <c r="AF47" s="61">
        <f t="shared" si="47"/>
        <v>-49997.571455400015</v>
      </c>
      <c r="AG47" s="61">
        <f t="shared" si="47"/>
        <v>-50384.215788700007</v>
      </c>
      <c r="AH47" s="61">
        <f t="shared" si="47"/>
        <v>-50906.147506159999</v>
      </c>
      <c r="AI47" s="61">
        <f t="shared" si="47"/>
        <v>-51349.627233100007</v>
      </c>
      <c r="AJ47" s="61">
        <f t="shared" ref="AJ47:AY47" si="48">SUM(AJ44:AJ46)</f>
        <v>-51825.407084109997</v>
      </c>
      <c r="AK47" s="61">
        <f t="shared" si="48"/>
        <v>-52241.822064500011</v>
      </c>
      <c r="AL47" s="61">
        <f t="shared" si="48"/>
        <v>-52787.187275910001</v>
      </c>
      <c r="AM47" s="61">
        <f t="shared" si="48"/>
        <v>-53136.697282939997</v>
      </c>
      <c r="AN47" s="61">
        <f t="shared" si="48"/>
        <v>-53444.440245369988</v>
      </c>
      <c r="AO47" s="61">
        <f t="shared" si="48"/>
        <v>-53683.197648419999</v>
      </c>
      <c r="AP47" s="61">
        <f t="shared" si="48"/>
        <v>-54051.360561999994</v>
      </c>
      <c r="AQ47" s="61">
        <f t="shared" si="48"/>
        <v>-54108.369776429994</v>
      </c>
      <c r="AR47" s="61">
        <f t="shared" si="48"/>
        <v>-54573.729031209994</v>
      </c>
      <c r="AS47" s="61">
        <f t="shared" si="48"/>
        <v>-54860.860067649999</v>
      </c>
      <c r="AT47" s="61">
        <f t="shared" si="48"/>
        <v>0</v>
      </c>
      <c r="AU47" s="61">
        <f t="shared" si="48"/>
        <v>0</v>
      </c>
      <c r="AV47" s="61">
        <f t="shared" si="48"/>
        <v>0</v>
      </c>
      <c r="AW47" s="61">
        <f t="shared" si="48"/>
        <v>0</v>
      </c>
      <c r="AX47" s="61">
        <f t="shared" si="48"/>
        <v>0</v>
      </c>
      <c r="AY47" s="61">
        <f t="shared" si="48"/>
        <v>0</v>
      </c>
      <c r="AZ47" s="61">
        <f t="shared" ref="AZ47:BK47" si="49">SUM(AZ44:AZ46)</f>
        <v>-53358.360273823273</v>
      </c>
      <c r="BA47" s="61">
        <f t="shared" si="49"/>
        <v>-53698.274869155903</v>
      </c>
      <c r="BB47" s="61">
        <f t="shared" si="49"/>
        <v>-53926.323982175621</v>
      </c>
      <c r="BC47" s="61">
        <f t="shared" si="49"/>
        <v>-54241.269967654654</v>
      </c>
      <c r="BD47" s="61">
        <f t="shared" si="49"/>
        <v>-54587.168488100368</v>
      </c>
      <c r="BE47" s="61">
        <f t="shared" si="49"/>
        <v>-55018.193908254943</v>
      </c>
      <c r="BF47" s="61">
        <f t="shared" si="49"/>
        <v>-55364.658305677418</v>
      </c>
      <c r="BG47" s="61">
        <f t="shared" si="49"/>
        <v>-55878.897636738104</v>
      </c>
      <c r="BH47" s="61">
        <f t="shared" si="49"/>
        <v>-56350.283069419536</v>
      </c>
      <c r="BI47" s="61">
        <f t="shared" si="49"/>
        <v>-56895.398228553866</v>
      </c>
      <c r="BJ47" s="61">
        <f t="shared" si="49"/>
        <v>-57365.553251011508</v>
      </c>
      <c r="BK47" s="61">
        <f t="shared" si="49"/>
        <v>-57759.725637977543</v>
      </c>
      <c r="BO47" s="62">
        <f t="shared" ref="BO47:BT47" si="50">SUM(BO44:BO46)</f>
        <v>-161178.99845578999</v>
      </c>
      <c r="BP47" s="62">
        <f t="shared" si="50"/>
        <v>-160982.95912515477</v>
      </c>
      <c r="BQ47" s="62">
        <f t="shared" si="50"/>
        <v>-107127.63789378999</v>
      </c>
      <c r="BR47" s="62">
        <f t="shared" si="50"/>
        <v>-146667.84793323002</v>
      </c>
      <c r="BS47" s="62">
        <f t="shared" si="50"/>
        <v>-131964.31398320998</v>
      </c>
      <c r="BT47" s="62">
        <f t="shared" si="50"/>
        <v>-117216.01559718999</v>
      </c>
    </row>
    <row r="50" spans="1:72" hidden="1" outlineLevel="1" x14ac:dyDescent="0.25">
      <c r="A50" s="58"/>
      <c r="C50" s="59" t="s">
        <v>0</v>
      </c>
      <c r="D50" s="8">
        <f t="shared" ref="D50:AY50" si="51">D38+D44</f>
        <v>17062.484368699996</v>
      </c>
      <c r="E50" s="8">
        <f t="shared" si="51"/>
        <v>11871.087603319989</v>
      </c>
      <c r="F50" s="8">
        <f t="shared" si="51"/>
        <v>17129.740677680005</v>
      </c>
      <c r="G50" s="8">
        <f t="shared" si="51"/>
        <v>15362.983270339981</v>
      </c>
      <c r="H50" s="8">
        <f t="shared" si="51"/>
        <v>17217.046926540017</v>
      </c>
      <c r="I50" s="8">
        <f t="shared" si="51"/>
        <v>15221.857808869994</v>
      </c>
      <c r="J50" s="8">
        <f t="shared" si="51"/>
        <v>17231.842775979982</v>
      </c>
      <c r="K50" s="8">
        <f t="shared" si="51"/>
        <v>16991.228678009989</v>
      </c>
      <c r="L50" s="8">
        <f t="shared" si="51"/>
        <v>15249.931708900018</v>
      </c>
      <c r="M50" s="8">
        <f t="shared" si="51"/>
        <v>17175.241249419989</v>
      </c>
      <c r="N50" s="8">
        <f t="shared" si="51"/>
        <v>15425.421803019992</v>
      </c>
      <c r="O50" s="8">
        <f t="shared" si="51"/>
        <v>17690.881124080006</v>
      </c>
      <c r="P50" s="8">
        <f t="shared" si="51"/>
        <v>17024.184043139991</v>
      </c>
      <c r="Q50" s="8">
        <f t="shared" si="51"/>
        <v>13396.76996646</v>
      </c>
      <c r="R50" s="8">
        <f t="shared" si="51"/>
        <v>17418.165293130012</v>
      </c>
      <c r="S50" s="8">
        <f t="shared" si="51"/>
        <v>15025.425002429998</v>
      </c>
      <c r="T50" s="8">
        <f t="shared" si="51"/>
        <v>17430.633140229991</v>
      </c>
      <c r="U50" s="8">
        <f t="shared" si="51"/>
        <v>15828.527193720016</v>
      </c>
      <c r="V50" s="8">
        <f t="shared" si="51"/>
        <v>17659.443891829986</v>
      </c>
      <c r="W50" s="8">
        <f t="shared" si="51"/>
        <v>17633.598525289999</v>
      </c>
      <c r="X50" s="8">
        <f t="shared" si="51"/>
        <v>15425.776186049996</v>
      </c>
      <c r="Y50" s="8">
        <f t="shared" si="51"/>
        <v>17668.060211070006</v>
      </c>
      <c r="Z50" s="8">
        <f t="shared" si="51"/>
        <v>15909.703896179984</v>
      </c>
      <c r="AA50" s="8">
        <f t="shared" si="51"/>
        <v>17873.489143810009</v>
      </c>
      <c r="AB50" s="8">
        <f t="shared" si="51"/>
        <v>17313.230429160001</v>
      </c>
      <c r="AC50" s="8">
        <f t="shared" si="51"/>
        <v>11388.321499989994</v>
      </c>
      <c r="AD50" s="8">
        <f t="shared" si="51"/>
        <v>17138.458545089983</v>
      </c>
      <c r="AE50" s="8">
        <f t="shared" si="51"/>
        <v>15225.099136969999</v>
      </c>
      <c r="AF50" s="8">
        <f t="shared" si="51"/>
        <v>17896.891697400002</v>
      </c>
      <c r="AG50" s="8">
        <f t="shared" si="51"/>
        <v>15156.144747939994</v>
      </c>
      <c r="AH50" s="8">
        <f t="shared" si="51"/>
        <v>17864.637814240014</v>
      </c>
      <c r="AI50" s="8">
        <f t="shared" si="51"/>
        <v>17672.527474149996</v>
      </c>
      <c r="AJ50" s="8">
        <f t="shared" si="51"/>
        <v>15129.032803800001</v>
      </c>
      <c r="AK50" s="8">
        <f t="shared" si="51"/>
        <v>17790.722927829971</v>
      </c>
      <c r="AL50" s="8">
        <f t="shared" si="51"/>
        <v>16077.034751679981</v>
      </c>
      <c r="AM50" s="8">
        <f t="shared" si="51"/>
        <v>18464.770802959996</v>
      </c>
      <c r="AN50" s="8">
        <f t="shared" si="51"/>
        <v>18424.83161388</v>
      </c>
      <c r="AO50" s="8">
        <f t="shared" si="51"/>
        <v>11978.156847800012</v>
      </c>
      <c r="AP50" s="8">
        <f t="shared" si="51"/>
        <v>18615.308995429987</v>
      </c>
      <c r="AQ50" s="8">
        <f t="shared" si="51"/>
        <v>16392.332809380001</v>
      </c>
      <c r="AR50" s="8">
        <f t="shared" si="51"/>
        <v>18957.616279920025</v>
      </c>
      <c r="AS50" s="8">
        <f t="shared" si="51"/>
        <v>15984.292865659998</v>
      </c>
      <c r="AT50" s="8">
        <f t="shared" si="51"/>
        <v>0</v>
      </c>
      <c r="AU50" s="8">
        <f t="shared" si="51"/>
        <v>0</v>
      </c>
      <c r="AV50" s="8">
        <f t="shared" si="51"/>
        <v>0</v>
      </c>
      <c r="AW50" s="8">
        <f t="shared" si="51"/>
        <v>0</v>
      </c>
      <c r="AX50" s="8">
        <f t="shared" si="51"/>
        <v>0</v>
      </c>
      <c r="AY50" s="8">
        <f t="shared" si="51"/>
        <v>0</v>
      </c>
      <c r="AZ50" s="8">
        <f t="shared" ref="AZ50:BK50" si="52">AZ38+AZ44</f>
        <v>17249.85151265117</v>
      </c>
      <c r="BA50" s="8">
        <f t="shared" si="52"/>
        <v>11087.248231787096</v>
      </c>
      <c r="BB50" s="8">
        <f t="shared" si="52"/>
        <v>17237.043246086774</v>
      </c>
      <c r="BC50" s="8">
        <f t="shared" si="52"/>
        <v>15534.488831388138</v>
      </c>
      <c r="BD50" s="8">
        <f t="shared" si="52"/>
        <v>18383.456905965133</v>
      </c>
      <c r="BE50" s="8">
        <f t="shared" si="52"/>
        <v>15671.656585943019</v>
      </c>
      <c r="BF50" s="8">
        <f t="shared" si="52"/>
        <v>18620.925323857366</v>
      </c>
      <c r="BG50" s="8">
        <f t="shared" si="52"/>
        <v>18789.919819818759</v>
      </c>
      <c r="BH50" s="8">
        <f t="shared" si="52"/>
        <v>16065.049166816018</v>
      </c>
      <c r="BI50" s="8">
        <f t="shared" si="52"/>
        <v>18789.950627034967</v>
      </c>
      <c r="BJ50" s="8">
        <f t="shared" si="52"/>
        <v>16975.334668486998</v>
      </c>
      <c r="BK50" s="8">
        <f t="shared" si="52"/>
        <v>19208.773671434828</v>
      </c>
      <c r="BO50" s="24">
        <f t="shared" ref="BO50:BT52" si="53">BO38+BO44</f>
        <v>49018.297457109991</v>
      </c>
      <c r="BP50" s="24">
        <f t="shared" si="53"/>
        <v>45574.142990525055</v>
      </c>
      <c r="BQ50" s="24">
        <f t="shared" si="53"/>
        <v>30402.988461680012</v>
      </c>
      <c r="BR50" s="24">
        <f t="shared" si="53"/>
        <v>45840.010474239971</v>
      </c>
      <c r="BS50" s="24">
        <f t="shared" si="53"/>
        <v>47839.119302729989</v>
      </c>
      <c r="BT50" s="24">
        <f t="shared" si="53"/>
        <v>46063.312649700005</v>
      </c>
    </row>
    <row r="51" spans="1:72" hidden="1" outlineLevel="1" x14ac:dyDescent="0.25">
      <c r="A51" s="58"/>
      <c r="C51" s="59" t="s">
        <v>1</v>
      </c>
      <c r="D51" s="8">
        <f t="shared" ref="D51:AY51" si="54">D39+D45</f>
        <v>-136.55005484999998</v>
      </c>
      <c r="E51" s="8">
        <f t="shared" si="54"/>
        <v>-132.28075405999999</v>
      </c>
      <c r="F51" s="8">
        <f t="shared" si="54"/>
        <v>-135.84478140000002</v>
      </c>
      <c r="G51" s="8">
        <f t="shared" si="54"/>
        <v>-144.23653616000001</v>
      </c>
      <c r="H51" s="8">
        <f t="shared" si="54"/>
        <v>-132.26878343999999</v>
      </c>
      <c r="I51" s="8">
        <f t="shared" si="54"/>
        <v>-131.1701855</v>
      </c>
      <c r="J51" s="8">
        <f t="shared" si="54"/>
        <v>-131.70305143000002</v>
      </c>
      <c r="K51" s="8">
        <f t="shared" si="54"/>
        <v>-126.60728696</v>
      </c>
      <c r="L51" s="8">
        <f t="shared" si="54"/>
        <v>-121.38521962999999</v>
      </c>
      <c r="M51" s="8">
        <f t="shared" si="54"/>
        <v>-124.16360985</v>
      </c>
      <c r="N51" s="8">
        <f t="shared" si="54"/>
        <v>-129.22910952000004</v>
      </c>
      <c r="O51" s="8">
        <f t="shared" si="54"/>
        <v>-129.42729506000001</v>
      </c>
      <c r="P51" s="8">
        <f t="shared" si="54"/>
        <v>-127.37496312</v>
      </c>
      <c r="Q51" s="8">
        <f t="shared" si="54"/>
        <v>-125.99587592</v>
      </c>
      <c r="R51" s="8">
        <f t="shared" si="54"/>
        <v>-129.0802668</v>
      </c>
      <c r="S51" s="8">
        <f t="shared" si="54"/>
        <v>-127.77973648</v>
      </c>
      <c r="T51" s="8">
        <f t="shared" si="54"/>
        <v>-124.33747590000002</v>
      </c>
      <c r="U51" s="8">
        <f t="shared" si="54"/>
        <v>-122.44482877999999</v>
      </c>
      <c r="V51" s="8">
        <f t="shared" si="54"/>
        <v>-122.13443368</v>
      </c>
      <c r="W51" s="8">
        <f t="shared" si="54"/>
        <v>-119.55864307</v>
      </c>
      <c r="X51" s="8">
        <f t="shared" si="54"/>
        <v>-119.67132812</v>
      </c>
      <c r="Y51" s="8">
        <f t="shared" si="54"/>
        <v>-120.875406</v>
      </c>
      <c r="Z51" s="8">
        <f t="shared" si="54"/>
        <v>-122.27748728</v>
      </c>
      <c r="AA51" s="8">
        <f t="shared" si="54"/>
        <v>-121.94508644999999</v>
      </c>
      <c r="AB51" s="8">
        <f t="shared" si="54"/>
        <v>-127.39207912000001</v>
      </c>
      <c r="AC51" s="8">
        <f t="shared" si="54"/>
        <v>-122.825192</v>
      </c>
      <c r="AD51" s="8">
        <f t="shared" si="54"/>
        <v>-124.34356047000001</v>
      </c>
      <c r="AE51" s="8">
        <f t="shared" si="54"/>
        <v>-128.96965218</v>
      </c>
      <c r="AF51" s="8">
        <f t="shared" si="54"/>
        <v>-127.78877199999999</v>
      </c>
      <c r="AG51" s="8">
        <f t="shared" si="54"/>
        <v>-126.51157984</v>
      </c>
      <c r="AH51" s="8">
        <f t="shared" si="54"/>
        <v>-131.79415607999999</v>
      </c>
      <c r="AI51" s="8">
        <f t="shared" si="54"/>
        <v>-131.03951715000002</v>
      </c>
      <c r="AJ51" s="8">
        <f t="shared" si="54"/>
        <v>-132.49840423000001</v>
      </c>
      <c r="AK51" s="8">
        <f t="shared" si="54"/>
        <v>-133.58996496</v>
      </c>
      <c r="AL51" s="8">
        <f t="shared" si="54"/>
        <v>-134.43363373</v>
      </c>
      <c r="AM51" s="8">
        <f t="shared" si="54"/>
        <v>-134.48895030000003</v>
      </c>
      <c r="AN51" s="8">
        <f t="shared" si="54"/>
        <v>-143.74013970999999</v>
      </c>
      <c r="AO51" s="8">
        <f t="shared" si="54"/>
        <v>-139.99088362999998</v>
      </c>
      <c r="AP51" s="8">
        <f t="shared" si="54"/>
        <v>-150.971408</v>
      </c>
      <c r="AQ51" s="8">
        <f t="shared" si="54"/>
        <v>-150.40628395000002</v>
      </c>
      <c r="AR51" s="8">
        <f t="shared" si="54"/>
        <v>-152.37716024000002</v>
      </c>
      <c r="AS51" s="8">
        <f t="shared" si="54"/>
        <v>-146.89022145000001</v>
      </c>
      <c r="AT51" s="8">
        <f t="shared" si="54"/>
        <v>0</v>
      </c>
      <c r="AU51" s="8">
        <f t="shared" si="54"/>
        <v>0</v>
      </c>
      <c r="AV51" s="8">
        <f t="shared" si="54"/>
        <v>0</v>
      </c>
      <c r="AW51" s="8">
        <f t="shared" si="54"/>
        <v>0</v>
      </c>
      <c r="AX51" s="8">
        <f t="shared" si="54"/>
        <v>0</v>
      </c>
      <c r="AY51" s="8">
        <f t="shared" si="54"/>
        <v>0</v>
      </c>
      <c r="AZ51" s="8">
        <f t="shared" ref="AZ51:BK51" si="55">AZ39+AZ45</f>
        <v>-135.44084409615607</v>
      </c>
      <c r="BA51" s="8">
        <f t="shared" si="55"/>
        <v>-136.63707147594141</v>
      </c>
      <c r="BB51" s="8">
        <f t="shared" si="55"/>
        <v>-137.5681699606402</v>
      </c>
      <c r="BC51" s="8">
        <f t="shared" si="55"/>
        <v>-138.65402238030384</v>
      </c>
      <c r="BD51" s="8">
        <f t="shared" si="55"/>
        <v>-139.67042340864703</v>
      </c>
      <c r="BE51" s="8">
        <f t="shared" si="55"/>
        <v>-141.02257097129399</v>
      </c>
      <c r="BF51" s="8">
        <f t="shared" si="55"/>
        <v>-142.14611939867422</v>
      </c>
      <c r="BG51" s="8">
        <f t="shared" si="55"/>
        <v>-143.74524422081578</v>
      </c>
      <c r="BH51" s="8">
        <f t="shared" si="55"/>
        <v>-145.25564984792663</v>
      </c>
      <c r="BI51" s="8">
        <f t="shared" si="55"/>
        <v>-146.91284228998148</v>
      </c>
      <c r="BJ51" s="8">
        <f t="shared" si="55"/>
        <v>-148.37694151141682</v>
      </c>
      <c r="BK51" s="8">
        <f t="shared" si="55"/>
        <v>-149.54885400904746</v>
      </c>
      <c r="BO51" s="24">
        <f t="shared" si="53"/>
        <v>-434.70243133999998</v>
      </c>
      <c r="BP51" s="24">
        <f t="shared" si="53"/>
        <v>-409.64608553273769</v>
      </c>
      <c r="BQ51" s="24">
        <f t="shared" si="53"/>
        <v>-283.73102333999998</v>
      </c>
      <c r="BR51" s="24">
        <f t="shared" si="53"/>
        <v>-374.56083159000002</v>
      </c>
      <c r="BS51" s="24">
        <f t="shared" si="53"/>
        <v>-382.45110584000003</v>
      </c>
      <c r="BT51" s="24">
        <f t="shared" si="53"/>
        <v>-404.67559030999996</v>
      </c>
    </row>
    <row r="52" spans="1:72" hidden="1" outlineLevel="1" x14ac:dyDescent="0.25">
      <c r="A52" s="58"/>
      <c r="C52" s="59" t="s">
        <v>45</v>
      </c>
      <c r="D52" s="8">
        <f t="shared" ref="D52:AY52" si="56">D40+D46</f>
        <v>782.22100264000005</v>
      </c>
      <c r="E52" s="8">
        <f t="shared" si="56"/>
        <v>527.64928307999935</v>
      </c>
      <c r="F52" s="8">
        <f t="shared" si="56"/>
        <v>1157.1465790600005</v>
      </c>
      <c r="G52" s="8">
        <f t="shared" si="56"/>
        <v>612.31993329000011</v>
      </c>
      <c r="H52" s="8">
        <f t="shared" si="56"/>
        <v>1008.10817344</v>
      </c>
      <c r="I52" s="8">
        <f t="shared" si="56"/>
        <v>1127.4021559500002</v>
      </c>
      <c r="J52" s="8">
        <f t="shared" si="56"/>
        <v>1226.4447060699997</v>
      </c>
      <c r="K52" s="8">
        <f t="shared" si="56"/>
        <v>1017.8929081800002</v>
      </c>
      <c r="L52" s="8">
        <f t="shared" si="56"/>
        <v>1068.7108703900005</v>
      </c>
      <c r="M52" s="8">
        <f t="shared" si="56"/>
        <v>1605.6190696799995</v>
      </c>
      <c r="N52" s="8">
        <f t="shared" si="56"/>
        <v>1066.1597855799998</v>
      </c>
      <c r="O52" s="8">
        <f t="shared" si="56"/>
        <v>992.91607852999982</v>
      </c>
      <c r="P52" s="8">
        <f t="shared" si="56"/>
        <v>1456.5769214400002</v>
      </c>
      <c r="Q52" s="8">
        <f t="shared" si="56"/>
        <v>917.77697974999978</v>
      </c>
      <c r="R52" s="8">
        <f t="shared" si="56"/>
        <v>1272.8358607999996</v>
      </c>
      <c r="S52" s="8">
        <f t="shared" si="56"/>
        <v>1298.0354117100012</v>
      </c>
      <c r="T52" s="8">
        <f t="shared" si="56"/>
        <v>1334.49892684</v>
      </c>
      <c r="U52" s="8">
        <f t="shared" si="56"/>
        <v>1186.9013221499988</v>
      </c>
      <c r="V52" s="8">
        <f t="shared" si="56"/>
        <v>1795.3583482000004</v>
      </c>
      <c r="W52" s="8">
        <f t="shared" si="56"/>
        <v>1573.2321712200007</v>
      </c>
      <c r="X52" s="8">
        <f t="shared" si="56"/>
        <v>1289.2484066700001</v>
      </c>
      <c r="Y52" s="8">
        <f t="shared" si="56"/>
        <v>1147.4657853600002</v>
      </c>
      <c r="Z52" s="8">
        <f t="shared" si="56"/>
        <v>1187.9437379999999</v>
      </c>
      <c r="AA52" s="8">
        <f t="shared" si="56"/>
        <v>1645.40211264</v>
      </c>
      <c r="AB52" s="8">
        <f t="shared" si="56"/>
        <v>1495.7493560699997</v>
      </c>
      <c r="AC52" s="8">
        <f t="shared" si="56"/>
        <v>866.43299696999975</v>
      </c>
      <c r="AD52" s="8">
        <f t="shared" si="56"/>
        <v>1691.7885442900003</v>
      </c>
      <c r="AE52" s="8">
        <f t="shared" si="56"/>
        <v>1329.4341806999996</v>
      </c>
      <c r="AF52" s="8">
        <f t="shared" si="56"/>
        <v>1747.6738779599996</v>
      </c>
      <c r="AG52" s="8">
        <f t="shared" si="56"/>
        <v>1264.3776017199998</v>
      </c>
      <c r="AH52" s="8">
        <f t="shared" si="56"/>
        <v>1212.6626364099995</v>
      </c>
      <c r="AI52" s="8">
        <f t="shared" si="56"/>
        <v>999.60329879999995</v>
      </c>
      <c r="AJ52" s="8">
        <f t="shared" si="56"/>
        <v>1887.0583663100006</v>
      </c>
      <c r="AK52" s="8">
        <f t="shared" si="56"/>
        <v>1250.0322483400003</v>
      </c>
      <c r="AL52" s="8">
        <f t="shared" si="56"/>
        <v>1397.03274321</v>
      </c>
      <c r="AM52" s="8">
        <f t="shared" si="56"/>
        <v>1793.1172027599998</v>
      </c>
      <c r="AN52" s="8">
        <f t="shared" si="56"/>
        <v>1213.5517959799997</v>
      </c>
      <c r="AO52" s="8">
        <f t="shared" si="56"/>
        <v>1021.4288699900007</v>
      </c>
      <c r="AP52" s="8">
        <f t="shared" si="56"/>
        <v>1669.8591390299994</v>
      </c>
      <c r="AQ52" s="8">
        <f t="shared" si="56"/>
        <v>1052.5343642800005</v>
      </c>
      <c r="AR52" s="8">
        <f t="shared" si="56"/>
        <v>1356.4282610700004</v>
      </c>
      <c r="AS52" s="8">
        <f t="shared" si="56"/>
        <v>1100.6410184600002</v>
      </c>
      <c r="AT52" s="8">
        <f t="shared" si="56"/>
        <v>0</v>
      </c>
      <c r="AU52" s="8">
        <f t="shared" si="56"/>
        <v>0</v>
      </c>
      <c r="AV52" s="8">
        <f t="shared" si="56"/>
        <v>0</v>
      </c>
      <c r="AW52" s="8">
        <f t="shared" si="56"/>
        <v>0</v>
      </c>
      <c r="AX52" s="8">
        <f t="shared" si="56"/>
        <v>0</v>
      </c>
      <c r="AY52" s="8">
        <f t="shared" si="56"/>
        <v>0</v>
      </c>
      <c r="AZ52" s="8">
        <f t="shared" ref="AZ52:BK52" si="57">AZ40+AZ46</f>
        <v>1915.3475106981475</v>
      </c>
      <c r="BA52" s="8">
        <f t="shared" si="57"/>
        <v>1609.7600451937876</v>
      </c>
      <c r="BB52" s="8">
        <f t="shared" si="57"/>
        <v>1932.8421485718477</v>
      </c>
      <c r="BC52" s="8">
        <f t="shared" si="57"/>
        <v>1862.1927250244364</v>
      </c>
      <c r="BD52" s="8">
        <f t="shared" si="57"/>
        <v>2020.3504365405313</v>
      </c>
      <c r="BE52" s="8">
        <f t="shared" si="57"/>
        <v>1885.6555543798461</v>
      </c>
      <c r="BF52" s="8">
        <f t="shared" si="57"/>
        <v>2055.0660098671297</v>
      </c>
      <c r="BG52" s="8">
        <f t="shared" si="57"/>
        <v>2078.6171393368145</v>
      </c>
      <c r="BH52" s="8">
        <f t="shared" si="57"/>
        <v>1930.4573006713383</v>
      </c>
      <c r="BI52" s="8">
        <f t="shared" si="57"/>
        <v>2094.6537381942826</v>
      </c>
      <c r="BJ52" s="8">
        <f t="shared" si="57"/>
        <v>2017.3500770500311</v>
      </c>
      <c r="BK52" s="8">
        <f t="shared" si="57"/>
        <v>2141.9432817782499</v>
      </c>
      <c r="BO52" s="24">
        <f t="shared" si="53"/>
        <v>3904.8398049999996</v>
      </c>
      <c r="BP52" s="24">
        <f t="shared" si="53"/>
        <v>5457.9497044637828</v>
      </c>
      <c r="BQ52" s="24">
        <f t="shared" si="53"/>
        <v>2234.9806659700007</v>
      </c>
      <c r="BR52" s="24">
        <f t="shared" si="53"/>
        <v>4053.9708973299994</v>
      </c>
      <c r="BS52" s="24">
        <f t="shared" si="53"/>
        <v>3647.1897619899992</v>
      </c>
      <c r="BT52" s="24">
        <f t="shared" si="53"/>
        <v>2467.0168647799997</v>
      </c>
    </row>
    <row r="53" spans="1:72" collapsed="1" x14ac:dyDescent="0.25">
      <c r="C53" s="60" t="s">
        <v>66</v>
      </c>
      <c r="D53" s="61">
        <f t="shared" ref="D53:AY53" si="58">D41+D47</f>
        <v>17708.155316489996</v>
      </c>
      <c r="E53" s="61">
        <f t="shared" si="58"/>
        <v>12266.45613233999</v>
      </c>
      <c r="F53" s="61">
        <f t="shared" si="58"/>
        <v>18151.04247534</v>
      </c>
      <c r="G53" s="61">
        <f t="shared" si="58"/>
        <v>15831.066667469975</v>
      </c>
      <c r="H53" s="61">
        <f t="shared" si="58"/>
        <v>18092.886316540018</v>
      </c>
      <c r="I53" s="61">
        <f t="shared" si="58"/>
        <v>16218.089779319998</v>
      </c>
      <c r="J53" s="61">
        <f t="shared" si="58"/>
        <v>18326.584430619987</v>
      </c>
      <c r="K53" s="61">
        <f t="shared" si="58"/>
        <v>17882.514299229988</v>
      </c>
      <c r="L53" s="61">
        <f t="shared" si="58"/>
        <v>16197.25735966002</v>
      </c>
      <c r="M53" s="61">
        <f t="shared" si="58"/>
        <v>18656.696709249991</v>
      </c>
      <c r="N53" s="61">
        <f t="shared" si="58"/>
        <v>16362.35247908</v>
      </c>
      <c r="O53" s="61">
        <f t="shared" si="58"/>
        <v>18554.369907550004</v>
      </c>
      <c r="P53" s="61">
        <f t="shared" si="58"/>
        <v>18353.38600146</v>
      </c>
      <c r="Q53" s="61">
        <f t="shared" si="58"/>
        <v>14188.551070289999</v>
      </c>
      <c r="R53" s="61">
        <f t="shared" si="58"/>
        <v>18561.920887130007</v>
      </c>
      <c r="S53" s="61">
        <f t="shared" si="58"/>
        <v>16195.680677659999</v>
      </c>
      <c r="T53" s="61">
        <f t="shared" si="58"/>
        <v>18640.794591169986</v>
      </c>
      <c r="U53" s="61">
        <f t="shared" si="58"/>
        <v>16892.983687090018</v>
      </c>
      <c r="V53" s="61">
        <f t="shared" si="58"/>
        <v>19332.667806349986</v>
      </c>
      <c r="W53" s="61">
        <f t="shared" si="58"/>
        <v>19087.272053440007</v>
      </c>
      <c r="X53" s="61">
        <f t="shared" si="58"/>
        <v>16595.353264599995</v>
      </c>
      <c r="Y53" s="61">
        <f t="shared" si="58"/>
        <v>18694.650590430014</v>
      </c>
      <c r="Z53" s="61">
        <f t="shared" si="58"/>
        <v>16975.370146899986</v>
      </c>
      <c r="AA53" s="61">
        <f t="shared" si="58"/>
        <v>19396.946170000003</v>
      </c>
      <c r="AB53" s="61">
        <f t="shared" si="58"/>
        <v>18681.587706110004</v>
      </c>
      <c r="AC53" s="61">
        <f t="shared" si="58"/>
        <v>12131.929304959995</v>
      </c>
      <c r="AD53" s="61">
        <f t="shared" si="58"/>
        <v>18705.903528909985</v>
      </c>
      <c r="AE53" s="61">
        <f t="shared" si="58"/>
        <v>16425.563665490001</v>
      </c>
      <c r="AF53" s="61">
        <f t="shared" si="58"/>
        <v>19516.77680336</v>
      </c>
      <c r="AG53" s="61">
        <f t="shared" si="58"/>
        <v>16294.010769820001</v>
      </c>
      <c r="AH53" s="61">
        <f t="shared" si="58"/>
        <v>18945.506294570012</v>
      </c>
      <c r="AI53" s="61">
        <f t="shared" si="58"/>
        <v>18541.091255799998</v>
      </c>
      <c r="AJ53" s="61">
        <f t="shared" si="58"/>
        <v>16883.592765879999</v>
      </c>
      <c r="AK53" s="61">
        <f t="shared" si="58"/>
        <v>18907.165211209969</v>
      </c>
      <c r="AL53" s="61">
        <f t="shared" si="58"/>
        <v>17339.633861159986</v>
      </c>
      <c r="AM53" s="61">
        <f t="shared" si="58"/>
        <v>20123.399055419992</v>
      </c>
      <c r="AN53" s="61">
        <f t="shared" si="58"/>
        <v>19494.643270150002</v>
      </c>
      <c r="AO53" s="61">
        <f t="shared" si="58"/>
        <v>12859.594834160016</v>
      </c>
      <c r="AP53" s="61">
        <f t="shared" si="58"/>
        <v>20134.196726459988</v>
      </c>
      <c r="AQ53" s="61">
        <f t="shared" si="58"/>
        <v>17294.460889710004</v>
      </c>
      <c r="AR53" s="61">
        <f t="shared" si="58"/>
        <v>20161.667380750019</v>
      </c>
      <c r="AS53" s="61">
        <f t="shared" si="58"/>
        <v>16938.043662670003</v>
      </c>
      <c r="AT53" s="61">
        <f t="shared" si="58"/>
        <v>0</v>
      </c>
      <c r="AU53" s="61">
        <f t="shared" si="58"/>
        <v>0</v>
      </c>
      <c r="AV53" s="61">
        <f t="shared" si="58"/>
        <v>0</v>
      </c>
      <c r="AW53" s="61">
        <f t="shared" si="58"/>
        <v>0</v>
      </c>
      <c r="AX53" s="61">
        <f t="shared" si="58"/>
        <v>0</v>
      </c>
      <c r="AY53" s="61">
        <f t="shared" si="58"/>
        <v>0</v>
      </c>
      <c r="AZ53" s="61">
        <f t="shared" ref="AZ53:BK53" si="59">AZ41+AZ47</f>
        <v>19029.758179253156</v>
      </c>
      <c r="BA53" s="61">
        <f t="shared" si="59"/>
        <v>12560.371205504947</v>
      </c>
      <c r="BB53" s="61">
        <f t="shared" si="59"/>
        <v>19032.317224697974</v>
      </c>
      <c r="BC53" s="61">
        <f t="shared" si="59"/>
        <v>17258.027534032277</v>
      </c>
      <c r="BD53" s="61">
        <f t="shared" si="59"/>
        <v>20264.136919097007</v>
      </c>
      <c r="BE53" s="61">
        <f t="shared" si="59"/>
        <v>17416.289569351567</v>
      </c>
      <c r="BF53" s="61">
        <f t="shared" si="59"/>
        <v>20533.845214325826</v>
      </c>
      <c r="BG53" s="61">
        <f t="shared" si="59"/>
        <v>20724.791714934756</v>
      </c>
      <c r="BH53" s="61">
        <f t="shared" si="59"/>
        <v>17850.250817639426</v>
      </c>
      <c r="BI53" s="61">
        <f t="shared" si="59"/>
        <v>20737.691522939276</v>
      </c>
      <c r="BJ53" s="61">
        <f t="shared" si="59"/>
        <v>18844.307804025615</v>
      </c>
      <c r="BK53" s="61">
        <f t="shared" si="59"/>
        <v>21201.168099204042</v>
      </c>
      <c r="BO53" s="62">
        <f t="shared" ref="BO53:BT53" si="60">SUM(BO50:BO52)</f>
        <v>52488.434830769984</v>
      </c>
      <c r="BP53" s="62">
        <f t="shared" si="60"/>
        <v>50622.446609456099</v>
      </c>
      <c r="BQ53" s="62">
        <f t="shared" si="60"/>
        <v>32354.238104310014</v>
      </c>
      <c r="BR53" s="62">
        <f t="shared" si="60"/>
        <v>49519.420539979968</v>
      </c>
      <c r="BS53" s="62">
        <f t="shared" si="60"/>
        <v>51103.857958879984</v>
      </c>
      <c r="BT53" s="62">
        <f t="shared" si="60"/>
        <v>48125.653924170008</v>
      </c>
    </row>
    <row r="54" spans="1:72" x14ac:dyDescent="0.25">
      <c r="D54" s="19">
        <f>[1]Base_Evolutivo!BE1258-D53</f>
        <v>3.35000004270114E-6</v>
      </c>
      <c r="E54" s="19">
        <f>[1]Base_Evolutivo!BF1258-E53</f>
        <v>-6.0998718254268169E-7</v>
      </c>
      <c r="F54" s="19">
        <f>[1]Base_Evolutivo!BG1258-F53</f>
        <v>1.4899887901265174E-6</v>
      </c>
      <c r="G54" s="19">
        <f>[1]Base_Evolutivo!BH1258-G53</f>
        <v>5.5600248742848635E-6</v>
      </c>
      <c r="H54" s="19">
        <f>[1]Base_Evolutivo!BI1258-H53</f>
        <v>6.4899868448264897E-6</v>
      </c>
      <c r="I54" s="19">
        <f>[1]Base_Evolutivo!BJ1258-I53</f>
        <v>-5.799993232358247E-6</v>
      </c>
      <c r="J54" s="19">
        <f>[1]Base_Evolutivo!BK1258-J53</f>
        <v>-6.5799868025351316E-6</v>
      </c>
      <c r="K54" s="19">
        <f>[1]Base_Evolutivo!BL1258-K53</f>
        <v>-5.9998637880198658E-7</v>
      </c>
      <c r="L54" s="19">
        <f>[1]Base_Evolutivo!BM1258-L53</f>
        <v>1.1099673429271206E-6</v>
      </c>
      <c r="M54" s="19">
        <f>[1]Base_Evolutivo!BN1258-M53</f>
        <v>1.899970811791718E-7</v>
      </c>
      <c r="N54" s="19">
        <f>[1]Base_Evolutivo!BO1258-N53</f>
        <v>-9.6000803750939667E-7</v>
      </c>
      <c r="O54" s="19">
        <f>[1]Base_Evolutivo!BP1258-O53</f>
        <v>2.6700035959947854E-6</v>
      </c>
      <c r="P54" s="19">
        <f>[1]Base_Evolutivo!BQ1258-P53</f>
        <v>1.7001002561300993E-7</v>
      </c>
      <c r="Q54" s="19">
        <f>[1]Base_Evolutivo!BR1258-Q53</f>
        <v>7.6100022852187976E-6</v>
      </c>
      <c r="R54" s="19">
        <f>[1]Base_Evolutivo!BS1258-R53</f>
        <v>4.4200023694429547E-6</v>
      </c>
      <c r="S54" s="19">
        <f>[1]Base_Evolutivo!BT1258-S53</f>
        <v>1.16000410343986E-6</v>
      </c>
      <c r="T54" s="19">
        <f>[1]Base_Evolutivo!BU1258-T53</f>
        <v>-6.4998312154784799E-7</v>
      </c>
      <c r="U54" s="19">
        <f>[1]Base_Evolutivo!BV1258-U53</f>
        <v>1.4799879863858223E-6</v>
      </c>
      <c r="V54" s="19">
        <f>[1]Base_Evolutivo!BW1258-V53</f>
        <v>-9.4899660325609148E-6</v>
      </c>
      <c r="W54" s="19">
        <f>[1]Base_Evolutivo!BX1258-W53</f>
        <v>-1.8000209820456803E-6</v>
      </c>
      <c r="X54" s="19">
        <f>[1]Base_Evolutivo!BY1258-X53</f>
        <v>-1.4999386621639132E-7</v>
      </c>
      <c r="Y54" s="19">
        <f>[1]Base_Evolutivo!BZ1258-Y53</f>
        <v>1.1499723768793046E-6</v>
      </c>
      <c r="Z54" s="19">
        <f>[1]Base_Evolutivo!CA1258-Z53</f>
        <v>4.4300068111624569E-6</v>
      </c>
      <c r="AA54" s="19">
        <f>[1]Base_Evolutivo!CB1258-AA53</f>
        <v>-4.509980499278754E-6</v>
      </c>
      <c r="AB54" s="19">
        <f>[1]Base_Evolutivo!CC1258-AB53</f>
        <v>1.6499834600836039E-6</v>
      </c>
      <c r="AC54" s="19">
        <f>[1]Base_Evolutivo!CD1258-AC53</f>
        <v>5.0399976316839457E-6</v>
      </c>
      <c r="AD54" s="19">
        <f>[1]Base_Evolutivo!CE1258-AD53</f>
        <v>-6.3899824453983456E-6</v>
      </c>
      <c r="AE54" s="19">
        <f>[1]Base_Evolutivo!CF1258-AE53</f>
        <v>-9.7001975518651307E-7</v>
      </c>
      <c r="AF54" s="19">
        <f>[1]Base_Evolutivo!CG1258-AF53</f>
        <v>-6.3700099417474121E-6</v>
      </c>
      <c r="AG54" s="19">
        <f>[1]Base_Evolutivo!CH1258-AG53</f>
        <v>-6.1998616729397327E-7</v>
      </c>
      <c r="AH54" s="19">
        <f>[1]Base_Evolutivo!CI1258-AH53</f>
        <v>4.6799978008493781E-6</v>
      </c>
      <c r="AI54" s="19">
        <f>[1]Base_Evolutivo!CJ1258-AI53</f>
        <v>1.0799885785672814E-6</v>
      </c>
      <c r="AJ54" s="19">
        <f>[1]Base_Evolutivo!CK1258-AJ53</f>
        <v>-4.3300060497131199E-6</v>
      </c>
      <c r="AK54" s="19">
        <f>[1]Base_Evolutivo!CL1258-AK53</f>
        <v>5.3800285968463868E-6</v>
      </c>
      <c r="AL54" s="19">
        <f>[1]Base_Evolutivo!CM1258-AL53</f>
        <v>1.2000164133496583E-6</v>
      </c>
      <c r="AM54" s="19">
        <f>[1]Base_Evolutivo!CN1258-AM53</f>
        <v>-1.839995093178004E-6</v>
      </c>
      <c r="AN54" s="19">
        <f>[1]Base_Evolutivo!CO1258-AN53</f>
        <v>0</v>
      </c>
      <c r="AO54" s="19">
        <f>[1]Base_Evolutivo!CP1258-AO53</f>
        <v>-3.2741809263825417E-11</v>
      </c>
      <c r="AP54" s="19">
        <f>[1]Base_Evolutivo!CQ1258-AP53</f>
        <v>0</v>
      </c>
      <c r="AQ54" s="19">
        <f>[1]Base_Evolutivo!CR1258-AQ53</f>
        <v>0</v>
      </c>
      <c r="AR54" s="19">
        <f>[1]Base_Evolutivo!CS1258-AR53</f>
        <v>0</v>
      </c>
      <c r="AS54" s="19">
        <f>[1]Base_Evolutivo!CT1258-AS53</f>
        <v>0</v>
      </c>
      <c r="AT54" s="19">
        <f>[1]Base_Evolutivo!CU1258-AT53</f>
        <v>20183.414527450012</v>
      </c>
      <c r="AU54" s="19">
        <f>[1]Base_Evolutivo!CV1258-AU53</f>
        <v>0</v>
      </c>
      <c r="AV54" s="19">
        <f>[1]Base_Evolutivo!CW1258-AV53</f>
        <v>0</v>
      </c>
      <c r="AW54" s="19">
        <f>[1]Base_Evolutivo!CX1258-AW53</f>
        <v>0</v>
      </c>
      <c r="AX54" s="19">
        <f>[1]Base_Evolutivo!CY1258-AX53</f>
        <v>0</v>
      </c>
      <c r="AY54" s="19">
        <f>[1]Base_Evolutivo!CZ1258-AY53</f>
        <v>0</v>
      </c>
      <c r="AZ54" s="19">
        <f>[1]Base_Evolutivo!DA1258-AZ53</f>
        <v>-19029.758179253156</v>
      </c>
      <c r="BA54" s="19">
        <f>[1]Base_Evolutivo!DB1258-BA53</f>
        <v>-12560.371205504947</v>
      </c>
      <c r="BB54" s="19">
        <f>[1]Base_Evolutivo!DC1258-BB53</f>
        <v>-19032.317224697974</v>
      </c>
      <c r="BC54" s="19">
        <f>[1]Base_Evolutivo!DD1258-BC53</f>
        <v>-17258.027534032277</v>
      </c>
      <c r="BD54" s="19">
        <f>[1]Base_Evolutivo!DE1258-BD53</f>
        <v>-20264.136919097007</v>
      </c>
      <c r="BE54" s="19">
        <f>[1]Base_Evolutivo!DF1258-BE53</f>
        <v>-17416.289569351567</v>
      </c>
      <c r="BF54" s="19">
        <f>[1]Base_Evolutivo!DG1258-BF53</f>
        <v>-20533.845214325826</v>
      </c>
      <c r="BG54" s="19">
        <f>[1]Base_Evolutivo!DH1258-BG53</f>
        <v>-20724.791714934756</v>
      </c>
      <c r="BH54" s="19">
        <f>[1]Base_Evolutivo!DI1258-BH53</f>
        <v>-17850.250817639426</v>
      </c>
      <c r="BI54" s="19">
        <f>[1]Base_Evolutivo!DJ1258-BI53</f>
        <v>-20737.691522939276</v>
      </c>
      <c r="BJ54" s="19">
        <f>[1]Base_Evolutivo!DK1258-BJ53</f>
        <v>-18844.307804025615</v>
      </c>
      <c r="BK54" s="19">
        <f>[1]Base_Evolutivo!DL1258-BK53</f>
        <v>-21201.168099204042</v>
      </c>
      <c r="BO54" s="18"/>
      <c r="BP54" s="18"/>
      <c r="BQ54" s="18"/>
      <c r="BR54" s="18"/>
      <c r="BS54" s="18"/>
      <c r="BT54" s="18"/>
    </row>
    <row r="55" spans="1:72" x14ac:dyDescent="0.25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O55" s="18"/>
      <c r="BP55" s="18"/>
      <c r="BQ55" s="18"/>
      <c r="BR55" s="18"/>
      <c r="BS55" s="18"/>
      <c r="BT55" s="18"/>
    </row>
    <row r="56" spans="1:72" hidden="1" outlineLevel="1" x14ac:dyDescent="0.25">
      <c r="A56" s="58" t="s">
        <v>64</v>
      </c>
      <c r="C56" s="59" t="s">
        <v>67</v>
      </c>
      <c r="D56" s="8">
        <f>Renta_Alta!D56+Masivo!D56+Consumo_Inicial!D56</f>
        <v>-2170.5901090887132</v>
      </c>
      <c r="E56" s="8">
        <f>Renta_Alta!E56+Masivo!E56+Consumo_Inicial!E56</f>
        <v>-2366.1059589085821</v>
      </c>
      <c r="F56" s="8">
        <f>Renta_Alta!F56+Masivo!F56+Consumo_Inicial!F56</f>
        <v>-1002.9986046849481</v>
      </c>
      <c r="G56" s="8">
        <f>Renta_Alta!G56+Masivo!G56+Consumo_Inicial!G56</f>
        <v>-2464.6030140623852</v>
      </c>
      <c r="H56" s="8">
        <f>Renta_Alta!H56+Masivo!H56+Consumo_Inicial!H56</f>
        <v>-4418.979564946997</v>
      </c>
      <c r="I56" s="8">
        <f>Renta_Alta!I56+Masivo!I56+Consumo_Inicial!I56</f>
        <v>-2147.6602626552585</v>
      </c>
      <c r="J56" s="8">
        <f>Renta_Alta!J56+Masivo!J56+Consumo_Inicial!J56</f>
        <v>2525.2173841729964</v>
      </c>
      <c r="K56" s="8">
        <f>Renta_Alta!K56+Masivo!K56+Consumo_Inicial!K56</f>
        <v>-1735.5361541283849</v>
      </c>
      <c r="L56" s="8">
        <f>Renta_Alta!L56+Masivo!L56+Consumo_Inicial!L56</f>
        <v>-6867.5210211719832</v>
      </c>
      <c r="M56" s="8">
        <f>Renta_Alta!M56+Masivo!M56+Consumo_Inicial!M56</f>
        <v>-7290.181281013347</v>
      </c>
      <c r="N56" s="8">
        <f>Renta_Alta!N56+Masivo!N56+Consumo_Inicial!N56</f>
        <v>-5135.6247567691598</v>
      </c>
      <c r="O56" s="8">
        <f>Renta_Alta!O56+Masivo!O56+Consumo_Inicial!O56</f>
        <v>775.86914267389147</v>
      </c>
      <c r="P56" s="8">
        <f>Renta_Alta!P56+Masivo!P56+Consumo_Inicial!P56</f>
        <v>-7821.7353191975599</v>
      </c>
      <c r="Q56" s="8">
        <f>Renta_Alta!Q56+Masivo!Q56+Consumo_Inicial!Q56</f>
        <v>-2164.124590017947</v>
      </c>
      <c r="R56" s="8">
        <f>Renta_Alta!R56+Masivo!R56+Consumo_Inicial!R56</f>
        <v>-1164.9272350947201</v>
      </c>
      <c r="S56" s="8">
        <f>Renta_Alta!S56+Masivo!S56+Consumo_Inicial!S56</f>
        <v>-8168.1925367614913</v>
      </c>
      <c r="T56" s="8">
        <f>Renta_Alta!T56+Masivo!T56+Consumo_Inicial!T56</f>
        <v>-580.88131070701081</v>
      </c>
      <c r="U56" s="8">
        <f>Renta_Alta!U56+Masivo!U56+Consumo_Inicial!U56</f>
        <v>-1530.5366010718108</v>
      </c>
      <c r="V56" s="8">
        <f>Renta_Alta!V56+Masivo!V56+Consumo_Inicial!V56</f>
        <v>-4597.1490890398481</v>
      </c>
      <c r="W56" s="8">
        <f>Renta_Alta!W56+Masivo!W56+Consumo_Inicial!W56</f>
        <v>-1066.6185331926731</v>
      </c>
      <c r="X56" s="8">
        <f>Renta_Alta!X56+Masivo!X56+Consumo_Inicial!X56</f>
        <v>-2648.1014337025963</v>
      </c>
      <c r="Y56" s="8">
        <f>Renta_Alta!Y56+Masivo!Y56+Consumo_Inicial!Y56</f>
        <v>-7912.0807126310938</v>
      </c>
      <c r="Z56" s="8">
        <f>Renta_Alta!Z56+Masivo!Z56+Consumo_Inicial!Z56</f>
        <v>1202.2806933859824</v>
      </c>
      <c r="AA56" s="8">
        <f>Renta_Alta!AA56+Masivo!AA56+Consumo_Inicial!AA56</f>
        <v>-1003.6867782978516</v>
      </c>
      <c r="AB56" s="8">
        <f>Renta_Alta!AB56+Masivo!AB56+Consumo_Inicial!AB56</f>
        <v>-4717.0078858464321</v>
      </c>
      <c r="AC56" s="8">
        <f>Renta_Alta!AC56+Masivo!AC56+Consumo_Inicial!AC56</f>
        <v>-2528.6961780323836</v>
      </c>
      <c r="AD56" s="8">
        <f>Renta_Alta!AD56+Masivo!AD56+Consumo_Inicial!AD56</f>
        <v>-1775.7839930411949</v>
      </c>
      <c r="AE56" s="8">
        <f>Renta_Alta!AE56+Masivo!AE56+Consumo_Inicial!AE56</f>
        <v>-7186.5027064025344</v>
      </c>
      <c r="AF56" s="8">
        <f>Renta_Alta!AF56+Masivo!AF56+Consumo_Inicial!AF56</f>
        <v>4151.41411393199</v>
      </c>
      <c r="AG56" s="8">
        <f>Renta_Alta!AG56+Masivo!AG56+Consumo_Inicial!AG56</f>
        <v>-5344.500739509197</v>
      </c>
      <c r="AH56" s="8">
        <f>Renta_Alta!AH56+Masivo!AH56+Consumo_Inicial!AH56</f>
        <v>-2683.0468482800807</v>
      </c>
      <c r="AI56" s="8">
        <f>Renta_Alta!AI56+Masivo!AI56+Consumo_Inicial!AI56</f>
        <v>-5000.8883546600046</v>
      </c>
      <c r="AJ56" s="8">
        <f>Renta_Alta!AJ56+Masivo!AJ56+Consumo_Inicial!AJ56</f>
        <v>-6662.3612380243285</v>
      </c>
      <c r="AK56" s="8">
        <f>Renta_Alta!AK56+Masivo!AK56+Consumo_Inicial!AK56</f>
        <v>-10174.709281729121</v>
      </c>
      <c r="AL56" s="8">
        <f>Renta_Alta!AL56+Masivo!AL56+Consumo_Inicial!AL56</f>
        <v>2606.2187335496219</v>
      </c>
      <c r="AM56" s="8">
        <f>Renta_Alta!AM56+Masivo!AM56+Consumo_Inicial!AM56</f>
        <v>10903.12461174567</v>
      </c>
      <c r="AN56" s="8">
        <f>Renta_Alta!AN56+Masivo!AN56+Consumo_Inicial!AN56</f>
        <v>528.76023822345473</v>
      </c>
      <c r="AO56" s="8">
        <f>Renta_Alta!AO56+Masivo!AO56+Consumo_Inicial!AO56</f>
        <v>1220.1899933843119</v>
      </c>
      <c r="AP56" s="8">
        <f>Renta_Alta!AP56+Masivo!AP56+Consumo_Inicial!AP56</f>
        <v>-2362.5187835698534</v>
      </c>
      <c r="AQ56" s="8">
        <f>Renta_Alta!AQ56+Masivo!AQ56+Consumo_Inicial!AQ56</f>
        <v>-2036.827105124795</v>
      </c>
      <c r="AR56" s="8">
        <f>Renta_Alta!AR56+Masivo!AR56+Consumo_Inicial!AR56</f>
        <v>4461.023741900005</v>
      </c>
      <c r="AS56" s="8">
        <f>Renta_Alta!AS56+Masivo!AS56+Consumo_Inicial!AS56</f>
        <v>-5484.4151899999697</v>
      </c>
      <c r="AT56" s="8">
        <f>Renta_Alta!AT56+Masivo!AT56+Consumo_Inicial!AT56</f>
        <v>0</v>
      </c>
      <c r="AU56" s="8">
        <f>Renta_Alta!AU56+Masivo!AU56+Consumo_Inicial!AU56</f>
        <v>0</v>
      </c>
      <c r="AV56" s="8">
        <f>Renta_Alta!AV56+Masivo!AV56+Consumo_Inicial!AV56</f>
        <v>0</v>
      </c>
      <c r="AW56" s="8">
        <f>Renta_Alta!AW56+Masivo!AW56+Consumo_Inicial!AW56</f>
        <v>0</v>
      </c>
      <c r="AX56" s="8">
        <f>Renta_Alta!AX56+Masivo!AX56+Consumo_Inicial!AX56</f>
        <v>0</v>
      </c>
      <c r="AY56" s="8">
        <f>Renta_Alta!AY56+Masivo!AY56+Consumo_Inicial!AY56</f>
        <v>0</v>
      </c>
      <c r="AZ56" s="8">
        <f>Renta_Alta!AZ56+Masivo!AZ56+Consumo_Inicial!AZ56</f>
        <v>-2229.9559424985919</v>
      </c>
      <c r="BA56" s="8">
        <f>Renta_Alta!BA56+Masivo!BA56+Consumo_Inicial!BA56</f>
        <v>-4363.0996586985493</v>
      </c>
      <c r="BB56" s="8">
        <f>Renta_Alta!BB56+Masivo!BB56+Consumo_Inicial!BB56</f>
        <v>-5342.0107301225871</v>
      </c>
      <c r="BC56" s="8">
        <f>Renta_Alta!BC56+Masivo!BC56+Consumo_Inicial!BC56</f>
        <v>-5203.6947947592935</v>
      </c>
      <c r="BD56" s="8">
        <f>Renta_Alta!BD56+Masivo!BD56+Consumo_Inicial!BD56</f>
        <v>-2141.2608202259412</v>
      </c>
      <c r="BE56" s="8">
        <f>Renta_Alta!BE56+Masivo!BE56+Consumo_Inicial!BE56</f>
        <v>-4993.8681691695929</v>
      </c>
      <c r="BF56" s="8">
        <f>Renta_Alta!BF56+Masivo!BF56+Consumo_Inicial!BF56</f>
        <v>-2774.638940079647</v>
      </c>
      <c r="BG56" s="8">
        <f>Renta_Alta!BG56+Masivo!BG56+Consumo_Inicial!BG56</f>
        <v>-4660.2511469701712</v>
      </c>
      <c r="BH56" s="8">
        <f>Renta_Alta!BH56+Masivo!BH56+Consumo_Inicial!BH56</f>
        <v>-2877.2314116774019</v>
      </c>
      <c r="BI56" s="8">
        <f>Renta_Alta!BI56+Masivo!BI56+Consumo_Inicial!BI56</f>
        <v>-2854.347220882652</v>
      </c>
      <c r="BJ56" s="8">
        <f>Renta_Alta!BJ56+Masivo!BJ56+Consumo_Inicial!BJ56</f>
        <v>-1675.8381834094707</v>
      </c>
      <c r="BK56" s="8">
        <f>Renta_Alta!BK56+Masivo!BK56+Consumo_Inicial!BK56</f>
        <v>-271.33505579362657</v>
      </c>
      <c r="BO56" s="24">
        <f t="shared" ref="BO56:BT57" si="61">SUMIFS($D56:$BM56,$D$6:$BM$6,"&gt;="&amp;BO$2,$D$6:$BM$6,"&lt;="&amp;BO$6,$D$5:$BM$5,BO$5)</f>
        <v>-613.56855196208676</v>
      </c>
      <c r="BP56" s="24">
        <f t="shared" si="61"/>
        <v>-11935.066331319729</v>
      </c>
      <c r="BQ56" s="24">
        <f t="shared" si="61"/>
        <v>1748.9502316077667</v>
      </c>
      <c r="BR56" s="24">
        <f t="shared" si="61"/>
        <v>-9021.4880569200104</v>
      </c>
      <c r="BS56" s="24">
        <f t="shared" si="61"/>
        <v>-11150.787144310227</v>
      </c>
      <c r="BT56" s="24">
        <f t="shared" si="61"/>
        <v>-5539.6946726822434</v>
      </c>
    </row>
    <row r="57" spans="1:72" hidden="1" outlineLevel="1" x14ac:dyDescent="0.25">
      <c r="A57" s="58" t="s">
        <v>65</v>
      </c>
      <c r="C57" s="59" t="s">
        <v>69</v>
      </c>
      <c r="D57" s="8">
        <f>Renta_Alta!D57+Masivo!D57+Consumo_Inicial!D57</f>
        <v>0.7</v>
      </c>
      <c r="E57" s="8">
        <f>Renta_Alta!E57+Masivo!E57+Consumo_Inicial!E57</f>
        <v>0</v>
      </c>
      <c r="F57" s="8">
        <f>Renta_Alta!F57+Masivo!F57+Consumo_Inicial!F57</f>
        <v>44.159119999999994</v>
      </c>
      <c r="G57" s="8">
        <f>Renta_Alta!G57+Masivo!G57+Consumo_Inicial!G57</f>
        <v>153.17811</v>
      </c>
      <c r="H57" s="8">
        <f>Renta_Alta!H57+Masivo!H57+Consumo_Inicial!H57</f>
        <v>16.87885</v>
      </c>
      <c r="I57" s="8">
        <f>Renta_Alta!I57+Masivo!I57+Consumo_Inicial!I57</f>
        <v>65.143630000000002</v>
      </c>
      <c r="J57" s="8">
        <f>Renta_Alta!J57+Masivo!J57+Consumo_Inicial!J57</f>
        <v>74.584999999999994</v>
      </c>
      <c r="K57" s="8">
        <f>Renta_Alta!K57+Masivo!K57+Consumo_Inicial!K57</f>
        <v>66.297759999999997</v>
      </c>
      <c r="L57" s="8">
        <f>Renta_Alta!L57+Masivo!L57+Consumo_Inicial!L57</f>
        <v>72.245820000000009</v>
      </c>
      <c r="M57" s="8">
        <f>Renta_Alta!M57+Masivo!M57+Consumo_Inicial!M57</f>
        <v>103.73636999999999</v>
      </c>
      <c r="N57" s="8">
        <f>Renta_Alta!N57+Masivo!N57+Consumo_Inicial!N57</f>
        <v>0</v>
      </c>
      <c r="O57" s="8">
        <f>Renta_Alta!O57+Masivo!O57+Consumo_Inicial!O57</f>
        <v>0</v>
      </c>
      <c r="P57" s="8">
        <f>Renta_Alta!P57+Masivo!P57+Consumo_Inicial!P57</f>
        <v>0</v>
      </c>
      <c r="Q57" s="8">
        <f>Renta_Alta!Q57+Masivo!Q57+Consumo_Inicial!Q57</f>
        <v>3.37</v>
      </c>
      <c r="R57" s="8">
        <f>Renta_Alta!R57+Masivo!R57+Consumo_Inicial!R57</f>
        <v>0</v>
      </c>
      <c r="S57" s="8">
        <f>Renta_Alta!S57+Masivo!S57+Consumo_Inicial!S57</f>
        <v>0</v>
      </c>
      <c r="T57" s="8">
        <f>Renta_Alta!T57+Masivo!T57+Consumo_Inicial!T57</f>
        <v>1.7596200000000002</v>
      </c>
      <c r="U57" s="8">
        <f>Renta_Alta!U57+Masivo!U57+Consumo_Inicial!U57</f>
        <v>36.611959999999996</v>
      </c>
      <c r="V57" s="8">
        <f>Renta_Alta!V57+Masivo!V57+Consumo_Inicial!V57</f>
        <v>70.667529999999999</v>
      </c>
      <c r="W57" s="8">
        <f>Renta_Alta!W57+Masivo!W57+Consumo_Inicial!W57</f>
        <v>0.64890999999999999</v>
      </c>
      <c r="X57" s="8">
        <f>Renta_Alta!X57+Masivo!X57+Consumo_Inicial!X57</f>
        <v>0</v>
      </c>
      <c r="Y57" s="8">
        <f>Renta_Alta!Y57+Masivo!Y57+Consumo_Inicial!Y57</f>
        <v>3.37486</v>
      </c>
      <c r="Z57" s="8">
        <f>Renta_Alta!Z57+Masivo!Z57+Consumo_Inicial!Z57</f>
        <v>0</v>
      </c>
      <c r="AA57" s="8">
        <f>Renta_Alta!AA57+Masivo!AA57+Consumo_Inicial!AA57</f>
        <v>0.18109999999999998</v>
      </c>
      <c r="AB57" s="8">
        <f>Renta_Alta!AB57+Masivo!AB57+Consumo_Inicial!AB57</f>
        <v>3.3662900000000002</v>
      </c>
      <c r="AC57" s="8">
        <f>Renta_Alta!AC57+Masivo!AC57+Consumo_Inicial!AC57</f>
        <v>3.85E-2</v>
      </c>
      <c r="AD57" s="8">
        <f>Renta_Alta!AD57+Masivo!AD57+Consumo_Inicial!AD57</f>
        <v>60.703759999999996</v>
      </c>
      <c r="AE57" s="8">
        <f>Renta_Alta!AE57+Masivo!AE57+Consumo_Inicial!AE57</f>
        <v>47.775230000000001</v>
      </c>
      <c r="AF57" s="8">
        <f>Renta_Alta!AF57+Masivo!AF57+Consumo_Inicial!AF57</f>
        <v>3.9556300000000002</v>
      </c>
      <c r="AG57" s="8">
        <f>Renta_Alta!AG57+Masivo!AG57+Consumo_Inicial!AG57</f>
        <v>2.3919999999999999</v>
      </c>
      <c r="AH57" s="8">
        <f>Renta_Alta!AH57+Masivo!AH57+Consumo_Inicial!AH57</f>
        <v>0</v>
      </c>
      <c r="AI57" s="8">
        <f>Renta_Alta!AI57+Masivo!AI57+Consumo_Inicial!AI57</f>
        <v>10.9628</v>
      </c>
      <c r="AJ57" s="8">
        <f>Renta_Alta!AJ57+Masivo!AJ57+Consumo_Inicial!AJ57</f>
        <v>0</v>
      </c>
      <c r="AK57" s="8">
        <f>Renta_Alta!AK57+Masivo!AK57+Consumo_Inicial!AK57</f>
        <v>0.18838999999999997</v>
      </c>
      <c r="AL57" s="8">
        <f>Renta_Alta!AL57+Masivo!AL57+Consumo_Inicial!AL57</f>
        <v>2</v>
      </c>
      <c r="AM57" s="8">
        <f>Renta_Alta!AM57+Masivo!AM57+Consumo_Inicial!AM57</f>
        <v>0</v>
      </c>
      <c r="AN57" s="8">
        <f>Renta_Alta!AN57+Masivo!AN57+Consumo_Inicial!AN57</f>
        <v>0</v>
      </c>
      <c r="AO57" s="8">
        <f>Renta_Alta!AO57+Masivo!AO57+Consumo_Inicial!AO57</f>
        <v>20.094999999999999</v>
      </c>
      <c r="AP57" s="8">
        <f>Renta_Alta!AP57+Masivo!AP57+Consumo_Inicial!AP57</f>
        <v>0.48019000000000001</v>
      </c>
      <c r="AQ57" s="8">
        <f>Renta_Alta!AQ57+Masivo!AQ57+Consumo_Inicial!AQ57</f>
        <v>0.19547</v>
      </c>
      <c r="AR57" s="8">
        <f>Renta_Alta!AR57+Masivo!AR57+Consumo_Inicial!AR57</f>
        <v>46.87894</v>
      </c>
      <c r="AS57" s="8">
        <f>Renta_Alta!AS57+Masivo!AS57+Consumo_Inicial!AS57</f>
        <v>0</v>
      </c>
      <c r="AT57" s="8">
        <f>Renta_Alta!AT57+Masivo!AT57+Consumo_Inicial!AT57</f>
        <v>0</v>
      </c>
      <c r="AU57" s="8">
        <f>Renta_Alta!AU57+Masivo!AU57+Consumo_Inicial!AU57</f>
        <v>0</v>
      </c>
      <c r="AV57" s="8">
        <f>Renta_Alta!AV57+Masivo!AV57+Consumo_Inicial!AV57</f>
        <v>0</v>
      </c>
      <c r="AW57" s="8">
        <f>Renta_Alta!AW57+Masivo!AW57+Consumo_Inicial!AW57</f>
        <v>0</v>
      </c>
      <c r="AX57" s="8">
        <f>Renta_Alta!AX57+Masivo!AX57+Consumo_Inicial!AX57</f>
        <v>0</v>
      </c>
      <c r="AY57" s="8">
        <f>Renta_Alta!AY57+Masivo!AY57+Consumo_Inicial!AY57</f>
        <v>0</v>
      </c>
      <c r="AZ57" s="8">
        <f>Renta_Alta!AZ57+Masivo!AZ57+Consumo_Inicial!AZ57</f>
        <v>0</v>
      </c>
      <c r="BA57" s="8">
        <f>Renta_Alta!BA57+Masivo!BA57+Consumo_Inicial!BA57</f>
        <v>0</v>
      </c>
      <c r="BB57" s="8">
        <f>Renta_Alta!BB57+Masivo!BB57+Consumo_Inicial!BB57</f>
        <v>0</v>
      </c>
      <c r="BC57" s="8">
        <f>Renta_Alta!BC57+Masivo!BC57+Consumo_Inicial!BC57</f>
        <v>0</v>
      </c>
      <c r="BD57" s="8">
        <f>Renta_Alta!BD57+Masivo!BD57+Consumo_Inicial!BD57</f>
        <v>0</v>
      </c>
      <c r="BE57" s="8">
        <f>Renta_Alta!BE57+Masivo!BE57+Consumo_Inicial!BE57</f>
        <v>0</v>
      </c>
      <c r="BF57" s="8">
        <f>Renta_Alta!BF57+Masivo!BF57+Consumo_Inicial!BF57</f>
        <v>0</v>
      </c>
      <c r="BG57" s="8">
        <f>Renta_Alta!BG57+Masivo!BG57+Consumo_Inicial!BG57</f>
        <v>0</v>
      </c>
      <c r="BH57" s="8">
        <f>Renta_Alta!BH57+Masivo!BH57+Consumo_Inicial!BH57</f>
        <v>0</v>
      </c>
      <c r="BI57" s="8">
        <f>Renta_Alta!BI57+Masivo!BI57+Consumo_Inicial!BI57</f>
        <v>0</v>
      </c>
      <c r="BJ57" s="8">
        <f>Renta_Alta!BJ57+Masivo!BJ57+Consumo_Inicial!BJ57</f>
        <v>0</v>
      </c>
      <c r="BK57" s="8">
        <f>Renta_Alta!BK57+Masivo!BK57+Consumo_Inicial!BK57</f>
        <v>0</v>
      </c>
      <c r="BO57" s="24">
        <f t="shared" si="61"/>
        <v>20.575189999999999</v>
      </c>
      <c r="BP57" s="24">
        <f t="shared" si="61"/>
        <v>0</v>
      </c>
      <c r="BQ57" s="24">
        <f t="shared" si="61"/>
        <v>20.094999999999999</v>
      </c>
      <c r="BR57" s="24">
        <f t="shared" si="61"/>
        <v>64.108549999999994</v>
      </c>
      <c r="BS57" s="24">
        <f t="shared" si="61"/>
        <v>3.37</v>
      </c>
      <c r="BT57" s="24">
        <f t="shared" si="61"/>
        <v>44.859119999999997</v>
      </c>
    </row>
    <row r="58" spans="1:72" collapsed="1" x14ac:dyDescent="0.25">
      <c r="C58" s="60" t="s">
        <v>68</v>
      </c>
      <c r="D58" s="61">
        <f t="shared" ref="D58:AY58" si="62">SUM(D56:D57)</f>
        <v>-2169.8901090887134</v>
      </c>
      <c r="E58" s="61">
        <f t="shared" si="62"/>
        <v>-2366.1059589085821</v>
      </c>
      <c r="F58" s="61">
        <f t="shared" si="62"/>
        <v>-958.83948468494805</v>
      </c>
      <c r="G58" s="61">
        <f t="shared" si="62"/>
        <v>-2311.4249040623854</v>
      </c>
      <c r="H58" s="61">
        <f t="shared" si="62"/>
        <v>-4402.100714946997</v>
      </c>
      <c r="I58" s="61">
        <f t="shared" si="62"/>
        <v>-2082.5166326552585</v>
      </c>
      <c r="J58" s="61">
        <f t="shared" si="62"/>
        <v>2599.8023841729964</v>
      </c>
      <c r="K58" s="61">
        <f t="shared" si="62"/>
        <v>-1669.2383941283849</v>
      </c>
      <c r="L58" s="61">
        <f t="shared" si="62"/>
        <v>-6795.2752011719831</v>
      </c>
      <c r="M58" s="61">
        <f t="shared" si="62"/>
        <v>-7186.4449110133473</v>
      </c>
      <c r="N58" s="61">
        <f t="shared" si="62"/>
        <v>-5135.6247567691598</v>
      </c>
      <c r="O58" s="61">
        <f t="shared" si="62"/>
        <v>775.86914267389147</v>
      </c>
      <c r="P58" s="61">
        <f t="shared" si="62"/>
        <v>-7821.7353191975599</v>
      </c>
      <c r="Q58" s="61">
        <f t="shared" si="62"/>
        <v>-2160.7545900179471</v>
      </c>
      <c r="R58" s="61">
        <f t="shared" si="62"/>
        <v>-1164.9272350947201</v>
      </c>
      <c r="S58" s="61">
        <f t="shared" si="62"/>
        <v>-8168.1925367614913</v>
      </c>
      <c r="T58" s="61">
        <f t="shared" si="62"/>
        <v>-579.12169070701077</v>
      </c>
      <c r="U58" s="61">
        <f t="shared" si="62"/>
        <v>-1493.9246410718108</v>
      </c>
      <c r="V58" s="61">
        <f t="shared" si="62"/>
        <v>-4526.4815590398484</v>
      </c>
      <c r="W58" s="61">
        <f t="shared" si="62"/>
        <v>-1065.9696231926732</v>
      </c>
      <c r="X58" s="61">
        <f t="shared" si="62"/>
        <v>-2648.1014337025963</v>
      </c>
      <c r="Y58" s="61">
        <f t="shared" si="62"/>
        <v>-7908.7058526310939</v>
      </c>
      <c r="Z58" s="61">
        <f t="shared" si="62"/>
        <v>1202.2806933859824</v>
      </c>
      <c r="AA58" s="61">
        <f t="shared" si="62"/>
        <v>-1003.5056782978515</v>
      </c>
      <c r="AB58" s="61">
        <f t="shared" si="62"/>
        <v>-4713.6415958464322</v>
      </c>
      <c r="AC58" s="61">
        <f t="shared" si="62"/>
        <v>-2528.6576780323835</v>
      </c>
      <c r="AD58" s="61">
        <f t="shared" si="62"/>
        <v>-1715.0802330411948</v>
      </c>
      <c r="AE58" s="61">
        <f t="shared" si="62"/>
        <v>-7138.7274764025342</v>
      </c>
      <c r="AF58" s="61">
        <f t="shared" si="62"/>
        <v>4155.3697439319903</v>
      </c>
      <c r="AG58" s="61">
        <f t="shared" si="62"/>
        <v>-5342.1087395091972</v>
      </c>
      <c r="AH58" s="61">
        <f t="shared" si="62"/>
        <v>-2683.0468482800807</v>
      </c>
      <c r="AI58" s="61">
        <f t="shared" si="62"/>
        <v>-4989.9255546600043</v>
      </c>
      <c r="AJ58" s="61">
        <f t="shared" si="62"/>
        <v>-6662.3612380243285</v>
      </c>
      <c r="AK58" s="61">
        <f t="shared" si="62"/>
        <v>-10174.520891729122</v>
      </c>
      <c r="AL58" s="61">
        <f t="shared" si="62"/>
        <v>2608.2187335496219</v>
      </c>
      <c r="AM58" s="61">
        <f t="shared" si="62"/>
        <v>10903.12461174567</v>
      </c>
      <c r="AN58" s="61">
        <f t="shared" si="62"/>
        <v>528.76023822345473</v>
      </c>
      <c r="AO58" s="61">
        <f t="shared" si="62"/>
        <v>1240.284993384312</v>
      </c>
      <c r="AP58" s="61">
        <f t="shared" si="62"/>
        <v>-2362.0385935698532</v>
      </c>
      <c r="AQ58" s="61">
        <f t="shared" si="62"/>
        <v>-2036.6316351247951</v>
      </c>
      <c r="AR58" s="61">
        <f t="shared" si="62"/>
        <v>4507.9026819000046</v>
      </c>
      <c r="AS58" s="61">
        <f t="shared" si="62"/>
        <v>-5484.4151899999697</v>
      </c>
      <c r="AT58" s="61">
        <f t="shared" si="62"/>
        <v>0</v>
      </c>
      <c r="AU58" s="61">
        <f t="shared" si="62"/>
        <v>0</v>
      </c>
      <c r="AV58" s="61">
        <f t="shared" si="62"/>
        <v>0</v>
      </c>
      <c r="AW58" s="61">
        <f t="shared" si="62"/>
        <v>0</v>
      </c>
      <c r="AX58" s="61">
        <f t="shared" si="62"/>
        <v>0</v>
      </c>
      <c r="AY58" s="61">
        <f t="shared" si="62"/>
        <v>0</v>
      </c>
      <c r="AZ58" s="61">
        <f t="shared" ref="AZ58:BK58" si="63">SUM(AZ56:AZ57)</f>
        <v>-2229.9559424985919</v>
      </c>
      <c r="BA58" s="61">
        <f t="shared" si="63"/>
        <v>-4363.0996586985493</v>
      </c>
      <c r="BB58" s="61">
        <f t="shared" si="63"/>
        <v>-5342.0107301225871</v>
      </c>
      <c r="BC58" s="61">
        <f t="shared" si="63"/>
        <v>-5203.6947947592935</v>
      </c>
      <c r="BD58" s="61">
        <f t="shared" si="63"/>
        <v>-2141.2608202259412</v>
      </c>
      <c r="BE58" s="61">
        <f t="shared" si="63"/>
        <v>-4993.8681691695929</v>
      </c>
      <c r="BF58" s="61">
        <f t="shared" si="63"/>
        <v>-2774.638940079647</v>
      </c>
      <c r="BG58" s="61">
        <f t="shared" si="63"/>
        <v>-4660.2511469701712</v>
      </c>
      <c r="BH58" s="61">
        <f t="shared" si="63"/>
        <v>-2877.2314116774019</v>
      </c>
      <c r="BI58" s="61">
        <f t="shared" si="63"/>
        <v>-2854.347220882652</v>
      </c>
      <c r="BJ58" s="61">
        <f t="shared" si="63"/>
        <v>-1675.8381834094707</v>
      </c>
      <c r="BK58" s="61">
        <f t="shared" si="63"/>
        <v>-271.33505579362657</v>
      </c>
      <c r="BO58" s="62">
        <f t="shared" ref="BO58:BT58" si="64">SUM(BO56:BO57)</f>
        <v>-592.99336196208674</v>
      </c>
      <c r="BP58" s="62">
        <f t="shared" si="64"/>
        <v>-11935.066331319729</v>
      </c>
      <c r="BQ58" s="62">
        <f t="shared" si="64"/>
        <v>1769.0452316077667</v>
      </c>
      <c r="BR58" s="62">
        <f t="shared" si="64"/>
        <v>-8957.3795069200096</v>
      </c>
      <c r="BS58" s="62">
        <f t="shared" si="64"/>
        <v>-11147.417144310226</v>
      </c>
      <c r="BT58" s="62">
        <f t="shared" si="64"/>
        <v>-5494.8355526822434</v>
      </c>
    </row>
    <row r="59" spans="1:72" x14ac:dyDescent="0.25">
      <c r="D59" s="19">
        <f>[1]Base_Evolutivo!BE1621-D58</f>
        <v>0</v>
      </c>
      <c r="E59" s="19">
        <f>[1]Base_Evolutivo!BF1621-E58</f>
        <v>0</v>
      </c>
      <c r="F59" s="19">
        <f>[1]Base_Evolutivo!BG1621-F58</f>
        <v>0</v>
      </c>
      <c r="G59" s="19">
        <f>[1]Base_Evolutivo!BH1621-G58</f>
        <v>0</v>
      </c>
      <c r="H59" s="19">
        <f>[1]Base_Evolutivo!BI1621-H58</f>
        <v>0</v>
      </c>
      <c r="I59" s="19">
        <f>[1]Base_Evolutivo!BJ1621-I58</f>
        <v>0</v>
      </c>
      <c r="J59" s="19">
        <f>[1]Base_Evolutivo!BK1621-J58</f>
        <v>0</v>
      </c>
      <c r="K59" s="19">
        <f>[1]Base_Evolutivo!BL1621-K58</f>
        <v>0</v>
      </c>
      <c r="L59" s="19">
        <f>[1]Base_Evolutivo!BM1621-L58</f>
        <v>0</v>
      </c>
      <c r="M59" s="19">
        <f>[1]Base_Evolutivo!BN1621-M58</f>
        <v>0</v>
      </c>
      <c r="N59" s="19">
        <f>[1]Base_Evolutivo!BO1621-N58</f>
        <v>0</v>
      </c>
      <c r="O59" s="19">
        <f>[1]Base_Evolutivo!BP1621-O58</f>
        <v>0</v>
      </c>
      <c r="P59" s="19">
        <f>[1]Base_Evolutivo!BQ1621-P58</f>
        <v>0</v>
      </c>
      <c r="Q59" s="19">
        <f>[1]Base_Evolutivo!BR1621-Q58</f>
        <v>0</v>
      </c>
      <c r="R59" s="19">
        <f>[1]Base_Evolutivo!BS1621-R58</f>
        <v>0</v>
      </c>
      <c r="S59" s="19">
        <f>[1]Base_Evolutivo!BT1621-S58</f>
        <v>0</v>
      </c>
      <c r="T59" s="19">
        <f>[1]Base_Evolutivo!BU1621-T58</f>
        <v>0</v>
      </c>
      <c r="U59" s="19">
        <f>[1]Base_Evolutivo!BV1621-U58</f>
        <v>0</v>
      </c>
      <c r="V59" s="19">
        <f>[1]Base_Evolutivo!BW1621-V58</f>
        <v>0</v>
      </c>
      <c r="W59" s="19">
        <f>[1]Base_Evolutivo!BX1621-W58</f>
        <v>0</v>
      </c>
      <c r="X59" s="19">
        <f>[1]Base_Evolutivo!BY1621-X58</f>
        <v>0</v>
      </c>
      <c r="Y59" s="19">
        <f>[1]Base_Evolutivo!BZ1621-Y58</f>
        <v>0</v>
      </c>
      <c r="Z59" s="19">
        <f>[1]Base_Evolutivo!CA1621-Z58</f>
        <v>0</v>
      </c>
      <c r="AA59" s="19">
        <f>[1]Base_Evolutivo!CB1621-AA58</f>
        <v>0</v>
      </c>
      <c r="AB59" s="19">
        <f>[1]Base_Evolutivo!CC1621-AB58</f>
        <v>-4.299925421946682E-6</v>
      </c>
      <c r="AC59" s="19">
        <f>[1]Base_Evolutivo!CD1621-AC58</f>
        <v>1.6993635654216632E-7</v>
      </c>
      <c r="AD59" s="19">
        <f>[1]Base_Evolutivo!CE1621-AD58</f>
        <v>2.2661342882202007E-6</v>
      </c>
      <c r="AE59" s="19">
        <f>[1]Base_Evolutivo!CF1621-AE58</f>
        <v>0</v>
      </c>
      <c r="AF59" s="19">
        <f>[1]Base_Evolutivo!CG1621-AF58</f>
        <v>0</v>
      </c>
      <c r="AG59" s="19">
        <f>[1]Base_Evolutivo!CH1621-AG58</f>
        <v>0</v>
      </c>
      <c r="AH59" s="19">
        <f>[1]Base_Evolutivo!CI1621-AH58</f>
        <v>0</v>
      </c>
      <c r="AI59" s="19">
        <f>[1]Base_Evolutivo!CJ1621-AI58</f>
        <v>2.8395843401085585E-6</v>
      </c>
      <c r="AJ59" s="19">
        <f>[1]Base_Evolutivo!CK1621-AJ58</f>
        <v>0</v>
      </c>
      <c r="AK59" s="19">
        <f>[1]Base_Evolutivo!CL1621-AK58</f>
        <v>0</v>
      </c>
      <c r="AL59" s="19">
        <f>[1]Base_Evolutivo!CM1621-AL58</f>
        <v>0</v>
      </c>
      <c r="AM59" s="19">
        <f>[1]Base_Evolutivo!CN1621-AM58</f>
        <v>0</v>
      </c>
      <c r="AN59" s="19">
        <f>[1]Base_Evolutivo!CO1621-AN58</f>
        <v>0</v>
      </c>
      <c r="AO59" s="19">
        <f>[1]Base_Evolutivo!CP1621-AO58</f>
        <v>0</v>
      </c>
      <c r="AP59" s="19">
        <f>[1]Base_Evolutivo!CQ1621-AP58</f>
        <v>0</v>
      </c>
      <c r="AQ59" s="19">
        <f>[1]Base_Evolutivo!CR1621-AQ58</f>
        <v>0</v>
      </c>
      <c r="AR59" s="19">
        <f>[1]Base_Evolutivo!CS1621-AR58</f>
        <v>0</v>
      </c>
      <c r="AS59" s="19">
        <f>[1]Base_Evolutivo!CT1621-AS58</f>
        <v>0</v>
      </c>
      <c r="AT59" s="19">
        <f>[1]Base_Evolutivo!CU1621-AT58</f>
        <v>-3971.5184631999928</v>
      </c>
      <c r="AU59" s="19">
        <f>[1]Base_Evolutivo!CV1621-AU58</f>
        <v>0</v>
      </c>
      <c r="AV59" s="19">
        <f>[1]Base_Evolutivo!CW1621-AV58</f>
        <v>0</v>
      </c>
      <c r="AW59" s="19">
        <f>[1]Base_Evolutivo!CX1621-AW58</f>
        <v>0</v>
      </c>
      <c r="AX59" s="19">
        <f>[1]Base_Evolutivo!CY1621-AX58</f>
        <v>0</v>
      </c>
      <c r="AY59" s="19">
        <f>[1]Base_Evolutivo!CZ1621-AY58</f>
        <v>0</v>
      </c>
      <c r="AZ59" s="19">
        <f>[1]Base_Evolutivo!DA1621-AZ58</f>
        <v>2229.9559424985919</v>
      </c>
      <c r="BA59" s="19">
        <f>[1]Base_Evolutivo!DB1621-BA58</f>
        <v>4363.0996586985493</v>
      </c>
      <c r="BB59" s="19">
        <f>[1]Base_Evolutivo!DC1621-BB58</f>
        <v>5342.0107301225871</v>
      </c>
      <c r="BC59" s="19">
        <f>[1]Base_Evolutivo!DD1621-BC58</f>
        <v>5203.6947947592935</v>
      </c>
      <c r="BD59" s="19">
        <f>[1]Base_Evolutivo!DE1621-BD58</f>
        <v>2141.2608202259412</v>
      </c>
      <c r="BE59" s="19">
        <f>[1]Base_Evolutivo!DF1621-BE58</f>
        <v>4993.8681691695929</v>
      </c>
      <c r="BF59" s="19">
        <f>[1]Base_Evolutivo!DG1621-BF58</f>
        <v>2774.638940079647</v>
      </c>
      <c r="BG59" s="19">
        <f>[1]Base_Evolutivo!DH1621-BG58</f>
        <v>4660.2511469701712</v>
      </c>
      <c r="BH59" s="19">
        <f>[1]Base_Evolutivo!DI1621-BH58</f>
        <v>2877.2314116774019</v>
      </c>
      <c r="BI59" s="19">
        <f>[1]Base_Evolutivo!DJ1621-BI58</f>
        <v>2854.347220882652</v>
      </c>
      <c r="BJ59" s="19">
        <f>[1]Base_Evolutivo!DK1621-BJ58</f>
        <v>1675.8381834094707</v>
      </c>
      <c r="BK59" s="19">
        <f>[1]Base_Evolutivo!DL1621-BK58</f>
        <v>271.33505579362657</v>
      </c>
    </row>
    <row r="60" spans="1:72" x14ac:dyDescent="0.25">
      <c r="C60" s="60" t="s">
        <v>70</v>
      </c>
      <c r="D60" s="61">
        <f t="shared" ref="D60:AY60" si="65">D53+D58</f>
        <v>15538.265207401282</v>
      </c>
      <c r="E60" s="61">
        <f t="shared" si="65"/>
        <v>9900.3501734314086</v>
      </c>
      <c r="F60" s="61">
        <f t="shared" si="65"/>
        <v>17192.202990655052</v>
      </c>
      <c r="G60" s="61">
        <f t="shared" si="65"/>
        <v>13519.64176340759</v>
      </c>
      <c r="H60" s="61">
        <f t="shared" si="65"/>
        <v>13690.785601593021</v>
      </c>
      <c r="I60" s="61">
        <f t="shared" si="65"/>
        <v>14135.573146664739</v>
      </c>
      <c r="J60" s="61">
        <f t="shared" si="65"/>
        <v>20926.386814792982</v>
      </c>
      <c r="K60" s="61">
        <f t="shared" si="65"/>
        <v>16213.275905101604</v>
      </c>
      <c r="L60" s="61">
        <f t="shared" si="65"/>
        <v>9401.9821584880374</v>
      </c>
      <c r="M60" s="61">
        <f t="shared" si="65"/>
        <v>11470.251798236644</v>
      </c>
      <c r="N60" s="61">
        <f t="shared" si="65"/>
        <v>11226.727722310839</v>
      </c>
      <c r="O60" s="61">
        <f t="shared" si="65"/>
        <v>19330.239050223896</v>
      </c>
      <c r="P60" s="61">
        <f t="shared" si="65"/>
        <v>10531.65068226244</v>
      </c>
      <c r="Q60" s="61">
        <f t="shared" si="65"/>
        <v>12027.796480272053</v>
      </c>
      <c r="R60" s="61">
        <f t="shared" si="65"/>
        <v>17396.993652035286</v>
      </c>
      <c r="S60" s="61">
        <f t="shared" si="65"/>
        <v>8027.4881408985075</v>
      </c>
      <c r="T60" s="61">
        <f t="shared" si="65"/>
        <v>18061.672900462974</v>
      </c>
      <c r="U60" s="61">
        <f t="shared" si="65"/>
        <v>15399.059046018207</v>
      </c>
      <c r="V60" s="61">
        <f t="shared" si="65"/>
        <v>14806.186247310137</v>
      </c>
      <c r="W60" s="61">
        <f t="shared" si="65"/>
        <v>18021.302430247335</v>
      </c>
      <c r="X60" s="61">
        <f t="shared" si="65"/>
        <v>13947.251830897399</v>
      </c>
      <c r="Y60" s="61">
        <f t="shared" si="65"/>
        <v>10785.94473779892</v>
      </c>
      <c r="Z60" s="61">
        <f t="shared" si="65"/>
        <v>18177.650840285969</v>
      </c>
      <c r="AA60" s="61">
        <f t="shared" si="65"/>
        <v>18393.440491702153</v>
      </c>
      <c r="AB60" s="61">
        <f t="shared" si="65"/>
        <v>13967.946110263572</v>
      </c>
      <c r="AC60" s="61">
        <f t="shared" si="65"/>
        <v>9603.2716269276116</v>
      </c>
      <c r="AD60" s="61">
        <f t="shared" si="65"/>
        <v>16990.823295868791</v>
      </c>
      <c r="AE60" s="61">
        <f t="shared" si="65"/>
        <v>9286.8361890874658</v>
      </c>
      <c r="AF60" s="61">
        <f t="shared" si="65"/>
        <v>23672.146547291992</v>
      </c>
      <c r="AG60" s="61">
        <f t="shared" si="65"/>
        <v>10951.902030310805</v>
      </c>
      <c r="AH60" s="61">
        <f t="shared" si="65"/>
        <v>16262.459446289931</v>
      </c>
      <c r="AI60" s="61">
        <f t="shared" si="65"/>
        <v>13551.165701139995</v>
      </c>
      <c r="AJ60" s="61">
        <f t="shared" si="65"/>
        <v>10221.231527855671</v>
      </c>
      <c r="AK60" s="61">
        <f t="shared" si="65"/>
        <v>8732.6443194808471</v>
      </c>
      <c r="AL60" s="61">
        <f t="shared" si="65"/>
        <v>19947.852594709606</v>
      </c>
      <c r="AM60" s="61">
        <f t="shared" si="65"/>
        <v>31026.52366716566</v>
      </c>
      <c r="AN60" s="61">
        <f t="shared" si="65"/>
        <v>20023.403508373456</v>
      </c>
      <c r="AO60" s="61">
        <f t="shared" si="65"/>
        <v>14099.879827544328</v>
      </c>
      <c r="AP60" s="61">
        <f t="shared" si="65"/>
        <v>17772.158132890134</v>
      </c>
      <c r="AQ60" s="61">
        <f t="shared" si="65"/>
        <v>15257.829254585209</v>
      </c>
      <c r="AR60" s="61">
        <f t="shared" si="65"/>
        <v>24669.570062650026</v>
      </c>
      <c r="AS60" s="61">
        <f t="shared" si="65"/>
        <v>11453.628472670032</v>
      </c>
      <c r="AT60" s="61">
        <f t="shared" si="65"/>
        <v>0</v>
      </c>
      <c r="AU60" s="61">
        <f t="shared" si="65"/>
        <v>0</v>
      </c>
      <c r="AV60" s="61">
        <f t="shared" si="65"/>
        <v>0</v>
      </c>
      <c r="AW60" s="61">
        <f t="shared" si="65"/>
        <v>0</v>
      </c>
      <c r="AX60" s="61">
        <f t="shared" si="65"/>
        <v>0</v>
      </c>
      <c r="AY60" s="61">
        <f t="shared" si="65"/>
        <v>0</v>
      </c>
      <c r="AZ60" s="61">
        <f t="shared" ref="AZ60:BK60" si="66">AZ53+AZ58</f>
        <v>16799.802236754564</v>
      </c>
      <c r="BA60" s="61">
        <f t="shared" si="66"/>
        <v>8197.271546806398</v>
      </c>
      <c r="BB60" s="61">
        <f t="shared" si="66"/>
        <v>13690.306494575387</v>
      </c>
      <c r="BC60" s="61">
        <f t="shared" si="66"/>
        <v>12054.332739272984</v>
      </c>
      <c r="BD60" s="61">
        <f t="shared" si="66"/>
        <v>18122.876098871067</v>
      </c>
      <c r="BE60" s="61">
        <f t="shared" si="66"/>
        <v>12422.421400181975</v>
      </c>
      <c r="BF60" s="61">
        <f t="shared" si="66"/>
        <v>17759.206274246179</v>
      </c>
      <c r="BG60" s="61">
        <f t="shared" si="66"/>
        <v>16064.540567964585</v>
      </c>
      <c r="BH60" s="61">
        <f t="shared" si="66"/>
        <v>14973.019405962024</v>
      </c>
      <c r="BI60" s="61">
        <f t="shared" si="66"/>
        <v>17883.344302056623</v>
      </c>
      <c r="BJ60" s="61">
        <f t="shared" si="66"/>
        <v>17168.469620616146</v>
      </c>
      <c r="BK60" s="61">
        <f t="shared" si="66"/>
        <v>20929.833043410414</v>
      </c>
      <c r="BO60" s="62">
        <f t="shared" ref="BO60:BT60" si="67">BO53+BO58</f>
        <v>51895.441468807898</v>
      </c>
      <c r="BP60" s="62">
        <f t="shared" si="67"/>
        <v>38687.38027813637</v>
      </c>
      <c r="BQ60" s="62">
        <f t="shared" si="67"/>
        <v>34123.283335917782</v>
      </c>
      <c r="BR60" s="62">
        <f t="shared" si="67"/>
        <v>40562.041033059955</v>
      </c>
      <c r="BS60" s="62">
        <f t="shared" si="67"/>
        <v>39956.44081456976</v>
      </c>
      <c r="BT60" s="62">
        <f t="shared" si="67"/>
        <v>42630.818371487767</v>
      </c>
    </row>
    <row r="61" spans="1:72" x14ac:dyDescent="0.25"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Z61" s="19"/>
    </row>
    <row r="63" spans="1:72" hidden="1" outlineLevel="1" x14ac:dyDescent="0.25">
      <c r="A63" s="58" t="s">
        <v>71</v>
      </c>
      <c r="C63" s="59" t="s">
        <v>127</v>
      </c>
      <c r="D63" s="8">
        <f>Renta_Alta!D63+Masivo!D63+Consumo_Inicial!D63</f>
        <v>676.75345016493247</v>
      </c>
      <c r="E63" s="8">
        <f>Renta_Alta!E63+Masivo!E63+Consumo_Inicial!E63</f>
        <v>585.94255016865043</v>
      </c>
      <c r="F63" s="8">
        <f>Renta_Alta!F63+Masivo!F63+Consumo_Inicial!F63</f>
        <v>787.93692968420851</v>
      </c>
      <c r="G63" s="8">
        <f>Renta_Alta!G63+Masivo!G63+Consumo_Inicial!G63</f>
        <v>642.14554976559191</v>
      </c>
      <c r="H63" s="8">
        <f>Renta_Alta!H63+Masivo!H63+Consumo_Inicial!H63</f>
        <v>700.33570051462175</v>
      </c>
      <c r="I63" s="8">
        <f>Renta_Alta!I63+Masivo!I63+Consumo_Inicial!I63</f>
        <v>605.07015027565842</v>
      </c>
      <c r="J63" s="8">
        <f>Renta_Alta!J63+Masivo!J63+Consumo_Inicial!J63</f>
        <v>687.94770024017271</v>
      </c>
      <c r="K63" s="8">
        <f>Renta_Alta!K63+Masivo!K63+Consumo_Inicial!K63</f>
        <v>617.56672967101815</v>
      </c>
      <c r="L63" s="8">
        <f>Renta_Alta!L63+Masivo!L63+Consumo_Inicial!L63</f>
        <v>632.32995991075006</v>
      </c>
      <c r="M63" s="8">
        <f>Renta_Alta!M63+Masivo!M63+Consumo_Inicial!M63</f>
        <v>740.37164019363422</v>
      </c>
      <c r="N63" s="8">
        <f>Renta_Alta!N63+Masivo!N63+Consumo_Inicial!N63</f>
        <v>345.61803959108778</v>
      </c>
      <c r="O63" s="8">
        <f>Renta_Alta!O63+Masivo!O63+Consumo_Inicial!O63</f>
        <v>490.09752955726606</v>
      </c>
      <c r="P63" s="8">
        <f>Renta_Alta!P63+Masivo!P63+Consumo_Inicial!P63</f>
        <v>444.41828937165303</v>
      </c>
      <c r="Q63" s="8">
        <f>Renta_Alta!Q63+Masivo!Q63+Consumo_Inicial!Q63</f>
        <v>347.95040983476821</v>
      </c>
      <c r="R63" s="8">
        <f>Renta_Alta!R63+Masivo!R63+Consumo_Inicial!R63</f>
        <v>529.90471052805401</v>
      </c>
      <c r="S63" s="8">
        <f>Renta_Alta!S63+Masivo!S63+Consumo_Inicial!S63</f>
        <v>429.82438061487466</v>
      </c>
      <c r="T63" s="8">
        <f>Renta_Alta!T63+Masivo!T63+Consumo_Inicial!T63</f>
        <v>553.70644951461384</v>
      </c>
      <c r="U63" s="8">
        <f>Renta_Alta!U63+Masivo!U63+Consumo_Inicial!U63</f>
        <v>490.45934993023934</v>
      </c>
      <c r="V63" s="8">
        <f>Renta_Alta!V63+Masivo!V63+Consumo_Inicial!V63</f>
        <v>598.89917969057626</v>
      </c>
      <c r="W63" s="8">
        <f>Renta_Alta!W63+Masivo!W63+Consumo_Inicial!W63</f>
        <v>498.90436093444686</v>
      </c>
      <c r="X63" s="8">
        <f>Renta_Alta!X63+Masivo!X63+Consumo_Inicial!X63</f>
        <v>369.93468978247728</v>
      </c>
      <c r="Y63" s="8">
        <f>Renta_Alta!Y63+Masivo!Y63+Consumo_Inicial!Y63</f>
        <v>450.23704007515624</v>
      </c>
      <c r="Z63" s="8">
        <f>Renta_Alta!Z63+Masivo!Z63+Consumo_Inicial!Z63</f>
        <v>119.64791051893388</v>
      </c>
      <c r="AA63" s="8">
        <f>Renta_Alta!AA63+Masivo!AA63+Consumo_Inicial!AA63</f>
        <v>499.93087038669</v>
      </c>
      <c r="AB63" s="8">
        <f>Renta_Alta!AB63+Masivo!AB63+Consumo_Inicial!AB63</f>
        <v>672.68017957827976</v>
      </c>
      <c r="AC63" s="8">
        <f>Renta_Alta!AC63+Masivo!AC63+Consumo_Inicial!AC63</f>
        <v>419.46093980752562</v>
      </c>
      <c r="AD63" s="8">
        <f>Renta_Alta!AD63+Masivo!AD63+Consumo_Inicial!AD63</f>
        <v>814.49952999165134</v>
      </c>
      <c r="AE63" s="8">
        <f>Renta_Alta!AE63+Masivo!AE63+Consumo_Inicial!AE63</f>
        <v>589.53233012415012</v>
      </c>
      <c r="AF63" s="8">
        <f>Renta_Alta!AF63+Masivo!AF63+Consumo_Inicial!AF63</f>
        <v>737.51787930319904</v>
      </c>
      <c r="AG63" s="8">
        <f>Renta_Alta!AG63+Masivo!AG63+Consumo_Inicial!AG63</f>
        <v>616.1417392710573</v>
      </c>
      <c r="AH63" s="8">
        <f>Renta_Alta!AH63+Masivo!AH63+Consumo_Inicial!AH63</f>
        <v>556.72533039615973</v>
      </c>
      <c r="AI63" s="8">
        <f>Renta_Alta!AI63+Masivo!AI63+Consumo_Inicial!AI63</f>
        <v>639.57486941241973</v>
      </c>
      <c r="AJ63" s="8">
        <f>Renta_Alta!AJ63+Masivo!AJ63+Consumo_Inicial!AJ63</f>
        <v>325.6624591595928</v>
      </c>
      <c r="AK63" s="8">
        <f>Renta_Alta!AK63+Masivo!AK63+Consumo_Inicial!AK63</f>
        <v>734.73516973675248</v>
      </c>
      <c r="AL63" s="8">
        <f>Renta_Alta!AL63+Masivo!AL63+Consumo_Inicial!AL63</f>
        <v>900.04528925924603</v>
      </c>
      <c r="AM63" s="8">
        <f>Renta_Alta!AM63+Masivo!AM63+Consumo_Inicial!AM63</f>
        <v>923.14727092370833</v>
      </c>
      <c r="AN63" s="8">
        <f>Renta_Alta!AN63+Masivo!AN63+Consumo_Inicial!AN63</f>
        <v>840.56628999999566</v>
      </c>
      <c r="AO63" s="8">
        <f>Renta_Alta!AO63+Masivo!AO63+Consumo_Inicial!AO63</f>
        <v>259.69511999999389</v>
      </c>
      <c r="AP63" s="8">
        <f>Renta_Alta!AP63+Masivo!AP63+Consumo_Inicial!AP63</f>
        <v>1018.1365999999999</v>
      </c>
      <c r="AQ63" s="8">
        <f>Renta_Alta!AQ63+Masivo!AQ63+Consumo_Inicial!AQ63</f>
        <v>795.80343000000278</v>
      </c>
      <c r="AR63" s="8">
        <f>Renta_Alta!AR63+Masivo!AR63+Consumo_Inicial!AR63</f>
        <v>1100.6895999999961</v>
      </c>
      <c r="AS63" s="8">
        <f>Renta_Alta!AS63+Masivo!AS63+Consumo_Inicial!AS63</f>
        <v>826.07556999999326</v>
      </c>
      <c r="AT63" s="8">
        <f>Renta_Alta!AT63+Masivo!AT63+Consumo_Inicial!AT63</f>
        <v>0</v>
      </c>
      <c r="AU63" s="8">
        <f>Renta_Alta!AU63+Masivo!AU63+Consumo_Inicial!AU63</f>
        <v>0</v>
      </c>
      <c r="AV63" s="8">
        <f>Renta_Alta!AV63+Masivo!AV63+Consumo_Inicial!AV63</f>
        <v>0</v>
      </c>
      <c r="AW63" s="8">
        <f>Renta_Alta!AW63+Masivo!AW63+Consumo_Inicial!AW63</f>
        <v>0</v>
      </c>
      <c r="AX63" s="8">
        <f>Renta_Alta!AX63+Masivo!AX63+Consumo_Inicial!AX63</f>
        <v>0</v>
      </c>
      <c r="AY63" s="8">
        <f>Renta_Alta!AY63+Masivo!AY63+Consumo_Inicial!AY63</f>
        <v>0</v>
      </c>
      <c r="AZ63" s="8">
        <f>Renta_Alta!AZ63+Masivo!AZ63+Consumo_Inicial!AZ63</f>
        <v>657.15694249999945</v>
      </c>
      <c r="BA63" s="8">
        <f>Renta_Alta!BA63+Masivo!BA63+Consumo_Inicial!BA63</f>
        <v>657.15694249999945</v>
      </c>
      <c r="BB63" s="8">
        <f>Renta_Alta!BB63+Masivo!BB63+Consumo_Inicial!BB63</f>
        <v>657.15694249999945</v>
      </c>
      <c r="BC63" s="8">
        <f>Renta_Alta!BC63+Masivo!BC63+Consumo_Inicial!BC63</f>
        <v>657.15694249999945</v>
      </c>
      <c r="BD63" s="8">
        <f>Renta_Alta!BD63+Masivo!BD63+Consumo_Inicial!BD63</f>
        <v>657.15694249999945</v>
      </c>
      <c r="BE63" s="8">
        <f>Renta_Alta!BE63+Masivo!BE63+Consumo_Inicial!BE63</f>
        <v>657.15694249999945</v>
      </c>
      <c r="BF63" s="8">
        <f>Renta_Alta!BF63+Masivo!BF63+Consumo_Inicial!BF63</f>
        <v>657.15694249999945</v>
      </c>
      <c r="BG63" s="8">
        <f>Renta_Alta!BG63+Masivo!BG63+Consumo_Inicial!BG63</f>
        <v>657.15694249999945</v>
      </c>
      <c r="BH63" s="8">
        <f>Renta_Alta!BH63+Masivo!BH63+Consumo_Inicial!BH63</f>
        <v>657.15694249999945</v>
      </c>
      <c r="BI63" s="8">
        <f>Renta_Alta!BI63+Masivo!BI63+Consumo_Inicial!BI63</f>
        <v>657.15694249999945</v>
      </c>
      <c r="BJ63" s="8">
        <f>Renta_Alta!BJ63+Masivo!BJ63+Consumo_Inicial!BJ63</f>
        <v>657.15694249999945</v>
      </c>
      <c r="BK63" s="8">
        <f>Renta_Alta!BK63+Masivo!BK63+Consumo_Inicial!BK63</f>
        <v>657.15694249999945</v>
      </c>
      <c r="BO63" s="24">
        <f t="shared" ref="BO63:BT72" si="68">SUMIFS($D63:$BM63,$D$6:$BM$6,"&gt;="&amp;BO$2,$D$6:$BM$6,"&lt;="&amp;BO$6,$D$5:$BM$5,BO$5)</f>
        <v>2118.3980099999894</v>
      </c>
      <c r="BP63" s="24">
        <f t="shared" si="68"/>
        <v>1971.4708274999984</v>
      </c>
      <c r="BQ63" s="24">
        <f t="shared" si="68"/>
        <v>1100.2614099999896</v>
      </c>
      <c r="BR63" s="24">
        <f t="shared" si="68"/>
        <v>1906.6406493774566</v>
      </c>
      <c r="BS63" s="24">
        <f t="shared" si="68"/>
        <v>1322.2734097344753</v>
      </c>
      <c r="BT63" s="24">
        <f t="shared" si="68"/>
        <v>2050.6329300177913</v>
      </c>
    </row>
    <row r="64" spans="1:72" hidden="1" outlineLevel="1" x14ac:dyDescent="0.25">
      <c r="A64" s="58" t="s">
        <v>71</v>
      </c>
      <c r="C64" s="59" t="s">
        <v>75</v>
      </c>
      <c r="D64" s="8">
        <f>Renta_Alta!D64+Masivo!D64+Consumo_Inicial!D64</f>
        <v>489.61538463365002</v>
      </c>
      <c r="E64" s="8">
        <f>Renta_Alta!E64+Masivo!E64+Consumo_Inicial!E64</f>
        <v>457.32785615232001</v>
      </c>
      <c r="F64" s="8">
        <f>Renta_Alta!F64+Masivo!F64+Consumo_Inicial!F64</f>
        <v>373.30377217428003</v>
      </c>
      <c r="G64" s="8">
        <f>Renta_Alta!G64+Masivo!G64+Consumo_Inicial!G64</f>
        <v>520.30578127950002</v>
      </c>
      <c r="H64" s="8">
        <f>Renta_Alta!H64+Masivo!H64+Consumo_Inicial!H64</f>
        <v>421.60794410580002</v>
      </c>
      <c r="I64" s="8">
        <f>Renta_Alta!I64+Masivo!I64+Consumo_Inicial!I64</f>
        <v>488.25423105438995</v>
      </c>
      <c r="J64" s="8">
        <f>Renta_Alta!J64+Masivo!J64+Consumo_Inicial!J64</f>
        <v>433.12008343762</v>
      </c>
      <c r="K64" s="8">
        <f>Renta_Alta!K64+Masivo!K64+Consumo_Inicial!K64</f>
        <v>478.76340190592998</v>
      </c>
      <c r="L64" s="8">
        <f>Renta_Alta!L64+Masivo!L64+Consumo_Inicial!L64</f>
        <v>465.73524902576997</v>
      </c>
      <c r="M64" s="8">
        <f>Renta_Alta!M64+Masivo!M64+Consumo_Inicial!M64</f>
        <v>431.94168039549999</v>
      </c>
      <c r="N64" s="8">
        <f>Renta_Alta!N64+Masivo!N64+Consumo_Inicial!N64</f>
        <v>485.17377049742998</v>
      </c>
      <c r="O64" s="8">
        <f>Renta_Alta!O64+Masivo!O64+Consumo_Inicial!O64</f>
        <v>429.19872330809994</v>
      </c>
      <c r="P64" s="8">
        <f>Renta_Alta!P64+Masivo!P64+Consumo_Inicial!P64</f>
        <v>478.86244902982003</v>
      </c>
      <c r="Q64" s="8">
        <f>Renta_Alta!Q64+Masivo!Q64+Consumo_Inicial!Q64</f>
        <v>453.06706642239993</v>
      </c>
      <c r="R64" s="8">
        <f>Renta_Alta!R64+Masivo!R64+Consumo_Inicial!R64</f>
        <v>385.38059095700999</v>
      </c>
      <c r="S64" s="8">
        <f>Renta_Alta!S64+Masivo!S64+Consumo_Inicial!S64</f>
        <v>511.40152882174999</v>
      </c>
      <c r="T64" s="8">
        <f>Renta_Alta!T64+Masivo!T64+Consumo_Inicial!T64</f>
        <v>431.65385864308001</v>
      </c>
      <c r="U64" s="8">
        <f>Renta_Alta!U64+Masivo!U64+Consumo_Inicial!U64</f>
        <v>447.34524426761999</v>
      </c>
      <c r="V64" s="8">
        <f>Renta_Alta!V64+Masivo!V64+Consumo_Inicial!V64</f>
        <v>423.24911653898999</v>
      </c>
      <c r="W64" s="8">
        <f>Renta_Alta!W64+Masivo!W64+Consumo_Inicial!W64</f>
        <v>456.16259158348998</v>
      </c>
      <c r="X64" s="8">
        <f>Renta_Alta!X64+Masivo!X64+Consumo_Inicial!X64</f>
        <v>964.63840896885006</v>
      </c>
      <c r="Y64" s="8">
        <f>Renta_Alta!Y64+Masivo!Y64+Consumo_Inicial!Y64</f>
        <v>-92.703869919092</v>
      </c>
      <c r="Z64" s="8">
        <f>Renta_Alta!Z64+Masivo!Z64+Consumo_Inicial!Z64</f>
        <v>472.58725167108997</v>
      </c>
      <c r="AA64" s="8">
        <f>Renta_Alta!AA64+Masivo!AA64+Consumo_Inicial!AA64</f>
        <v>412.07856408390001</v>
      </c>
      <c r="AB64" s="8">
        <f>Renta_Alta!AB64+Masivo!AB64+Consumo_Inicial!AB64</f>
        <v>528.36611240933007</v>
      </c>
      <c r="AC64" s="8">
        <f>Renta_Alta!AC64+Masivo!AC64+Consumo_Inicial!AC64</f>
        <v>401.09822801537996</v>
      </c>
      <c r="AD64" s="8">
        <f>Renta_Alta!AD64+Masivo!AD64+Consumo_Inicial!AD64</f>
        <v>318.50245626114003</v>
      </c>
      <c r="AE64" s="8">
        <f>Renta_Alta!AE64+Masivo!AE64+Consumo_Inicial!AE64</f>
        <v>426.04446344111</v>
      </c>
      <c r="AF64" s="8">
        <f>Renta_Alta!AF64+Masivo!AF64+Consumo_Inicial!AF64</f>
        <v>405.21894599551001</v>
      </c>
      <c r="AG64" s="8">
        <f>Renta_Alta!AG64+Masivo!AG64+Consumo_Inicial!AG64</f>
        <v>487.45505859857002</v>
      </c>
      <c r="AH64" s="8">
        <f>Renta_Alta!AH64+Masivo!AH64+Consumo_Inicial!AH64</f>
        <v>418.03672463055</v>
      </c>
      <c r="AI64" s="8">
        <f>Renta_Alta!AI64+Masivo!AI64+Consumo_Inicial!AI64</f>
        <v>492.03951559227005</v>
      </c>
      <c r="AJ64" s="8">
        <f>Renta_Alta!AJ64+Masivo!AJ64+Consumo_Inicial!AJ64</f>
        <v>444.66771211713001</v>
      </c>
      <c r="AK64" s="8">
        <f>Renta_Alta!AK64+Masivo!AK64+Consumo_Inicial!AK64</f>
        <v>422.44951460899995</v>
      </c>
      <c r="AL64" s="8">
        <f>Renta_Alta!AL64+Masivo!AL64+Consumo_Inicial!AL64</f>
        <v>535.82720128768995</v>
      </c>
      <c r="AM64" s="8">
        <f>Renta_Alta!AM64+Masivo!AM64+Consumo_Inicial!AM64</f>
        <v>423.32445509800993</v>
      </c>
      <c r="AN64" s="8">
        <f>Renta_Alta!AN64+Masivo!AN64+Consumo_Inicial!AN64</f>
        <v>488.06928628000003</v>
      </c>
      <c r="AO64" s="8">
        <f>Renta_Alta!AO64+Masivo!AO64+Consumo_Inicial!AO64</f>
        <v>449.58388534999995</v>
      </c>
      <c r="AP64" s="8">
        <f>Renta_Alta!AP64+Masivo!AP64+Consumo_Inicial!AP64</f>
        <v>376.68120550000009</v>
      </c>
      <c r="AQ64" s="8">
        <f>Renta_Alta!AQ64+Masivo!AQ64+Consumo_Inicial!AQ64</f>
        <v>519.59918773000004</v>
      </c>
      <c r="AR64" s="8">
        <f>Renta_Alta!AR64+Masivo!AR64+Consumo_Inicial!AR64</f>
        <v>430.53451524999997</v>
      </c>
      <c r="AS64" s="8">
        <f>Renta_Alta!AS64+Masivo!AS64+Consumo_Inicial!AS64</f>
        <v>476.00087359999998</v>
      </c>
      <c r="AT64" s="8">
        <f>Renta_Alta!AT64+Masivo!AT64+Consumo_Inicial!AT64</f>
        <v>0</v>
      </c>
      <c r="AU64" s="8">
        <f>Renta_Alta!AU64+Masivo!AU64+Consumo_Inicial!AU64</f>
        <v>0</v>
      </c>
      <c r="AV64" s="8">
        <f>Renta_Alta!AV64+Masivo!AV64+Consumo_Inicial!AV64</f>
        <v>0</v>
      </c>
      <c r="AW64" s="8">
        <f>Renta_Alta!AW64+Masivo!AW64+Consumo_Inicial!AW64</f>
        <v>0</v>
      </c>
      <c r="AX64" s="8">
        <f>Renta_Alta!AX64+Masivo!AX64+Consumo_Inicial!AX64</f>
        <v>0</v>
      </c>
      <c r="AY64" s="8">
        <f>Renta_Alta!AY64+Masivo!AY64+Consumo_Inicial!AY64</f>
        <v>0</v>
      </c>
      <c r="AZ64" s="8">
        <f>Renta_Alta!AZ64+Masivo!AZ64+Consumo_Inicial!AZ64</f>
        <v>409.90505502878267</v>
      </c>
      <c r="BA64" s="8">
        <f>Renta_Alta!BA64+Masivo!BA64+Consumo_Inicial!BA64</f>
        <v>412.04684505388764</v>
      </c>
      <c r="BB64" s="8">
        <f>Renta_Alta!BB64+Masivo!BB64+Consumo_Inicial!BB64</f>
        <v>413.71093488159471</v>
      </c>
      <c r="BC64" s="8">
        <f>Renta_Alta!BC64+Masivo!BC64+Consumo_Inicial!BC64</f>
        <v>415.68314111017753</v>
      </c>
      <c r="BD64" s="8">
        <f>Renta_Alta!BD64+Masivo!BD64+Consumo_Inicial!BD64</f>
        <v>418.11431299923481</v>
      </c>
      <c r="BE64" s="8">
        <f>Renta_Alta!BE64+Masivo!BE64+Consumo_Inicial!BE64</f>
        <v>420.89906469885847</v>
      </c>
      <c r="BF64" s="8">
        <f>Renta_Alta!BF64+Masivo!BF64+Consumo_Inicial!BF64</f>
        <v>423.33449159708357</v>
      </c>
      <c r="BG64" s="8">
        <f>Renta_Alta!BG64+Masivo!BG64+Consumo_Inicial!BG64</f>
        <v>426.77839556859692</v>
      </c>
      <c r="BH64" s="8">
        <f>Renta_Alta!BH64+Masivo!BH64+Consumo_Inicial!BH64</f>
        <v>430.09091371916509</v>
      </c>
      <c r="BI64" s="8">
        <f>Renta_Alta!BI64+Masivo!BI64+Consumo_Inicial!BI64</f>
        <v>434.22639381476154</v>
      </c>
      <c r="BJ64" s="8">
        <f>Renta_Alta!BJ64+Masivo!BJ64+Consumo_Inicial!BJ64</f>
        <v>437.61233052902008</v>
      </c>
      <c r="BK64" s="8">
        <f>Renta_Alta!BK64+Masivo!BK64+Consumo_Inicial!BK64</f>
        <v>440.50267037873067</v>
      </c>
      <c r="BO64" s="24">
        <f t="shared" si="68"/>
        <v>1314.3343771300001</v>
      </c>
      <c r="BP64" s="24">
        <f t="shared" si="68"/>
        <v>1235.6628349642651</v>
      </c>
      <c r="BQ64" s="24">
        <f t="shared" si="68"/>
        <v>937.65317162999997</v>
      </c>
      <c r="BR64" s="24">
        <f t="shared" si="68"/>
        <v>1247.9667966858501</v>
      </c>
      <c r="BS64" s="24">
        <f t="shared" si="68"/>
        <v>1317.3101064092298</v>
      </c>
      <c r="BT64" s="24">
        <f t="shared" si="68"/>
        <v>1320.24701296025</v>
      </c>
    </row>
    <row r="65" spans="1:72" hidden="1" outlineLevel="1" x14ac:dyDescent="0.25">
      <c r="A65" s="58" t="s">
        <v>71</v>
      </c>
      <c r="C65" s="59" t="s">
        <v>128</v>
      </c>
      <c r="D65" s="8">
        <f>Renta_Alta!D65+Masivo!D65+Consumo_Inicial!D65</f>
        <v>6.6012187742400013</v>
      </c>
      <c r="E65" s="8">
        <f>Renta_Alta!E65+Masivo!E65+Consumo_Inicial!E65</f>
        <v>-6.4091688560400044</v>
      </c>
      <c r="F65" s="8">
        <f>Renta_Alta!F65+Masivo!F65+Consumo_Inicial!F65</f>
        <v>-49.958924545240009</v>
      </c>
      <c r="G65" s="8">
        <f>Renta_Alta!G65+Masivo!G65+Consumo_Inicial!G65</f>
        <v>-42.770494903239978</v>
      </c>
      <c r="H65" s="8">
        <f>Renta_Alta!H65+Masivo!H65+Consumo_Inicial!H65</f>
        <v>-164.72576527537001</v>
      </c>
      <c r="I65" s="8">
        <f>Renta_Alta!I65+Masivo!I65+Consumo_Inicial!I65</f>
        <v>-318.96141220598798</v>
      </c>
      <c r="J65" s="8">
        <f>Renta_Alta!J65+Masivo!J65+Consumo_Inicial!J65</f>
        <v>-343.31529401090404</v>
      </c>
      <c r="K65" s="8">
        <f>Renta_Alta!K65+Masivo!K65+Consumo_Inicial!K65</f>
        <v>-303.25100634543998</v>
      </c>
      <c r="L65" s="8">
        <f>Renta_Alta!L65+Masivo!L65+Consumo_Inicial!L65</f>
        <v>-536.91921454590795</v>
      </c>
      <c r="M65" s="8">
        <f>Renta_Alta!M65+Masivo!M65+Consumo_Inicial!M65</f>
        <v>-278.17722966949992</v>
      </c>
      <c r="N65" s="8">
        <f>Renta_Alta!N65+Masivo!N65+Consumo_Inicial!N65</f>
        <v>-287.06585731038007</v>
      </c>
      <c r="O65" s="8">
        <f>Renta_Alta!O65+Masivo!O65+Consumo_Inicial!O65</f>
        <v>-84.361962505609995</v>
      </c>
      <c r="P65" s="8">
        <f>Renta_Alta!P65+Masivo!P65+Consumo_Inicial!P65</f>
        <v>-269.95354141199999</v>
      </c>
      <c r="Q65" s="8">
        <f>Renta_Alta!Q65+Masivo!Q65+Consumo_Inicial!Q65</f>
        <v>-200.33096998640002</v>
      </c>
      <c r="R65" s="8">
        <f>Renta_Alta!R65+Masivo!R65+Consumo_Inicial!R65</f>
        <v>-237.32362384918997</v>
      </c>
      <c r="S65" s="8">
        <f>Renta_Alta!S65+Masivo!S65+Consumo_Inicial!S65</f>
        <v>-231.06997491673997</v>
      </c>
      <c r="T65" s="8">
        <f>Renta_Alta!T65+Masivo!T65+Consumo_Inicial!T65</f>
        <v>-248.33710000551</v>
      </c>
      <c r="U65" s="8">
        <f>Renta_Alta!U65+Masivo!U65+Consumo_Inicial!U65</f>
        <v>-203.96507294243798</v>
      </c>
      <c r="V65" s="8">
        <f>Renta_Alta!V65+Masivo!V65+Consumo_Inicial!V65</f>
        <v>-109.34231236577003</v>
      </c>
      <c r="W65" s="8">
        <f>Renta_Alta!W65+Masivo!W65+Consumo_Inicial!W65</f>
        <v>-81.095331251385986</v>
      </c>
      <c r="X65" s="8">
        <f>Renta_Alta!X65+Masivo!X65+Consumo_Inicial!X65</f>
        <v>-172.59614747313998</v>
      </c>
      <c r="Y65" s="8">
        <f>Renta_Alta!Y65+Masivo!Y65+Consumo_Inicial!Y65</f>
        <v>-317.18851257353106</v>
      </c>
      <c r="Z65" s="8">
        <f>Renta_Alta!Z65+Masivo!Z65+Consumo_Inicial!Z65</f>
        <v>-136.40631943286004</v>
      </c>
      <c r="AA65" s="8">
        <f>Renta_Alta!AA65+Masivo!AA65+Consumo_Inicial!AA65</f>
        <v>51.192868862310043</v>
      </c>
      <c r="AB65" s="8">
        <f>Renta_Alta!AB65+Masivo!AB65+Consumo_Inicial!AB65</f>
        <v>-165.63318197610306</v>
      </c>
      <c r="AC65" s="8">
        <f>Renta_Alta!AC65+Masivo!AC65+Consumo_Inicial!AC65</f>
        <v>80.827002642702936</v>
      </c>
      <c r="AD65" s="8">
        <f>Renta_Alta!AD65+Masivo!AD65+Consumo_Inicial!AD65</f>
        <v>-94.255725671740066</v>
      </c>
      <c r="AE65" s="8">
        <f>Renta_Alta!AE65+Masivo!AE65+Consumo_Inicial!AE65</f>
        <v>87.79226971148293</v>
      </c>
      <c r="AF65" s="8">
        <f>Renta_Alta!AF65+Masivo!AF65+Consumo_Inicial!AF65</f>
        <v>-185.58337309029997</v>
      </c>
      <c r="AG65" s="8">
        <f>Renta_Alta!AG65+Masivo!AG65+Consumo_Inicial!AG65</f>
        <v>5.027545991450026</v>
      </c>
      <c r="AH65" s="8">
        <f>Renta_Alta!AH65+Masivo!AH65+Consumo_Inicial!AH65</f>
        <v>-23.495267510941019</v>
      </c>
      <c r="AI65" s="8">
        <f>Renta_Alta!AI65+Masivo!AI65+Consumo_Inicial!AI65</f>
        <v>-105.74797347224697</v>
      </c>
      <c r="AJ65" s="8">
        <f>Renta_Alta!AJ65+Masivo!AJ65+Consumo_Inicial!AJ65</f>
        <v>27.438838181870004</v>
      </c>
      <c r="AK65" s="8">
        <f>Renta_Alta!AK65+Masivo!AK65+Consumo_Inicial!AK65</f>
        <v>38.822715584940049</v>
      </c>
      <c r="AL65" s="8">
        <f>Renta_Alta!AL65+Masivo!AL65+Consumo_Inicial!AL65</f>
        <v>-97.636417270339919</v>
      </c>
      <c r="AM65" s="8">
        <f>Renta_Alta!AM65+Masivo!AM65+Consumo_Inicial!AM65</f>
        <v>90.712832069269965</v>
      </c>
      <c r="AN65" s="8">
        <f>Renta_Alta!AN65+Masivo!AN65+Consumo_Inicial!AN65</f>
        <v>-108.24896794842186</v>
      </c>
      <c r="AO65" s="8">
        <f>Renta_Alta!AO65+Masivo!AO65+Consumo_Inicial!AO65</f>
        <v>195.99659283003234</v>
      </c>
      <c r="AP65" s="8">
        <f>Renta_Alta!AP65+Masivo!AP65+Consumo_Inicial!AP65</f>
        <v>10.080415322044221</v>
      </c>
      <c r="AQ65" s="8">
        <f>Renta_Alta!AQ65+Masivo!AQ65+Consumo_Inicial!AQ65</f>
        <v>-153.66348911931553</v>
      </c>
      <c r="AR65" s="8">
        <f>Renta_Alta!AR65+Masivo!AR65+Consumo_Inicial!AR65</f>
        <v>106.11785040632024</v>
      </c>
      <c r="AS65" s="8">
        <f>Renta_Alta!AS65+Masivo!AS65+Consumo_Inicial!AS65</f>
        <v>-202.92677348368528</v>
      </c>
      <c r="AT65" s="8">
        <f>Renta_Alta!AT65+Masivo!AT65+Consumo_Inicial!AT65</f>
        <v>0</v>
      </c>
      <c r="AU65" s="8">
        <f>Renta_Alta!AU65+Masivo!AU65+Consumo_Inicial!AU65</f>
        <v>0</v>
      </c>
      <c r="AV65" s="8">
        <f>Renta_Alta!AV65+Masivo!AV65+Consumo_Inicial!AV65</f>
        <v>0</v>
      </c>
      <c r="AW65" s="8">
        <f>Renta_Alta!AW65+Masivo!AW65+Consumo_Inicial!AW65</f>
        <v>0</v>
      </c>
      <c r="AX65" s="8">
        <f>Renta_Alta!AX65+Masivo!AX65+Consumo_Inicial!AX65</f>
        <v>0</v>
      </c>
      <c r="AY65" s="8">
        <f>Renta_Alta!AY65+Masivo!AY65+Consumo_Inicial!AY65</f>
        <v>0</v>
      </c>
      <c r="AZ65" s="8">
        <f>Renta_Alta!AZ65+Masivo!AZ65+Consumo_Inicial!AZ65</f>
        <v>-7.9999999999999876</v>
      </c>
      <c r="BA65" s="8">
        <f>Renta_Alta!BA65+Masivo!BA65+Consumo_Inicial!BA65</f>
        <v>-7.9999999999999876</v>
      </c>
      <c r="BB65" s="8">
        <f>Renta_Alta!BB65+Masivo!BB65+Consumo_Inicial!BB65</f>
        <v>-7.9999999999999876</v>
      </c>
      <c r="BC65" s="8">
        <f>Renta_Alta!BC65+Masivo!BC65+Consumo_Inicial!BC65</f>
        <v>-7.9999999999999876</v>
      </c>
      <c r="BD65" s="8">
        <f>Renta_Alta!BD65+Masivo!BD65+Consumo_Inicial!BD65</f>
        <v>-7.9999999999999876</v>
      </c>
      <c r="BE65" s="8">
        <f>Renta_Alta!BE65+Masivo!BE65+Consumo_Inicial!BE65</f>
        <v>-7.9999999999999876</v>
      </c>
      <c r="BF65" s="8">
        <f>Renta_Alta!BF65+Masivo!BF65+Consumo_Inicial!BF65</f>
        <v>-7.9999999999999876</v>
      </c>
      <c r="BG65" s="8">
        <f>Renta_Alta!BG65+Masivo!BG65+Consumo_Inicial!BG65</f>
        <v>-7.9999999999999876</v>
      </c>
      <c r="BH65" s="8">
        <f>Renta_Alta!BH65+Masivo!BH65+Consumo_Inicial!BH65</f>
        <v>-7.9999999999999876</v>
      </c>
      <c r="BI65" s="8">
        <f>Renta_Alta!BI65+Masivo!BI65+Consumo_Inicial!BI65</f>
        <v>-7.9999999999999876</v>
      </c>
      <c r="BJ65" s="8">
        <f>Renta_Alta!BJ65+Masivo!BJ65+Consumo_Inicial!BJ65</f>
        <v>-7.9999999999999876</v>
      </c>
      <c r="BK65" s="8">
        <f>Renta_Alta!BK65+Masivo!BK65+Consumo_Inicial!BK65</f>
        <v>-11.999999999999988</v>
      </c>
      <c r="BO65" s="24">
        <f t="shared" si="68"/>
        <v>97.828040203654695</v>
      </c>
      <c r="BP65" s="24">
        <f t="shared" si="68"/>
        <v>-23.999999999999964</v>
      </c>
      <c r="BQ65" s="24">
        <f t="shared" si="68"/>
        <v>87.747624881610477</v>
      </c>
      <c r="BR65" s="24">
        <f t="shared" si="68"/>
        <v>-179.0619050051402</v>
      </c>
      <c r="BS65" s="24">
        <f t="shared" si="68"/>
        <v>-707.60813524758998</v>
      </c>
      <c r="BT65" s="24">
        <f t="shared" si="68"/>
        <v>-49.766874627040011</v>
      </c>
    </row>
    <row r="66" spans="1:72" hidden="1" outlineLevel="1" x14ac:dyDescent="0.25">
      <c r="A66" s="58" t="s">
        <v>71</v>
      </c>
      <c r="C66" s="59" t="s">
        <v>129</v>
      </c>
      <c r="D66" s="8">
        <f>Renta_Alta!D66+Masivo!D66+Consumo_Inicial!D66</f>
        <v>2.0924042700600003</v>
      </c>
      <c r="E66" s="8">
        <f>Renta_Alta!E66+Masivo!E66+Consumo_Inicial!E66</f>
        <v>-0.51473525986999991</v>
      </c>
      <c r="F66" s="8">
        <f>Renta_Alta!F66+Masivo!F66+Consumo_Inicial!F66</f>
        <v>-1.4854462000020003</v>
      </c>
      <c r="G66" s="8">
        <f>Renta_Alta!G66+Masivo!G66+Consumo_Inicial!G66</f>
        <v>1.9338806004059999</v>
      </c>
      <c r="H66" s="8">
        <f>Renta_Alta!H66+Masivo!H66+Consumo_Inicial!H66</f>
        <v>-1.2184440800669998</v>
      </c>
      <c r="I66" s="8">
        <f>Renta_Alta!I66+Masivo!I66+Consumo_Inicial!I66</f>
        <v>1.2242080000770001</v>
      </c>
      <c r="J66" s="8">
        <f>Renta_Alta!J66+Masivo!J66+Consumo_Inicial!J66</f>
        <v>-1.5812398695859999</v>
      </c>
      <c r="K66" s="8">
        <f>Renta_Alta!K66+Masivo!K66+Consumo_Inicial!K66</f>
        <v>-12.068054161097001</v>
      </c>
      <c r="L66" s="8">
        <f>Renta_Alta!L66+Masivo!L66+Consumo_Inicial!L66</f>
        <v>-1.5158595002629998</v>
      </c>
      <c r="M66" s="8">
        <f>Renta_Alta!M66+Masivo!M66+Consumo_Inicial!M66</f>
        <v>0.38048974997000001</v>
      </c>
      <c r="N66" s="8">
        <f>Renta_Alta!N66+Masivo!N66+Consumo_Inicial!N66</f>
        <v>0.71583417994000009</v>
      </c>
      <c r="O66" s="8">
        <f>Renta_Alta!O66+Masivo!O66+Consumo_Inicial!O66</f>
        <v>-3.2619231702840001</v>
      </c>
      <c r="P66" s="8">
        <f>Renta_Alta!P66+Masivo!P66+Consumo_Inicial!P66</f>
        <v>100.378401838728</v>
      </c>
      <c r="Q66" s="8">
        <f>Renta_Alta!Q66+Masivo!Q66+Consumo_Inicial!Q66</f>
        <v>-99.266238878096004</v>
      </c>
      <c r="R66" s="8">
        <f>Renta_Alta!R66+Masivo!R66+Consumo_Inicial!R66</f>
        <v>1.7143404001</v>
      </c>
      <c r="S66" s="8">
        <f>Renta_Alta!S66+Masivo!S66+Consumo_Inicial!S66</f>
        <v>-2.1358896802</v>
      </c>
      <c r="T66" s="8">
        <f>Renta_Alta!T66+Masivo!T66+Consumo_Inicial!T66</f>
        <v>-2.2746602999689998</v>
      </c>
      <c r="U66" s="8">
        <f>Renta_Alta!U66+Masivo!U66+Consumo_Inicial!U66</f>
        <v>1.2293390897700003</v>
      </c>
      <c r="V66" s="8">
        <f>Renta_Alta!V66+Masivo!V66+Consumo_Inicial!V66</f>
        <v>-0.102046</v>
      </c>
      <c r="W66" s="8">
        <f>Renta_Alta!W66+Masivo!W66+Consumo_Inicial!W66</f>
        <v>-2.8790060895000003</v>
      </c>
      <c r="X66" s="8">
        <f>Renta_Alta!X66+Masivo!X66+Consumo_Inicial!X66</f>
        <v>-4.2757524398040001</v>
      </c>
      <c r="Y66" s="8">
        <f>Renta_Alta!Y66+Masivo!Y66+Consumo_Inicial!Y66</f>
        <v>1.8081684799469999</v>
      </c>
      <c r="Z66" s="8">
        <f>Renta_Alta!Z66+Masivo!Z66+Consumo_Inicial!Z66</f>
        <v>-9.6238339700000175E-2</v>
      </c>
      <c r="AA66" s="8">
        <f>Renta_Alta!AA66+Masivo!AA66+Consumo_Inicial!AA66</f>
        <v>2.1482134004</v>
      </c>
      <c r="AB66" s="8">
        <f>Renta_Alta!AB66+Masivo!AB66+Consumo_Inicial!AB66</f>
        <v>1.9604347498000001</v>
      </c>
      <c r="AC66" s="8">
        <f>Renta_Alta!AC66+Masivo!AC66+Consumo_Inicial!AC66</f>
        <v>0.95055999996100005</v>
      </c>
      <c r="AD66" s="8">
        <f>Renta_Alta!AD66+Masivo!AD66+Consumo_Inicial!AD66</f>
        <v>3.4410433600000001</v>
      </c>
      <c r="AE66" s="8">
        <f>Renta_Alta!AE66+Masivo!AE66+Consumo_Inicial!AE66</f>
        <v>0.36549259000000001</v>
      </c>
      <c r="AF66" s="8">
        <f>Renta_Alta!AF66+Masivo!AF66+Consumo_Inicial!AF66</f>
        <v>1.4501489994599999</v>
      </c>
      <c r="AG66" s="8">
        <f>Renta_Alta!AG66+Masivo!AG66+Consumo_Inicial!AG66</f>
        <v>2.78036496</v>
      </c>
      <c r="AH66" s="8">
        <f>Renta_Alta!AH66+Masivo!AH66+Consumo_Inicial!AH66</f>
        <v>3.9809570199970006</v>
      </c>
      <c r="AI66" s="8">
        <f>Renta_Alta!AI66+Masivo!AI66+Consumo_Inicial!AI66</f>
        <v>1.5848029499999998</v>
      </c>
      <c r="AJ66" s="8">
        <f>Renta_Alta!AJ66+Masivo!AJ66+Consumo_Inicial!AJ66</f>
        <v>2.6453916797999999</v>
      </c>
      <c r="AK66" s="8">
        <f>Renta_Alta!AK66+Masivo!AK66+Consumo_Inicial!AK66</f>
        <v>1.9888182398000001</v>
      </c>
      <c r="AL66" s="8">
        <f>Renta_Alta!AL66+Masivo!AL66+Consumo_Inicial!AL66</f>
        <v>4.1777825999970002</v>
      </c>
      <c r="AM66" s="8">
        <f>Renta_Alta!AM66+Masivo!AM66+Consumo_Inicial!AM66</f>
        <v>2.1624941995000002</v>
      </c>
      <c r="AN66" s="8">
        <f>Renta_Alta!AN66+Masivo!AN66+Consumo_Inicial!AN66</f>
        <v>2.7875592899999999</v>
      </c>
      <c r="AO66" s="8">
        <f>Renta_Alta!AO66+Masivo!AO66+Consumo_Inicial!AO66</f>
        <v>2.2528964399999998</v>
      </c>
      <c r="AP66" s="8">
        <f>Renta_Alta!AP66+Masivo!AP66+Consumo_Inicial!AP66</f>
        <v>3.5757945000000002</v>
      </c>
      <c r="AQ66" s="8">
        <f>Renta_Alta!AQ66+Masivo!AQ66+Consumo_Inicial!AQ66</f>
        <v>2.6650695200000003</v>
      </c>
      <c r="AR66" s="8">
        <f>Renta_Alta!AR66+Masivo!AR66+Consumo_Inicial!AR66</f>
        <v>-0.87589671999999963</v>
      </c>
      <c r="AS66" s="8">
        <f>Renta_Alta!AS66+Masivo!AS66+Consumo_Inicial!AS66</f>
        <v>1.2500800999999999</v>
      </c>
      <c r="AT66" s="8">
        <f>Renta_Alta!AT66+Masivo!AT66+Consumo_Inicial!AT66</f>
        <v>0</v>
      </c>
      <c r="AU66" s="8">
        <f>Renta_Alta!AU66+Masivo!AU66+Consumo_Inicial!AU66</f>
        <v>0</v>
      </c>
      <c r="AV66" s="8">
        <f>Renta_Alta!AV66+Masivo!AV66+Consumo_Inicial!AV66</f>
        <v>0</v>
      </c>
      <c r="AW66" s="8">
        <f>Renta_Alta!AW66+Masivo!AW66+Consumo_Inicial!AW66</f>
        <v>0</v>
      </c>
      <c r="AX66" s="8">
        <f>Renta_Alta!AX66+Masivo!AX66+Consumo_Inicial!AX66</f>
        <v>0</v>
      </c>
      <c r="AY66" s="8">
        <f>Renta_Alta!AY66+Masivo!AY66+Consumo_Inicial!AY66</f>
        <v>0</v>
      </c>
      <c r="AZ66" s="8">
        <f>Renta_Alta!AZ66+Masivo!AZ66+Consumo_Inicial!AZ66</f>
        <v>1.6373890153362751</v>
      </c>
      <c r="BA66" s="8">
        <f>Renta_Alta!BA66+Masivo!BA66+Consumo_Inicial!BA66</f>
        <v>1.6459445171951568</v>
      </c>
      <c r="BB66" s="8">
        <f>Renta_Alta!BB66+Masivo!BB66+Consumo_Inicial!BB66</f>
        <v>1.6525918184933295</v>
      </c>
      <c r="BC66" s="8">
        <f>Renta_Alta!BC66+Masivo!BC66+Consumo_Inicial!BC66</f>
        <v>1.6604699082486083</v>
      </c>
      <c r="BD66" s="8">
        <f>Renta_Alta!BD66+Masivo!BD66+Consumo_Inicial!BD66</f>
        <v>1.6701813623931716</v>
      </c>
      <c r="BE66" s="8">
        <f>Renta_Alta!BE66+Masivo!BE66+Consumo_Inicial!BE66</f>
        <v>1.6813052111661091</v>
      </c>
      <c r="BF66" s="8">
        <f>Renta_Alta!BF66+Masivo!BF66+Consumo_Inicial!BF66</f>
        <v>1.6910336621863782</v>
      </c>
      <c r="BG66" s="8">
        <f>Renta_Alta!BG66+Masivo!BG66+Consumo_Inicial!BG66</f>
        <v>1.7047905321338175</v>
      </c>
      <c r="BH66" s="8">
        <f>Renta_Alta!BH66+Masivo!BH66+Consumo_Inicial!BH66</f>
        <v>1.7180225739598485</v>
      </c>
      <c r="BI66" s="8">
        <f>Renta_Alta!BI66+Masivo!BI66+Consumo_Inicial!BI66</f>
        <v>1.7345419840002929</v>
      </c>
      <c r="BJ66" s="8">
        <f>Renta_Alta!BJ66+Masivo!BJ66+Consumo_Inicial!BJ66</f>
        <v>1.7480673004474432</v>
      </c>
      <c r="BK66" s="8">
        <f>Renta_Alta!BK66+Masivo!BK66+Consumo_Inicial!BK66</f>
        <v>1.7596129270808412</v>
      </c>
      <c r="BO66" s="24">
        <f t="shared" si="68"/>
        <v>8.6162502300000003</v>
      </c>
      <c r="BP66" s="24">
        <f t="shared" si="68"/>
        <v>4.9359253510247614</v>
      </c>
      <c r="BQ66" s="24">
        <f t="shared" si="68"/>
        <v>5.0404557299999997</v>
      </c>
      <c r="BR66" s="24">
        <f t="shared" si="68"/>
        <v>6.3520381097610006</v>
      </c>
      <c r="BS66" s="24">
        <f t="shared" si="68"/>
        <v>2.8265033607319916</v>
      </c>
      <c r="BT66" s="24">
        <f t="shared" si="68"/>
        <v>9.2222810188000048E-2</v>
      </c>
    </row>
    <row r="67" spans="1:72" hidden="1" outlineLevel="1" x14ac:dyDescent="0.25">
      <c r="A67" s="58" t="s">
        <v>71</v>
      </c>
      <c r="C67" s="59"/>
      <c r="D67" s="8">
        <f>Renta_Alta!D67+Masivo!D67+Consumo_Inicial!D67</f>
        <v>0</v>
      </c>
      <c r="E67" s="8">
        <f>Renta_Alta!E67+Masivo!E67+Consumo_Inicial!E67</f>
        <v>0</v>
      </c>
      <c r="F67" s="8">
        <f>Renta_Alta!F67+Masivo!F67+Consumo_Inicial!F67</f>
        <v>0</v>
      </c>
      <c r="G67" s="8">
        <f>Renta_Alta!G67+Masivo!G67+Consumo_Inicial!G67</f>
        <v>0</v>
      </c>
      <c r="H67" s="8">
        <f>Renta_Alta!H67+Masivo!H67+Consumo_Inicial!H67</f>
        <v>0</v>
      </c>
      <c r="I67" s="8">
        <f>Renta_Alta!I67+Masivo!I67+Consumo_Inicial!I67</f>
        <v>0</v>
      </c>
      <c r="J67" s="8">
        <f>Renta_Alta!J67+Masivo!J67+Consumo_Inicial!J67</f>
        <v>0</v>
      </c>
      <c r="K67" s="8">
        <f>Renta_Alta!K67+Masivo!K67+Consumo_Inicial!K67</f>
        <v>0</v>
      </c>
      <c r="L67" s="8">
        <f>Renta_Alta!L67+Masivo!L67+Consumo_Inicial!L67</f>
        <v>0</v>
      </c>
      <c r="M67" s="8">
        <f>Renta_Alta!M67+Masivo!M67+Consumo_Inicial!M67</f>
        <v>0</v>
      </c>
      <c r="N67" s="8">
        <f>Renta_Alta!N67+Masivo!N67+Consumo_Inicial!N67</f>
        <v>0</v>
      </c>
      <c r="O67" s="8">
        <f>Renta_Alta!O67+Masivo!O67+Consumo_Inicial!O67</f>
        <v>0</v>
      </c>
      <c r="P67" s="8">
        <f>Renta_Alta!P67+Masivo!P67+Consumo_Inicial!P67</f>
        <v>0</v>
      </c>
      <c r="Q67" s="8">
        <f>Renta_Alta!Q67+Masivo!Q67+Consumo_Inicial!Q67</f>
        <v>0</v>
      </c>
      <c r="R67" s="8">
        <f>Renta_Alta!R67+Masivo!R67+Consumo_Inicial!R67</f>
        <v>0</v>
      </c>
      <c r="S67" s="8">
        <f>Renta_Alta!S67+Masivo!S67+Consumo_Inicial!S67</f>
        <v>0</v>
      </c>
      <c r="T67" s="8">
        <f>Renta_Alta!T67+Masivo!T67+Consumo_Inicial!T67</f>
        <v>0</v>
      </c>
      <c r="U67" s="8">
        <f>Renta_Alta!U67+Masivo!U67+Consumo_Inicial!U67</f>
        <v>0</v>
      </c>
      <c r="V67" s="8">
        <f>Renta_Alta!V67+Masivo!V67+Consumo_Inicial!V67</f>
        <v>0</v>
      </c>
      <c r="W67" s="8">
        <f>Renta_Alta!W67+Masivo!W67+Consumo_Inicial!W67</f>
        <v>0</v>
      </c>
      <c r="X67" s="8">
        <f>Renta_Alta!X67+Masivo!X67+Consumo_Inicial!X67</f>
        <v>0</v>
      </c>
      <c r="Y67" s="8">
        <f>Renta_Alta!Y67+Masivo!Y67+Consumo_Inicial!Y67</f>
        <v>0</v>
      </c>
      <c r="Z67" s="8">
        <f>Renta_Alta!Z67+Masivo!Z67+Consumo_Inicial!Z67</f>
        <v>0</v>
      </c>
      <c r="AA67" s="8">
        <f>Renta_Alta!AA67+Masivo!AA67+Consumo_Inicial!AA67</f>
        <v>0</v>
      </c>
      <c r="AB67" s="8">
        <f>Renta_Alta!AB67+Masivo!AB67+Consumo_Inicial!AB67</f>
        <v>0</v>
      </c>
      <c r="AC67" s="8">
        <f>Renta_Alta!AC67+Masivo!AC67+Consumo_Inicial!AC67</f>
        <v>0</v>
      </c>
      <c r="AD67" s="8">
        <f>Renta_Alta!AD67+Masivo!AD67+Consumo_Inicial!AD67</f>
        <v>0</v>
      </c>
      <c r="AE67" s="8">
        <f>Renta_Alta!AE67+Masivo!AE67+Consumo_Inicial!AE67</f>
        <v>0</v>
      </c>
      <c r="AF67" s="8">
        <f>Renta_Alta!AF67+Masivo!AF67+Consumo_Inicial!AF67</f>
        <v>0</v>
      </c>
      <c r="AG67" s="8">
        <f>Renta_Alta!AG67+Masivo!AG67+Consumo_Inicial!AG67</f>
        <v>0</v>
      </c>
      <c r="AH67" s="8">
        <f>Renta_Alta!AH67+Masivo!AH67+Consumo_Inicial!AH67</f>
        <v>0</v>
      </c>
      <c r="AI67" s="8">
        <f>Renta_Alta!AI67+Masivo!AI67+Consumo_Inicial!AI67</f>
        <v>0</v>
      </c>
      <c r="AJ67" s="8">
        <f>Renta_Alta!AJ67+Masivo!AJ67+Consumo_Inicial!AJ67</f>
        <v>0</v>
      </c>
      <c r="AK67" s="8">
        <f>Renta_Alta!AK67+Masivo!AK67+Consumo_Inicial!AK67</f>
        <v>0</v>
      </c>
      <c r="AL67" s="8">
        <f>Renta_Alta!AL67+Masivo!AL67+Consumo_Inicial!AL67</f>
        <v>0</v>
      </c>
      <c r="AM67" s="8">
        <f>Renta_Alta!AM67+Masivo!AM67+Consumo_Inicial!AM67</f>
        <v>0</v>
      </c>
      <c r="AN67" s="8">
        <f>Renta_Alta!AN67+Masivo!AN67+Consumo_Inicial!AN67</f>
        <v>0</v>
      </c>
      <c r="AO67" s="8">
        <f>Renta_Alta!AO67+Masivo!AO67+Consumo_Inicial!AO67</f>
        <v>0</v>
      </c>
      <c r="AP67" s="8">
        <f>Renta_Alta!AP67+Masivo!AP67+Consumo_Inicial!AP67</f>
        <v>0</v>
      </c>
      <c r="AQ67" s="8">
        <f>Renta_Alta!AQ67+Masivo!AQ67+Consumo_Inicial!AQ67</f>
        <v>0</v>
      </c>
      <c r="AR67" s="8">
        <f>Renta_Alta!AR67+Masivo!AR67+Consumo_Inicial!AR67</f>
        <v>0</v>
      </c>
      <c r="AS67" s="8">
        <f>Renta_Alta!AS67+Masivo!AS67+Consumo_Inicial!AS67</f>
        <v>0</v>
      </c>
      <c r="AT67" s="8">
        <f>Renta_Alta!AT67+Masivo!AT67+Consumo_Inicial!AT67</f>
        <v>0</v>
      </c>
      <c r="AU67" s="8">
        <f>Renta_Alta!AU67+Masivo!AU67+Consumo_Inicial!AU67</f>
        <v>0</v>
      </c>
      <c r="AV67" s="8">
        <f>Renta_Alta!AV67+Masivo!AV67+Consumo_Inicial!AV67</f>
        <v>0</v>
      </c>
      <c r="AW67" s="8">
        <f>Renta_Alta!AW67+Masivo!AW67+Consumo_Inicial!AW67</f>
        <v>0</v>
      </c>
      <c r="AX67" s="8">
        <f>Renta_Alta!AX67+Masivo!AX67+Consumo_Inicial!AX67</f>
        <v>0</v>
      </c>
      <c r="AY67" s="8">
        <f>Renta_Alta!AY67+Masivo!AY67+Consumo_Inicial!AY67</f>
        <v>0</v>
      </c>
      <c r="AZ67" s="8">
        <f>Renta_Alta!AZ67+Masivo!AZ67+Consumo_Inicial!AZ67</f>
        <v>0</v>
      </c>
      <c r="BA67" s="8">
        <f>Renta_Alta!BA67+Masivo!BA67+Consumo_Inicial!BA67</f>
        <v>0</v>
      </c>
      <c r="BB67" s="8">
        <f>Renta_Alta!BB67+Masivo!BB67+Consumo_Inicial!BB67</f>
        <v>0</v>
      </c>
      <c r="BC67" s="8">
        <f>Renta_Alta!BC67+Masivo!BC67+Consumo_Inicial!BC67</f>
        <v>0</v>
      </c>
      <c r="BD67" s="8">
        <f>Renta_Alta!BD67+Masivo!BD67+Consumo_Inicial!BD67</f>
        <v>0</v>
      </c>
      <c r="BE67" s="8">
        <f>Renta_Alta!BE67+Masivo!BE67+Consumo_Inicial!BE67</f>
        <v>0</v>
      </c>
      <c r="BF67" s="8">
        <f>Renta_Alta!BF67+Masivo!BF67+Consumo_Inicial!BF67</f>
        <v>0</v>
      </c>
      <c r="BG67" s="8">
        <f>Renta_Alta!BG67+Masivo!BG67+Consumo_Inicial!BG67</f>
        <v>0</v>
      </c>
      <c r="BH67" s="8">
        <f>Renta_Alta!BH67+Masivo!BH67+Consumo_Inicial!BH67</f>
        <v>0</v>
      </c>
      <c r="BI67" s="8">
        <f>Renta_Alta!BI67+Masivo!BI67+Consumo_Inicial!BI67</f>
        <v>0</v>
      </c>
      <c r="BJ67" s="8">
        <f>Renta_Alta!BJ67+Masivo!BJ67+Consumo_Inicial!BJ67</f>
        <v>0</v>
      </c>
      <c r="BK67" s="8">
        <f>Renta_Alta!BK67+Masivo!BK67+Consumo_Inicial!BK67</f>
        <v>0</v>
      </c>
      <c r="BO67" s="24">
        <f t="shared" si="68"/>
        <v>0</v>
      </c>
      <c r="BP67" s="24">
        <f t="shared" si="68"/>
        <v>0</v>
      </c>
      <c r="BQ67" s="24">
        <f t="shared" si="68"/>
        <v>0</v>
      </c>
      <c r="BR67" s="24">
        <f t="shared" si="68"/>
        <v>0</v>
      </c>
      <c r="BS67" s="24">
        <f t="shared" si="68"/>
        <v>0</v>
      </c>
      <c r="BT67" s="24">
        <f t="shared" si="68"/>
        <v>0</v>
      </c>
    </row>
    <row r="68" spans="1:72" hidden="1" outlineLevel="1" x14ac:dyDescent="0.25">
      <c r="A68" s="58" t="s">
        <v>71</v>
      </c>
      <c r="C68" s="59"/>
      <c r="D68" s="8">
        <f>Renta_Alta!D68+Masivo!D68+Consumo_Inicial!D68</f>
        <v>0</v>
      </c>
      <c r="E68" s="8">
        <f>Renta_Alta!E68+Masivo!E68+Consumo_Inicial!E68</f>
        <v>0</v>
      </c>
      <c r="F68" s="8">
        <f>Renta_Alta!F68+Masivo!F68+Consumo_Inicial!F68</f>
        <v>0</v>
      </c>
      <c r="G68" s="8">
        <f>Renta_Alta!G68+Masivo!G68+Consumo_Inicial!G68</f>
        <v>0</v>
      </c>
      <c r="H68" s="8">
        <f>Renta_Alta!H68+Masivo!H68+Consumo_Inicial!H68</f>
        <v>0</v>
      </c>
      <c r="I68" s="8">
        <f>Renta_Alta!I68+Masivo!I68+Consumo_Inicial!I68</f>
        <v>0</v>
      </c>
      <c r="J68" s="8">
        <f>Renta_Alta!J68+Masivo!J68+Consumo_Inicial!J68</f>
        <v>0</v>
      </c>
      <c r="K68" s="8">
        <f>Renta_Alta!K68+Masivo!K68+Consumo_Inicial!K68</f>
        <v>0</v>
      </c>
      <c r="L68" s="8">
        <f>Renta_Alta!L68+Masivo!L68+Consumo_Inicial!L68</f>
        <v>0</v>
      </c>
      <c r="M68" s="8">
        <f>Renta_Alta!M68+Masivo!M68+Consumo_Inicial!M68</f>
        <v>0</v>
      </c>
      <c r="N68" s="8">
        <f>Renta_Alta!N68+Masivo!N68+Consumo_Inicial!N68</f>
        <v>0</v>
      </c>
      <c r="O68" s="8">
        <f>Renta_Alta!O68+Masivo!O68+Consumo_Inicial!O68</f>
        <v>0</v>
      </c>
      <c r="P68" s="8">
        <f>Renta_Alta!P68+Masivo!P68+Consumo_Inicial!P68</f>
        <v>0</v>
      </c>
      <c r="Q68" s="8">
        <f>Renta_Alta!Q68+Masivo!Q68+Consumo_Inicial!Q68</f>
        <v>0</v>
      </c>
      <c r="R68" s="8">
        <f>Renta_Alta!R68+Masivo!R68+Consumo_Inicial!R68</f>
        <v>0</v>
      </c>
      <c r="S68" s="8">
        <f>Renta_Alta!S68+Masivo!S68+Consumo_Inicial!S68</f>
        <v>0</v>
      </c>
      <c r="T68" s="8">
        <f>Renta_Alta!T68+Masivo!T68+Consumo_Inicial!T68</f>
        <v>0</v>
      </c>
      <c r="U68" s="8">
        <f>Renta_Alta!U68+Masivo!U68+Consumo_Inicial!U68</f>
        <v>0</v>
      </c>
      <c r="V68" s="8">
        <f>Renta_Alta!V68+Masivo!V68+Consumo_Inicial!V68</f>
        <v>0</v>
      </c>
      <c r="W68" s="8">
        <f>Renta_Alta!W68+Masivo!W68+Consumo_Inicial!W68</f>
        <v>0</v>
      </c>
      <c r="X68" s="8">
        <f>Renta_Alta!X68+Masivo!X68+Consumo_Inicial!X68</f>
        <v>0</v>
      </c>
      <c r="Y68" s="8">
        <f>Renta_Alta!Y68+Masivo!Y68+Consumo_Inicial!Y68</f>
        <v>0</v>
      </c>
      <c r="Z68" s="8">
        <f>Renta_Alta!Z68+Masivo!Z68+Consumo_Inicial!Z68</f>
        <v>0</v>
      </c>
      <c r="AA68" s="8">
        <f>Renta_Alta!AA68+Masivo!AA68+Consumo_Inicial!AA68</f>
        <v>0</v>
      </c>
      <c r="AB68" s="8">
        <f>Renta_Alta!AB68+Masivo!AB68+Consumo_Inicial!AB68</f>
        <v>0</v>
      </c>
      <c r="AC68" s="8">
        <f>Renta_Alta!AC68+Masivo!AC68+Consumo_Inicial!AC68</f>
        <v>0</v>
      </c>
      <c r="AD68" s="8">
        <f>Renta_Alta!AD68+Masivo!AD68+Consumo_Inicial!AD68</f>
        <v>0</v>
      </c>
      <c r="AE68" s="8">
        <f>Renta_Alta!AE68+Masivo!AE68+Consumo_Inicial!AE68</f>
        <v>0</v>
      </c>
      <c r="AF68" s="8">
        <f>Renta_Alta!AF68+Masivo!AF68+Consumo_Inicial!AF68</f>
        <v>0</v>
      </c>
      <c r="AG68" s="8">
        <f>Renta_Alta!AG68+Masivo!AG68+Consumo_Inicial!AG68</f>
        <v>0</v>
      </c>
      <c r="AH68" s="8">
        <f>Renta_Alta!AH68+Masivo!AH68+Consumo_Inicial!AH68</f>
        <v>0</v>
      </c>
      <c r="AI68" s="8">
        <f>Renta_Alta!AI68+Masivo!AI68+Consumo_Inicial!AI68</f>
        <v>0</v>
      </c>
      <c r="AJ68" s="8">
        <f>Renta_Alta!AJ68+Masivo!AJ68+Consumo_Inicial!AJ68</f>
        <v>0</v>
      </c>
      <c r="AK68" s="8">
        <f>Renta_Alta!AK68+Masivo!AK68+Consumo_Inicial!AK68</f>
        <v>0</v>
      </c>
      <c r="AL68" s="8">
        <f>Renta_Alta!AL68+Masivo!AL68+Consumo_Inicial!AL68</f>
        <v>0</v>
      </c>
      <c r="AM68" s="8">
        <f>Renta_Alta!AM68+Masivo!AM68+Consumo_Inicial!AM68</f>
        <v>0</v>
      </c>
      <c r="AN68" s="8">
        <f>Renta_Alta!AN68+Masivo!AN68+Consumo_Inicial!AN68</f>
        <v>0</v>
      </c>
      <c r="AO68" s="8">
        <f>Renta_Alta!AO68+Masivo!AO68+Consumo_Inicial!AO68</f>
        <v>0</v>
      </c>
      <c r="AP68" s="8">
        <f>Renta_Alta!AP68+Masivo!AP68+Consumo_Inicial!AP68</f>
        <v>0</v>
      </c>
      <c r="AQ68" s="8">
        <f>Renta_Alta!AQ68+Masivo!AQ68+Consumo_Inicial!AQ68</f>
        <v>0</v>
      </c>
      <c r="AR68" s="8">
        <f>Renta_Alta!AR68+Masivo!AR68+Consumo_Inicial!AR68</f>
        <v>0</v>
      </c>
      <c r="AS68" s="8">
        <f>Renta_Alta!AS68+Masivo!AS68+Consumo_Inicial!AS68</f>
        <v>0</v>
      </c>
      <c r="AT68" s="8">
        <f>Renta_Alta!AT68+Masivo!AT68+Consumo_Inicial!AT68</f>
        <v>0</v>
      </c>
      <c r="AU68" s="8">
        <f>Renta_Alta!AU68+Masivo!AU68+Consumo_Inicial!AU68</f>
        <v>0</v>
      </c>
      <c r="AV68" s="8">
        <f>Renta_Alta!AV68+Masivo!AV68+Consumo_Inicial!AV68</f>
        <v>0</v>
      </c>
      <c r="AW68" s="8">
        <f>Renta_Alta!AW68+Masivo!AW68+Consumo_Inicial!AW68</f>
        <v>0</v>
      </c>
      <c r="AX68" s="8">
        <f>Renta_Alta!AX68+Masivo!AX68+Consumo_Inicial!AX68</f>
        <v>0</v>
      </c>
      <c r="AY68" s="8">
        <f>Renta_Alta!AY68+Masivo!AY68+Consumo_Inicial!AY68</f>
        <v>0</v>
      </c>
      <c r="AZ68" s="8">
        <f>Renta_Alta!AZ68+Masivo!AZ68+Consumo_Inicial!AZ68</f>
        <v>0</v>
      </c>
      <c r="BA68" s="8">
        <f>Renta_Alta!BA68+Masivo!BA68+Consumo_Inicial!BA68</f>
        <v>0</v>
      </c>
      <c r="BB68" s="8">
        <f>Renta_Alta!BB68+Masivo!BB68+Consumo_Inicial!BB68</f>
        <v>0</v>
      </c>
      <c r="BC68" s="8">
        <f>Renta_Alta!BC68+Masivo!BC68+Consumo_Inicial!BC68</f>
        <v>0</v>
      </c>
      <c r="BD68" s="8">
        <f>Renta_Alta!BD68+Masivo!BD68+Consumo_Inicial!BD68</f>
        <v>0</v>
      </c>
      <c r="BE68" s="8">
        <f>Renta_Alta!BE68+Masivo!BE68+Consumo_Inicial!BE68</f>
        <v>0</v>
      </c>
      <c r="BF68" s="8">
        <f>Renta_Alta!BF68+Masivo!BF68+Consumo_Inicial!BF68</f>
        <v>0</v>
      </c>
      <c r="BG68" s="8">
        <f>Renta_Alta!BG68+Masivo!BG68+Consumo_Inicial!BG68</f>
        <v>0</v>
      </c>
      <c r="BH68" s="8">
        <f>Renta_Alta!BH68+Masivo!BH68+Consumo_Inicial!BH68</f>
        <v>0</v>
      </c>
      <c r="BI68" s="8">
        <f>Renta_Alta!BI68+Masivo!BI68+Consumo_Inicial!BI68</f>
        <v>0</v>
      </c>
      <c r="BJ68" s="8">
        <f>Renta_Alta!BJ68+Masivo!BJ68+Consumo_Inicial!BJ68</f>
        <v>0</v>
      </c>
      <c r="BK68" s="8">
        <f>Renta_Alta!BK68+Masivo!BK68+Consumo_Inicial!BK68</f>
        <v>0</v>
      </c>
      <c r="BO68" s="24">
        <f t="shared" si="68"/>
        <v>0</v>
      </c>
      <c r="BP68" s="24">
        <f t="shared" si="68"/>
        <v>0</v>
      </c>
      <c r="BQ68" s="24">
        <f t="shared" si="68"/>
        <v>0</v>
      </c>
      <c r="BR68" s="24">
        <f t="shared" si="68"/>
        <v>0</v>
      </c>
      <c r="BS68" s="24">
        <f t="shared" si="68"/>
        <v>0</v>
      </c>
      <c r="BT68" s="24">
        <f t="shared" si="68"/>
        <v>0</v>
      </c>
    </row>
    <row r="69" spans="1:72" hidden="1" outlineLevel="1" x14ac:dyDescent="0.25">
      <c r="A69" s="58" t="s">
        <v>71</v>
      </c>
      <c r="C69" s="59"/>
      <c r="D69" s="8">
        <f>Renta_Alta!D69+Masivo!D69+Consumo_Inicial!D69</f>
        <v>0</v>
      </c>
      <c r="E69" s="8">
        <f>Renta_Alta!E69+Masivo!E69+Consumo_Inicial!E69</f>
        <v>0</v>
      </c>
      <c r="F69" s="8">
        <f>Renta_Alta!F69+Masivo!F69+Consumo_Inicial!F69</f>
        <v>0</v>
      </c>
      <c r="G69" s="8">
        <f>Renta_Alta!G69+Masivo!G69+Consumo_Inicial!G69</f>
        <v>0</v>
      </c>
      <c r="H69" s="8">
        <f>Renta_Alta!H69+Masivo!H69+Consumo_Inicial!H69</f>
        <v>0</v>
      </c>
      <c r="I69" s="8">
        <f>Renta_Alta!I69+Masivo!I69+Consumo_Inicial!I69</f>
        <v>0</v>
      </c>
      <c r="J69" s="8">
        <f>Renta_Alta!J69+Masivo!J69+Consumo_Inicial!J69</f>
        <v>0</v>
      </c>
      <c r="K69" s="8">
        <f>Renta_Alta!K69+Masivo!K69+Consumo_Inicial!K69</f>
        <v>0</v>
      </c>
      <c r="L69" s="8">
        <f>Renta_Alta!L69+Masivo!L69+Consumo_Inicial!L69</f>
        <v>0</v>
      </c>
      <c r="M69" s="8">
        <f>Renta_Alta!M69+Masivo!M69+Consumo_Inicial!M69</f>
        <v>0</v>
      </c>
      <c r="N69" s="8">
        <f>Renta_Alta!N69+Masivo!N69+Consumo_Inicial!N69</f>
        <v>0</v>
      </c>
      <c r="O69" s="8">
        <f>Renta_Alta!O69+Masivo!O69+Consumo_Inicial!O69</f>
        <v>0</v>
      </c>
      <c r="P69" s="8">
        <f>Renta_Alta!P69+Masivo!P69+Consumo_Inicial!P69</f>
        <v>0</v>
      </c>
      <c r="Q69" s="8">
        <f>Renta_Alta!Q69+Masivo!Q69+Consumo_Inicial!Q69</f>
        <v>0</v>
      </c>
      <c r="R69" s="8">
        <f>Renta_Alta!R69+Masivo!R69+Consumo_Inicial!R69</f>
        <v>0</v>
      </c>
      <c r="S69" s="8">
        <f>Renta_Alta!S69+Masivo!S69+Consumo_Inicial!S69</f>
        <v>0</v>
      </c>
      <c r="T69" s="8">
        <f>Renta_Alta!T69+Masivo!T69+Consumo_Inicial!T69</f>
        <v>0</v>
      </c>
      <c r="U69" s="8">
        <f>Renta_Alta!U69+Masivo!U69+Consumo_Inicial!U69</f>
        <v>0</v>
      </c>
      <c r="V69" s="8">
        <f>Renta_Alta!V69+Masivo!V69+Consumo_Inicial!V69</f>
        <v>0</v>
      </c>
      <c r="W69" s="8">
        <f>Renta_Alta!W69+Masivo!W69+Consumo_Inicial!W69</f>
        <v>0</v>
      </c>
      <c r="X69" s="8">
        <f>Renta_Alta!X69+Masivo!X69+Consumo_Inicial!X69</f>
        <v>0</v>
      </c>
      <c r="Y69" s="8">
        <f>Renta_Alta!Y69+Masivo!Y69+Consumo_Inicial!Y69</f>
        <v>0</v>
      </c>
      <c r="Z69" s="8">
        <f>Renta_Alta!Z69+Masivo!Z69+Consumo_Inicial!Z69</f>
        <v>0</v>
      </c>
      <c r="AA69" s="8">
        <f>Renta_Alta!AA69+Masivo!AA69+Consumo_Inicial!AA69</f>
        <v>0</v>
      </c>
      <c r="AB69" s="8">
        <f>Renta_Alta!AB69+Masivo!AB69+Consumo_Inicial!AB69</f>
        <v>0</v>
      </c>
      <c r="AC69" s="8">
        <f>Renta_Alta!AC69+Masivo!AC69+Consumo_Inicial!AC69</f>
        <v>0</v>
      </c>
      <c r="AD69" s="8">
        <f>Renta_Alta!AD69+Masivo!AD69+Consumo_Inicial!AD69</f>
        <v>0</v>
      </c>
      <c r="AE69" s="8">
        <f>Renta_Alta!AE69+Masivo!AE69+Consumo_Inicial!AE69</f>
        <v>0</v>
      </c>
      <c r="AF69" s="8">
        <f>Renta_Alta!AF69+Masivo!AF69+Consumo_Inicial!AF69</f>
        <v>0</v>
      </c>
      <c r="AG69" s="8">
        <f>Renta_Alta!AG69+Masivo!AG69+Consumo_Inicial!AG69</f>
        <v>0</v>
      </c>
      <c r="AH69" s="8">
        <f>Renta_Alta!AH69+Masivo!AH69+Consumo_Inicial!AH69</f>
        <v>0</v>
      </c>
      <c r="AI69" s="8">
        <f>Renta_Alta!AI69+Masivo!AI69+Consumo_Inicial!AI69</f>
        <v>0</v>
      </c>
      <c r="AJ69" s="8">
        <f>Renta_Alta!AJ69+Masivo!AJ69+Consumo_Inicial!AJ69</f>
        <v>0</v>
      </c>
      <c r="AK69" s="8">
        <f>Renta_Alta!AK69+Masivo!AK69+Consumo_Inicial!AK69</f>
        <v>0</v>
      </c>
      <c r="AL69" s="8">
        <f>Renta_Alta!AL69+Masivo!AL69+Consumo_Inicial!AL69</f>
        <v>0</v>
      </c>
      <c r="AM69" s="8">
        <f>Renta_Alta!AM69+Masivo!AM69+Consumo_Inicial!AM69</f>
        <v>0</v>
      </c>
      <c r="AN69" s="8">
        <f>Renta_Alta!AN69+Masivo!AN69+Consumo_Inicial!AN69</f>
        <v>0</v>
      </c>
      <c r="AO69" s="8">
        <f>Renta_Alta!AO69+Masivo!AO69+Consumo_Inicial!AO69</f>
        <v>0</v>
      </c>
      <c r="AP69" s="8">
        <f>Renta_Alta!AP69+Masivo!AP69+Consumo_Inicial!AP69</f>
        <v>0</v>
      </c>
      <c r="AQ69" s="8">
        <f>Renta_Alta!AQ69+Masivo!AQ69+Consumo_Inicial!AQ69</f>
        <v>0</v>
      </c>
      <c r="AR69" s="8">
        <f>Renta_Alta!AR69+Masivo!AR69+Consumo_Inicial!AR69</f>
        <v>0</v>
      </c>
      <c r="AS69" s="8">
        <f>Renta_Alta!AS69+Masivo!AS69+Consumo_Inicial!AS69</f>
        <v>0</v>
      </c>
      <c r="AT69" s="8">
        <f>Renta_Alta!AT69+Masivo!AT69+Consumo_Inicial!AT69</f>
        <v>0</v>
      </c>
      <c r="AU69" s="8">
        <f>Renta_Alta!AU69+Masivo!AU69+Consumo_Inicial!AU69</f>
        <v>0</v>
      </c>
      <c r="AV69" s="8">
        <f>Renta_Alta!AV69+Masivo!AV69+Consumo_Inicial!AV69</f>
        <v>0</v>
      </c>
      <c r="AW69" s="8">
        <f>Renta_Alta!AW69+Masivo!AW69+Consumo_Inicial!AW69</f>
        <v>0</v>
      </c>
      <c r="AX69" s="8">
        <f>Renta_Alta!AX69+Masivo!AX69+Consumo_Inicial!AX69</f>
        <v>0</v>
      </c>
      <c r="AY69" s="8">
        <f>Renta_Alta!AY69+Masivo!AY69+Consumo_Inicial!AY69</f>
        <v>0</v>
      </c>
      <c r="AZ69" s="8">
        <f>Renta_Alta!AZ69+Masivo!AZ69+Consumo_Inicial!AZ69</f>
        <v>0</v>
      </c>
      <c r="BA69" s="8">
        <f>Renta_Alta!BA69+Masivo!BA69+Consumo_Inicial!BA69</f>
        <v>0</v>
      </c>
      <c r="BB69" s="8">
        <f>Renta_Alta!BB69+Masivo!BB69+Consumo_Inicial!BB69</f>
        <v>0</v>
      </c>
      <c r="BC69" s="8">
        <f>Renta_Alta!BC69+Masivo!BC69+Consumo_Inicial!BC69</f>
        <v>0</v>
      </c>
      <c r="BD69" s="8">
        <f>Renta_Alta!BD69+Masivo!BD69+Consumo_Inicial!BD69</f>
        <v>0</v>
      </c>
      <c r="BE69" s="8">
        <f>Renta_Alta!BE69+Masivo!BE69+Consumo_Inicial!BE69</f>
        <v>0</v>
      </c>
      <c r="BF69" s="8">
        <f>Renta_Alta!BF69+Masivo!BF69+Consumo_Inicial!BF69</f>
        <v>0</v>
      </c>
      <c r="BG69" s="8">
        <f>Renta_Alta!BG69+Masivo!BG69+Consumo_Inicial!BG69</f>
        <v>0</v>
      </c>
      <c r="BH69" s="8">
        <f>Renta_Alta!BH69+Masivo!BH69+Consumo_Inicial!BH69</f>
        <v>0</v>
      </c>
      <c r="BI69" s="8">
        <f>Renta_Alta!BI69+Masivo!BI69+Consumo_Inicial!BI69</f>
        <v>0</v>
      </c>
      <c r="BJ69" s="8">
        <f>Renta_Alta!BJ69+Masivo!BJ69+Consumo_Inicial!BJ69</f>
        <v>0</v>
      </c>
      <c r="BK69" s="8">
        <f>Renta_Alta!BK69+Masivo!BK69+Consumo_Inicial!BK69</f>
        <v>0</v>
      </c>
      <c r="BO69" s="24">
        <f t="shared" si="68"/>
        <v>0</v>
      </c>
      <c r="BP69" s="24">
        <f t="shared" si="68"/>
        <v>0</v>
      </c>
      <c r="BQ69" s="24">
        <f t="shared" si="68"/>
        <v>0</v>
      </c>
      <c r="BR69" s="24">
        <f t="shared" si="68"/>
        <v>0</v>
      </c>
      <c r="BS69" s="24">
        <f t="shared" si="68"/>
        <v>0</v>
      </c>
      <c r="BT69" s="24">
        <f t="shared" si="68"/>
        <v>0</v>
      </c>
    </row>
    <row r="70" spans="1:72" hidden="1" outlineLevel="1" x14ac:dyDescent="0.25">
      <c r="A70" s="58" t="s">
        <v>71</v>
      </c>
      <c r="C70" s="59"/>
      <c r="D70" s="8">
        <f>Renta_Alta!D70+Masivo!D70+Consumo_Inicial!D70</f>
        <v>0</v>
      </c>
      <c r="E70" s="8">
        <f>Renta_Alta!E70+Masivo!E70+Consumo_Inicial!E70</f>
        <v>0</v>
      </c>
      <c r="F70" s="8">
        <f>Renta_Alta!F70+Masivo!F70+Consumo_Inicial!F70</f>
        <v>0</v>
      </c>
      <c r="G70" s="8">
        <f>Renta_Alta!G70+Masivo!G70+Consumo_Inicial!G70</f>
        <v>0</v>
      </c>
      <c r="H70" s="8">
        <f>Renta_Alta!H70+Masivo!H70+Consumo_Inicial!H70</f>
        <v>0</v>
      </c>
      <c r="I70" s="8">
        <f>Renta_Alta!I70+Masivo!I70+Consumo_Inicial!I70</f>
        <v>0</v>
      </c>
      <c r="J70" s="8">
        <f>Renta_Alta!J70+Masivo!J70+Consumo_Inicial!J70</f>
        <v>0</v>
      </c>
      <c r="K70" s="8">
        <f>Renta_Alta!K70+Masivo!K70+Consumo_Inicial!K70</f>
        <v>0</v>
      </c>
      <c r="L70" s="8">
        <f>Renta_Alta!L70+Masivo!L70+Consumo_Inicial!L70</f>
        <v>0</v>
      </c>
      <c r="M70" s="8">
        <f>Renta_Alta!M70+Masivo!M70+Consumo_Inicial!M70</f>
        <v>0</v>
      </c>
      <c r="N70" s="8">
        <f>Renta_Alta!N70+Masivo!N70+Consumo_Inicial!N70</f>
        <v>0</v>
      </c>
      <c r="O70" s="8">
        <f>Renta_Alta!O70+Masivo!O70+Consumo_Inicial!O70</f>
        <v>0</v>
      </c>
      <c r="P70" s="8">
        <f>Renta_Alta!P70+Masivo!P70+Consumo_Inicial!P70</f>
        <v>0</v>
      </c>
      <c r="Q70" s="8">
        <f>Renta_Alta!Q70+Masivo!Q70+Consumo_Inicial!Q70</f>
        <v>0</v>
      </c>
      <c r="R70" s="8">
        <f>Renta_Alta!R70+Masivo!R70+Consumo_Inicial!R70</f>
        <v>0</v>
      </c>
      <c r="S70" s="8">
        <f>Renta_Alta!S70+Masivo!S70+Consumo_Inicial!S70</f>
        <v>0</v>
      </c>
      <c r="T70" s="8">
        <f>Renta_Alta!T70+Masivo!T70+Consumo_Inicial!T70</f>
        <v>0</v>
      </c>
      <c r="U70" s="8">
        <f>Renta_Alta!U70+Masivo!U70+Consumo_Inicial!U70</f>
        <v>0</v>
      </c>
      <c r="V70" s="8">
        <f>Renta_Alta!V70+Masivo!V70+Consumo_Inicial!V70</f>
        <v>0</v>
      </c>
      <c r="W70" s="8">
        <f>Renta_Alta!W70+Masivo!W70+Consumo_Inicial!W70</f>
        <v>0</v>
      </c>
      <c r="X70" s="8">
        <f>Renta_Alta!X70+Masivo!X70+Consumo_Inicial!X70</f>
        <v>0</v>
      </c>
      <c r="Y70" s="8">
        <f>Renta_Alta!Y70+Masivo!Y70+Consumo_Inicial!Y70</f>
        <v>0</v>
      </c>
      <c r="Z70" s="8">
        <f>Renta_Alta!Z70+Masivo!Z70+Consumo_Inicial!Z70</f>
        <v>0</v>
      </c>
      <c r="AA70" s="8">
        <f>Renta_Alta!AA70+Masivo!AA70+Consumo_Inicial!AA70</f>
        <v>0</v>
      </c>
      <c r="AB70" s="8">
        <f>Renta_Alta!AB70+Masivo!AB70+Consumo_Inicial!AB70</f>
        <v>0</v>
      </c>
      <c r="AC70" s="8">
        <f>Renta_Alta!AC70+Masivo!AC70+Consumo_Inicial!AC70</f>
        <v>0</v>
      </c>
      <c r="AD70" s="8">
        <f>Renta_Alta!AD70+Masivo!AD70+Consumo_Inicial!AD70</f>
        <v>0</v>
      </c>
      <c r="AE70" s="8">
        <f>Renta_Alta!AE70+Masivo!AE70+Consumo_Inicial!AE70</f>
        <v>0</v>
      </c>
      <c r="AF70" s="8">
        <f>Renta_Alta!AF70+Masivo!AF70+Consumo_Inicial!AF70</f>
        <v>0</v>
      </c>
      <c r="AG70" s="8">
        <f>Renta_Alta!AG70+Masivo!AG70+Consumo_Inicial!AG70</f>
        <v>0</v>
      </c>
      <c r="AH70" s="8">
        <f>Renta_Alta!AH70+Masivo!AH70+Consumo_Inicial!AH70</f>
        <v>0</v>
      </c>
      <c r="AI70" s="8">
        <f>Renta_Alta!AI70+Masivo!AI70+Consumo_Inicial!AI70</f>
        <v>0</v>
      </c>
      <c r="AJ70" s="8">
        <f>Renta_Alta!AJ70+Masivo!AJ70+Consumo_Inicial!AJ70</f>
        <v>0</v>
      </c>
      <c r="AK70" s="8">
        <f>Renta_Alta!AK70+Masivo!AK70+Consumo_Inicial!AK70</f>
        <v>0</v>
      </c>
      <c r="AL70" s="8">
        <f>Renta_Alta!AL70+Masivo!AL70+Consumo_Inicial!AL70</f>
        <v>0</v>
      </c>
      <c r="AM70" s="8">
        <f>Renta_Alta!AM70+Masivo!AM70+Consumo_Inicial!AM70</f>
        <v>0</v>
      </c>
      <c r="AN70" s="8">
        <f>Renta_Alta!AN70+Masivo!AN70+Consumo_Inicial!AN70</f>
        <v>0</v>
      </c>
      <c r="AO70" s="8">
        <f>Renta_Alta!AO70+Masivo!AO70+Consumo_Inicial!AO70</f>
        <v>0</v>
      </c>
      <c r="AP70" s="8">
        <f>Renta_Alta!AP70+Masivo!AP70+Consumo_Inicial!AP70</f>
        <v>0</v>
      </c>
      <c r="AQ70" s="8">
        <f>Renta_Alta!AQ70+Masivo!AQ70+Consumo_Inicial!AQ70</f>
        <v>0</v>
      </c>
      <c r="AR70" s="8">
        <f>Renta_Alta!AR70+Masivo!AR70+Consumo_Inicial!AR70</f>
        <v>0</v>
      </c>
      <c r="AS70" s="8">
        <f>Renta_Alta!AS70+Masivo!AS70+Consumo_Inicial!AS70</f>
        <v>0</v>
      </c>
      <c r="AT70" s="8">
        <f>Renta_Alta!AT70+Masivo!AT70+Consumo_Inicial!AT70</f>
        <v>0</v>
      </c>
      <c r="AU70" s="8">
        <f>Renta_Alta!AU70+Masivo!AU70+Consumo_Inicial!AU70</f>
        <v>0</v>
      </c>
      <c r="AV70" s="8">
        <f>Renta_Alta!AV70+Masivo!AV70+Consumo_Inicial!AV70</f>
        <v>0</v>
      </c>
      <c r="AW70" s="8">
        <f>Renta_Alta!AW70+Masivo!AW70+Consumo_Inicial!AW70</f>
        <v>0</v>
      </c>
      <c r="AX70" s="8">
        <f>Renta_Alta!AX70+Masivo!AX70+Consumo_Inicial!AX70</f>
        <v>0</v>
      </c>
      <c r="AY70" s="8">
        <f>Renta_Alta!AY70+Masivo!AY70+Consumo_Inicial!AY70</f>
        <v>0</v>
      </c>
      <c r="AZ70" s="8">
        <f>Renta_Alta!AZ70+Masivo!AZ70+Consumo_Inicial!AZ70</f>
        <v>0</v>
      </c>
      <c r="BA70" s="8">
        <f>Renta_Alta!BA70+Masivo!BA70+Consumo_Inicial!BA70</f>
        <v>0</v>
      </c>
      <c r="BB70" s="8">
        <f>Renta_Alta!BB70+Masivo!BB70+Consumo_Inicial!BB70</f>
        <v>0</v>
      </c>
      <c r="BC70" s="8">
        <f>Renta_Alta!BC70+Masivo!BC70+Consumo_Inicial!BC70</f>
        <v>0</v>
      </c>
      <c r="BD70" s="8">
        <f>Renta_Alta!BD70+Masivo!BD70+Consumo_Inicial!BD70</f>
        <v>0</v>
      </c>
      <c r="BE70" s="8">
        <f>Renta_Alta!BE70+Masivo!BE70+Consumo_Inicial!BE70</f>
        <v>0</v>
      </c>
      <c r="BF70" s="8">
        <f>Renta_Alta!BF70+Masivo!BF70+Consumo_Inicial!BF70</f>
        <v>0</v>
      </c>
      <c r="BG70" s="8">
        <f>Renta_Alta!BG70+Masivo!BG70+Consumo_Inicial!BG70</f>
        <v>0</v>
      </c>
      <c r="BH70" s="8">
        <f>Renta_Alta!BH70+Masivo!BH70+Consumo_Inicial!BH70</f>
        <v>0</v>
      </c>
      <c r="BI70" s="8">
        <f>Renta_Alta!BI70+Masivo!BI70+Consumo_Inicial!BI70</f>
        <v>0</v>
      </c>
      <c r="BJ70" s="8">
        <f>Renta_Alta!BJ70+Masivo!BJ70+Consumo_Inicial!BJ70</f>
        <v>0</v>
      </c>
      <c r="BK70" s="8">
        <f>Renta_Alta!BK70+Masivo!BK70+Consumo_Inicial!BK70</f>
        <v>0</v>
      </c>
      <c r="BO70" s="24">
        <f t="shared" si="68"/>
        <v>0</v>
      </c>
      <c r="BP70" s="24">
        <f t="shared" si="68"/>
        <v>0</v>
      </c>
      <c r="BQ70" s="24">
        <f t="shared" si="68"/>
        <v>0</v>
      </c>
      <c r="BR70" s="24">
        <f t="shared" si="68"/>
        <v>0</v>
      </c>
      <c r="BS70" s="24">
        <f t="shared" si="68"/>
        <v>0</v>
      </c>
      <c r="BT70" s="24">
        <f t="shared" si="68"/>
        <v>0</v>
      </c>
    </row>
    <row r="71" spans="1:72" hidden="1" outlineLevel="1" x14ac:dyDescent="0.25">
      <c r="A71" s="58" t="s">
        <v>71</v>
      </c>
      <c r="C71" s="59"/>
      <c r="D71" s="8">
        <f>Renta_Alta!D71+Masivo!D71+Consumo_Inicial!D71</f>
        <v>0</v>
      </c>
      <c r="E71" s="8">
        <f>Renta_Alta!E71+Masivo!E71+Consumo_Inicial!E71</f>
        <v>0</v>
      </c>
      <c r="F71" s="8">
        <f>Renta_Alta!F71+Masivo!F71+Consumo_Inicial!F71</f>
        <v>0</v>
      </c>
      <c r="G71" s="8">
        <f>Renta_Alta!G71+Masivo!G71+Consumo_Inicial!G71</f>
        <v>0</v>
      </c>
      <c r="H71" s="8">
        <f>Renta_Alta!H71+Masivo!H71+Consumo_Inicial!H71</f>
        <v>0</v>
      </c>
      <c r="I71" s="8">
        <f>Renta_Alta!I71+Masivo!I71+Consumo_Inicial!I71</f>
        <v>0</v>
      </c>
      <c r="J71" s="8">
        <f>Renta_Alta!J71+Masivo!J71+Consumo_Inicial!J71</f>
        <v>0</v>
      </c>
      <c r="K71" s="8">
        <f>Renta_Alta!K71+Masivo!K71+Consumo_Inicial!K71</f>
        <v>0</v>
      </c>
      <c r="L71" s="8">
        <f>Renta_Alta!L71+Masivo!L71+Consumo_Inicial!L71</f>
        <v>0</v>
      </c>
      <c r="M71" s="8">
        <f>Renta_Alta!M71+Masivo!M71+Consumo_Inicial!M71</f>
        <v>0</v>
      </c>
      <c r="N71" s="8">
        <f>Renta_Alta!N71+Masivo!N71+Consumo_Inicial!N71</f>
        <v>0</v>
      </c>
      <c r="O71" s="8">
        <f>Renta_Alta!O71+Masivo!O71+Consumo_Inicial!O71</f>
        <v>0</v>
      </c>
      <c r="P71" s="8">
        <f>Renta_Alta!P71+Masivo!P71+Consumo_Inicial!P71</f>
        <v>0</v>
      </c>
      <c r="Q71" s="8">
        <f>Renta_Alta!Q71+Masivo!Q71+Consumo_Inicial!Q71</f>
        <v>0</v>
      </c>
      <c r="R71" s="8">
        <f>Renta_Alta!R71+Masivo!R71+Consumo_Inicial!R71</f>
        <v>0</v>
      </c>
      <c r="S71" s="8">
        <f>Renta_Alta!S71+Masivo!S71+Consumo_Inicial!S71</f>
        <v>0</v>
      </c>
      <c r="T71" s="8">
        <f>Renta_Alta!T71+Masivo!T71+Consumo_Inicial!T71</f>
        <v>0</v>
      </c>
      <c r="U71" s="8">
        <f>Renta_Alta!U71+Masivo!U71+Consumo_Inicial!U71</f>
        <v>0</v>
      </c>
      <c r="V71" s="8">
        <f>Renta_Alta!V71+Masivo!V71+Consumo_Inicial!V71</f>
        <v>0</v>
      </c>
      <c r="W71" s="8">
        <f>Renta_Alta!W71+Masivo!W71+Consumo_Inicial!W71</f>
        <v>0</v>
      </c>
      <c r="X71" s="8">
        <f>Renta_Alta!X71+Masivo!X71+Consumo_Inicial!X71</f>
        <v>0</v>
      </c>
      <c r="Y71" s="8">
        <f>Renta_Alta!Y71+Masivo!Y71+Consumo_Inicial!Y71</f>
        <v>0</v>
      </c>
      <c r="Z71" s="8">
        <f>Renta_Alta!Z71+Masivo!Z71+Consumo_Inicial!Z71</f>
        <v>0</v>
      </c>
      <c r="AA71" s="8">
        <f>Renta_Alta!AA71+Masivo!AA71+Consumo_Inicial!AA71</f>
        <v>0</v>
      </c>
      <c r="AB71" s="8">
        <f>Renta_Alta!AB71+Masivo!AB71+Consumo_Inicial!AB71</f>
        <v>0</v>
      </c>
      <c r="AC71" s="8">
        <f>Renta_Alta!AC71+Masivo!AC71+Consumo_Inicial!AC71</f>
        <v>0</v>
      </c>
      <c r="AD71" s="8">
        <f>Renta_Alta!AD71+Masivo!AD71+Consumo_Inicial!AD71</f>
        <v>0</v>
      </c>
      <c r="AE71" s="8">
        <f>Renta_Alta!AE71+Masivo!AE71+Consumo_Inicial!AE71</f>
        <v>0</v>
      </c>
      <c r="AF71" s="8">
        <f>Renta_Alta!AF71+Masivo!AF71+Consumo_Inicial!AF71</f>
        <v>0</v>
      </c>
      <c r="AG71" s="8">
        <f>Renta_Alta!AG71+Masivo!AG71+Consumo_Inicial!AG71</f>
        <v>0</v>
      </c>
      <c r="AH71" s="8">
        <f>Renta_Alta!AH71+Masivo!AH71+Consumo_Inicial!AH71</f>
        <v>0</v>
      </c>
      <c r="AI71" s="8">
        <f>Renta_Alta!AI71+Masivo!AI71+Consumo_Inicial!AI71</f>
        <v>0</v>
      </c>
      <c r="AJ71" s="8">
        <f>Renta_Alta!AJ71+Masivo!AJ71+Consumo_Inicial!AJ71</f>
        <v>0</v>
      </c>
      <c r="AK71" s="8">
        <f>Renta_Alta!AK71+Masivo!AK71+Consumo_Inicial!AK71</f>
        <v>0</v>
      </c>
      <c r="AL71" s="8">
        <f>Renta_Alta!AL71+Masivo!AL71+Consumo_Inicial!AL71</f>
        <v>0</v>
      </c>
      <c r="AM71" s="8">
        <f>Renta_Alta!AM71+Masivo!AM71+Consumo_Inicial!AM71</f>
        <v>0</v>
      </c>
      <c r="AN71" s="8">
        <f>Renta_Alta!AN71+Masivo!AN71+Consumo_Inicial!AN71</f>
        <v>0</v>
      </c>
      <c r="AO71" s="8">
        <f>Renta_Alta!AO71+Masivo!AO71+Consumo_Inicial!AO71</f>
        <v>0</v>
      </c>
      <c r="AP71" s="8">
        <f>Renta_Alta!AP71+Masivo!AP71+Consumo_Inicial!AP71</f>
        <v>0</v>
      </c>
      <c r="AQ71" s="8">
        <f>Renta_Alta!AQ71+Masivo!AQ71+Consumo_Inicial!AQ71</f>
        <v>0</v>
      </c>
      <c r="AR71" s="8">
        <f>Renta_Alta!AR71+Masivo!AR71+Consumo_Inicial!AR71</f>
        <v>0</v>
      </c>
      <c r="AS71" s="8">
        <f>Renta_Alta!AS71+Masivo!AS71+Consumo_Inicial!AS71</f>
        <v>0</v>
      </c>
      <c r="AT71" s="8">
        <f>Renta_Alta!AT71+Masivo!AT71+Consumo_Inicial!AT71</f>
        <v>0</v>
      </c>
      <c r="AU71" s="8">
        <f>Renta_Alta!AU71+Masivo!AU71+Consumo_Inicial!AU71</f>
        <v>0</v>
      </c>
      <c r="AV71" s="8">
        <f>Renta_Alta!AV71+Masivo!AV71+Consumo_Inicial!AV71</f>
        <v>0</v>
      </c>
      <c r="AW71" s="8">
        <f>Renta_Alta!AW71+Masivo!AW71+Consumo_Inicial!AW71</f>
        <v>0</v>
      </c>
      <c r="AX71" s="8">
        <f>Renta_Alta!AX71+Masivo!AX71+Consumo_Inicial!AX71</f>
        <v>0</v>
      </c>
      <c r="AY71" s="8">
        <f>Renta_Alta!AY71+Masivo!AY71+Consumo_Inicial!AY71</f>
        <v>0</v>
      </c>
      <c r="AZ71" s="8">
        <f>Renta_Alta!AZ71+Masivo!AZ71+Consumo_Inicial!AZ71</f>
        <v>0</v>
      </c>
      <c r="BA71" s="8">
        <f>Renta_Alta!BA71+Masivo!BA71+Consumo_Inicial!BA71</f>
        <v>0</v>
      </c>
      <c r="BB71" s="8">
        <f>Renta_Alta!BB71+Masivo!BB71+Consumo_Inicial!BB71</f>
        <v>0</v>
      </c>
      <c r="BC71" s="8">
        <f>Renta_Alta!BC71+Masivo!BC71+Consumo_Inicial!BC71</f>
        <v>0</v>
      </c>
      <c r="BD71" s="8">
        <f>Renta_Alta!BD71+Masivo!BD71+Consumo_Inicial!BD71</f>
        <v>0</v>
      </c>
      <c r="BE71" s="8">
        <f>Renta_Alta!BE71+Masivo!BE71+Consumo_Inicial!BE71</f>
        <v>0</v>
      </c>
      <c r="BF71" s="8">
        <f>Renta_Alta!BF71+Masivo!BF71+Consumo_Inicial!BF71</f>
        <v>0</v>
      </c>
      <c r="BG71" s="8">
        <f>Renta_Alta!BG71+Masivo!BG71+Consumo_Inicial!BG71</f>
        <v>0</v>
      </c>
      <c r="BH71" s="8">
        <f>Renta_Alta!BH71+Masivo!BH71+Consumo_Inicial!BH71</f>
        <v>0</v>
      </c>
      <c r="BI71" s="8">
        <f>Renta_Alta!BI71+Masivo!BI71+Consumo_Inicial!BI71</f>
        <v>0</v>
      </c>
      <c r="BJ71" s="8">
        <f>Renta_Alta!BJ71+Masivo!BJ71+Consumo_Inicial!BJ71</f>
        <v>0</v>
      </c>
      <c r="BK71" s="8">
        <f>Renta_Alta!BK71+Masivo!BK71+Consumo_Inicial!BK71</f>
        <v>0</v>
      </c>
      <c r="BO71" s="24">
        <f t="shared" si="68"/>
        <v>0</v>
      </c>
      <c r="BP71" s="24">
        <f t="shared" si="68"/>
        <v>0</v>
      </c>
      <c r="BQ71" s="24">
        <f t="shared" si="68"/>
        <v>0</v>
      </c>
      <c r="BR71" s="24">
        <f t="shared" si="68"/>
        <v>0</v>
      </c>
      <c r="BS71" s="24">
        <f t="shared" si="68"/>
        <v>0</v>
      </c>
      <c r="BT71" s="24">
        <f t="shared" si="68"/>
        <v>0</v>
      </c>
    </row>
    <row r="72" spans="1:72" hidden="1" outlineLevel="1" x14ac:dyDescent="0.25">
      <c r="A72" s="58" t="s">
        <v>71</v>
      </c>
      <c r="C72" s="59"/>
      <c r="D72" s="8">
        <f>Renta_Alta!D72+Masivo!D72+Consumo_Inicial!D72</f>
        <v>0</v>
      </c>
      <c r="E72" s="8">
        <f>Renta_Alta!E72+Masivo!E72+Consumo_Inicial!E72</f>
        <v>0</v>
      </c>
      <c r="F72" s="8">
        <f>Renta_Alta!F72+Masivo!F72+Consumo_Inicial!F72</f>
        <v>0</v>
      </c>
      <c r="G72" s="8">
        <f>Renta_Alta!G72+Masivo!G72+Consumo_Inicial!G72</f>
        <v>0</v>
      </c>
      <c r="H72" s="8">
        <f>Renta_Alta!H72+Masivo!H72+Consumo_Inicial!H72</f>
        <v>0</v>
      </c>
      <c r="I72" s="8">
        <f>Renta_Alta!I72+Masivo!I72+Consumo_Inicial!I72</f>
        <v>0</v>
      </c>
      <c r="J72" s="8">
        <f>Renta_Alta!J72+Masivo!J72+Consumo_Inicial!J72</f>
        <v>0</v>
      </c>
      <c r="K72" s="8">
        <f>Renta_Alta!K72+Masivo!K72+Consumo_Inicial!K72</f>
        <v>0</v>
      </c>
      <c r="L72" s="8">
        <f>Renta_Alta!L72+Masivo!L72+Consumo_Inicial!L72</f>
        <v>0</v>
      </c>
      <c r="M72" s="8">
        <f>Renta_Alta!M72+Masivo!M72+Consumo_Inicial!M72</f>
        <v>0</v>
      </c>
      <c r="N72" s="8">
        <f>Renta_Alta!N72+Masivo!N72+Consumo_Inicial!N72</f>
        <v>0</v>
      </c>
      <c r="O72" s="8">
        <f>Renta_Alta!O72+Masivo!O72+Consumo_Inicial!O72</f>
        <v>0</v>
      </c>
      <c r="P72" s="8">
        <f>Renta_Alta!P72+Masivo!P72+Consumo_Inicial!P72</f>
        <v>0</v>
      </c>
      <c r="Q72" s="8">
        <f>Renta_Alta!Q72+Masivo!Q72+Consumo_Inicial!Q72</f>
        <v>0</v>
      </c>
      <c r="R72" s="8">
        <f>Renta_Alta!R72+Masivo!R72+Consumo_Inicial!R72</f>
        <v>0</v>
      </c>
      <c r="S72" s="8">
        <f>Renta_Alta!S72+Masivo!S72+Consumo_Inicial!S72</f>
        <v>0</v>
      </c>
      <c r="T72" s="8">
        <f>Renta_Alta!T72+Masivo!T72+Consumo_Inicial!T72</f>
        <v>0</v>
      </c>
      <c r="U72" s="8">
        <f>Renta_Alta!U72+Masivo!U72+Consumo_Inicial!U72</f>
        <v>0</v>
      </c>
      <c r="V72" s="8">
        <f>Renta_Alta!V72+Masivo!V72+Consumo_Inicial!V72</f>
        <v>0</v>
      </c>
      <c r="W72" s="8">
        <f>Renta_Alta!W72+Masivo!W72+Consumo_Inicial!W72</f>
        <v>0</v>
      </c>
      <c r="X72" s="8">
        <f>Renta_Alta!X72+Masivo!X72+Consumo_Inicial!X72</f>
        <v>0</v>
      </c>
      <c r="Y72" s="8">
        <f>Renta_Alta!Y72+Masivo!Y72+Consumo_Inicial!Y72</f>
        <v>0</v>
      </c>
      <c r="Z72" s="8">
        <f>Renta_Alta!Z72+Masivo!Z72+Consumo_Inicial!Z72</f>
        <v>0</v>
      </c>
      <c r="AA72" s="8">
        <f>Renta_Alta!AA72+Masivo!AA72+Consumo_Inicial!AA72</f>
        <v>0</v>
      </c>
      <c r="AB72" s="8">
        <f>Renta_Alta!AB72+Masivo!AB72+Consumo_Inicial!AB72</f>
        <v>0</v>
      </c>
      <c r="AC72" s="8">
        <f>Renta_Alta!AC72+Masivo!AC72+Consumo_Inicial!AC72</f>
        <v>0</v>
      </c>
      <c r="AD72" s="8">
        <f>Renta_Alta!AD72+Masivo!AD72+Consumo_Inicial!AD72</f>
        <v>0</v>
      </c>
      <c r="AE72" s="8">
        <f>Renta_Alta!AE72+Masivo!AE72+Consumo_Inicial!AE72</f>
        <v>0</v>
      </c>
      <c r="AF72" s="8">
        <f>Renta_Alta!AF72+Masivo!AF72+Consumo_Inicial!AF72</f>
        <v>0</v>
      </c>
      <c r="AG72" s="8">
        <f>Renta_Alta!AG72+Masivo!AG72+Consumo_Inicial!AG72</f>
        <v>0</v>
      </c>
      <c r="AH72" s="8">
        <f>Renta_Alta!AH72+Masivo!AH72+Consumo_Inicial!AH72</f>
        <v>0</v>
      </c>
      <c r="AI72" s="8">
        <f>Renta_Alta!AI72+Masivo!AI72+Consumo_Inicial!AI72</f>
        <v>0</v>
      </c>
      <c r="AJ72" s="8">
        <f>Renta_Alta!AJ72+Masivo!AJ72+Consumo_Inicial!AJ72</f>
        <v>0</v>
      </c>
      <c r="AK72" s="8">
        <f>Renta_Alta!AK72+Masivo!AK72+Consumo_Inicial!AK72</f>
        <v>0</v>
      </c>
      <c r="AL72" s="8">
        <f>Renta_Alta!AL72+Masivo!AL72+Consumo_Inicial!AL72</f>
        <v>0</v>
      </c>
      <c r="AM72" s="8">
        <f>Renta_Alta!AM72+Masivo!AM72+Consumo_Inicial!AM72</f>
        <v>0</v>
      </c>
      <c r="AN72" s="8">
        <f>Renta_Alta!AN72+Masivo!AN72+Consumo_Inicial!AN72</f>
        <v>0</v>
      </c>
      <c r="AO72" s="8">
        <f>Renta_Alta!AO72+Masivo!AO72+Consumo_Inicial!AO72</f>
        <v>0</v>
      </c>
      <c r="AP72" s="8">
        <f>Renta_Alta!AP72+Masivo!AP72+Consumo_Inicial!AP72</f>
        <v>0</v>
      </c>
      <c r="AQ72" s="8">
        <f>Renta_Alta!AQ72+Masivo!AQ72+Consumo_Inicial!AQ72</f>
        <v>0</v>
      </c>
      <c r="AR72" s="8">
        <f>Renta_Alta!AR72+Masivo!AR72+Consumo_Inicial!AR72</f>
        <v>0</v>
      </c>
      <c r="AS72" s="8">
        <f>Renta_Alta!AS72+Masivo!AS72+Consumo_Inicial!AS72</f>
        <v>0</v>
      </c>
      <c r="AT72" s="8">
        <f>Renta_Alta!AT72+Masivo!AT72+Consumo_Inicial!AT72</f>
        <v>0</v>
      </c>
      <c r="AU72" s="8">
        <f>Renta_Alta!AU72+Masivo!AU72+Consumo_Inicial!AU72</f>
        <v>0</v>
      </c>
      <c r="AV72" s="8">
        <f>Renta_Alta!AV72+Masivo!AV72+Consumo_Inicial!AV72</f>
        <v>0</v>
      </c>
      <c r="AW72" s="8">
        <f>Renta_Alta!AW72+Masivo!AW72+Consumo_Inicial!AW72</f>
        <v>0</v>
      </c>
      <c r="AX72" s="8">
        <f>Renta_Alta!AX72+Masivo!AX72+Consumo_Inicial!AX72</f>
        <v>0</v>
      </c>
      <c r="AY72" s="8">
        <f>Renta_Alta!AY72+Masivo!AY72+Consumo_Inicial!AY72</f>
        <v>0</v>
      </c>
      <c r="AZ72" s="8">
        <f>Renta_Alta!AZ72+Masivo!AZ72+Consumo_Inicial!AZ72</f>
        <v>0</v>
      </c>
      <c r="BA72" s="8">
        <f>Renta_Alta!BA72+Masivo!BA72+Consumo_Inicial!BA72</f>
        <v>0</v>
      </c>
      <c r="BB72" s="8">
        <f>Renta_Alta!BB72+Masivo!BB72+Consumo_Inicial!BB72</f>
        <v>0</v>
      </c>
      <c r="BC72" s="8">
        <f>Renta_Alta!BC72+Masivo!BC72+Consumo_Inicial!BC72</f>
        <v>0</v>
      </c>
      <c r="BD72" s="8">
        <f>Renta_Alta!BD72+Masivo!BD72+Consumo_Inicial!BD72</f>
        <v>0</v>
      </c>
      <c r="BE72" s="8">
        <f>Renta_Alta!BE72+Masivo!BE72+Consumo_Inicial!BE72</f>
        <v>0</v>
      </c>
      <c r="BF72" s="8">
        <f>Renta_Alta!BF72+Masivo!BF72+Consumo_Inicial!BF72</f>
        <v>0</v>
      </c>
      <c r="BG72" s="8">
        <f>Renta_Alta!BG72+Masivo!BG72+Consumo_Inicial!BG72</f>
        <v>0</v>
      </c>
      <c r="BH72" s="8">
        <f>Renta_Alta!BH72+Masivo!BH72+Consumo_Inicial!BH72</f>
        <v>0</v>
      </c>
      <c r="BI72" s="8">
        <f>Renta_Alta!BI72+Masivo!BI72+Consumo_Inicial!BI72</f>
        <v>0</v>
      </c>
      <c r="BJ72" s="8">
        <f>Renta_Alta!BJ72+Masivo!BJ72+Consumo_Inicial!BJ72</f>
        <v>0</v>
      </c>
      <c r="BK72" s="8">
        <f>Renta_Alta!BK72+Masivo!BK72+Consumo_Inicial!BK72</f>
        <v>0</v>
      </c>
      <c r="BO72" s="24">
        <f t="shared" si="68"/>
        <v>0</v>
      </c>
      <c r="BP72" s="24">
        <f t="shared" si="68"/>
        <v>0</v>
      </c>
      <c r="BQ72" s="24">
        <f t="shared" si="68"/>
        <v>0</v>
      </c>
      <c r="BR72" s="24">
        <f t="shared" si="68"/>
        <v>0</v>
      </c>
      <c r="BS72" s="24">
        <f t="shared" si="68"/>
        <v>0</v>
      </c>
      <c r="BT72" s="24">
        <f t="shared" si="68"/>
        <v>0</v>
      </c>
    </row>
    <row r="73" spans="1:72" hidden="1" outlineLevel="1" x14ac:dyDescent="0.25">
      <c r="A73" s="58" t="s">
        <v>71</v>
      </c>
      <c r="C73" s="59"/>
      <c r="D73" s="8">
        <f>Renta_Alta!D73+Masivo!D73+Consumo_Inicial!D73</f>
        <v>0</v>
      </c>
      <c r="E73" s="8">
        <f>Renta_Alta!E73+Masivo!E73+Consumo_Inicial!E73</f>
        <v>0</v>
      </c>
      <c r="F73" s="8">
        <f>Renta_Alta!F73+Masivo!F73+Consumo_Inicial!F73</f>
        <v>0</v>
      </c>
      <c r="G73" s="8">
        <f>Renta_Alta!G73+Masivo!G73+Consumo_Inicial!G73</f>
        <v>0</v>
      </c>
      <c r="H73" s="8">
        <f>Renta_Alta!H73+Masivo!H73+Consumo_Inicial!H73</f>
        <v>0</v>
      </c>
      <c r="I73" s="8">
        <f>Renta_Alta!I73+Masivo!I73+Consumo_Inicial!I73</f>
        <v>0</v>
      </c>
      <c r="J73" s="8">
        <f>Renta_Alta!J73+Masivo!J73+Consumo_Inicial!J73</f>
        <v>0</v>
      </c>
      <c r="K73" s="8">
        <f>Renta_Alta!K73+Masivo!K73+Consumo_Inicial!K73</f>
        <v>0</v>
      </c>
      <c r="L73" s="8">
        <f>Renta_Alta!L73+Masivo!L73+Consumo_Inicial!L73</f>
        <v>0</v>
      </c>
      <c r="M73" s="8">
        <f>Renta_Alta!M73+Masivo!M73+Consumo_Inicial!M73</f>
        <v>0</v>
      </c>
      <c r="N73" s="8">
        <f>Renta_Alta!N73+Masivo!N73+Consumo_Inicial!N73</f>
        <v>0</v>
      </c>
      <c r="O73" s="8">
        <f>Renta_Alta!O73+Masivo!O73+Consumo_Inicial!O73</f>
        <v>0</v>
      </c>
      <c r="P73" s="8">
        <f>Renta_Alta!P73+Masivo!P73+Consumo_Inicial!P73</f>
        <v>0</v>
      </c>
      <c r="Q73" s="8">
        <f>Renta_Alta!Q73+Masivo!Q73+Consumo_Inicial!Q73</f>
        <v>0</v>
      </c>
      <c r="R73" s="8">
        <f>Renta_Alta!R73+Masivo!R73+Consumo_Inicial!R73</f>
        <v>0</v>
      </c>
      <c r="S73" s="8">
        <f>Renta_Alta!S73+Masivo!S73+Consumo_Inicial!S73</f>
        <v>0</v>
      </c>
      <c r="T73" s="8">
        <f>Renta_Alta!T73+Masivo!T73+Consumo_Inicial!T73</f>
        <v>0</v>
      </c>
      <c r="U73" s="8">
        <f>Renta_Alta!U73+Masivo!U73+Consumo_Inicial!U73</f>
        <v>0</v>
      </c>
      <c r="V73" s="8">
        <f>Renta_Alta!V73+Masivo!V73+Consumo_Inicial!V73</f>
        <v>0</v>
      </c>
      <c r="W73" s="8">
        <f>Renta_Alta!W73+Masivo!W73+Consumo_Inicial!W73</f>
        <v>0</v>
      </c>
      <c r="X73" s="8">
        <f>Renta_Alta!X73+Masivo!X73+Consumo_Inicial!X73</f>
        <v>0</v>
      </c>
      <c r="Y73" s="8">
        <f>Renta_Alta!Y73+Masivo!Y73+Consumo_Inicial!Y73</f>
        <v>0</v>
      </c>
      <c r="Z73" s="8">
        <f>Renta_Alta!Z73+Masivo!Z73+Consumo_Inicial!Z73</f>
        <v>0</v>
      </c>
      <c r="AA73" s="8">
        <f>Renta_Alta!AA73+Masivo!AA73+Consumo_Inicial!AA73</f>
        <v>0</v>
      </c>
      <c r="AB73" s="8">
        <f>Renta_Alta!AB73+Masivo!AB73+Consumo_Inicial!AB73</f>
        <v>0</v>
      </c>
      <c r="AC73" s="8">
        <f>Renta_Alta!AC73+Masivo!AC73+Consumo_Inicial!AC73</f>
        <v>0</v>
      </c>
      <c r="AD73" s="8">
        <f>Renta_Alta!AD73+Masivo!AD73+Consumo_Inicial!AD73</f>
        <v>0</v>
      </c>
      <c r="AE73" s="8">
        <f>Renta_Alta!AE73+Masivo!AE73+Consumo_Inicial!AE73</f>
        <v>0</v>
      </c>
      <c r="AF73" s="8">
        <f>Renta_Alta!AF73+Masivo!AF73+Consumo_Inicial!AF73</f>
        <v>0</v>
      </c>
      <c r="AG73" s="8">
        <f>Renta_Alta!AG73+Masivo!AG73+Consumo_Inicial!AG73</f>
        <v>0</v>
      </c>
      <c r="AH73" s="8">
        <f>Renta_Alta!AH73+Masivo!AH73+Consumo_Inicial!AH73</f>
        <v>0</v>
      </c>
      <c r="AI73" s="8">
        <f>Renta_Alta!AI73+Masivo!AI73+Consumo_Inicial!AI73</f>
        <v>0</v>
      </c>
      <c r="AJ73" s="8">
        <f>Renta_Alta!AJ73+Masivo!AJ73+Consumo_Inicial!AJ73</f>
        <v>0</v>
      </c>
      <c r="AK73" s="8">
        <f>Renta_Alta!AK73+Masivo!AK73+Consumo_Inicial!AK73</f>
        <v>0</v>
      </c>
      <c r="AL73" s="8">
        <f>Renta_Alta!AL73+Masivo!AL73+Consumo_Inicial!AL73</f>
        <v>0</v>
      </c>
      <c r="AM73" s="8">
        <f>Renta_Alta!AM73+Masivo!AM73+Consumo_Inicial!AM73</f>
        <v>0</v>
      </c>
      <c r="AN73" s="8">
        <f>Renta_Alta!AN73+Masivo!AN73+Consumo_Inicial!AN73</f>
        <v>0</v>
      </c>
      <c r="AO73" s="8">
        <f>Renta_Alta!AO73+Masivo!AO73+Consumo_Inicial!AO73</f>
        <v>0</v>
      </c>
      <c r="AP73" s="8">
        <f>Renta_Alta!AP73+Masivo!AP73+Consumo_Inicial!AP73</f>
        <v>0</v>
      </c>
      <c r="AQ73" s="8">
        <f>Renta_Alta!AQ73+Masivo!AQ73+Consumo_Inicial!AQ73</f>
        <v>0</v>
      </c>
      <c r="AR73" s="8">
        <f>Renta_Alta!AR73+Masivo!AR73+Consumo_Inicial!AR73</f>
        <v>0</v>
      </c>
      <c r="AS73" s="8">
        <f>Renta_Alta!AS73+Masivo!AS73+Consumo_Inicial!AS73</f>
        <v>0</v>
      </c>
      <c r="AT73" s="8">
        <f>Renta_Alta!AT73+Masivo!AT73+Consumo_Inicial!AT73</f>
        <v>0</v>
      </c>
      <c r="AU73" s="8">
        <f>Renta_Alta!AU73+Masivo!AU73+Consumo_Inicial!AU73</f>
        <v>0</v>
      </c>
      <c r="AV73" s="8">
        <f>Renta_Alta!AV73+Masivo!AV73+Consumo_Inicial!AV73</f>
        <v>0</v>
      </c>
      <c r="AW73" s="8">
        <f>Renta_Alta!AW73+Masivo!AW73+Consumo_Inicial!AW73</f>
        <v>0</v>
      </c>
      <c r="AX73" s="8">
        <f>Renta_Alta!AX73+Masivo!AX73+Consumo_Inicial!AX73</f>
        <v>0</v>
      </c>
      <c r="AY73" s="8">
        <f>Renta_Alta!AY73+Masivo!AY73+Consumo_Inicial!AY73</f>
        <v>0</v>
      </c>
      <c r="AZ73" s="8">
        <f>Renta_Alta!AZ73+Masivo!AZ73+Consumo_Inicial!AZ73</f>
        <v>0</v>
      </c>
      <c r="BA73" s="8">
        <f>Renta_Alta!BA73+Masivo!BA73+Consumo_Inicial!BA73</f>
        <v>0</v>
      </c>
      <c r="BB73" s="8">
        <f>Renta_Alta!BB73+Masivo!BB73+Consumo_Inicial!BB73</f>
        <v>0</v>
      </c>
      <c r="BC73" s="8">
        <f>Renta_Alta!BC73+Masivo!BC73+Consumo_Inicial!BC73</f>
        <v>0</v>
      </c>
      <c r="BD73" s="8">
        <f>Renta_Alta!BD73+Masivo!BD73+Consumo_Inicial!BD73</f>
        <v>0</v>
      </c>
      <c r="BE73" s="8">
        <f>Renta_Alta!BE73+Masivo!BE73+Consumo_Inicial!BE73</f>
        <v>0</v>
      </c>
      <c r="BF73" s="8">
        <f>Renta_Alta!BF73+Masivo!BF73+Consumo_Inicial!BF73</f>
        <v>0</v>
      </c>
      <c r="BG73" s="8">
        <f>Renta_Alta!BG73+Masivo!BG73+Consumo_Inicial!BG73</f>
        <v>0</v>
      </c>
      <c r="BH73" s="8">
        <f>Renta_Alta!BH73+Masivo!BH73+Consumo_Inicial!BH73</f>
        <v>0</v>
      </c>
      <c r="BI73" s="8">
        <f>Renta_Alta!BI73+Masivo!BI73+Consumo_Inicial!BI73</f>
        <v>0</v>
      </c>
      <c r="BJ73" s="8">
        <f>Renta_Alta!BJ73+Masivo!BJ73+Consumo_Inicial!BJ73</f>
        <v>0</v>
      </c>
      <c r="BK73" s="8">
        <f>Renta_Alta!BK73+Masivo!BK73+Consumo_Inicial!BK73</f>
        <v>0</v>
      </c>
      <c r="BO73" s="24">
        <f t="shared" ref="BO73:BT82" si="69">SUMIFS($D73:$BM73,$D$6:$BM$6,"&gt;="&amp;BO$2,$D$6:$BM$6,"&lt;="&amp;BO$6,$D$5:$BM$5,BO$5)</f>
        <v>0</v>
      </c>
      <c r="BP73" s="24">
        <f t="shared" si="69"/>
        <v>0</v>
      </c>
      <c r="BQ73" s="24">
        <f t="shared" si="69"/>
        <v>0</v>
      </c>
      <c r="BR73" s="24">
        <f t="shared" si="69"/>
        <v>0</v>
      </c>
      <c r="BS73" s="24">
        <f t="shared" si="69"/>
        <v>0</v>
      </c>
      <c r="BT73" s="24">
        <f t="shared" si="69"/>
        <v>0</v>
      </c>
    </row>
    <row r="74" spans="1:72" hidden="1" outlineLevel="1" x14ac:dyDescent="0.25">
      <c r="A74" s="58" t="s">
        <v>71</v>
      </c>
      <c r="C74" s="59"/>
      <c r="D74" s="8">
        <f>Renta_Alta!D74+Masivo!D74+Consumo_Inicial!D74</f>
        <v>0</v>
      </c>
      <c r="E74" s="8">
        <f>Renta_Alta!E74+Masivo!E74+Consumo_Inicial!E74</f>
        <v>0</v>
      </c>
      <c r="F74" s="8">
        <f>Renta_Alta!F74+Masivo!F74+Consumo_Inicial!F74</f>
        <v>0</v>
      </c>
      <c r="G74" s="8">
        <f>Renta_Alta!G74+Masivo!G74+Consumo_Inicial!G74</f>
        <v>0</v>
      </c>
      <c r="H74" s="8">
        <f>Renta_Alta!H74+Masivo!H74+Consumo_Inicial!H74</f>
        <v>0</v>
      </c>
      <c r="I74" s="8">
        <f>Renta_Alta!I74+Masivo!I74+Consumo_Inicial!I74</f>
        <v>0</v>
      </c>
      <c r="J74" s="8">
        <f>Renta_Alta!J74+Masivo!J74+Consumo_Inicial!J74</f>
        <v>0</v>
      </c>
      <c r="K74" s="8">
        <f>Renta_Alta!K74+Masivo!K74+Consumo_Inicial!K74</f>
        <v>0</v>
      </c>
      <c r="L74" s="8">
        <f>Renta_Alta!L74+Masivo!L74+Consumo_Inicial!L74</f>
        <v>0</v>
      </c>
      <c r="M74" s="8">
        <f>Renta_Alta!M74+Masivo!M74+Consumo_Inicial!M74</f>
        <v>0</v>
      </c>
      <c r="N74" s="8">
        <f>Renta_Alta!N74+Masivo!N74+Consumo_Inicial!N74</f>
        <v>0</v>
      </c>
      <c r="O74" s="8">
        <f>Renta_Alta!O74+Masivo!O74+Consumo_Inicial!O74</f>
        <v>0</v>
      </c>
      <c r="P74" s="8">
        <f>Renta_Alta!P74+Masivo!P74+Consumo_Inicial!P74</f>
        <v>0</v>
      </c>
      <c r="Q74" s="8">
        <f>Renta_Alta!Q74+Masivo!Q74+Consumo_Inicial!Q74</f>
        <v>0</v>
      </c>
      <c r="R74" s="8">
        <f>Renta_Alta!R74+Masivo!R74+Consumo_Inicial!R74</f>
        <v>0</v>
      </c>
      <c r="S74" s="8">
        <f>Renta_Alta!S74+Masivo!S74+Consumo_Inicial!S74</f>
        <v>0</v>
      </c>
      <c r="T74" s="8">
        <f>Renta_Alta!T74+Masivo!T74+Consumo_Inicial!T74</f>
        <v>0</v>
      </c>
      <c r="U74" s="8">
        <f>Renta_Alta!U74+Masivo!U74+Consumo_Inicial!U74</f>
        <v>0</v>
      </c>
      <c r="V74" s="8">
        <f>Renta_Alta!V74+Masivo!V74+Consumo_Inicial!V74</f>
        <v>0</v>
      </c>
      <c r="W74" s="8">
        <f>Renta_Alta!W74+Masivo!W74+Consumo_Inicial!W74</f>
        <v>0</v>
      </c>
      <c r="X74" s="8">
        <f>Renta_Alta!X74+Masivo!X74+Consumo_Inicial!X74</f>
        <v>0</v>
      </c>
      <c r="Y74" s="8">
        <f>Renta_Alta!Y74+Masivo!Y74+Consumo_Inicial!Y74</f>
        <v>0</v>
      </c>
      <c r="Z74" s="8">
        <f>Renta_Alta!Z74+Masivo!Z74+Consumo_Inicial!Z74</f>
        <v>0</v>
      </c>
      <c r="AA74" s="8">
        <f>Renta_Alta!AA74+Masivo!AA74+Consumo_Inicial!AA74</f>
        <v>0</v>
      </c>
      <c r="AB74" s="8">
        <f>Renta_Alta!AB74+Masivo!AB74+Consumo_Inicial!AB74</f>
        <v>0</v>
      </c>
      <c r="AC74" s="8">
        <f>Renta_Alta!AC74+Masivo!AC74+Consumo_Inicial!AC74</f>
        <v>0</v>
      </c>
      <c r="AD74" s="8">
        <f>Renta_Alta!AD74+Masivo!AD74+Consumo_Inicial!AD74</f>
        <v>0</v>
      </c>
      <c r="AE74" s="8">
        <f>Renta_Alta!AE74+Masivo!AE74+Consumo_Inicial!AE74</f>
        <v>0</v>
      </c>
      <c r="AF74" s="8">
        <f>Renta_Alta!AF74+Masivo!AF74+Consumo_Inicial!AF74</f>
        <v>0</v>
      </c>
      <c r="AG74" s="8">
        <f>Renta_Alta!AG74+Masivo!AG74+Consumo_Inicial!AG74</f>
        <v>0</v>
      </c>
      <c r="AH74" s="8">
        <f>Renta_Alta!AH74+Masivo!AH74+Consumo_Inicial!AH74</f>
        <v>0</v>
      </c>
      <c r="AI74" s="8">
        <f>Renta_Alta!AI74+Masivo!AI74+Consumo_Inicial!AI74</f>
        <v>0</v>
      </c>
      <c r="AJ74" s="8">
        <f>Renta_Alta!AJ74+Masivo!AJ74+Consumo_Inicial!AJ74</f>
        <v>0</v>
      </c>
      <c r="AK74" s="8">
        <f>Renta_Alta!AK74+Masivo!AK74+Consumo_Inicial!AK74</f>
        <v>0</v>
      </c>
      <c r="AL74" s="8">
        <f>Renta_Alta!AL74+Masivo!AL74+Consumo_Inicial!AL74</f>
        <v>0</v>
      </c>
      <c r="AM74" s="8">
        <f>Renta_Alta!AM74+Masivo!AM74+Consumo_Inicial!AM74</f>
        <v>0</v>
      </c>
      <c r="AN74" s="8">
        <f>Renta_Alta!AN74+Masivo!AN74+Consumo_Inicial!AN74</f>
        <v>0</v>
      </c>
      <c r="AO74" s="8">
        <f>Renta_Alta!AO74+Masivo!AO74+Consumo_Inicial!AO74</f>
        <v>0</v>
      </c>
      <c r="AP74" s="8">
        <f>Renta_Alta!AP74+Masivo!AP74+Consumo_Inicial!AP74</f>
        <v>0</v>
      </c>
      <c r="AQ74" s="8">
        <f>Renta_Alta!AQ74+Masivo!AQ74+Consumo_Inicial!AQ74</f>
        <v>0</v>
      </c>
      <c r="AR74" s="8">
        <f>Renta_Alta!AR74+Masivo!AR74+Consumo_Inicial!AR74</f>
        <v>0</v>
      </c>
      <c r="AS74" s="8">
        <f>Renta_Alta!AS74+Masivo!AS74+Consumo_Inicial!AS74</f>
        <v>0</v>
      </c>
      <c r="AT74" s="8">
        <f>Renta_Alta!AT74+Masivo!AT74+Consumo_Inicial!AT74</f>
        <v>0</v>
      </c>
      <c r="AU74" s="8">
        <f>Renta_Alta!AU74+Masivo!AU74+Consumo_Inicial!AU74</f>
        <v>0</v>
      </c>
      <c r="AV74" s="8">
        <f>Renta_Alta!AV74+Masivo!AV74+Consumo_Inicial!AV74</f>
        <v>0</v>
      </c>
      <c r="AW74" s="8">
        <f>Renta_Alta!AW74+Masivo!AW74+Consumo_Inicial!AW74</f>
        <v>0</v>
      </c>
      <c r="AX74" s="8">
        <f>Renta_Alta!AX74+Masivo!AX74+Consumo_Inicial!AX74</f>
        <v>0</v>
      </c>
      <c r="AY74" s="8">
        <f>Renta_Alta!AY74+Masivo!AY74+Consumo_Inicial!AY74</f>
        <v>0</v>
      </c>
      <c r="AZ74" s="8">
        <f>Renta_Alta!AZ74+Masivo!AZ74+Consumo_Inicial!AZ74</f>
        <v>0</v>
      </c>
      <c r="BA74" s="8">
        <f>Renta_Alta!BA74+Masivo!BA74+Consumo_Inicial!BA74</f>
        <v>0</v>
      </c>
      <c r="BB74" s="8">
        <f>Renta_Alta!BB74+Masivo!BB74+Consumo_Inicial!BB74</f>
        <v>0</v>
      </c>
      <c r="BC74" s="8">
        <f>Renta_Alta!BC74+Masivo!BC74+Consumo_Inicial!BC74</f>
        <v>0</v>
      </c>
      <c r="BD74" s="8">
        <f>Renta_Alta!BD74+Masivo!BD74+Consumo_Inicial!BD74</f>
        <v>0</v>
      </c>
      <c r="BE74" s="8">
        <f>Renta_Alta!BE74+Masivo!BE74+Consumo_Inicial!BE74</f>
        <v>0</v>
      </c>
      <c r="BF74" s="8">
        <f>Renta_Alta!BF74+Masivo!BF74+Consumo_Inicial!BF74</f>
        <v>0</v>
      </c>
      <c r="BG74" s="8">
        <f>Renta_Alta!BG74+Masivo!BG74+Consumo_Inicial!BG74</f>
        <v>0</v>
      </c>
      <c r="BH74" s="8">
        <f>Renta_Alta!BH74+Masivo!BH74+Consumo_Inicial!BH74</f>
        <v>0</v>
      </c>
      <c r="BI74" s="8">
        <f>Renta_Alta!BI74+Masivo!BI74+Consumo_Inicial!BI74</f>
        <v>0</v>
      </c>
      <c r="BJ74" s="8">
        <f>Renta_Alta!BJ74+Masivo!BJ74+Consumo_Inicial!BJ74</f>
        <v>0</v>
      </c>
      <c r="BK74" s="8">
        <f>Renta_Alta!BK74+Masivo!BK74+Consumo_Inicial!BK74</f>
        <v>0</v>
      </c>
      <c r="BO74" s="24">
        <f t="shared" si="69"/>
        <v>0</v>
      </c>
      <c r="BP74" s="24">
        <f t="shared" si="69"/>
        <v>0</v>
      </c>
      <c r="BQ74" s="24">
        <f t="shared" si="69"/>
        <v>0</v>
      </c>
      <c r="BR74" s="24">
        <f t="shared" si="69"/>
        <v>0</v>
      </c>
      <c r="BS74" s="24">
        <f t="shared" si="69"/>
        <v>0</v>
      </c>
      <c r="BT74" s="24">
        <f t="shared" si="69"/>
        <v>0</v>
      </c>
    </row>
    <row r="75" spans="1:72" hidden="1" outlineLevel="1" x14ac:dyDescent="0.25">
      <c r="A75" s="58" t="s">
        <v>71</v>
      </c>
      <c r="C75" s="59"/>
      <c r="D75" s="8">
        <f>Renta_Alta!D75+Masivo!D75+Consumo_Inicial!D75</f>
        <v>0</v>
      </c>
      <c r="E75" s="8">
        <f>Renta_Alta!E75+Masivo!E75+Consumo_Inicial!E75</f>
        <v>0</v>
      </c>
      <c r="F75" s="8">
        <f>Renta_Alta!F75+Masivo!F75+Consumo_Inicial!F75</f>
        <v>0</v>
      </c>
      <c r="G75" s="8">
        <f>Renta_Alta!G75+Masivo!G75+Consumo_Inicial!G75</f>
        <v>0</v>
      </c>
      <c r="H75" s="8">
        <f>Renta_Alta!H75+Masivo!H75+Consumo_Inicial!H75</f>
        <v>0</v>
      </c>
      <c r="I75" s="8">
        <f>Renta_Alta!I75+Masivo!I75+Consumo_Inicial!I75</f>
        <v>0</v>
      </c>
      <c r="J75" s="8">
        <f>Renta_Alta!J75+Masivo!J75+Consumo_Inicial!J75</f>
        <v>0</v>
      </c>
      <c r="K75" s="8">
        <f>Renta_Alta!K75+Masivo!K75+Consumo_Inicial!K75</f>
        <v>0</v>
      </c>
      <c r="L75" s="8">
        <f>Renta_Alta!L75+Masivo!L75+Consumo_Inicial!L75</f>
        <v>0</v>
      </c>
      <c r="M75" s="8">
        <f>Renta_Alta!M75+Masivo!M75+Consumo_Inicial!M75</f>
        <v>0</v>
      </c>
      <c r="N75" s="8">
        <f>Renta_Alta!N75+Masivo!N75+Consumo_Inicial!N75</f>
        <v>0</v>
      </c>
      <c r="O75" s="8">
        <f>Renta_Alta!O75+Masivo!O75+Consumo_Inicial!O75</f>
        <v>0</v>
      </c>
      <c r="P75" s="8">
        <f>Renta_Alta!P75+Masivo!P75+Consumo_Inicial!P75</f>
        <v>0</v>
      </c>
      <c r="Q75" s="8">
        <f>Renta_Alta!Q75+Masivo!Q75+Consumo_Inicial!Q75</f>
        <v>0</v>
      </c>
      <c r="R75" s="8">
        <f>Renta_Alta!R75+Masivo!R75+Consumo_Inicial!R75</f>
        <v>0</v>
      </c>
      <c r="S75" s="8">
        <f>Renta_Alta!S75+Masivo!S75+Consumo_Inicial!S75</f>
        <v>0</v>
      </c>
      <c r="T75" s="8">
        <f>Renta_Alta!T75+Masivo!T75+Consumo_Inicial!T75</f>
        <v>0</v>
      </c>
      <c r="U75" s="8">
        <f>Renta_Alta!U75+Masivo!U75+Consumo_Inicial!U75</f>
        <v>0</v>
      </c>
      <c r="V75" s="8">
        <f>Renta_Alta!V75+Masivo!V75+Consumo_Inicial!V75</f>
        <v>0</v>
      </c>
      <c r="W75" s="8">
        <f>Renta_Alta!W75+Masivo!W75+Consumo_Inicial!W75</f>
        <v>0</v>
      </c>
      <c r="X75" s="8">
        <f>Renta_Alta!X75+Masivo!X75+Consumo_Inicial!X75</f>
        <v>0</v>
      </c>
      <c r="Y75" s="8">
        <f>Renta_Alta!Y75+Masivo!Y75+Consumo_Inicial!Y75</f>
        <v>0</v>
      </c>
      <c r="Z75" s="8">
        <f>Renta_Alta!Z75+Masivo!Z75+Consumo_Inicial!Z75</f>
        <v>0</v>
      </c>
      <c r="AA75" s="8">
        <f>Renta_Alta!AA75+Masivo!AA75+Consumo_Inicial!AA75</f>
        <v>0</v>
      </c>
      <c r="AB75" s="8">
        <f>Renta_Alta!AB75+Masivo!AB75+Consumo_Inicial!AB75</f>
        <v>0</v>
      </c>
      <c r="AC75" s="8">
        <f>Renta_Alta!AC75+Masivo!AC75+Consumo_Inicial!AC75</f>
        <v>0</v>
      </c>
      <c r="AD75" s="8">
        <f>Renta_Alta!AD75+Masivo!AD75+Consumo_Inicial!AD75</f>
        <v>0</v>
      </c>
      <c r="AE75" s="8">
        <f>Renta_Alta!AE75+Masivo!AE75+Consumo_Inicial!AE75</f>
        <v>0</v>
      </c>
      <c r="AF75" s="8">
        <f>Renta_Alta!AF75+Masivo!AF75+Consumo_Inicial!AF75</f>
        <v>0</v>
      </c>
      <c r="AG75" s="8">
        <f>Renta_Alta!AG75+Masivo!AG75+Consumo_Inicial!AG75</f>
        <v>0</v>
      </c>
      <c r="AH75" s="8">
        <f>Renta_Alta!AH75+Masivo!AH75+Consumo_Inicial!AH75</f>
        <v>0</v>
      </c>
      <c r="AI75" s="8">
        <f>Renta_Alta!AI75+Masivo!AI75+Consumo_Inicial!AI75</f>
        <v>0</v>
      </c>
      <c r="AJ75" s="8">
        <f>Renta_Alta!AJ75+Masivo!AJ75+Consumo_Inicial!AJ75</f>
        <v>0</v>
      </c>
      <c r="AK75" s="8">
        <f>Renta_Alta!AK75+Masivo!AK75+Consumo_Inicial!AK75</f>
        <v>0</v>
      </c>
      <c r="AL75" s="8">
        <f>Renta_Alta!AL75+Masivo!AL75+Consumo_Inicial!AL75</f>
        <v>0</v>
      </c>
      <c r="AM75" s="8">
        <f>Renta_Alta!AM75+Masivo!AM75+Consumo_Inicial!AM75</f>
        <v>0</v>
      </c>
      <c r="AN75" s="8">
        <f>Renta_Alta!AN75+Masivo!AN75+Consumo_Inicial!AN75</f>
        <v>0</v>
      </c>
      <c r="AO75" s="8">
        <f>Renta_Alta!AO75+Masivo!AO75+Consumo_Inicial!AO75</f>
        <v>0</v>
      </c>
      <c r="AP75" s="8">
        <f>Renta_Alta!AP75+Masivo!AP75+Consumo_Inicial!AP75</f>
        <v>0</v>
      </c>
      <c r="AQ75" s="8">
        <f>Renta_Alta!AQ75+Masivo!AQ75+Consumo_Inicial!AQ75</f>
        <v>0</v>
      </c>
      <c r="AR75" s="8">
        <f>Renta_Alta!AR75+Masivo!AR75+Consumo_Inicial!AR75</f>
        <v>0</v>
      </c>
      <c r="AS75" s="8">
        <f>Renta_Alta!AS75+Masivo!AS75+Consumo_Inicial!AS75</f>
        <v>0</v>
      </c>
      <c r="AT75" s="8">
        <f>Renta_Alta!AT75+Masivo!AT75+Consumo_Inicial!AT75</f>
        <v>0</v>
      </c>
      <c r="AU75" s="8">
        <f>Renta_Alta!AU75+Masivo!AU75+Consumo_Inicial!AU75</f>
        <v>0</v>
      </c>
      <c r="AV75" s="8">
        <f>Renta_Alta!AV75+Masivo!AV75+Consumo_Inicial!AV75</f>
        <v>0</v>
      </c>
      <c r="AW75" s="8">
        <f>Renta_Alta!AW75+Masivo!AW75+Consumo_Inicial!AW75</f>
        <v>0</v>
      </c>
      <c r="AX75" s="8">
        <f>Renta_Alta!AX75+Masivo!AX75+Consumo_Inicial!AX75</f>
        <v>0</v>
      </c>
      <c r="AY75" s="8">
        <f>Renta_Alta!AY75+Masivo!AY75+Consumo_Inicial!AY75</f>
        <v>0</v>
      </c>
      <c r="AZ75" s="8">
        <f>Renta_Alta!AZ75+Masivo!AZ75+Consumo_Inicial!AZ75</f>
        <v>0</v>
      </c>
      <c r="BA75" s="8">
        <f>Renta_Alta!BA75+Masivo!BA75+Consumo_Inicial!BA75</f>
        <v>0</v>
      </c>
      <c r="BB75" s="8">
        <f>Renta_Alta!BB75+Masivo!BB75+Consumo_Inicial!BB75</f>
        <v>0</v>
      </c>
      <c r="BC75" s="8">
        <f>Renta_Alta!BC75+Masivo!BC75+Consumo_Inicial!BC75</f>
        <v>0</v>
      </c>
      <c r="BD75" s="8">
        <f>Renta_Alta!BD75+Masivo!BD75+Consumo_Inicial!BD75</f>
        <v>0</v>
      </c>
      <c r="BE75" s="8">
        <f>Renta_Alta!BE75+Masivo!BE75+Consumo_Inicial!BE75</f>
        <v>0</v>
      </c>
      <c r="BF75" s="8">
        <f>Renta_Alta!BF75+Masivo!BF75+Consumo_Inicial!BF75</f>
        <v>0</v>
      </c>
      <c r="BG75" s="8">
        <f>Renta_Alta!BG75+Masivo!BG75+Consumo_Inicial!BG75</f>
        <v>0</v>
      </c>
      <c r="BH75" s="8">
        <f>Renta_Alta!BH75+Masivo!BH75+Consumo_Inicial!BH75</f>
        <v>0</v>
      </c>
      <c r="BI75" s="8">
        <f>Renta_Alta!BI75+Masivo!BI75+Consumo_Inicial!BI75</f>
        <v>0</v>
      </c>
      <c r="BJ75" s="8">
        <f>Renta_Alta!BJ75+Masivo!BJ75+Consumo_Inicial!BJ75</f>
        <v>0</v>
      </c>
      <c r="BK75" s="8">
        <f>Renta_Alta!BK75+Masivo!BK75+Consumo_Inicial!BK75</f>
        <v>0</v>
      </c>
      <c r="BO75" s="24">
        <f t="shared" si="69"/>
        <v>0</v>
      </c>
      <c r="BP75" s="24">
        <f t="shared" si="69"/>
        <v>0</v>
      </c>
      <c r="BQ75" s="24">
        <f t="shared" si="69"/>
        <v>0</v>
      </c>
      <c r="BR75" s="24">
        <f t="shared" si="69"/>
        <v>0</v>
      </c>
      <c r="BS75" s="24">
        <f t="shared" si="69"/>
        <v>0</v>
      </c>
      <c r="BT75" s="24">
        <f t="shared" si="69"/>
        <v>0</v>
      </c>
    </row>
    <row r="76" spans="1:72" hidden="1" outlineLevel="1" x14ac:dyDescent="0.25">
      <c r="A76" s="58" t="s">
        <v>71</v>
      </c>
      <c r="C76" s="59"/>
      <c r="D76" s="8">
        <f>Renta_Alta!D76+Masivo!D76+Consumo_Inicial!D76</f>
        <v>0</v>
      </c>
      <c r="E76" s="8">
        <f>Renta_Alta!E76+Masivo!E76+Consumo_Inicial!E76</f>
        <v>0</v>
      </c>
      <c r="F76" s="8">
        <f>Renta_Alta!F76+Masivo!F76+Consumo_Inicial!F76</f>
        <v>0</v>
      </c>
      <c r="G76" s="8">
        <f>Renta_Alta!G76+Masivo!G76+Consumo_Inicial!G76</f>
        <v>0</v>
      </c>
      <c r="H76" s="8">
        <f>Renta_Alta!H76+Masivo!H76+Consumo_Inicial!H76</f>
        <v>0</v>
      </c>
      <c r="I76" s="8">
        <f>Renta_Alta!I76+Masivo!I76+Consumo_Inicial!I76</f>
        <v>0</v>
      </c>
      <c r="J76" s="8">
        <f>Renta_Alta!J76+Masivo!J76+Consumo_Inicial!J76</f>
        <v>0</v>
      </c>
      <c r="K76" s="8">
        <f>Renta_Alta!K76+Masivo!K76+Consumo_Inicial!K76</f>
        <v>0</v>
      </c>
      <c r="L76" s="8">
        <f>Renta_Alta!L76+Masivo!L76+Consumo_Inicial!L76</f>
        <v>0</v>
      </c>
      <c r="M76" s="8">
        <f>Renta_Alta!M76+Masivo!M76+Consumo_Inicial!M76</f>
        <v>0</v>
      </c>
      <c r="N76" s="8">
        <f>Renta_Alta!N76+Masivo!N76+Consumo_Inicial!N76</f>
        <v>0</v>
      </c>
      <c r="O76" s="8">
        <f>Renta_Alta!O76+Masivo!O76+Consumo_Inicial!O76</f>
        <v>0</v>
      </c>
      <c r="P76" s="8">
        <f>Renta_Alta!P76+Masivo!P76+Consumo_Inicial!P76</f>
        <v>0</v>
      </c>
      <c r="Q76" s="8">
        <f>Renta_Alta!Q76+Masivo!Q76+Consumo_Inicial!Q76</f>
        <v>0</v>
      </c>
      <c r="R76" s="8">
        <f>Renta_Alta!R76+Masivo!R76+Consumo_Inicial!R76</f>
        <v>0</v>
      </c>
      <c r="S76" s="8">
        <f>Renta_Alta!S76+Masivo!S76+Consumo_Inicial!S76</f>
        <v>0</v>
      </c>
      <c r="T76" s="8">
        <f>Renta_Alta!T76+Masivo!T76+Consumo_Inicial!T76</f>
        <v>0</v>
      </c>
      <c r="U76" s="8">
        <f>Renta_Alta!U76+Masivo!U76+Consumo_Inicial!U76</f>
        <v>0</v>
      </c>
      <c r="V76" s="8">
        <f>Renta_Alta!V76+Masivo!V76+Consumo_Inicial!V76</f>
        <v>0</v>
      </c>
      <c r="W76" s="8">
        <f>Renta_Alta!W76+Masivo!W76+Consumo_Inicial!W76</f>
        <v>0</v>
      </c>
      <c r="X76" s="8">
        <f>Renta_Alta!X76+Masivo!X76+Consumo_Inicial!X76</f>
        <v>0</v>
      </c>
      <c r="Y76" s="8">
        <f>Renta_Alta!Y76+Masivo!Y76+Consumo_Inicial!Y76</f>
        <v>0</v>
      </c>
      <c r="Z76" s="8">
        <f>Renta_Alta!Z76+Masivo!Z76+Consumo_Inicial!Z76</f>
        <v>0</v>
      </c>
      <c r="AA76" s="8">
        <f>Renta_Alta!AA76+Masivo!AA76+Consumo_Inicial!AA76</f>
        <v>0</v>
      </c>
      <c r="AB76" s="8">
        <f>Renta_Alta!AB76+Masivo!AB76+Consumo_Inicial!AB76</f>
        <v>0</v>
      </c>
      <c r="AC76" s="8">
        <f>Renta_Alta!AC76+Masivo!AC76+Consumo_Inicial!AC76</f>
        <v>0</v>
      </c>
      <c r="AD76" s="8">
        <f>Renta_Alta!AD76+Masivo!AD76+Consumo_Inicial!AD76</f>
        <v>0</v>
      </c>
      <c r="AE76" s="8">
        <f>Renta_Alta!AE76+Masivo!AE76+Consumo_Inicial!AE76</f>
        <v>0</v>
      </c>
      <c r="AF76" s="8">
        <f>Renta_Alta!AF76+Masivo!AF76+Consumo_Inicial!AF76</f>
        <v>0</v>
      </c>
      <c r="AG76" s="8">
        <f>Renta_Alta!AG76+Masivo!AG76+Consumo_Inicial!AG76</f>
        <v>0</v>
      </c>
      <c r="AH76" s="8">
        <f>Renta_Alta!AH76+Masivo!AH76+Consumo_Inicial!AH76</f>
        <v>0</v>
      </c>
      <c r="AI76" s="8">
        <f>Renta_Alta!AI76+Masivo!AI76+Consumo_Inicial!AI76</f>
        <v>0</v>
      </c>
      <c r="AJ76" s="8">
        <f>Renta_Alta!AJ76+Masivo!AJ76+Consumo_Inicial!AJ76</f>
        <v>0</v>
      </c>
      <c r="AK76" s="8">
        <f>Renta_Alta!AK76+Masivo!AK76+Consumo_Inicial!AK76</f>
        <v>0</v>
      </c>
      <c r="AL76" s="8">
        <f>Renta_Alta!AL76+Masivo!AL76+Consumo_Inicial!AL76</f>
        <v>0</v>
      </c>
      <c r="AM76" s="8">
        <f>Renta_Alta!AM76+Masivo!AM76+Consumo_Inicial!AM76</f>
        <v>0</v>
      </c>
      <c r="AN76" s="8">
        <f>Renta_Alta!AN76+Masivo!AN76+Consumo_Inicial!AN76</f>
        <v>0</v>
      </c>
      <c r="AO76" s="8">
        <f>Renta_Alta!AO76+Masivo!AO76+Consumo_Inicial!AO76</f>
        <v>0</v>
      </c>
      <c r="AP76" s="8">
        <f>Renta_Alta!AP76+Masivo!AP76+Consumo_Inicial!AP76</f>
        <v>0</v>
      </c>
      <c r="AQ76" s="8">
        <f>Renta_Alta!AQ76+Masivo!AQ76+Consumo_Inicial!AQ76</f>
        <v>0</v>
      </c>
      <c r="AR76" s="8">
        <f>Renta_Alta!AR76+Masivo!AR76+Consumo_Inicial!AR76</f>
        <v>0</v>
      </c>
      <c r="AS76" s="8">
        <f>Renta_Alta!AS76+Masivo!AS76+Consumo_Inicial!AS76</f>
        <v>0</v>
      </c>
      <c r="AT76" s="8">
        <f>Renta_Alta!AT76+Masivo!AT76+Consumo_Inicial!AT76</f>
        <v>0</v>
      </c>
      <c r="AU76" s="8">
        <f>Renta_Alta!AU76+Masivo!AU76+Consumo_Inicial!AU76</f>
        <v>0</v>
      </c>
      <c r="AV76" s="8">
        <f>Renta_Alta!AV76+Masivo!AV76+Consumo_Inicial!AV76</f>
        <v>0</v>
      </c>
      <c r="AW76" s="8">
        <f>Renta_Alta!AW76+Masivo!AW76+Consumo_Inicial!AW76</f>
        <v>0</v>
      </c>
      <c r="AX76" s="8">
        <f>Renta_Alta!AX76+Masivo!AX76+Consumo_Inicial!AX76</f>
        <v>0</v>
      </c>
      <c r="AY76" s="8">
        <f>Renta_Alta!AY76+Masivo!AY76+Consumo_Inicial!AY76</f>
        <v>0</v>
      </c>
      <c r="AZ76" s="8">
        <f>Renta_Alta!AZ76+Masivo!AZ76+Consumo_Inicial!AZ76</f>
        <v>0</v>
      </c>
      <c r="BA76" s="8">
        <f>Renta_Alta!BA76+Masivo!BA76+Consumo_Inicial!BA76</f>
        <v>0</v>
      </c>
      <c r="BB76" s="8">
        <f>Renta_Alta!BB76+Masivo!BB76+Consumo_Inicial!BB76</f>
        <v>0</v>
      </c>
      <c r="BC76" s="8">
        <f>Renta_Alta!BC76+Masivo!BC76+Consumo_Inicial!BC76</f>
        <v>0</v>
      </c>
      <c r="BD76" s="8">
        <f>Renta_Alta!BD76+Masivo!BD76+Consumo_Inicial!BD76</f>
        <v>0</v>
      </c>
      <c r="BE76" s="8">
        <f>Renta_Alta!BE76+Masivo!BE76+Consumo_Inicial!BE76</f>
        <v>0</v>
      </c>
      <c r="BF76" s="8">
        <f>Renta_Alta!BF76+Masivo!BF76+Consumo_Inicial!BF76</f>
        <v>0</v>
      </c>
      <c r="BG76" s="8">
        <f>Renta_Alta!BG76+Masivo!BG76+Consumo_Inicial!BG76</f>
        <v>0</v>
      </c>
      <c r="BH76" s="8">
        <f>Renta_Alta!BH76+Masivo!BH76+Consumo_Inicial!BH76</f>
        <v>0</v>
      </c>
      <c r="BI76" s="8">
        <f>Renta_Alta!BI76+Masivo!BI76+Consumo_Inicial!BI76</f>
        <v>0</v>
      </c>
      <c r="BJ76" s="8">
        <f>Renta_Alta!BJ76+Masivo!BJ76+Consumo_Inicial!BJ76</f>
        <v>0</v>
      </c>
      <c r="BK76" s="8">
        <f>Renta_Alta!BK76+Masivo!BK76+Consumo_Inicial!BK76</f>
        <v>0</v>
      </c>
      <c r="BO76" s="24">
        <f t="shared" si="69"/>
        <v>0</v>
      </c>
      <c r="BP76" s="24">
        <f t="shared" si="69"/>
        <v>0</v>
      </c>
      <c r="BQ76" s="24">
        <f t="shared" si="69"/>
        <v>0</v>
      </c>
      <c r="BR76" s="24">
        <f t="shared" si="69"/>
        <v>0</v>
      </c>
      <c r="BS76" s="24">
        <f t="shared" si="69"/>
        <v>0</v>
      </c>
      <c r="BT76" s="24">
        <f t="shared" si="69"/>
        <v>0</v>
      </c>
    </row>
    <row r="77" spans="1:72" hidden="1" outlineLevel="1" x14ac:dyDescent="0.25">
      <c r="A77" s="58" t="s">
        <v>71</v>
      </c>
      <c r="C77" s="59"/>
      <c r="D77" s="8">
        <f>Renta_Alta!D77+Masivo!D77+Consumo_Inicial!D77</f>
        <v>0</v>
      </c>
      <c r="E77" s="8">
        <f>Renta_Alta!E77+Masivo!E77+Consumo_Inicial!E77</f>
        <v>0</v>
      </c>
      <c r="F77" s="8">
        <f>Renta_Alta!F77+Masivo!F77+Consumo_Inicial!F77</f>
        <v>0</v>
      </c>
      <c r="G77" s="8">
        <f>Renta_Alta!G77+Masivo!G77+Consumo_Inicial!G77</f>
        <v>0</v>
      </c>
      <c r="H77" s="8">
        <f>Renta_Alta!H77+Masivo!H77+Consumo_Inicial!H77</f>
        <v>0</v>
      </c>
      <c r="I77" s="8">
        <f>Renta_Alta!I77+Masivo!I77+Consumo_Inicial!I77</f>
        <v>0</v>
      </c>
      <c r="J77" s="8">
        <f>Renta_Alta!J77+Masivo!J77+Consumo_Inicial!J77</f>
        <v>0</v>
      </c>
      <c r="K77" s="8">
        <f>Renta_Alta!K77+Masivo!K77+Consumo_Inicial!K77</f>
        <v>0</v>
      </c>
      <c r="L77" s="8">
        <f>Renta_Alta!L77+Masivo!L77+Consumo_Inicial!L77</f>
        <v>0</v>
      </c>
      <c r="M77" s="8">
        <f>Renta_Alta!M77+Masivo!M77+Consumo_Inicial!M77</f>
        <v>0</v>
      </c>
      <c r="N77" s="8">
        <f>Renta_Alta!N77+Masivo!N77+Consumo_Inicial!N77</f>
        <v>0</v>
      </c>
      <c r="O77" s="8">
        <f>Renta_Alta!O77+Masivo!O77+Consumo_Inicial!O77</f>
        <v>0</v>
      </c>
      <c r="P77" s="8">
        <f>Renta_Alta!P77+Masivo!P77+Consumo_Inicial!P77</f>
        <v>0</v>
      </c>
      <c r="Q77" s="8">
        <f>Renta_Alta!Q77+Masivo!Q77+Consumo_Inicial!Q77</f>
        <v>0</v>
      </c>
      <c r="R77" s="8">
        <f>Renta_Alta!R77+Masivo!R77+Consumo_Inicial!R77</f>
        <v>0</v>
      </c>
      <c r="S77" s="8">
        <f>Renta_Alta!S77+Masivo!S77+Consumo_Inicial!S77</f>
        <v>0</v>
      </c>
      <c r="T77" s="8">
        <f>Renta_Alta!T77+Masivo!T77+Consumo_Inicial!T77</f>
        <v>0</v>
      </c>
      <c r="U77" s="8">
        <f>Renta_Alta!U77+Masivo!U77+Consumo_Inicial!U77</f>
        <v>0</v>
      </c>
      <c r="V77" s="8">
        <f>Renta_Alta!V77+Masivo!V77+Consumo_Inicial!V77</f>
        <v>0</v>
      </c>
      <c r="W77" s="8">
        <f>Renta_Alta!W77+Masivo!W77+Consumo_Inicial!W77</f>
        <v>0</v>
      </c>
      <c r="X77" s="8">
        <f>Renta_Alta!X77+Masivo!X77+Consumo_Inicial!X77</f>
        <v>0</v>
      </c>
      <c r="Y77" s="8">
        <f>Renta_Alta!Y77+Masivo!Y77+Consumo_Inicial!Y77</f>
        <v>0</v>
      </c>
      <c r="Z77" s="8">
        <f>Renta_Alta!Z77+Masivo!Z77+Consumo_Inicial!Z77</f>
        <v>0</v>
      </c>
      <c r="AA77" s="8">
        <f>Renta_Alta!AA77+Masivo!AA77+Consumo_Inicial!AA77</f>
        <v>0</v>
      </c>
      <c r="AB77" s="8">
        <f>Renta_Alta!AB77+Masivo!AB77+Consumo_Inicial!AB77</f>
        <v>0</v>
      </c>
      <c r="AC77" s="8">
        <f>Renta_Alta!AC77+Masivo!AC77+Consumo_Inicial!AC77</f>
        <v>0</v>
      </c>
      <c r="AD77" s="8">
        <f>Renta_Alta!AD77+Masivo!AD77+Consumo_Inicial!AD77</f>
        <v>0</v>
      </c>
      <c r="AE77" s="8">
        <f>Renta_Alta!AE77+Masivo!AE77+Consumo_Inicial!AE77</f>
        <v>0</v>
      </c>
      <c r="AF77" s="8">
        <f>Renta_Alta!AF77+Masivo!AF77+Consumo_Inicial!AF77</f>
        <v>0</v>
      </c>
      <c r="AG77" s="8">
        <f>Renta_Alta!AG77+Masivo!AG77+Consumo_Inicial!AG77</f>
        <v>0</v>
      </c>
      <c r="AH77" s="8">
        <f>Renta_Alta!AH77+Masivo!AH77+Consumo_Inicial!AH77</f>
        <v>0</v>
      </c>
      <c r="AI77" s="8">
        <f>Renta_Alta!AI77+Masivo!AI77+Consumo_Inicial!AI77</f>
        <v>0</v>
      </c>
      <c r="AJ77" s="8">
        <f>Renta_Alta!AJ77+Masivo!AJ77+Consumo_Inicial!AJ77</f>
        <v>0</v>
      </c>
      <c r="AK77" s="8">
        <f>Renta_Alta!AK77+Masivo!AK77+Consumo_Inicial!AK77</f>
        <v>0</v>
      </c>
      <c r="AL77" s="8">
        <f>Renta_Alta!AL77+Masivo!AL77+Consumo_Inicial!AL77</f>
        <v>0</v>
      </c>
      <c r="AM77" s="8">
        <f>Renta_Alta!AM77+Masivo!AM77+Consumo_Inicial!AM77</f>
        <v>0</v>
      </c>
      <c r="AN77" s="8">
        <f>Renta_Alta!AN77+Masivo!AN77+Consumo_Inicial!AN77</f>
        <v>0</v>
      </c>
      <c r="AO77" s="8">
        <f>Renta_Alta!AO77+Masivo!AO77+Consumo_Inicial!AO77</f>
        <v>0</v>
      </c>
      <c r="AP77" s="8">
        <f>Renta_Alta!AP77+Masivo!AP77+Consumo_Inicial!AP77</f>
        <v>0</v>
      </c>
      <c r="AQ77" s="8">
        <f>Renta_Alta!AQ77+Masivo!AQ77+Consumo_Inicial!AQ77</f>
        <v>0</v>
      </c>
      <c r="AR77" s="8">
        <f>Renta_Alta!AR77+Masivo!AR77+Consumo_Inicial!AR77</f>
        <v>0</v>
      </c>
      <c r="AS77" s="8">
        <f>Renta_Alta!AS77+Masivo!AS77+Consumo_Inicial!AS77</f>
        <v>0</v>
      </c>
      <c r="AT77" s="8">
        <f>Renta_Alta!AT77+Masivo!AT77+Consumo_Inicial!AT77</f>
        <v>0</v>
      </c>
      <c r="AU77" s="8">
        <f>Renta_Alta!AU77+Masivo!AU77+Consumo_Inicial!AU77</f>
        <v>0</v>
      </c>
      <c r="AV77" s="8">
        <f>Renta_Alta!AV77+Masivo!AV77+Consumo_Inicial!AV77</f>
        <v>0</v>
      </c>
      <c r="AW77" s="8">
        <f>Renta_Alta!AW77+Masivo!AW77+Consumo_Inicial!AW77</f>
        <v>0</v>
      </c>
      <c r="AX77" s="8">
        <f>Renta_Alta!AX77+Masivo!AX77+Consumo_Inicial!AX77</f>
        <v>0</v>
      </c>
      <c r="AY77" s="8">
        <f>Renta_Alta!AY77+Masivo!AY77+Consumo_Inicial!AY77</f>
        <v>0</v>
      </c>
      <c r="AZ77" s="8">
        <f>Renta_Alta!AZ77+Masivo!AZ77+Consumo_Inicial!AZ77</f>
        <v>0</v>
      </c>
      <c r="BA77" s="8">
        <f>Renta_Alta!BA77+Masivo!BA77+Consumo_Inicial!BA77</f>
        <v>0</v>
      </c>
      <c r="BB77" s="8">
        <f>Renta_Alta!BB77+Masivo!BB77+Consumo_Inicial!BB77</f>
        <v>0</v>
      </c>
      <c r="BC77" s="8">
        <f>Renta_Alta!BC77+Masivo!BC77+Consumo_Inicial!BC77</f>
        <v>0</v>
      </c>
      <c r="BD77" s="8">
        <f>Renta_Alta!BD77+Masivo!BD77+Consumo_Inicial!BD77</f>
        <v>0</v>
      </c>
      <c r="BE77" s="8">
        <f>Renta_Alta!BE77+Masivo!BE77+Consumo_Inicial!BE77</f>
        <v>0</v>
      </c>
      <c r="BF77" s="8">
        <f>Renta_Alta!BF77+Masivo!BF77+Consumo_Inicial!BF77</f>
        <v>0</v>
      </c>
      <c r="BG77" s="8">
        <f>Renta_Alta!BG77+Masivo!BG77+Consumo_Inicial!BG77</f>
        <v>0</v>
      </c>
      <c r="BH77" s="8">
        <f>Renta_Alta!BH77+Masivo!BH77+Consumo_Inicial!BH77</f>
        <v>0</v>
      </c>
      <c r="BI77" s="8">
        <f>Renta_Alta!BI77+Masivo!BI77+Consumo_Inicial!BI77</f>
        <v>0</v>
      </c>
      <c r="BJ77" s="8">
        <f>Renta_Alta!BJ77+Masivo!BJ77+Consumo_Inicial!BJ77</f>
        <v>0</v>
      </c>
      <c r="BK77" s="8">
        <f>Renta_Alta!BK77+Masivo!BK77+Consumo_Inicial!BK77</f>
        <v>0</v>
      </c>
      <c r="BO77" s="24">
        <f t="shared" si="69"/>
        <v>0</v>
      </c>
      <c r="BP77" s="24">
        <f t="shared" si="69"/>
        <v>0</v>
      </c>
      <c r="BQ77" s="24">
        <f t="shared" si="69"/>
        <v>0</v>
      </c>
      <c r="BR77" s="24">
        <f t="shared" si="69"/>
        <v>0</v>
      </c>
      <c r="BS77" s="24">
        <f t="shared" si="69"/>
        <v>0</v>
      </c>
      <c r="BT77" s="24">
        <f t="shared" si="69"/>
        <v>0</v>
      </c>
    </row>
    <row r="78" spans="1:72" hidden="1" outlineLevel="1" x14ac:dyDescent="0.25">
      <c r="A78" s="58" t="s">
        <v>71</v>
      </c>
      <c r="C78" s="59"/>
      <c r="D78" s="8">
        <f>Renta_Alta!D78+Masivo!D78+Consumo_Inicial!D78</f>
        <v>0</v>
      </c>
      <c r="E78" s="8">
        <f>Renta_Alta!E78+Masivo!E78+Consumo_Inicial!E78</f>
        <v>0</v>
      </c>
      <c r="F78" s="8">
        <f>Renta_Alta!F78+Masivo!F78+Consumo_Inicial!F78</f>
        <v>0</v>
      </c>
      <c r="G78" s="8">
        <f>Renta_Alta!G78+Masivo!G78+Consumo_Inicial!G78</f>
        <v>0</v>
      </c>
      <c r="H78" s="8">
        <f>Renta_Alta!H78+Masivo!H78+Consumo_Inicial!H78</f>
        <v>0</v>
      </c>
      <c r="I78" s="8">
        <f>Renta_Alta!I78+Masivo!I78+Consumo_Inicial!I78</f>
        <v>0</v>
      </c>
      <c r="J78" s="8">
        <f>Renta_Alta!J78+Masivo!J78+Consumo_Inicial!J78</f>
        <v>0</v>
      </c>
      <c r="K78" s="8">
        <f>Renta_Alta!K78+Masivo!K78+Consumo_Inicial!K78</f>
        <v>0</v>
      </c>
      <c r="L78" s="8">
        <f>Renta_Alta!L78+Masivo!L78+Consumo_Inicial!L78</f>
        <v>0</v>
      </c>
      <c r="M78" s="8">
        <f>Renta_Alta!M78+Masivo!M78+Consumo_Inicial!M78</f>
        <v>0</v>
      </c>
      <c r="N78" s="8">
        <f>Renta_Alta!N78+Masivo!N78+Consumo_Inicial!N78</f>
        <v>0</v>
      </c>
      <c r="O78" s="8">
        <f>Renta_Alta!O78+Masivo!O78+Consumo_Inicial!O78</f>
        <v>0</v>
      </c>
      <c r="P78" s="8">
        <f>Renta_Alta!P78+Masivo!P78+Consumo_Inicial!P78</f>
        <v>0</v>
      </c>
      <c r="Q78" s="8">
        <f>Renta_Alta!Q78+Masivo!Q78+Consumo_Inicial!Q78</f>
        <v>0</v>
      </c>
      <c r="R78" s="8">
        <f>Renta_Alta!R78+Masivo!R78+Consumo_Inicial!R78</f>
        <v>0</v>
      </c>
      <c r="S78" s="8">
        <f>Renta_Alta!S78+Masivo!S78+Consumo_Inicial!S78</f>
        <v>0</v>
      </c>
      <c r="T78" s="8">
        <f>Renta_Alta!T78+Masivo!T78+Consumo_Inicial!T78</f>
        <v>0</v>
      </c>
      <c r="U78" s="8">
        <f>Renta_Alta!U78+Masivo!U78+Consumo_Inicial!U78</f>
        <v>0</v>
      </c>
      <c r="V78" s="8">
        <f>Renta_Alta!V78+Masivo!V78+Consumo_Inicial!V78</f>
        <v>0</v>
      </c>
      <c r="W78" s="8">
        <f>Renta_Alta!W78+Masivo!W78+Consumo_Inicial!W78</f>
        <v>0</v>
      </c>
      <c r="X78" s="8">
        <f>Renta_Alta!X78+Masivo!X78+Consumo_Inicial!X78</f>
        <v>0</v>
      </c>
      <c r="Y78" s="8">
        <f>Renta_Alta!Y78+Masivo!Y78+Consumo_Inicial!Y78</f>
        <v>0</v>
      </c>
      <c r="Z78" s="8">
        <f>Renta_Alta!Z78+Masivo!Z78+Consumo_Inicial!Z78</f>
        <v>0</v>
      </c>
      <c r="AA78" s="8">
        <f>Renta_Alta!AA78+Masivo!AA78+Consumo_Inicial!AA78</f>
        <v>0</v>
      </c>
      <c r="AB78" s="8">
        <f>Renta_Alta!AB78+Masivo!AB78+Consumo_Inicial!AB78</f>
        <v>0</v>
      </c>
      <c r="AC78" s="8">
        <f>Renta_Alta!AC78+Masivo!AC78+Consumo_Inicial!AC78</f>
        <v>0</v>
      </c>
      <c r="AD78" s="8">
        <f>Renta_Alta!AD78+Masivo!AD78+Consumo_Inicial!AD78</f>
        <v>0</v>
      </c>
      <c r="AE78" s="8">
        <f>Renta_Alta!AE78+Masivo!AE78+Consumo_Inicial!AE78</f>
        <v>0</v>
      </c>
      <c r="AF78" s="8">
        <f>Renta_Alta!AF78+Masivo!AF78+Consumo_Inicial!AF78</f>
        <v>0</v>
      </c>
      <c r="AG78" s="8">
        <f>Renta_Alta!AG78+Masivo!AG78+Consumo_Inicial!AG78</f>
        <v>0</v>
      </c>
      <c r="AH78" s="8">
        <f>Renta_Alta!AH78+Masivo!AH78+Consumo_Inicial!AH78</f>
        <v>0</v>
      </c>
      <c r="AI78" s="8">
        <f>Renta_Alta!AI78+Masivo!AI78+Consumo_Inicial!AI78</f>
        <v>0</v>
      </c>
      <c r="AJ78" s="8">
        <f>Renta_Alta!AJ78+Masivo!AJ78+Consumo_Inicial!AJ78</f>
        <v>0</v>
      </c>
      <c r="AK78" s="8">
        <f>Renta_Alta!AK78+Masivo!AK78+Consumo_Inicial!AK78</f>
        <v>0</v>
      </c>
      <c r="AL78" s="8">
        <f>Renta_Alta!AL78+Masivo!AL78+Consumo_Inicial!AL78</f>
        <v>0</v>
      </c>
      <c r="AM78" s="8">
        <f>Renta_Alta!AM78+Masivo!AM78+Consumo_Inicial!AM78</f>
        <v>0</v>
      </c>
      <c r="AN78" s="8">
        <f>Renta_Alta!AN78+Masivo!AN78+Consumo_Inicial!AN78</f>
        <v>0</v>
      </c>
      <c r="AO78" s="8">
        <f>Renta_Alta!AO78+Masivo!AO78+Consumo_Inicial!AO78</f>
        <v>0</v>
      </c>
      <c r="AP78" s="8">
        <f>Renta_Alta!AP78+Masivo!AP78+Consumo_Inicial!AP78</f>
        <v>0</v>
      </c>
      <c r="AQ78" s="8">
        <f>Renta_Alta!AQ78+Masivo!AQ78+Consumo_Inicial!AQ78</f>
        <v>0</v>
      </c>
      <c r="AR78" s="8">
        <f>Renta_Alta!AR78+Masivo!AR78+Consumo_Inicial!AR78</f>
        <v>0</v>
      </c>
      <c r="AS78" s="8">
        <f>Renta_Alta!AS78+Masivo!AS78+Consumo_Inicial!AS78</f>
        <v>0</v>
      </c>
      <c r="AT78" s="8">
        <f>Renta_Alta!AT78+Masivo!AT78+Consumo_Inicial!AT78</f>
        <v>0</v>
      </c>
      <c r="AU78" s="8">
        <f>Renta_Alta!AU78+Masivo!AU78+Consumo_Inicial!AU78</f>
        <v>0</v>
      </c>
      <c r="AV78" s="8">
        <f>Renta_Alta!AV78+Masivo!AV78+Consumo_Inicial!AV78</f>
        <v>0</v>
      </c>
      <c r="AW78" s="8">
        <f>Renta_Alta!AW78+Masivo!AW78+Consumo_Inicial!AW78</f>
        <v>0</v>
      </c>
      <c r="AX78" s="8">
        <f>Renta_Alta!AX78+Masivo!AX78+Consumo_Inicial!AX78</f>
        <v>0</v>
      </c>
      <c r="AY78" s="8">
        <f>Renta_Alta!AY78+Masivo!AY78+Consumo_Inicial!AY78</f>
        <v>0</v>
      </c>
      <c r="AZ78" s="8">
        <f>Renta_Alta!AZ78+Masivo!AZ78+Consumo_Inicial!AZ78</f>
        <v>0</v>
      </c>
      <c r="BA78" s="8">
        <f>Renta_Alta!BA78+Masivo!BA78+Consumo_Inicial!BA78</f>
        <v>0</v>
      </c>
      <c r="BB78" s="8">
        <f>Renta_Alta!BB78+Masivo!BB78+Consumo_Inicial!BB78</f>
        <v>0</v>
      </c>
      <c r="BC78" s="8">
        <f>Renta_Alta!BC78+Masivo!BC78+Consumo_Inicial!BC78</f>
        <v>0</v>
      </c>
      <c r="BD78" s="8">
        <f>Renta_Alta!BD78+Masivo!BD78+Consumo_Inicial!BD78</f>
        <v>0</v>
      </c>
      <c r="BE78" s="8">
        <f>Renta_Alta!BE78+Masivo!BE78+Consumo_Inicial!BE78</f>
        <v>0</v>
      </c>
      <c r="BF78" s="8">
        <f>Renta_Alta!BF78+Masivo!BF78+Consumo_Inicial!BF78</f>
        <v>0</v>
      </c>
      <c r="BG78" s="8">
        <f>Renta_Alta!BG78+Masivo!BG78+Consumo_Inicial!BG78</f>
        <v>0</v>
      </c>
      <c r="BH78" s="8">
        <f>Renta_Alta!BH78+Masivo!BH78+Consumo_Inicial!BH78</f>
        <v>0</v>
      </c>
      <c r="BI78" s="8">
        <f>Renta_Alta!BI78+Masivo!BI78+Consumo_Inicial!BI78</f>
        <v>0</v>
      </c>
      <c r="BJ78" s="8">
        <f>Renta_Alta!BJ78+Masivo!BJ78+Consumo_Inicial!BJ78</f>
        <v>0</v>
      </c>
      <c r="BK78" s="8">
        <f>Renta_Alta!BK78+Masivo!BK78+Consumo_Inicial!BK78</f>
        <v>0</v>
      </c>
      <c r="BO78" s="24">
        <f t="shared" si="69"/>
        <v>0</v>
      </c>
      <c r="BP78" s="24">
        <f t="shared" si="69"/>
        <v>0</v>
      </c>
      <c r="BQ78" s="24">
        <f t="shared" si="69"/>
        <v>0</v>
      </c>
      <c r="BR78" s="24">
        <f t="shared" si="69"/>
        <v>0</v>
      </c>
      <c r="BS78" s="24">
        <f t="shared" si="69"/>
        <v>0</v>
      </c>
      <c r="BT78" s="24">
        <f t="shared" si="69"/>
        <v>0</v>
      </c>
    </row>
    <row r="79" spans="1:72" hidden="1" outlineLevel="1" x14ac:dyDescent="0.25">
      <c r="A79" s="58" t="s">
        <v>71</v>
      </c>
      <c r="C79" s="59"/>
      <c r="D79" s="8">
        <f>Renta_Alta!D79+Masivo!D79+Consumo_Inicial!D79</f>
        <v>0</v>
      </c>
      <c r="E79" s="8">
        <f>Renta_Alta!E79+Masivo!E79+Consumo_Inicial!E79</f>
        <v>0</v>
      </c>
      <c r="F79" s="8">
        <f>Renta_Alta!F79+Masivo!F79+Consumo_Inicial!F79</f>
        <v>0</v>
      </c>
      <c r="G79" s="8">
        <f>Renta_Alta!G79+Masivo!G79+Consumo_Inicial!G79</f>
        <v>0</v>
      </c>
      <c r="H79" s="8">
        <f>Renta_Alta!H79+Masivo!H79+Consumo_Inicial!H79</f>
        <v>0</v>
      </c>
      <c r="I79" s="8">
        <f>Renta_Alta!I79+Masivo!I79+Consumo_Inicial!I79</f>
        <v>0</v>
      </c>
      <c r="J79" s="8">
        <f>Renta_Alta!J79+Masivo!J79+Consumo_Inicial!J79</f>
        <v>0</v>
      </c>
      <c r="K79" s="8">
        <f>Renta_Alta!K79+Masivo!K79+Consumo_Inicial!K79</f>
        <v>0</v>
      </c>
      <c r="L79" s="8">
        <f>Renta_Alta!L79+Masivo!L79+Consumo_Inicial!L79</f>
        <v>0</v>
      </c>
      <c r="M79" s="8">
        <f>Renta_Alta!M79+Masivo!M79+Consumo_Inicial!M79</f>
        <v>0</v>
      </c>
      <c r="N79" s="8">
        <f>Renta_Alta!N79+Masivo!N79+Consumo_Inicial!N79</f>
        <v>0</v>
      </c>
      <c r="O79" s="8">
        <f>Renta_Alta!O79+Masivo!O79+Consumo_Inicial!O79</f>
        <v>0</v>
      </c>
      <c r="P79" s="8">
        <f>Renta_Alta!P79+Masivo!P79+Consumo_Inicial!P79</f>
        <v>0</v>
      </c>
      <c r="Q79" s="8">
        <f>Renta_Alta!Q79+Masivo!Q79+Consumo_Inicial!Q79</f>
        <v>0</v>
      </c>
      <c r="R79" s="8">
        <f>Renta_Alta!R79+Masivo!R79+Consumo_Inicial!R79</f>
        <v>0</v>
      </c>
      <c r="S79" s="8">
        <f>Renta_Alta!S79+Masivo!S79+Consumo_Inicial!S79</f>
        <v>0</v>
      </c>
      <c r="T79" s="8">
        <f>Renta_Alta!T79+Masivo!T79+Consumo_Inicial!T79</f>
        <v>0</v>
      </c>
      <c r="U79" s="8">
        <f>Renta_Alta!U79+Masivo!U79+Consumo_Inicial!U79</f>
        <v>0</v>
      </c>
      <c r="V79" s="8">
        <f>Renta_Alta!V79+Masivo!V79+Consumo_Inicial!V79</f>
        <v>0</v>
      </c>
      <c r="W79" s="8">
        <f>Renta_Alta!W79+Masivo!W79+Consumo_Inicial!W79</f>
        <v>0</v>
      </c>
      <c r="X79" s="8">
        <f>Renta_Alta!X79+Masivo!X79+Consumo_Inicial!X79</f>
        <v>0</v>
      </c>
      <c r="Y79" s="8">
        <f>Renta_Alta!Y79+Masivo!Y79+Consumo_Inicial!Y79</f>
        <v>0</v>
      </c>
      <c r="Z79" s="8">
        <f>Renta_Alta!Z79+Masivo!Z79+Consumo_Inicial!Z79</f>
        <v>0</v>
      </c>
      <c r="AA79" s="8">
        <f>Renta_Alta!AA79+Masivo!AA79+Consumo_Inicial!AA79</f>
        <v>0</v>
      </c>
      <c r="AB79" s="8">
        <f>Renta_Alta!AB79+Masivo!AB79+Consumo_Inicial!AB79</f>
        <v>0</v>
      </c>
      <c r="AC79" s="8">
        <f>Renta_Alta!AC79+Masivo!AC79+Consumo_Inicial!AC79</f>
        <v>0</v>
      </c>
      <c r="AD79" s="8">
        <f>Renta_Alta!AD79+Masivo!AD79+Consumo_Inicial!AD79</f>
        <v>0</v>
      </c>
      <c r="AE79" s="8">
        <f>Renta_Alta!AE79+Masivo!AE79+Consumo_Inicial!AE79</f>
        <v>0</v>
      </c>
      <c r="AF79" s="8">
        <f>Renta_Alta!AF79+Masivo!AF79+Consumo_Inicial!AF79</f>
        <v>0</v>
      </c>
      <c r="AG79" s="8">
        <f>Renta_Alta!AG79+Masivo!AG79+Consumo_Inicial!AG79</f>
        <v>0</v>
      </c>
      <c r="AH79" s="8">
        <f>Renta_Alta!AH79+Masivo!AH79+Consumo_Inicial!AH79</f>
        <v>0</v>
      </c>
      <c r="AI79" s="8">
        <f>Renta_Alta!AI79+Masivo!AI79+Consumo_Inicial!AI79</f>
        <v>0</v>
      </c>
      <c r="AJ79" s="8">
        <f>Renta_Alta!AJ79+Masivo!AJ79+Consumo_Inicial!AJ79</f>
        <v>0</v>
      </c>
      <c r="AK79" s="8">
        <f>Renta_Alta!AK79+Masivo!AK79+Consumo_Inicial!AK79</f>
        <v>0</v>
      </c>
      <c r="AL79" s="8">
        <f>Renta_Alta!AL79+Masivo!AL79+Consumo_Inicial!AL79</f>
        <v>0</v>
      </c>
      <c r="AM79" s="8">
        <f>Renta_Alta!AM79+Masivo!AM79+Consumo_Inicial!AM79</f>
        <v>0</v>
      </c>
      <c r="AN79" s="8">
        <f>Renta_Alta!AN79+Masivo!AN79+Consumo_Inicial!AN79</f>
        <v>0</v>
      </c>
      <c r="AO79" s="8">
        <f>Renta_Alta!AO79+Masivo!AO79+Consumo_Inicial!AO79</f>
        <v>0</v>
      </c>
      <c r="AP79" s="8">
        <f>Renta_Alta!AP79+Masivo!AP79+Consumo_Inicial!AP79</f>
        <v>0</v>
      </c>
      <c r="AQ79" s="8">
        <f>Renta_Alta!AQ79+Masivo!AQ79+Consumo_Inicial!AQ79</f>
        <v>0</v>
      </c>
      <c r="AR79" s="8">
        <f>Renta_Alta!AR79+Masivo!AR79+Consumo_Inicial!AR79</f>
        <v>0</v>
      </c>
      <c r="AS79" s="8">
        <f>Renta_Alta!AS79+Masivo!AS79+Consumo_Inicial!AS79</f>
        <v>0</v>
      </c>
      <c r="AT79" s="8">
        <f>Renta_Alta!AT79+Masivo!AT79+Consumo_Inicial!AT79</f>
        <v>0</v>
      </c>
      <c r="AU79" s="8">
        <f>Renta_Alta!AU79+Masivo!AU79+Consumo_Inicial!AU79</f>
        <v>0</v>
      </c>
      <c r="AV79" s="8">
        <f>Renta_Alta!AV79+Masivo!AV79+Consumo_Inicial!AV79</f>
        <v>0</v>
      </c>
      <c r="AW79" s="8">
        <f>Renta_Alta!AW79+Masivo!AW79+Consumo_Inicial!AW79</f>
        <v>0</v>
      </c>
      <c r="AX79" s="8">
        <f>Renta_Alta!AX79+Masivo!AX79+Consumo_Inicial!AX79</f>
        <v>0</v>
      </c>
      <c r="AY79" s="8">
        <f>Renta_Alta!AY79+Masivo!AY79+Consumo_Inicial!AY79</f>
        <v>0</v>
      </c>
      <c r="AZ79" s="8">
        <f>Renta_Alta!AZ79+Masivo!AZ79+Consumo_Inicial!AZ79</f>
        <v>0</v>
      </c>
      <c r="BA79" s="8">
        <f>Renta_Alta!BA79+Masivo!BA79+Consumo_Inicial!BA79</f>
        <v>0</v>
      </c>
      <c r="BB79" s="8">
        <f>Renta_Alta!BB79+Masivo!BB79+Consumo_Inicial!BB79</f>
        <v>0</v>
      </c>
      <c r="BC79" s="8">
        <f>Renta_Alta!BC79+Masivo!BC79+Consumo_Inicial!BC79</f>
        <v>0</v>
      </c>
      <c r="BD79" s="8">
        <f>Renta_Alta!BD79+Masivo!BD79+Consumo_Inicial!BD79</f>
        <v>0</v>
      </c>
      <c r="BE79" s="8">
        <f>Renta_Alta!BE79+Masivo!BE79+Consumo_Inicial!BE79</f>
        <v>0</v>
      </c>
      <c r="BF79" s="8">
        <f>Renta_Alta!BF79+Masivo!BF79+Consumo_Inicial!BF79</f>
        <v>0</v>
      </c>
      <c r="BG79" s="8">
        <f>Renta_Alta!BG79+Masivo!BG79+Consumo_Inicial!BG79</f>
        <v>0</v>
      </c>
      <c r="BH79" s="8">
        <f>Renta_Alta!BH79+Masivo!BH79+Consumo_Inicial!BH79</f>
        <v>0</v>
      </c>
      <c r="BI79" s="8">
        <f>Renta_Alta!BI79+Masivo!BI79+Consumo_Inicial!BI79</f>
        <v>0</v>
      </c>
      <c r="BJ79" s="8">
        <f>Renta_Alta!BJ79+Masivo!BJ79+Consumo_Inicial!BJ79</f>
        <v>0</v>
      </c>
      <c r="BK79" s="8">
        <f>Renta_Alta!BK79+Masivo!BK79+Consumo_Inicial!BK79</f>
        <v>0</v>
      </c>
      <c r="BO79" s="24">
        <f t="shared" si="69"/>
        <v>0</v>
      </c>
      <c r="BP79" s="24">
        <f t="shared" si="69"/>
        <v>0</v>
      </c>
      <c r="BQ79" s="24">
        <f t="shared" si="69"/>
        <v>0</v>
      </c>
      <c r="BR79" s="24">
        <f t="shared" si="69"/>
        <v>0</v>
      </c>
      <c r="BS79" s="24">
        <f t="shared" si="69"/>
        <v>0</v>
      </c>
      <c r="BT79" s="24">
        <f t="shared" si="69"/>
        <v>0</v>
      </c>
    </row>
    <row r="80" spans="1:72" hidden="1" outlineLevel="1" x14ac:dyDescent="0.25">
      <c r="A80" s="58" t="s">
        <v>71</v>
      </c>
      <c r="C80" s="59"/>
      <c r="D80" s="8">
        <f>Renta_Alta!D80+Masivo!D80+Consumo_Inicial!D80</f>
        <v>0</v>
      </c>
      <c r="E80" s="8">
        <f>Renta_Alta!E80+Masivo!E80+Consumo_Inicial!E80</f>
        <v>0</v>
      </c>
      <c r="F80" s="8">
        <f>Renta_Alta!F80+Masivo!F80+Consumo_Inicial!F80</f>
        <v>0</v>
      </c>
      <c r="G80" s="8">
        <f>Renta_Alta!G80+Masivo!G80+Consumo_Inicial!G80</f>
        <v>0</v>
      </c>
      <c r="H80" s="8">
        <f>Renta_Alta!H80+Masivo!H80+Consumo_Inicial!H80</f>
        <v>0</v>
      </c>
      <c r="I80" s="8">
        <f>Renta_Alta!I80+Masivo!I80+Consumo_Inicial!I80</f>
        <v>0</v>
      </c>
      <c r="J80" s="8">
        <f>Renta_Alta!J80+Masivo!J80+Consumo_Inicial!J80</f>
        <v>0</v>
      </c>
      <c r="K80" s="8">
        <f>Renta_Alta!K80+Masivo!K80+Consumo_Inicial!K80</f>
        <v>0</v>
      </c>
      <c r="L80" s="8">
        <f>Renta_Alta!L80+Masivo!L80+Consumo_Inicial!L80</f>
        <v>0</v>
      </c>
      <c r="M80" s="8">
        <f>Renta_Alta!M80+Masivo!M80+Consumo_Inicial!M80</f>
        <v>0</v>
      </c>
      <c r="N80" s="8">
        <f>Renta_Alta!N80+Masivo!N80+Consumo_Inicial!N80</f>
        <v>0</v>
      </c>
      <c r="O80" s="8">
        <f>Renta_Alta!O80+Masivo!O80+Consumo_Inicial!O80</f>
        <v>0</v>
      </c>
      <c r="P80" s="8">
        <f>Renta_Alta!P80+Masivo!P80+Consumo_Inicial!P80</f>
        <v>0</v>
      </c>
      <c r="Q80" s="8">
        <f>Renta_Alta!Q80+Masivo!Q80+Consumo_Inicial!Q80</f>
        <v>0</v>
      </c>
      <c r="R80" s="8">
        <f>Renta_Alta!R80+Masivo!R80+Consumo_Inicial!R80</f>
        <v>0</v>
      </c>
      <c r="S80" s="8">
        <f>Renta_Alta!S80+Masivo!S80+Consumo_Inicial!S80</f>
        <v>0</v>
      </c>
      <c r="T80" s="8">
        <f>Renta_Alta!T80+Masivo!T80+Consumo_Inicial!T80</f>
        <v>0</v>
      </c>
      <c r="U80" s="8">
        <f>Renta_Alta!U80+Masivo!U80+Consumo_Inicial!U80</f>
        <v>0</v>
      </c>
      <c r="V80" s="8">
        <f>Renta_Alta!V80+Masivo!V80+Consumo_Inicial!V80</f>
        <v>0</v>
      </c>
      <c r="W80" s="8">
        <f>Renta_Alta!W80+Masivo!W80+Consumo_Inicial!W80</f>
        <v>0</v>
      </c>
      <c r="X80" s="8">
        <f>Renta_Alta!X80+Masivo!X80+Consumo_Inicial!X80</f>
        <v>0</v>
      </c>
      <c r="Y80" s="8">
        <f>Renta_Alta!Y80+Masivo!Y80+Consumo_Inicial!Y80</f>
        <v>0</v>
      </c>
      <c r="Z80" s="8">
        <f>Renta_Alta!Z80+Masivo!Z80+Consumo_Inicial!Z80</f>
        <v>0</v>
      </c>
      <c r="AA80" s="8">
        <f>Renta_Alta!AA80+Masivo!AA80+Consumo_Inicial!AA80</f>
        <v>0</v>
      </c>
      <c r="AB80" s="8">
        <f>Renta_Alta!AB80+Masivo!AB80+Consumo_Inicial!AB80</f>
        <v>0</v>
      </c>
      <c r="AC80" s="8">
        <f>Renta_Alta!AC80+Masivo!AC80+Consumo_Inicial!AC80</f>
        <v>0</v>
      </c>
      <c r="AD80" s="8">
        <f>Renta_Alta!AD80+Masivo!AD80+Consumo_Inicial!AD80</f>
        <v>0</v>
      </c>
      <c r="AE80" s="8">
        <f>Renta_Alta!AE80+Masivo!AE80+Consumo_Inicial!AE80</f>
        <v>0</v>
      </c>
      <c r="AF80" s="8">
        <f>Renta_Alta!AF80+Masivo!AF80+Consumo_Inicial!AF80</f>
        <v>0</v>
      </c>
      <c r="AG80" s="8">
        <f>Renta_Alta!AG80+Masivo!AG80+Consumo_Inicial!AG80</f>
        <v>0</v>
      </c>
      <c r="AH80" s="8">
        <f>Renta_Alta!AH80+Masivo!AH80+Consumo_Inicial!AH80</f>
        <v>0</v>
      </c>
      <c r="AI80" s="8">
        <f>Renta_Alta!AI80+Masivo!AI80+Consumo_Inicial!AI80</f>
        <v>0</v>
      </c>
      <c r="AJ80" s="8">
        <f>Renta_Alta!AJ80+Masivo!AJ80+Consumo_Inicial!AJ80</f>
        <v>0</v>
      </c>
      <c r="AK80" s="8">
        <f>Renta_Alta!AK80+Masivo!AK80+Consumo_Inicial!AK80</f>
        <v>0</v>
      </c>
      <c r="AL80" s="8">
        <f>Renta_Alta!AL80+Masivo!AL80+Consumo_Inicial!AL80</f>
        <v>0</v>
      </c>
      <c r="AM80" s="8">
        <f>Renta_Alta!AM80+Masivo!AM80+Consumo_Inicial!AM80</f>
        <v>0</v>
      </c>
      <c r="AN80" s="8">
        <f>Renta_Alta!AN80+Masivo!AN80+Consumo_Inicial!AN80</f>
        <v>0</v>
      </c>
      <c r="AO80" s="8">
        <f>Renta_Alta!AO80+Masivo!AO80+Consumo_Inicial!AO80</f>
        <v>0</v>
      </c>
      <c r="AP80" s="8">
        <f>Renta_Alta!AP80+Masivo!AP80+Consumo_Inicial!AP80</f>
        <v>0</v>
      </c>
      <c r="AQ80" s="8">
        <f>Renta_Alta!AQ80+Masivo!AQ80+Consumo_Inicial!AQ80</f>
        <v>0</v>
      </c>
      <c r="AR80" s="8">
        <f>Renta_Alta!AR80+Masivo!AR80+Consumo_Inicial!AR80</f>
        <v>0</v>
      </c>
      <c r="AS80" s="8">
        <f>Renta_Alta!AS80+Masivo!AS80+Consumo_Inicial!AS80</f>
        <v>0</v>
      </c>
      <c r="AT80" s="8">
        <f>Renta_Alta!AT80+Masivo!AT80+Consumo_Inicial!AT80</f>
        <v>0</v>
      </c>
      <c r="AU80" s="8">
        <f>Renta_Alta!AU80+Masivo!AU80+Consumo_Inicial!AU80</f>
        <v>0</v>
      </c>
      <c r="AV80" s="8">
        <f>Renta_Alta!AV80+Masivo!AV80+Consumo_Inicial!AV80</f>
        <v>0</v>
      </c>
      <c r="AW80" s="8">
        <f>Renta_Alta!AW80+Masivo!AW80+Consumo_Inicial!AW80</f>
        <v>0</v>
      </c>
      <c r="AX80" s="8">
        <f>Renta_Alta!AX80+Masivo!AX80+Consumo_Inicial!AX80</f>
        <v>0</v>
      </c>
      <c r="AY80" s="8">
        <f>Renta_Alta!AY80+Masivo!AY80+Consumo_Inicial!AY80</f>
        <v>0</v>
      </c>
      <c r="AZ80" s="8">
        <f>Renta_Alta!AZ80+Masivo!AZ80+Consumo_Inicial!AZ80</f>
        <v>0</v>
      </c>
      <c r="BA80" s="8">
        <f>Renta_Alta!BA80+Masivo!BA80+Consumo_Inicial!BA80</f>
        <v>0</v>
      </c>
      <c r="BB80" s="8">
        <f>Renta_Alta!BB80+Masivo!BB80+Consumo_Inicial!BB80</f>
        <v>0</v>
      </c>
      <c r="BC80" s="8">
        <f>Renta_Alta!BC80+Masivo!BC80+Consumo_Inicial!BC80</f>
        <v>0</v>
      </c>
      <c r="BD80" s="8">
        <f>Renta_Alta!BD80+Masivo!BD80+Consumo_Inicial!BD80</f>
        <v>0</v>
      </c>
      <c r="BE80" s="8">
        <f>Renta_Alta!BE80+Masivo!BE80+Consumo_Inicial!BE80</f>
        <v>0</v>
      </c>
      <c r="BF80" s="8">
        <f>Renta_Alta!BF80+Masivo!BF80+Consumo_Inicial!BF80</f>
        <v>0</v>
      </c>
      <c r="BG80" s="8">
        <f>Renta_Alta!BG80+Masivo!BG80+Consumo_Inicial!BG80</f>
        <v>0</v>
      </c>
      <c r="BH80" s="8">
        <f>Renta_Alta!BH80+Masivo!BH80+Consumo_Inicial!BH80</f>
        <v>0</v>
      </c>
      <c r="BI80" s="8">
        <f>Renta_Alta!BI80+Masivo!BI80+Consumo_Inicial!BI80</f>
        <v>0</v>
      </c>
      <c r="BJ80" s="8">
        <f>Renta_Alta!BJ80+Masivo!BJ80+Consumo_Inicial!BJ80</f>
        <v>0</v>
      </c>
      <c r="BK80" s="8">
        <f>Renta_Alta!BK80+Masivo!BK80+Consumo_Inicial!BK80</f>
        <v>0</v>
      </c>
      <c r="BO80" s="24">
        <f t="shared" si="69"/>
        <v>0</v>
      </c>
      <c r="BP80" s="24">
        <f t="shared" si="69"/>
        <v>0</v>
      </c>
      <c r="BQ80" s="24">
        <f t="shared" si="69"/>
        <v>0</v>
      </c>
      <c r="BR80" s="24">
        <f t="shared" si="69"/>
        <v>0</v>
      </c>
      <c r="BS80" s="24">
        <f t="shared" si="69"/>
        <v>0</v>
      </c>
      <c r="BT80" s="24">
        <f t="shared" si="69"/>
        <v>0</v>
      </c>
    </row>
    <row r="81" spans="1:72" hidden="1" outlineLevel="1" x14ac:dyDescent="0.25">
      <c r="A81" s="58" t="s">
        <v>71</v>
      </c>
      <c r="C81" s="59"/>
      <c r="D81" s="8">
        <f>Renta_Alta!D81+Masivo!D81+Consumo_Inicial!D81</f>
        <v>0</v>
      </c>
      <c r="E81" s="8">
        <f>Renta_Alta!E81+Masivo!E81+Consumo_Inicial!E81</f>
        <v>0</v>
      </c>
      <c r="F81" s="8">
        <f>Renta_Alta!F81+Masivo!F81+Consumo_Inicial!F81</f>
        <v>0</v>
      </c>
      <c r="G81" s="8">
        <f>Renta_Alta!G81+Masivo!G81+Consumo_Inicial!G81</f>
        <v>0</v>
      </c>
      <c r="H81" s="8">
        <f>Renta_Alta!H81+Masivo!H81+Consumo_Inicial!H81</f>
        <v>0</v>
      </c>
      <c r="I81" s="8">
        <f>Renta_Alta!I81+Masivo!I81+Consumo_Inicial!I81</f>
        <v>0</v>
      </c>
      <c r="J81" s="8">
        <f>Renta_Alta!J81+Masivo!J81+Consumo_Inicial!J81</f>
        <v>0</v>
      </c>
      <c r="K81" s="8">
        <f>Renta_Alta!K81+Masivo!K81+Consumo_Inicial!K81</f>
        <v>0</v>
      </c>
      <c r="L81" s="8">
        <f>Renta_Alta!L81+Masivo!L81+Consumo_Inicial!L81</f>
        <v>0</v>
      </c>
      <c r="M81" s="8">
        <f>Renta_Alta!M81+Masivo!M81+Consumo_Inicial!M81</f>
        <v>0</v>
      </c>
      <c r="N81" s="8">
        <f>Renta_Alta!N81+Masivo!N81+Consumo_Inicial!N81</f>
        <v>0</v>
      </c>
      <c r="O81" s="8">
        <f>Renta_Alta!O81+Masivo!O81+Consumo_Inicial!O81</f>
        <v>0</v>
      </c>
      <c r="P81" s="8">
        <f>Renta_Alta!P81+Masivo!P81+Consumo_Inicial!P81</f>
        <v>0</v>
      </c>
      <c r="Q81" s="8">
        <f>Renta_Alta!Q81+Masivo!Q81+Consumo_Inicial!Q81</f>
        <v>0</v>
      </c>
      <c r="R81" s="8">
        <f>Renta_Alta!R81+Masivo!R81+Consumo_Inicial!R81</f>
        <v>0</v>
      </c>
      <c r="S81" s="8">
        <f>Renta_Alta!S81+Masivo!S81+Consumo_Inicial!S81</f>
        <v>0</v>
      </c>
      <c r="T81" s="8">
        <f>Renta_Alta!T81+Masivo!T81+Consumo_Inicial!T81</f>
        <v>0</v>
      </c>
      <c r="U81" s="8">
        <f>Renta_Alta!U81+Masivo!U81+Consumo_Inicial!U81</f>
        <v>0</v>
      </c>
      <c r="V81" s="8">
        <f>Renta_Alta!V81+Masivo!V81+Consumo_Inicial!V81</f>
        <v>0</v>
      </c>
      <c r="W81" s="8">
        <f>Renta_Alta!W81+Masivo!W81+Consumo_Inicial!W81</f>
        <v>0</v>
      </c>
      <c r="X81" s="8">
        <f>Renta_Alta!X81+Masivo!X81+Consumo_Inicial!X81</f>
        <v>0</v>
      </c>
      <c r="Y81" s="8">
        <f>Renta_Alta!Y81+Masivo!Y81+Consumo_Inicial!Y81</f>
        <v>0</v>
      </c>
      <c r="Z81" s="8">
        <f>Renta_Alta!Z81+Masivo!Z81+Consumo_Inicial!Z81</f>
        <v>0</v>
      </c>
      <c r="AA81" s="8">
        <f>Renta_Alta!AA81+Masivo!AA81+Consumo_Inicial!AA81</f>
        <v>0</v>
      </c>
      <c r="AB81" s="8">
        <f>Renta_Alta!AB81+Masivo!AB81+Consumo_Inicial!AB81</f>
        <v>0</v>
      </c>
      <c r="AC81" s="8">
        <f>Renta_Alta!AC81+Masivo!AC81+Consumo_Inicial!AC81</f>
        <v>0</v>
      </c>
      <c r="AD81" s="8">
        <f>Renta_Alta!AD81+Masivo!AD81+Consumo_Inicial!AD81</f>
        <v>0</v>
      </c>
      <c r="AE81" s="8">
        <f>Renta_Alta!AE81+Masivo!AE81+Consumo_Inicial!AE81</f>
        <v>0</v>
      </c>
      <c r="AF81" s="8">
        <f>Renta_Alta!AF81+Masivo!AF81+Consumo_Inicial!AF81</f>
        <v>0</v>
      </c>
      <c r="AG81" s="8">
        <f>Renta_Alta!AG81+Masivo!AG81+Consumo_Inicial!AG81</f>
        <v>0</v>
      </c>
      <c r="AH81" s="8">
        <f>Renta_Alta!AH81+Masivo!AH81+Consumo_Inicial!AH81</f>
        <v>0</v>
      </c>
      <c r="AI81" s="8">
        <f>Renta_Alta!AI81+Masivo!AI81+Consumo_Inicial!AI81</f>
        <v>0</v>
      </c>
      <c r="AJ81" s="8">
        <f>Renta_Alta!AJ81+Masivo!AJ81+Consumo_Inicial!AJ81</f>
        <v>0</v>
      </c>
      <c r="AK81" s="8">
        <f>Renta_Alta!AK81+Masivo!AK81+Consumo_Inicial!AK81</f>
        <v>0</v>
      </c>
      <c r="AL81" s="8">
        <f>Renta_Alta!AL81+Masivo!AL81+Consumo_Inicial!AL81</f>
        <v>0</v>
      </c>
      <c r="AM81" s="8">
        <f>Renta_Alta!AM81+Masivo!AM81+Consumo_Inicial!AM81</f>
        <v>0</v>
      </c>
      <c r="AN81" s="8">
        <f>Renta_Alta!AN81+Masivo!AN81+Consumo_Inicial!AN81</f>
        <v>0</v>
      </c>
      <c r="AO81" s="8">
        <f>Renta_Alta!AO81+Masivo!AO81+Consumo_Inicial!AO81</f>
        <v>0</v>
      </c>
      <c r="AP81" s="8">
        <f>Renta_Alta!AP81+Masivo!AP81+Consumo_Inicial!AP81</f>
        <v>0</v>
      </c>
      <c r="AQ81" s="8">
        <f>Renta_Alta!AQ81+Masivo!AQ81+Consumo_Inicial!AQ81</f>
        <v>0</v>
      </c>
      <c r="AR81" s="8">
        <f>Renta_Alta!AR81+Masivo!AR81+Consumo_Inicial!AR81</f>
        <v>0</v>
      </c>
      <c r="AS81" s="8">
        <f>Renta_Alta!AS81+Masivo!AS81+Consumo_Inicial!AS81</f>
        <v>0</v>
      </c>
      <c r="AT81" s="8">
        <f>Renta_Alta!AT81+Masivo!AT81+Consumo_Inicial!AT81</f>
        <v>0</v>
      </c>
      <c r="AU81" s="8">
        <f>Renta_Alta!AU81+Masivo!AU81+Consumo_Inicial!AU81</f>
        <v>0</v>
      </c>
      <c r="AV81" s="8">
        <f>Renta_Alta!AV81+Masivo!AV81+Consumo_Inicial!AV81</f>
        <v>0</v>
      </c>
      <c r="AW81" s="8">
        <f>Renta_Alta!AW81+Masivo!AW81+Consumo_Inicial!AW81</f>
        <v>0</v>
      </c>
      <c r="AX81" s="8">
        <f>Renta_Alta!AX81+Masivo!AX81+Consumo_Inicial!AX81</f>
        <v>0</v>
      </c>
      <c r="AY81" s="8">
        <f>Renta_Alta!AY81+Masivo!AY81+Consumo_Inicial!AY81</f>
        <v>0</v>
      </c>
      <c r="AZ81" s="8">
        <f>Renta_Alta!AZ81+Masivo!AZ81+Consumo_Inicial!AZ81</f>
        <v>0</v>
      </c>
      <c r="BA81" s="8">
        <f>Renta_Alta!BA81+Masivo!BA81+Consumo_Inicial!BA81</f>
        <v>0</v>
      </c>
      <c r="BB81" s="8">
        <f>Renta_Alta!BB81+Masivo!BB81+Consumo_Inicial!BB81</f>
        <v>0</v>
      </c>
      <c r="BC81" s="8">
        <f>Renta_Alta!BC81+Masivo!BC81+Consumo_Inicial!BC81</f>
        <v>0</v>
      </c>
      <c r="BD81" s="8">
        <f>Renta_Alta!BD81+Masivo!BD81+Consumo_Inicial!BD81</f>
        <v>0</v>
      </c>
      <c r="BE81" s="8">
        <f>Renta_Alta!BE81+Masivo!BE81+Consumo_Inicial!BE81</f>
        <v>0</v>
      </c>
      <c r="BF81" s="8">
        <f>Renta_Alta!BF81+Masivo!BF81+Consumo_Inicial!BF81</f>
        <v>0</v>
      </c>
      <c r="BG81" s="8">
        <f>Renta_Alta!BG81+Masivo!BG81+Consumo_Inicial!BG81</f>
        <v>0</v>
      </c>
      <c r="BH81" s="8">
        <f>Renta_Alta!BH81+Masivo!BH81+Consumo_Inicial!BH81</f>
        <v>0</v>
      </c>
      <c r="BI81" s="8">
        <f>Renta_Alta!BI81+Masivo!BI81+Consumo_Inicial!BI81</f>
        <v>0</v>
      </c>
      <c r="BJ81" s="8">
        <f>Renta_Alta!BJ81+Masivo!BJ81+Consumo_Inicial!BJ81</f>
        <v>0</v>
      </c>
      <c r="BK81" s="8">
        <f>Renta_Alta!BK81+Masivo!BK81+Consumo_Inicial!BK81</f>
        <v>0</v>
      </c>
      <c r="BO81" s="24">
        <f t="shared" si="69"/>
        <v>0</v>
      </c>
      <c r="BP81" s="24">
        <f t="shared" si="69"/>
        <v>0</v>
      </c>
      <c r="BQ81" s="24">
        <f t="shared" si="69"/>
        <v>0</v>
      </c>
      <c r="BR81" s="24">
        <f t="shared" si="69"/>
        <v>0</v>
      </c>
      <c r="BS81" s="24">
        <f t="shared" si="69"/>
        <v>0</v>
      </c>
      <c r="BT81" s="24">
        <f t="shared" si="69"/>
        <v>0</v>
      </c>
    </row>
    <row r="82" spans="1:72" hidden="1" outlineLevel="1" x14ac:dyDescent="0.25">
      <c r="A82" s="58" t="s">
        <v>71</v>
      </c>
      <c r="C82" s="59"/>
      <c r="D82" s="8">
        <f>Renta_Alta!D82+Masivo!D82+Consumo_Inicial!D82</f>
        <v>0</v>
      </c>
      <c r="E82" s="8">
        <f>Renta_Alta!E82+Masivo!E82+Consumo_Inicial!E82</f>
        <v>0</v>
      </c>
      <c r="F82" s="8">
        <f>Renta_Alta!F82+Masivo!F82+Consumo_Inicial!F82</f>
        <v>0</v>
      </c>
      <c r="G82" s="8">
        <f>Renta_Alta!G82+Masivo!G82+Consumo_Inicial!G82</f>
        <v>0</v>
      </c>
      <c r="H82" s="8">
        <f>Renta_Alta!H82+Masivo!H82+Consumo_Inicial!H82</f>
        <v>0</v>
      </c>
      <c r="I82" s="8">
        <f>Renta_Alta!I82+Masivo!I82+Consumo_Inicial!I82</f>
        <v>0</v>
      </c>
      <c r="J82" s="8">
        <f>Renta_Alta!J82+Masivo!J82+Consumo_Inicial!J82</f>
        <v>0</v>
      </c>
      <c r="K82" s="8">
        <f>Renta_Alta!K82+Masivo!K82+Consumo_Inicial!K82</f>
        <v>0</v>
      </c>
      <c r="L82" s="8">
        <f>Renta_Alta!L82+Masivo!L82+Consumo_Inicial!L82</f>
        <v>0</v>
      </c>
      <c r="M82" s="8">
        <f>Renta_Alta!M82+Masivo!M82+Consumo_Inicial!M82</f>
        <v>0</v>
      </c>
      <c r="N82" s="8">
        <f>Renta_Alta!N82+Masivo!N82+Consumo_Inicial!N82</f>
        <v>0</v>
      </c>
      <c r="O82" s="8">
        <f>Renta_Alta!O82+Masivo!O82+Consumo_Inicial!O82</f>
        <v>0</v>
      </c>
      <c r="P82" s="8">
        <f>Renta_Alta!P82+Masivo!P82+Consumo_Inicial!P82</f>
        <v>0</v>
      </c>
      <c r="Q82" s="8">
        <f>Renta_Alta!Q82+Masivo!Q82+Consumo_Inicial!Q82</f>
        <v>0</v>
      </c>
      <c r="R82" s="8">
        <f>Renta_Alta!R82+Masivo!R82+Consumo_Inicial!R82</f>
        <v>0</v>
      </c>
      <c r="S82" s="8">
        <f>Renta_Alta!S82+Masivo!S82+Consumo_Inicial!S82</f>
        <v>0</v>
      </c>
      <c r="T82" s="8">
        <f>Renta_Alta!T82+Masivo!T82+Consumo_Inicial!T82</f>
        <v>0</v>
      </c>
      <c r="U82" s="8">
        <f>Renta_Alta!U82+Masivo!U82+Consumo_Inicial!U82</f>
        <v>0</v>
      </c>
      <c r="V82" s="8">
        <f>Renta_Alta!V82+Masivo!V82+Consumo_Inicial!V82</f>
        <v>0</v>
      </c>
      <c r="W82" s="8">
        <f>Renta_Alta!W82+Masivo!W82+Consumo_Inicial!W82</f>
        <v>0</v>
      </c>
      <c r="X82" s="8">
        <f>Renta_Alta!X82+Masivo!X82+Consumo_Inicial!X82</f>
        <v>0</v>
      </c>
      <c r="Y82" s="8">
        <f>Renta_Alta!Y82+Masivo!Y82+Consumo_Inicial!Y82</f>
        <v>0</v>
      </c>
      <c r="Z82" s="8">
        <f>Renta_Alta!Z82+Masivo!Z82+Consumo_Inicial!Z82</f>
        <v>0</v>
      </c>
      <c r="AA82" s="8">
        <f>Renta_Alta!AA82+Masivo!AA82+Consumo_Inicial!AA82</f>
        <v>0</v>
      </c>
      <c r="AB82" s="8">
        <f>Renta_Alta!AB82+Masivo!AB82+Consumo_Inicial!AB82</f>
        <v>0</v>
      </c>
      <c r="AC82" s="8">
        <f>Renta_Alta!AC82+Masivo!AC82+Consumo_Inicial!AC82</f>
        <v>0</v>
      </c>
      <c r="AD82" s="8">
        <f>Renta_Alta!AD82+Masivo!AD82+Consumo_Inicial!AD82</f>
        <v>0</v>
      </c>
      <c r="AE82" s="8">
        <f>Renta_Alta!AE82+Masivo!AE82+Consumo_Inicial!AE82</f>
        <v>0</v>
      </c>
      <c r="AF82" s="8">
        <f>Renta_Alta!AF82+Masivo!AF82+Consumo_Inicial!AF82</f>
        <v>0</v>
      </c>
      <c r="AG82" s="8">
        <f>Renta_Alta!AG82+Masivo!AG82+Consumo_Inicial!AG82</f>
        <v>0</v>
      </c>
      <c r="AH82" s="8">
        <f>Renta_Alta!AH82+Masivo!AH82+Consumo_Inicial!AH82</f>
        <v>0</v>
      </c>
      <c r="AI82" s="8">
        <f>Renta_Alta!AI82+Masivo!AI82+Consumo_Inicial!AI82</f>
        <v>0</v>
      </c>
      <c r="AJ82" s="8">
        <f>Renta_Alta!AJ82+Masivo!AJ82+Consumo_Inicial!AJ82</f>
        <v>0</v>
      </c>
      <c r="AK82" s="8">
        <f>Renta_Alta!AK82+Masivo!AK82+Consumo_Inicial!AK82</f>
        <v>0</v>
      </c>
      <c r="AL82" s="8">
        <f>Renta_Alta!AL82+Masivo!AL82+Consumo_Inicial!AL82</f>
        <v>0</v>
      </c>
      <c r="AM82" s="8">
        <f>Renta_Alta!AM82+Masivo!AM82+Consumo_Inicial!AM82</f>
        <v>0</v>
      </c>
      <c r="AN82" s="8">
        <f>Renta_Alta!AN82+Masivo!AN82+Consumo_Inicial!AN82</f>
        <v>0</v>
      </c>
      <c r="AO82" s="8">
        <f>Renta_Alta!AO82+Masivo!AO82+Consumo_Inicial!AO82</f>
        <v>0</v>
      </c>
      <c r="AP82" s="8">
        <f>Renta_Alta!AP82+Masivo!AP82+Consumo_Inicial!AP82</f>
        <v>0</v>
      </c>
      <c r="AQ82" s="8">
        <f>Renta_Alta!AQ82+Masivo!AQ82+Consumo_Inicial!AQ82</f>
        <v>0</v>
      </c>
      <c r="AR82" s="8">
        <f>Renta_Alta!AR82+Masivo!AR82+Consumo_Inicial!AR82</f>
        <v>0</v>
      </c>
      <c r="AS82" s="8">
        <f>Renta_Alta!AS82+Masivo!AS82+Consumo_Inicial!AS82</f>
        <v>0</v>
      </c>
      <c r="AT82" s="8">
        <f>Renta_Alta!AT82+Masivo!AT82+Consumo_Inicial!AT82</f>
        <v>0</v>
      </c>
      <c r="AU82" s="8">
        <f>Renta_Alta!AU82+Masivo!AU82+Consumo_Inicial!AU82</f>
        <v>0</v>
      </c>
      <c r="AV82" s="8">
        <f>Renta_Alta!AV82+Masivo!AV82+Consumo_Inicial!AV82</f>
        <v>0</v>
      </c>
      <c r="AW82" s="8">
        <f>Renta_Alta!AW82+Masivo!AW82+Consumo_Inicial!AW82</f>
        <v>0</v>
      </c>
      <c r="AX82" s="8">
        <f>Renta_Alta!AX82+Masivo!AX82+Consumo_Inicial!AX82</f>
        <v>0</v>
      </c>
      <c r="AY82" s="8">
        <f>Renta_Alta!AY82+Masivo!AY82+Consumo_Inicial!AY82</f>
        <v>0</v>
      </c>
      <c r="AZ82" s="8">
        <f>Renta_Alta!AZ82+Masivo!AZ82+Consumo_Inicial!AZ82</f>
        <v>0</v>
      </c>
      <c r="BA82" s="8">
        <f>Renta_Alta!BA82+Masivo!BA82+Consumo_Inicial!BA82</f>
        <v>0</v>
      </c>
      <c r="BB82" s="8">
        <f>Renta_Alta!BB82+Masivo!BB82+Consumo_Inicial!BB82</f>
        <v>0</v>
      </c>
      <c r="BC82" s="8">
        <f>Renta_Alta!BC82+Masivo!BC82+Consumo_Inicial!BC82</f>
        <v>0</v>
      </c>
      <c r="BD82" s="8">
        <f>Renta_Alta!BD82+Masivo!BD82+Consumo_Inicial!BD82</f>
        <v>0</v>
      </c>
      <c r="BE82" s="8">
        <f>Renta_Alta!BE82+Masivo!BE82+Consumo_Inicial!BE82</f>
        <v>0</v>
      </c>
      <c r="BF82" s="8">
        <f>Renta_Alta!BF82+Masivo!BF82+Consumo_Inicial!BF82</f>
        <v>0</v>
      </c>
      <c r="BG82" s="8">
        <f>Renta_Alta!BG82+Masivo!BG82+Consumo_Inicial!BG82</f>
        <v>0</v>
      </c>
      <c r="BH82" s="8">
        <f>Renta_Alta!BH82+Masivo!BH82+Consumo_Inicial!BH82</f>
        <v>0</v>
      </c>
      <c r="BI82" s="8">
        <f>Renta_Alta!BI82+Masivo!BI82+Consumo_Inicial!BI82</f>
        <v>0</v>
      </c>
      <c r="BJ82" s="8">
        <f>Renta_Alta!BJ82+Masivo!BJ82+Consumo_Inicial!BJ82</f>
        <v>0</v>
      </c>
      <c r="BK82" s="8">
        <f>Renta_Alta!BK82+Masivo!BK82+Consumo_Inicial!BK82</f>
        <v>0</v>
      </c>
      <c r="BO82" s="24">
        <f t="shared" si="69"/>
        <v>0</v>
      </c>
      <c r="BP82" s="24">
        <f t="shared" si="69"/>
        <v>0</v>
      </c>
      <c r="BQ82" s="24">
        <f t="shared" si="69"/>
        <v>0</v>
      </c>
      <c r="BR82" s="24">
        <f t="shared" si="69"/>
        <v>0</v>
      </c>
      <c r="BS82" s="24">
        <f t="shared" si="69"/>
        <v>0</v>
      </c>
      <c r="BT82" s="24">
        <f t="shared" si="69"/>
        <v>0</v>
      </c>
    </row>
    <row r="83" spans="1:72" collapsed="1" x14ac:dyDescent="0.25">
      <c r="C83" s="60" t="s">
        <v>71</v>
      </c>
      <c r="D83" s="61">
        <f t="shared" ref="D83:AY83" si="70">SUM(D63:D82)</f>
        <v>1175.0624578428824</v>
      </c>
      <c r="E83" s="61">
        <f t="shared" si="70"/>
        <v>1036.3465022050605</v>
      </c>
      <c r="F83" s="61">
        <f t="shared" si="70"/>
        <v>1109.7963311132467</v>
      </c>
      <c r="G83" s="61">
        <f t="shared" si="70"/>
        <v>1121.614716742258</v>
      </c>
      <c r="H83" s="61">
        <f t="shared" si="70"/>
        <v>955.99943526498475</v>
      </c>
      <c r="I83" s="61">
        <f t="shared" si="70"/>
        <v>775.58717712413738</v>
      </c>
      <c r="J83" s="61">
        <f t="shared" si="70"/>
        <v>776.17124979730261</v>
      </c>
      <c r="K83" s="61">
        <f t="shared" si="70"/>
        <v>781.01107107041116</v>
      </c>
      <c r="L83" s="61">
        <f t="shared" si="70"/>
        <v>559.63013489034915</v>
      </c>
      <c r="M83" s="61">
        <f t="shared" si="70"/>
        <v>894.51658066960442</v>
      </c>
      <c r="N83" s="61">
        <f t="shared" si="70"/>
        <v>544.44178695807773</v>
      </c>
      <c r="O83" s="61">
        <f t="shared" si="70"/>
        <v>831.67236718947197</v>
      </c>
      <c r="P83" s="61">
        <f t="shared" si="70"/>
        <v>753.70559882820112</v>
      </c>
      <c r="Q83" s="61">
        <f t="shared" si="70"/>
        <v>501.42026739267214</v>
      </c>
      <c r="R83" s="61">
        <f t="shared" si="70"/>
        <v>679.67601803597404</v>
      </c>
      <c r="S83" s="61">
        <f t="shared" si="70"/>
        <v>708.02004483968472</v>
      </c>
      <c r="T83" s="61">
        <f t="shared" si="70"/>
        <v>734.74854785221487</v>
      </c>
      <c r="U83" s="61">
        <f t="shared" si="70"/>
        <v>735.06886034519141</v>
      </c>
      <c r="V83" s="61">
        <f t="shared" si="70"/>
        <v>912.70393786379634</v>
      </c>
      <c r="W83" s="61">
        <f t="shared" si="70"/>
        <v>871.0926151770509</v>
      </c>
      <c r="X83" s="61">
        <f t="shared" si="70"/>
        <v>1157.7011988383833</v>
      </c>
      <c r="Y83" s="61">
        <f t="shared" si="70"/>
        <v>42.152826062480159</v>
      </c>
      <c r="Z83" s="61">
        <f t="shared" si="70"/>
        <v>455.73260441746379</v>
      </c>
      <c r="AA83" s="61">
        <f t="shared" si="70"/>
        <v>965.35051673330008</v>
      </c>
      <c r="AB83" s="61">
        <f t="shared" si="70"/>
        <v>1037.3735447613069</v>
      </c>
      <c r="AC83" s="61">
        <f t="shared" si="70"/>
        <v>902.33673046556953</v>
      </c>
      <c r="AD83" s="61">
        <f t="shared" si="70"/>
        <v>1042.1873039410514</v>
      </c>
      <c r="AE83" s="61">
        <f t="shared" si="70"/>
        <v>1103.734555866743</v>
      </c>
      <c r="AF83" s="61">
        <f t="shared" si="70"/>
        <v>958.60360120786891</v>
      </c>
      <c r="AG83" s="61">
        <f t="shared" si="70"/>
        <v>1111.4047088210775</v>
      </c>
      <c r="AH83" s="61">
        <f t="shared" si="70"/>
        <v>955.24774453576572</v>
      </c>
      <c r="AI83" s="61">
        <f t="shared" si="70"/>
        <v>1027.4512144824428</v>
      </c>
      <c r="AJ83" s="61">
        <f t="shared" si="70"/>
        <v>800.4144011383928</v>
      </c>
      <c r="AK83" s="61">
        <f t="shared" si="70"/>
        <v>1197.9962181704923</v>
      </c>
      <c r="AL83" s="61">
        <f t="shared" si="70"/>
        <v>1342.4138558765931</v>
      </c>
      <c r="AM83" s="61">
        <f t="shared" si="70"/>
        <v>1439.3470522904884</v>
      </c>
      <c r="AN83" s="61">
        <f t="shared" si="70"/>
        <v>1223.1741676215738</v>
      </c>
      <c r="AO83" s="61">
        <f t="shared" si="70"/>
        <v>907.52849462002621</v>
      </c>
      <c r="AP83" s="61">
        <f t="shared" si="70"/>
        <v>1408.4740153220444</v>
      </c>
      <c r="AQ83" s="61">
        <f t="shared" si="70"/>
        <v>1164.4041981306875</v>
      </c>
      <c r="AR83" s="61">
        <f t="shared" si="70"/>
        <v>1636.4660689363163</v>
      </c>
      <c r="AS83" s="61">
        <f t="shared" si="70"/>
        <v>1100.3997502163079</v>
      </c>
      <c r="AT83" s="61">
        <f t="shared" si="70"/>
        <v>0</v>
      </c>
      <c r="AU83" s="61">
        <f t="shared" si="70"/>
        <v>0</v>
      </c>
      <c r="AV83" s="61">
        <f t="shared" si="70"/>
        <v>0</v>
      </c>
      <c r="AW83" s="61">
        <f t="shared" si="70"/>
        <v>0</v>
      </c>
      <c r="AX83" s="61">
        <f t="shared" si="70"/>
        <v>0</v>
      </c>
      <c r="AY83" s="61">
        <f t="shared" si="70"/>
        <v>0</v>
      </c>
      <c r="AZ83" s="61">
        <f t="shared" ref="AZ83:BK83" si="71">SUM(AZ63:AZ82)</f>
        <v>1060.6993865441184</v>
      </c>
      <c r="BA83" s="61">
        <f t="shared" si="71"/>
        <v>1062.8497320710824</v>
      </c>
      <c r="BB83" s="61">
        <f t="shared" si="71"/>
        <v>1064.5204692000875</v>
      </c>
      <c r="BC83" s="61">
        <f t="shared" si="71"/>
        <v>1066.5005535184255</v>
      </c>
      <c r="BD83" s="61">
        <f t="shared" si="71"/>
        <v>1068.9414368616274</v>
      </c>
      <c r="BE83" s="61">
        <f t="shared" si="71"/>
        <v>1071.7373124100241</v>
      </c>
      <c r="BF83" s="61">
        <f t="shared" si="71"/>
        <v>1074.1824677592695</v>
      </c>
      <c r="BG83" s="61">
        <f t="shared" si="71"/>
        <v>1077.6401286007301</v>
      </c>
      <c r="BH83" s="61">
        <f t="shared" si="71"/>
        <v>1080.9658787931244</v>
      </c>
      <c r="BI83" s="61">
        <f t="shared" si="71"/>
        <v>1085.1178782987613</v>
      </c>
      <c r="BJ83" s="61">
        <f t="shared" si="71"/>
        <v>1088.5173403294671</v>
      </c>
      <c r="BK83" s="61">
        <f t="shared" si="71"/>
        <v>1087.4192258058108</v>
      </c>
      <c r="BO83" s="62">
        <f t="shared" ref="BO83:BT83" si="72">SUM(BO63:BO82)</f>
        <v>3539.1766775636443</v>
      </c>
      <c r="BP83" s="62">
        <f t="shared" si="72"/>
        <v>3188.0695878152883</v>
      </c>
      <c r="BQ83" s="62">
        <f t="shared" si="72"/>
        <v>2130.7026622416001</v>
      </c>
      <c r="BR83" s="62">
        <f t="shared" si="72"/>
        <v>2981.8975791679277</v>
      </c>
      <c r="BS83" s="62">
        <f t="shared" si="72"/>
        <v>1934.8018842568474</v>
      </c>
      <c r="BT83" s="62">
        <f t="shared" si="72"/>
        <v>3321.2052911611891</v>
      </c>
    </row>
    <row r="84" spans="1:72" x14ac:dyDescent="0.25">
      <c r="D84" s="19">
        <f>[1]Base_Evolutivo!BE1767-D83</f>
        <v>-1.8467358131601941E-7</v>
      </c>
      <c r="E84" s="19">
        <f>[1]Base_Evolutivo!BF1767-E83</f>
        <v>-1.3281260180519894E-7</v>
      </c>
      <c r="F84" s="19">
        <f>[1]Base_Evolutivo!BG1767-F83</f>
        <v>3.1720628612674773E-7</v>
      </c>
      <c r="G84" s="19">
        <f>[1]Base_Evolutivo!BH1767-G83</f>
        <v>3.7396898733277339E-7</v>
      </c>
      <c r="H84" s="19">
        <f>[1]Base_Evolutivo!BI1767-H83</f>
        <v>-4.1599696487537585E-7</v>
      </c>
      <c r="I84" s="19">
        <f>[1]Base_Evolutivo!BJ1767-I83</f>
        <v>-4.3545651351450942E-7</v>
      </c>
      <c r="J84" s="19">
        <f>[1]Base_Evolutivo!BK1767-J83</f>
        <v>-2.6532961783232167E-7</v>
      </c>
      <c r="K84" s="19">
        <f>[1]Base_Evolutivo!BL1767-K83</f>
        <v>3.7148799947317457E-7</v>
      </c>
      <c r="L84" s="19">
        <f>[1]Base_Evolutivo!BM1767-L83</f>
        <v>1.3699286682822276E-7</v>
      </c>
      <c r="M84" s="19">
        <f>[1]Base_Evolutivo!BN1767-M83</f>
        <v>-1.2145972050348064E-7</v>
      </c>
      <c r="N84" s="19">
        <f>[1]Base_Evolutivo!BO1767-N83</f>
        <v>2.3915549718367402E-7</v>
      </c>
      <c r="O84" s="19">
        <f>[1]Base_Evolutivo!BP1767-O83</f>
        <v>5.1625863761728397E-7</v>
      </c>
      <c r="P84" s="19">
        <f>[1]Base_Evolutivo!BQ1767-P83</f>
        <v>7.200565050879959E-7</v>
      </c>
      <c r="Q84" s="19">
        <f>[1]Base_Evolutivo!BR1767-Q83</f>
        <v>5.31026103089971E-8</v>
      </c>
      <c r="R84" s="19">
        <f>[1]Base_Evolutivo!BS1767-R83</f>
        <v>-5.6215469612652669E-7</v>
      </c>
      <c r="S84" s="19">
        <f>[1]Base_Evolutivo!BT1767-S83</f>
        <v>-6.0831098380731419E-7</v>
      </c>
      <c r="T84" s="19">
        <f>[1]Base_Evolutivo!BU1767-T83</f>
        <v>5.3526150622928981E-7</v>
      </c>
      <c r="U84" s="19">
        <f>[1]Base_Evolutivo!BV1767-U83</f>
        <v>1.963314844033448E-8</v>
      </c>
      <c r="V84" s="19">
        <f>[1]Base_Evolutivo!BW1767-V83</f>
        <v>3.6568644645740278E-7</v>
      </c>
      <c r="W84" s="19">
        <f>[1]Base_Evolutivo!BX1767-W83</f>
        <v>-9.4412428097712109E-7</v>
      </c>
      <c r="X84" s="19">
        <f>[1]Base_Evolutivo!BY1767-X83</f>
        <v>2.2061158233555034E-7</v>
      </c>
      <c r="Y84" s="19">
        <f>[1]Base_Evolutivo!BZ1767-Y83</f>
        <v>-1.4085513555528451E-7</v>
      </c>
      <c r="Z84" s="19">
        <f>[1]Base_Evolutivo!CA1767-Z83</f>
        <v>-5.9921740103163756E-7</v>
      </c>
      <c r="AA84" s="19">
        <f>[1]Base_Evolutivo!CB1767-AA83</f>
        <v>-3.5966479572380194E-7</v>
      </c>
      <c r="AB84" s="19">
        <f>[1]Base_Evolutivo!CC1767-AB83</f>
        <v>3.95755478166393E-7</v>
      </c>
      <c r="AC84" s="19">
        <f>[1]Base_Evolutivo!CD1767-AC83</f>
        <v>1.6515139122930123E-7</v>
      </c>
      <c r="AD84" s="19">
        <f>[1]Base_Evolutivo!CE1767-AD83</f>
        <v>-7.4580839282134548E-8</v>
      </c>
      <c r="AE84" s="19">
        <f>[1]Base_Evolutivo!CF1767-AE83</f>
        <v>-1.0791654858621769E-7</v>
      </c>
      <c r="AF84" s="19">
        <f>[1]Base_Evolutivo!CG1767-AF83</f>
        <v>7.6789626746176509E-7</v>
      </c>
      <c r="AG84" s="19">
        <f>[1]Base_Evolutivo!CH1767-AG83</f>
        <v>7.3314186010975391E-7</v>
      </c>
      <c r="AH84" s="19">
        <f>[1]Base_Evolutivo!CI1767-AH83</f>
        <v>-3.0541866635758197E-7</v>
      </c>
      <c r="AI84" s="19">
        <f>[1]Base_Evolutivo!CJ1767-AI83</f>
        <v>4.0404665924143046E-7</v>
      </c>
      <c r="AJ84" s="19">
        <f>[1]Base_Evolutivo!CK1767-AJ83</f>
        <v>9.4267704753292492E-7</v>
      </c>
      <c r="AK84" s="19">
        <f>[1]Base_Evolutivo!CL1767-AK83</f>
        <v>3.322984412079677E-7</v>
      </c>
      <c r="AL84" s="19">
        <f>[1]Base_Evolutivo!CM1767-AL83</f>
        <v>7.3148271440004464E-7</v>
      </c>
      <c r="AM84" s="19">
        <f>[1]Base_Evolutivo!CN1767-AM83</f>
        <v>-1.0005212516261963E-6</v>
      </c>
      <c r="AN84" s="19">
        <f>[1]Base_Evolutivo!CO1767-AN83</f>
        <v>0</v>
      </c>
      <c r="AO84" s="19">
        <f>[1]Base_Evolutivo!CP1767-AO83</f>
        <v>0</v>
      </c>
      <c r="AP84" s="19">
        <f>[1]Base_Evolutivo!CQ1767-AP83</f>
        <v>0</v>
      </c>
      <c r="AQ84" s="19">
        <f>[1]Base_Evolutivo!CR1767-AQ83</f>
        <v>0</v>
      </c>
      <c r="AR84" s="19">
        <f>[1]Base_Evolutivo!CS1767-AR83</f>
        <v>0</v>
      </c>
      <c r="AS84" s="19">
        <f>[1]Base_Evolutivo!CT1767-AS83</f>
        <v>0</v>
      </c>
      <c r="AT84" s="19">
        <f>[1]Base_Evolutivo!CU1767-AT83</f>
        <v>2751.4750038415414</v>
      </c>
      <c r="AU84" s="19">
        <f>[1]Base_Evolutivo!CV1767-AU83</f>
        <v>0</v>
      </c>
      <c r="AV84" s="19">
        <f>[1]Base_Evolutivo!CW1767-AV83</f>
        <v>0</v>
      </c>
      <c r="AW84" s="19">
        <f>[1]Base_Evolutivo!CX1767-AW83</f>
        <v>0</v>
      </c>
      <c r="AX84" s="19">
        <f>[1]Base_Evolutivo!CY1767-AX83</f>
        <v>0</v>
      </c>
      <c r="AY84" s="19">
        <f>[1]Base_Evolutivo!CZ1767-AY83</f>
        <v>0</v>
      </c>
      <c r="AZ84" s="19">
        <f>[1]Base_Evolutivo!DA1767-AZ83</f>
        <v>-1060.6993865441184</v>
      </c>
      <c r="BA84" s="19">
        <f>[1]Base_Evolutivo!DB1767-BA83</f>
        <v>-1062.8497320710824</v>
      </c>
      <c r="BB84" s="19">
        <f>[1]Base_Evolutivo!DC1767-BB83</f>
        <v>-1064.5204692000875</v>
      </c>
      <c r="BC84" s="19">
        <f>[1]Base_Evolutivo!DD1767-BC83</f>
        <v>-1066.5005535184255</v>
      </c>
      <c r="BD84" s="19">
        <f>[1]Base_Evolutivo!DE1767-BD83</f>
        <v>-1068.9414368616274</v>
      </c>
      <c r="BE84" s="19">
        <f>[1]Base_Evolutivo!DF1767-BE83</f>
        <v>-1071.7373124100241</v>
      </c>
      <c r="BF84" s="19">
        <f>[1]Base_Evolutivo!DG1767-BF83</f>
        <v>-1074.1824677592695</v>
      </c>
      <c r="BG84" s="19">
        <f>[1]Base_Evolutivo!DH1767-BG83</f>
        <v>-1077.6401286007301</v>
      </c>
      <c r="BH84" s="19">
        <f>[1]Base_Evolutivo!DI1767-BH83</f>
        <v>-1080.9658787931244</v>
      </c>
      <c r="BI84" s="19">
        <f>[1]Base_Evolutivo!DJ1767-BI83</f>
        <v>-1085.1178782987613</v>
      </c>
      <c r="BJ84" s="19">
        <f>[1]Base_Evolutivo!DK1767-BJ83</f>
        <v>-1088.5173403294671</v>
      </c>
      <c r="BK84" s="19">
        <f>[1]Base_Evolutivo!DL1767-BK83</f>
        <v>-1087.4192258058108</v>
      </c>
    </row>
    <row r="86" spans="1:72" hidden="1" outlineLevel="1" x14ac:dyDescent="0.25">
      <c r="A86" s="58" t="s">
        <v>76</v>
      </c>
      <c r="C86" s="59" t="s">
        <v>79</v>
      </c>
      <c r="D86" s="8">
        <f>Renta_Alta!D86+Masivo!D86+Consumo_Inicial!D86</f>
        <v>-3441.8770618082999</v>
      </c>
      <c r="E86" s="8">
        <f>Renta_Alta!E86+Masivo!E86+Consumo_Inicial!E86</f>
        <v>-3422.4238962836998</v>
      </c>
      <c r="F86" s="8">
        <f>Renta_Alta!F86+Masivo!F86+Consumo_Inicial!F86</f>
        <v>-3786.9534091284004</v>
      </c>
      <c r="G86" s="8">
        <f>Renta_Alta!G86+Masivo!G86+Consumo_Inicial!G86</f>
        <v>-3850.8540988975005</v>
      </c>
      <c r="H86" s="8">
        <f>Renta_Alta!H86+Masivo!H86+Consumo_Inicial!H86</f>
        <v>-3732.0761557420001</v>
      </c>
      <c r="I86" s="8">
        <f>Renta_Alta!I86+Masivo!I86+Consumo_Inicial!I86</f>
        <v>-3815.6450918907999</v>
      </c>
      <c r="J86" s="8">
        <f>Renta_Alta!J86+Masivo!J86+Consumo_Inicial!J86</f>
        <v>-3507.4620513826999</v>
      </c>
      <c r="K86" s="8">
        <f>Renta_Alta!K86+Masivo!K86+Consumo_Inicial!K86</f>
        <v>-3271.5760922351005</v>
      </c>
      <c r="L86" s="8">
        <f>Renta_Alta!L86+Masivo!L86+Consumo_Inicial!L86</f>
        <v>-3553.6978078534999</v>
      </c>
      <c r="M86" s="8">
        <f>Renta_Alta!M86+Masivo!M86+Consumo_Inicial!M86</f>
        <v>-3377.2229733393997</v>
      </c>
      <c r="N86" s="8">
        <f>Renta_Alta!N86+Masivo!N86+Consumo_Inicial!N86</f>
        <v>-3340.4011298051</v>
      </c>
      <c r="O86" s="8">
        <f>Renta_Alta!O86+Masivo!O86+Consumo_Inicial!O86</f>
        <v>-3413.2162542096003</v>
      </c>
      <c r="P86" s="8">
        <f>Renta_Alta!P86+Masivo!P86+Consumo_Inicial!P86</f>
        <v>-3177.8286039641002</v>
      </c>
      <c r="Q86" s="8">
        <f>Renta_Alta!Q86+Masivo!Q86+Consumo_Inicial!Q86</f>
        <v>-3786.7495563044004</v>
      </c>
      <c r="R86" s="8">
        <f>Renta_Alta!R86+Masivo!R86+Consumo_Inicial!R86</f>
        <v>-3717.2689307093005</v>
      </c>
      <c r="S86" s="8">
        <f>Renta_Alta!S86+Masivo!S86+Consumo_Inicial!S86</f>
        <v>-3584.1498567876997</v>
      </c>
      <c r="T86" s="8">
        <f>Renta_Alta!T86+Masivo!T86+Consumo_Inicial!T86</f>
        <v>-3846.4494343246001</v>
      </c>
      <c r="U86" s="8">
        <f>Renta_Alta!U86+Masivo!U86+Consumo_Inicial!U86</f>
        <v>-3405.8491030688001</v>
      </c>
      <c r="V86" s="8">
        <f>Renta_Alta!V86+Masivo!V86+Consumo_Inicial!V86</f>
        <v>-3873.5416362434999</v>
      </c>
      <c r="W86" s="8">
        <f>Renta_Alta!W86+Masivo!W86+Consumo_Inicial!W86</f>
        <v>-3883.5335515165002</v>
      </c>
      <c r="X86" s="8">
        <f>Renta_Alta!X86+Masivo!X86+Consumo_Inicial!X86</f>
        <v>-3700.3253837126003</v>
      </c>
      <c r="Y86" s="8">
        <f>Renta_Alta!Y86+Masivo!Y86+Consumo_Inicial!Y86</f>
        <v>-3690.2684369722001</v>
      </c>
      <c r="Z86" s="8">
        <f>Renta_Alta!Z86+Masivo!Z86+Consumo_Inicial!Z86</f>
        <v>-4350.3505203247996</v>
      </c>
      <c r="AA86" s="8">
        <f>Renta_Alta!AA86+Masivo!AA86+Consumo_Inicial!AA86</f>
        <v>-3935.2694590448996</v>
      </c>
      <c r="AB86" s="8">
        <f>Renta_Alta!AB86+Masivo!AB86+Consumo_Inicial!AB86</f>
        <v>-4414.1861345875004</v>
      </c>
      <c r="AC86" s="8">
        <f>Renta_Alta!AC86+Masivo!AC86+Consumo_Inicial!AC86</f>
        <v>-4292.6689480765999</v>
      </c>
      <c r="AD86" s="8">
        <f>Renta_Alta!AD86+Masivo!AD86+Consumo_Inicial!AD86</f>
        <v>-4514.4541907785997</v>
      </c>
      <c r="AE86" s="8">
        <f>Renta_Alta!AE86+Masivo!AE86+Consumo_Inicial!AE86</f>
        <v>-4613.4266745891009</v>
      </c>
      <c r="AF86" s="8">
        <f>Renta_Alta!AF86+Masivo!AF86+Consumo_Inicial!AF86</f>
        <v>-4808.2685956250007</v>
      </c>
      <c r="AG86" s="8">
        <f>Renta_Alta!AG86+Masivo!AG86+Consumo_Inicial!AG86</f>
        <v>-4932.7305526755999</v>
      </c>
      <c r="AH86" s="8">
        <f>Renta_Alta!AH86+Masivo!AH86+Consumo_Inicial!AH86</f>
        <v>-5279.5940335851001</v>
      </c>
      <c r="AI86" s="8">
        <f>Renta_Alta!AI86+Masivo!AI86+Consumo_Inicial!AI86</f>
        <v>-5303.1766001919004</v>
      </c>
      <c r="AJ86" s="8">
        <f>Renta_Alta!AJ86+Masivo!AJ86+Consumo_Inicial!AJ86</f>
        <v>-4682.2308172105004</v>
      </c>
      <c r="AK86" s="8">
        <f>Renta_Alta!AK86+Masivo!AK86+Consumo_Inicial!AK86</f>
        <v>-4368.2646812332005</v>
      </c>
      <c r="AL86" s="8">
        <f>Renta_Alta!AL86+Masivo!AL86+Consumo_Inicial!AL86</f>
        <v>-4676.4174667368998</v>
      </c>
      <c r="AM86" s="8">
        <f>Renta_Alta!AM86+Masivo!AM86+Consumo_Inicial!AM86</f>
        <v>-5129.3846446624993</v>
      </c>
      <c r="AN86" s="8">
        <f>Renta_Alta!AN86+Masivo!AN86+Consumo_Inicial!AN86</f>
        <v>-4437.0218170590006</v>
      </c>
      <c r="AO86" s="8">
        <f>Renta_Alta!AO86+Masivo!AO86+Consumo_Inicial!AO86</f>
        <v>-4301.1419468289996</v>
      </c>
      <c r="AP86" s="8">
        <f>Renta_Alta!AP86+Masivo!AP86+Consumo_Inicial!AP86</f>
        <v>-4774.8364029929999</v>
      </c>
      <c r="AQ86" s="8">
        <f>Renta_Alta!AQ86+Masivo!AQ86+Consumo_Inicial!AQ86</f>
        <v>-4620.9387922931001</v>
      </c>
      <c r="AR86" s="8">
        <f>Renta_Alta!AR86+Masivo!AR86+Consumo_Inicial!AR86</f>
        <v>-5026.4508468509994</v>
      </c>
      <c r="AS86" s="8">
        <f>Renta_Alta!AS86+Masivo!AS86+Consumo_Inicial!AS86</f>
        <v>-4637.7002881088993</v>
      </c>
      <c r="AT86" s="8">
        <f>Renta_Alta!AT86+Masivo!AT86+Consumo_Inicial!AT86</f>
        <v>0</v>
      </c>
      <c r="AU86" s="8">
        <f>Renta_Alta!AU86+Masivo!AU86+Consumo_Inicial!AU86</f>
        <v>0</v>
      </c>
      <c r="AV86" s="8">
        <f>Renta_Alta!AV86+Masivo!AV86+Consumo_Inicial!AV86</f>
        <v>0</v>
      </c>
      <c r="AW86" s="8">
        <f>Renta_Alta!AW86+Masivo!AW86+Consumo_Inicial!AW86</f>
        <v>0</v>
      </c>
      <c r="AX86" s="8">
        <f>Renta_Alta!AX86+Masivo!AX86+Consumo_Inicial!AX86</f>
        <v>0</v>
      </c>
      <c r="AY86" s="8">
        <f>Renta_Alta!AY86+Masivo!AY86+Consumo_Inicial!AY86</f>
        <v>0</v>
      </c>
      <c r="AZ86" s="8">
        <f>Renta_Alta!AZ86+Masivo!AZ86+Consumo_Inicial!AZ86</f>
        <v>-4785.9893335433999</v>
      </c>
      <c r="BA86" s="8">
        <f>Renta_Alta!BA86+Masivo!BA86+Consumo_Inicial!BA86</f>
        <v>-4662.1308486438002</v>
      </c>
      <c r="BB86" s="8">
        <f>Renta_Alta!BB86+Masivo!BB86+Consumo_Inicial!BB86</f>
        <v>-4781.4027457804004</v>
      </c>
      <c r="BC86" s="8">
        <f>Renta_Alta!BC86+Masivo!BC86+Consumo_Inicial!BC86</f>
        <v>-4739.3247344488</v>
      </c>
      <c r="BD86" s="8">
        <f>Renta_Alta!BD86+Masivo!BD86+Consumo_Inicial!BD86</f>
        <v>-4944.577745175</v>
      </c>
      <c r="BE86" s="8">
        <f>Renta_Alta!BE86+Masivo!BE86+Consumo_Inicial!BE86</f>
        <v>-4987.8855842098001</v>
      </c>
      <c r="BF86" s="8">
        <f>Renta_Alta!BF86+Masivo!BF86+Consumo_Inicial!BF86</f>
        <v>-4853.2102172519008</v>
      </c>
      <c r="BG86" s="8">
        <f>Renta_Alta!BG86+Masivo!BG86+Consumo_Inicial!BG86</f>
        <v>-4922.6162917769007</v>
      </c>
      <c r="BH86" s="8">
        <f>Renta_Alta!BH86+Masivo!BH86+Consumo_Inicial!BH86</f>
        <v>-5042.8825064967004</v>
      </c>
      <c r="BI86" s="8">
        <f>Renta_Alta!BI86+Masivo!BI86+Consumo_Inicial!BI86</f>
        <v>-4915.0168405326995</v>
      </c>
      <c r="BJ86" s="8">
        <f>Renta_Alta!BJ86+Masivo!BJ86+Consumo_Inicial!BJ86</f>
        <v>-4917.2134286087003</v>
      </c>
      <c r="BK86" s="8">
        <f>Renta_Alta!BK86+Masivo!BK86+Consumo_Inicial!BK86</f>
        <v>-4960.3928461469995</v>
      </c>
      <c r="BO86" s="24">
        <f t="shared" ref="BO86:BT88" si="73">SUMIFS($D86:$BM86,$D$6:$BM$6,"&gt;="&amp;BO$2,$D$6:$BM$6,"&lt;="&amp;BO$6,$D$5:$BM$5,BO$5)</f>
        <v>-13513.000166881</v>
      </c>
      <c r="BP86" s="24">
        <f t="shared" si="73"/>
        <v>-14229.5229279676</v>
      </c>
      <c r="BQ86" s="24">
        <f t="shared" si="73"/>
        <v>-8738.1637638880002</v>
      </c>
      <c r="BR86" s="24">
        <f t="shared" si="73"/>
        <v>-13221.309273442701</v>
      </c>
      <c r="BS86" s="24">
        <f t="shared" si="73"/>
        <v>-10681.847090977801</v>
      </c>
      <c r="BT86" s="24">
        <f t="shared" si="73"/>
        <v>-10651.254367220401</v>
      </c>
    </row>
    <row r="87" spans="1:72" hidden="1" outlineLevel="1" x14ac:dyDescent="0.25">
      <c r="A87" s="58" t="s">
        <v>76</v>
      </c>
      <c r="C87" s="59" t="s">
        <v>78</v>
      </c>
      <c r="D87" s="8">
        <f>Renta_Alta!D87+Masivo!D87+Consumo_Inicial!D87</f>
        <v>-541.63680086099998</v>
      </c>
      <c r="E87" s="8">
        <f>Renta_Alta!E87+Masivo!E87+Consumo_Inicial!E87</f>
        <v>-539.37348760910004</v>
      </c>
      <c r="F87" s="8">
        <f>Renta_Alta!F87+Masivo!F87+Consumo_Inicial!F87</f>
        <v>-604.01875629810013</v>
      </c>
      <c r="G87" s="8">
        <f>Renta_Alta!G87+Masivo!G87+Consumo_Inicial!G87</f>
        <v>-561.78489834289996</v>
      </c>
      <c r="H87" s="8">
        <f>Renta_Alta!H87+Masivo!H87+Consumo_Inicial!H87</f>
        <v>-588.5327726905</v>
      </c>
      <c r="I87" s="8">
        <f>Renta_Alta!I87+Masivo!I87+Consumo_Inicial!I87</f>
        <v>-576.11848485519999</v>
      </c>
      <c r="J87" s="8">
        <f>Renta_Alta!J87+Masivo!J87+Consumo_Inicial!J87</f>
        <v>-550.83364661199994</v>
      </c>
      <c r="K87" s="8">
        <f>Renta_Alta!K87+Masivo!K87+Consumo_Inicial!K87</f>
        <v>-570.20256317270014</v>
      </c>
      <c r="L87" s="8">
        <f>Renta_Alta!L87+Masivo!L87+Consumo_Inicial!L87</f>
        <v>-566.00159176049999</v>
      </c>
      <c r="M87" s="8">
        <f>Renta_Alta!M87+Masivo!M87+Consumo_Inicial!M87</f>
        <v>-573.77918331229989</v>
      </c>
      <c r="N87" s="8">
        <f>Renta_Alta!N87+Masivo!N87+Consumo_Inicial!N87</f>
        <v>-563.97795850269995</v>
      </c>
      <c r="O87" s="8">
        <f>Renta_Alta!O87+Masivo!O87+Consumo_Inicial!O87</f>
        <v>-483.99541379589994</v>
      </c>
      <c r="P87" s="8">
        <f>Renta_Alta!P87+Masivo!P87+Consumo_Inicial!P87</f>
        <v>-593.17510769950002</v>
      </c>
      <c r="Q87" s="8">
        <f>Renta_Alta!Q87+Masivo!Q87+Consumo_Inicial!Q87</f>
        <v>-592.91514184380003</v>
      </c>
      <c r="R87" s="8">
        <f>Renta_Alta!R87+Masivo!R87+Consumo_Inicial!R87</f>
        <v>-632.85735127930002</v>
      </c>
      <c r="S87" s="8">
        <f>Renta_Alta!S87+Masivo!S87+Consumo_Inicial!S87</f>
        <v>-593.79937643149992</v>
      </c>
      <c r="T87" s="8">
        <f>Renta_Alta!T87+Masivo!T87+Consumo_Inicial!T87</f>
        <v>-623.17040460039993</v>
      </c>
      <c r="U87" s="8">
        <f>Renta_Alta!U87+Masivo!U87+Consumo_Inicial!U87</f>
        <v>-570.7267036298</v>
      </c>
      <c r="V87" s="8">
        <f>Renta_Alta!V87+Masivo!V87+Consumo_Inicial!V87</f>
        <v>-634.86976882699992</v>
      </c>
      <c r="W87" s="8">
        <f>Renta_Alta!W87+Masivo!W87+Consumo_Inicial!W87</f>
        <v>-610.34340693280001</v>
      </c>
      <c r="X87" s="8">
        <f>Renta_Alta!X87+Masivo!X87+Consumo_Inicial!X87</f>
        <v>-663.32761115439985</v>
      </c>
      <c r="Y87" s="8">
        <f>Renta_Alta!Y87+Masivo!Y87+Consumo_Inicial!Y87</f>
        <v>-673.97045426830005</v>
      </c>
      <c r="Z87" s="8">
        <f>Renta_Alta!Z87+Masivo!Z87+Consumo_Inicial!Z87</f>
        <v>-635.20385781690015</v>
      </c>
      <c r="AA87" s="8">
        <f>Renta_Alta!AA87+Masivo!AA87+Consumo_Inicial!AA87</f>
        <v>-654.37279351539996</v>
      </c>
      <c r="AB87" s="8">
        <f>Renta_Alta!AB87+Masivo!AB87+Consumo_Inicial!AB87</f>
        <v>-668.15344965959991</v>
      </c>
      <c r="AC87" s="8">
        <f>Renta_Alta!AC87+Masivo!AC87+Consumo_Inicial!AC87</f>
        <v>-624.05427207129992</v>
      </c>
      <c r="AD87" s="8">
        <f>Renta_Alta!AD87+Masivo!AD87+Consumo_Inicial!AD87</f>
        <v>-647.23175631150002</v>
      </c>
      <c r="AE87" s="8">
        <f>Renta_Alta!AE87+Masivo!AE87+Consumo_Inicial!AE87</f>
        <v>-631.59657296879993</v>
      </c>
      <c r="AF87" s="8">
        <f>Renta_Alta!AF87+Masivo!AF87+Consumo_Inicial!AF87</f>
        <v>-669.25903965460009</v>
      </c>
      <c r="AG87" s="8">
        <f>Renta_Alta!AG87+Masivo!AG87+Consumo_Inicial!AG87</f>
        <v>-659.61980090719999</v>
      </c>
      <c r="AH87" s="8">
        <f>Renta_Alta!AH87+Masivo!AH87+Consumo_Inicial!AH87</f>
        <v>-607.80671951919999</v>
      </c>
      <c r="AI87" s="8">
        <f>Renta_Alta!AI87+Masivo!AI87+Consumo_Inicial!AI87</f>
        <v>-597.07903185840007</v>
      </c>
      <c r="AJ87" s="8">
        <f>Renta_Alta!AJ87+Masivo!AJ87+Consumo_Inicial!AJ87</f>
        <v>-570.37040543749993</v>
      </c>
      <c r="AK87" s="8">
        <f>Renta_Alta!AK87+Masivo!AK87+Consumo_Inicial!AK87</f>
        <v>-592.86228061209999</v>
      </c>
      <c r="AL87" s="8">
        <f>Renta_Alta!AL87+Masivo!AL87+Consumo_Inicial!AL87</f>
        <v>-615.25732685160006</v>
      </c>
      <c r="AM87" s="8">
        <f>Renta_Alta!AM87+Masivo!AM87+Consumo_Inicial!AM87</f>
        <v>-593.78126046679995</v>
      </c>
      <c r="AN87" s="8">
        <f>Renta_Alta!AN87+Masivo!AN87+Consumo_Inicial!AN87</f>
        <v>-624.84492128629995</v>
      </c>
      <c r="AO87" s="8">
        <f>Renta_Alta!AO87+Masivo!AO87+Consumo_Inicial!AO87</f>
        <v>-728.86034058090002</v>
      </c>
      <c r="AP87" s="8">
        <f>Renta_Alta!AP87+Masivo!AP87+Consumo_Inicial!AP87</f>
        <v>-730.18464580509999</v>
      </c>
      <c r="AQ87" s="8">
        <f>Renta_Alta!AQ87+Masivo!AQ87+Consumo_Inicial!AQ87</f>
        <v>-799.04275282540004</v>
      </c>
      <c r="AR87" s="8">
        <f>Renta_Alta!AR87+Masivo!AR87+Consumo_Inicial!AR87</f>
        <v>-720.52695019780003</v>
      </c>
      <c r="AS87" s="8">
        <f>Renta_Alta!AS87+Masivo!AS87+Consumo_Inicial!AS87</f>
        <v>-767.81295710509994</v>
      </c>
      <c r="AT87" s="8">
        <f>Renta_Alta!AT87+Masivo!AT87+Consumo_Inicial!AT87</f>
        <v>0</v>
      </c>
      <c r="AU87" s="8">
        <f>Renta_Alta!AU87+Masivo!AU87+Consumo_Inicial!AU87</f>
        <v>0</v>
      </c>
      <c r="AV87" s="8">
        <f>Renta_Alta!AV87+Masivo!AV87+Consumo_Inicial!AV87</f>
        <v>0</v>
      </c>
      <c r="AW87" s="8">
        <f>Renta_Alta!AW87+Masivo!AW87+Consumo_Inicial!AW87</f>
        <v>0</v>
      </c>
      <c r="AX87" s="8">
        <f>Renta_Alta!AX87+Masivo!AX87+Consumo_Inicial!AX87</f>
        <v>0</v>
      </c>
      <c r="AY87" s="8">
        <f>Renta_Alta!AY87+Masivo!AY87+Consumo_Inicial!AY87</f>
        <v>0</v>
      </c>
      <c r="AZ87" s="8">
        <f>Renta_Alta!AZ87+Masivo!AZ87+Consumo_Inicial!AZ87</f>
        <v>-772.73995244210005</v>
      </c>
      <c r="BA87" s="8">
        <f>Renta_Alta!BA87+Masivo!BA87+Consumo_Inicial!BA87</f>
        <v>-751.37924512910001</v>
      </c>
      <c r="BB87" s="8">
        <f>Renta_Alta!BB87+Masivo!BB87+Consumo_Inicial!BB87</f>
        <v>-766.83167759090009</v>
      </c>
      <c r="BC87" s="8">
        <f>Renta_Alta!BC87+Masivo!BC87+Consumo_Inicial!BC87</f>
        <v>-767.6624386763001</v>
      </c>
      <c r="BD87" s="8">
        <f>Renta_Alta!BD87+Masivo!BD87+Consumo_Inicial!BD87</f>
        <v>-783.89572245250008</v>
      </c>
      <c r="BE87" s="8">
        <f>Renta_Alta!BE87+Masivo!BE87+Consumo_Inicial!BE87</f>
        <v>-769.0973680533001</v>
      </c>
      <c r="BF87" s="8">
        <f>Renta_Alta!BF87+Masivo!BF87+Consumo_Inicial!BF87</f>
        <v>-758.60125130639994</v>
      </c>
      <c r="BG87" s="8">
        <f>Renta_Alta!BG87+Masivo!BG87+Consumo_Inicial!BG87</f>
        <v>-720.46284817729997</v>
      </c>
      <c r="BH87" s="8">
        <f>Renta_Alta!BH87+Masivo!BH87+Consumo_Inicial!BH87</f>
        <v>-752.14857962010001</v>
      </c>
      <c r="BI87" s="8">
        <f>Renta_Alta!BI87+Masivo!BI87+Consumo_Inicial!BI87</f>
        <v>-756.98330312299993</v>
      </c>
      <c r="BJ87" s="8">
        <f>Renta_Alta!BJ87+Masivo!BJ87+Consumo_Inicial!BJ87</f>
        <v>-756.15572641409995</v>
      </c>
      <c r="BK87" s="8">
        <f>Renta_Alta!BK87+Masivo!BK87+Consumo_Inicial!BK87</f>
        <v>-779.05145887119988</v>
      </c>
      <c r="BO87" s="24">
        <f t="shared" si="73"/>
        <v>-2083.8899076723001</v>
      </c>
      <c r="BP87" s="24">
        <f t="shared" si="73"/>
        <v>-2290.9508751621001</v>
      </c>
      <c r="BQ87" s="24">
        <f t="shared" si="73"/>
        <v>-1353.7052618672001</v>
      </c>
      <c r="BR87" s="24">
        <f t="shared" si="73"/>
        <v>-1939.4394780423997</v>
      </c>
      <c r="BS87" s="24">
        <f t="shared" si="73"/>
        <v>-1818.9476008226002</v>
      </c>
      <c r="BT87" s="24">
        <f t="shared" si="73"/>
        <v>-1685.0290447682</v>
      </c>
    </row>
    <row r="88" spans="1:72" hidden="1" outlineLevel="1" x14ac:dyDescent="0.25">
      <c r="A88" s="58" t="s">
        <v>76</v>
      </c>
      <c r="C88" s="59" t="s">
        <v>80</v>
      </c>
      <c r="D88" s="8">
        <f>Renta_Alta!D88+Masivo!D88+Consumo_Inicial!D88</f>
        <v>-1949.8758620041999</v>
      </c>
      <c r="E88" s="8">
        <f>Renta_Alta!E88+Masivo!E88+Consumo_Inicial!E88</f>
        <v>-1943.7462503124</v>
      </c>
      <c r="F88" s="8">
        <f>Renta_Alta!F88+Masivo!F88+Consumo_Inicial!F88</f>
        <v>-2023.5050097221997</v>
      </c>
      <c r="G88" s="8">
        <f>Renta_Alta!G88+Masivo!G88+Consumo_Inicial!G88</f>
        <v>-2087.6898112106996</v>
      </c>
      <c r="H88" s="8">
        <f>Renta_Alta!H88+Masivo!H88+Consumo_Inicial!H88</f>
        <v>-1983.1262520168002</v>
      </c>
      <c r="I88" s="8">
        <f>Renta_Alta!I88+Masivo!I88+Consumo_Inicial!I88</f>
        <v>-1831.9621936633002</v>
      </c>
      <c r="J88" s="8">
        <f>Renta_Alta!J88+Masivo!J88+Consumo_Inicial!J88</f>
        <v>-2009.4874861062001</v>
      </c>
      <c r="K88" s="8">
        <f>Renta_Alta!K88+Masivo!K88+Consumo_Inicial!K88</f>
        <v>-1873.7228874686</v>
      </c>
      <c r="L88" s="8">
        <f>Renta_Alta!L88+Masivo!L88+Consumo_Inicial!L88</f>
        <v>-1917.6296156983001</v>
      </c>
      <c r="M88" s="8">
        <f>Renta_Alta!M88+Masivo!M88+Consumo_Inicial!M88</f>
        <v>-1914.9297605793004</v>
      </c>
      <c r="N88" s="8">
        <f>Renta_Alta!N88+Masivo!N88+Consumo_Inicial!N88</f>
        <v>-2071.8247397059999</v>
      </c>
      <c r="O88" s="8">
        <f>Renta_Alta!O88+Masivo!O88+Consumo_Inicial!O88</f>
        <v>-1826.4339599080001</v>
      </c>
      <c r="P88" s="8">
        <f>Renta_Alta!P88+Masivo!P88+Consumo_Inicial!P88</f>
        <v>-1922.6788545891002</v>
      </c>
      <c r="Q88" s="8">
        <f>Renta_Alta!Q88+Masivo!Q88+Consumo_Inicial!Q88</f>
        <v>-2064.9425748410999</v>
      </c>
      <c r="R88" s="8">
        <f>Renta_Alta!R88+Masivo!R88+Consumo_Inicial!R88</f>
        <v>-1919.7327987043998</v>
      </c>
      <c r="S88" s="8">
        <f>Renta_Alta!S88+Masivo!S88+Consumo_Inicial!S88</f>
        <v>-2074.0757663479999</v>
      </c>
      <c r="T88" s="8">
        <f>Renta_Alta!T88+Masivo!T88+Consumo_Inicial!T88</f>
        <v>-2297.4441429333997</v>
      </c>
      <c r="U88" s="8">
        <f>Renta_Alta!U88+Masivo!U88+Consumo_Inicial!U88</f>
        <v>-4406.0662740383996</v>
      </c>
      <c r="V88" s="8">
        <f>Renta_Alta!V88+Masivo!V88+Consumo_Inicial!V88</f>
        <v>-3193.6447514769998</v>
      </c>
      <c r="W88" s="8">
        <f>Renta_Alta!W88+Masivo!W88+Consumo_Inicial!W88</f>
        <v>-2562.2372790094</v>
      </c>
      <c r="X88" s="8">
        <f>Renta_Alta!X88+Masivo!X88+Consumo_Inicial!X88</f>
        <v>-2296.2394284855</v>
      </c>
      <c r="Y88" s="8">
        <f>Renta_Alta!Y88+Masivo!Y88+Consumo_Inicial!Y88</f>
        <v>-2251.7151582345996</v>
      </c>
      <c r="Z88" s="8">
        <f>Renta_Alta!Z88+Masivo!Z88+Consumo_Inicial!Z88</f>
        <v>-2281.6044529959995</v>
      </c>
      <c r="AA88" s="8">
        <f>Renta_Alta!AA88+Masivo!AA88+Consumo_Inicial!AA88</f>
        <v>-2231.7259658942003</v>
      </c>
      <c r="AB88" s="8">
        <f>Renta_Alta!AB88+Masivo!AB88+Consumo_Inicial!AB88</f>
        <v>-2651.8788496075999</v>
      </c>
      <c r="AC88" s="8">
        <f>Renta_Alta!AC88+Masivo!AC88+Consumo_Inicial!AC88</f>
        <v>-2389.8407520145997</v>
      </c>
      <c r="AD88" s="8">
        <f>Renta_Alta!AD88+Masivo!AD88+Consumo_Inicial!AD88</f>
        <v>-2358.5741884184999</v>
      </c>
      <c r="AE88" s="8">
        <f>Renta_Alta!AE88+Masivo!AE88+Consumo_Inicial!AE88</f>
        <v>-2454.1137573462997</v>
      </c>
      <c r="AF88" s="8">
        <f>Renta_Alta!AF88+Masivo!AF88+Consumo_Inicial!AF88</f>
        <v>-2474.6644801253001</v>
      </c>
      <c r="AG88" s="8">
        <f>Renta_Alta!AG88+Masivo!AG88+Consumo_Inicial!AG88</f>
        <v>-2508.5950634237001</v>
      </c>
      <c r="AH88" s="8">
        <f>Renta_Alta!AH88+Masivo!AH88+Consumo_Inicial!AH88</f>
        <v>-2426.7819046445998</v>
      </c>
      <c r="AI88" s="8">
        <f>Renta_Alta!AI88+Masivo!AI88+Consumo_Inicial!AI88</f>
        <v>-2505.6270340743999</v>
      </c>
      <c r="AJ88" s="8">
        <f>Renta_Alta!AJ88+Masivo!AJ88+Consumo_Inicial!AJ88</f>
        <v>-2446.4689329424</v>
      </c>
      <c r="AK88" s="8">
        <f>Renta_Alta!AK88+Masivo!AK88+Consumo_Inicial!AK88</f>
        <v>-2240.8832217025997</v>
      </c>
      <c r="AL88" s="8">
        <f>Renta_Alta!AL88+Masivo!AL88+Consumo_Inicial!AL88</f>
        <v>-2676.7809201335003</v>
      </c>
      <c r="AM88" s="8">
        <f>Renta_Alta!AM88+Masivo!AM88+Consumo_Inicial!AM88</f>
        <v>-2497.5504475613998</v>
      </c>
      <c r="AN88" s="8">
        <f>Renta_Alta!AN88+Masivo!AN88+Consumo_Inicial!AN88</f>
        <v>-2851.8197511124999</v>
      </c>
      <c r="AO88" s="8">
        <f>Renta_Alta!AO88+Masivo!AO88+Consumo_Inicial!AO88</f>
        <v>-2714.7321724539006</v>
      </c>
      <c r="AP88" s="8">
        <f>Renta_Alta!AP88+Masivo!AP88+Consumo_Inicial!AP88</f>
        <v>-2492.0776162594002</v>
      </c>
      <c r="AQ88" s="8">
        <f>Renta_Alta!AQ88+Masivo!AQ88+Consumo_Inicial!AQ88</f>
        <v>-2947.1432751338998</v>
      </c>
      <c r="AR88" s="8">
        <f>Renta_Alta!AR88+Masivo!AR88+Consumo_Inicial!AR88</f>
        <v>-2616.4730054400998</v>
      </c>
      <c r="AS88" s="8">
        <f>Renta_Alta!AS88+Masivo!AS88+Consumo_Inicial!AS88</f>
        <v>-2883.7963725964</v>
      </c>
      <c r="AT88" s="8">
        <f>Renta_Alta!AT88+Masivo!AT88+Consumo_Inicial!AT88</f>
        <v>0</v>
      </c>
      <c r="AU88" s="8">
        <f>Renta_Alta!AU88+Masivo!AU88+Consumo_Inicial!AU88</f>
        <v>0</v>
      </c>
      <c r="AV88" s="8">
        <f>Renta_Alta!AV88+Masivo!AV88+Consumo_Inicial!AV88</f>
        <v>0</v>
      </c>
      <c r="AW88" s="8">
        <f>Renta_Alta!AW88+Masivo!AW88+Consumo_Inicial!AW88</f>
        <v>0</v>
      </c>
      <c r="AX88" s="8">
        <f>Renta_Alta!AX88+Masivo!AX88+Consumo_Inicial!AX88</f>
        <v>0</v>
      </c>
      <c r="AY88" s="8">
        <f>Renta_Alta!AY88+Masivo!AY88+Consumo_Inicial!AY88</f>
        <v>0</v>
      </c>
      <c r="AZ88" s="8">
        <f>Renta_Alta!AZ88+Masivo!AZ88+Consumo_Inicial!AZ88</f>
        <v>-2732.9562206450996</v>
      </c>
      <c r="BA88" s="8">
        <f>Renta_Alta!BA88+Masivo!BA88+Consumo_Inicial!BA88</f>
        <v>-2588.0657083890001</v>
      </c>
      <c r="BB88" s="8">
        <f>Renta_Alta!BB88+Masivo!BB88+Consumo_Inicial!BB88</f>
        <v>-2772.3460469721003</v>
      </c>
      <c r="BC88" s="8">
        <f>Renta_Alta!BC88+Masivo!BC88+Consumo_Inicial!BC88</f>
        <v>-2696.9334426087003</v>
      </c>
      <c r="BD88" s="8">
        <f>Renta_Alta!BD88+Masivo!BD88+Consumo_Inicial!BD88</f>
        <v>-2814.7098077002997</v>
      </c>
      <c r="BE88" s="8">
        <f>Renta_Alta!BE88+Masivo!BE88+Consumo_Inicial!BE88</f>
        <v>-2777.6017437677001</v>
      </c>
      <c r="BF88" s="8">
        <f>Renta_Alta!BF88+Masivo!BF88+Consumo_Inicial!BF88</f>
        <v>-2799.7927663041005</v>
      </c>
      <c r="BG88" s="8">
        <f>Renta_Alta!BG88+Masivo!BG88+Consumo_Inicial!BG88</f>
        <v>-2790.8119969545</v>
      </c>
      <c r="BH88" s="8">
        <f>Renta_Alta!BH88+Masivo!BH88+Consumo_Inicial!BH88</f>
        <v>-2808.1731353576997</v>
      </c>
      <c r="BI88" s="8">
        <f>Renta_Alta!BI88+Masivo!BI88+Consumo_Inicial!BI88</f>
        <v>-2830.6948922154997</v>
      </c>
      <c r="BJ88" s="8">
        <f>Renta_Alta!BJ88+Masivo!BJ88+Consumo_Inicial!BJ88</f>
        <v>-2779.1167709234005</v>
      </c>
      <c r="BK88" s="8">
        <f>Renta_Alta!BK88+Masivo!BK88+Consumo_Inicial!BK88</f>
        <v>-2825.9054643975005</v>
      </c>
      <c r="BO88" s="24">
        <f t="shared" si="73"/>
        <v>-8058.6295398258007</v>
      </c>
      <c r="BP88" s="24">
        <f t="shared" si="73"/>
        <v>-8093.3679760061996</v>
      </c>
      <c r="BQ88" s="24">
        <f t="shared" si="73"/>
        <v>-5566.5519235664005</v>
      </c>
      <c r="BR88" s="24">
        <f t="shared" si="73"/>
        <v>-7400.2937900406996</v>
      </c>
      <c r="BS88" s="24">
        <f t="shared" si="73"/>
        <v>-5907.3542281345999</v>
      </c>
      <c r="BT88" s="24">
        <f t="shared" si="73"/>
        <v>-5917.1271220387989</v>
      </c>
    </row>
    <row r="89" spans="1:72" collapsed="1" x14ac:dyDescent="0.25">
      <c r="C89" s="60" t="s">
        <v>76</v>
      </c>
      <c r="D89" s="61">
        <f t="shared" ref="D89:AY89" si="74">SUM(D86:D88)</f>
        <v>-5933.3897246734996</v>
      </c>
      <c r="E89" s="61">
        <f t="shared" si="74"/>
        <v>-5905.5436342051999</v>
      </c>
      <c r="F89" s="61">
        <f t="shared" si="74"/>
        <v>-6414.4771751487006</v>
      </c>
      <c r="G89" s="61">
        <f t="shared" si="74"/>
        <v>-6500.3288084511005</v>
      </c>
      <c r="H89" s="61">
        <f t="shared" si="74"/>
        <v>-6303.7351804493001</v>
      </c>
      <c r="I89" s="61">
        <f t="shared" si="74"/>
        <v>-6223.7257704092999</v>
      </c>
      <c r="J89" s="61">
        <f t="shared" si="74"/>
        <v>-6067.7831841009001</v>
      </c>
      <c r="K89" s="61">
        <f t="shared" si="74"/>
        <v>-5715.5015428764009</v>
      </c>
      <c r="L89" s="61">
        <f t="shared" si="74"/>
        <v>-6037.3290153122998</v>
      </c>
      <c r="M89" s="61">
        <f t="shared" si="74"/>
        <v>-5865.9319172310006</v>
      </c>
      <c r="N89" s="61">
        <f t="shared" si="74"/>
        <v>-5976.2038280138004</v>
      </c>
      <c r="O89" s="61">
        <f t="shared" si="74"/>
        <v>-5723.6456279135</v>
      </c>
      <c r="P89" s="61">
        <f t="shared" si="74"/>
        <v>-5693.6825662527008</v>
      </c>
      <c r="Q89" s="61">
        <f t="shared" si="74"/>
        <v>-6444.6072729893003</v>
      </c>
      <c r="R89" s="61">
        <f t="shared" si="74"/>
        <v>-6269.8590806930006</v>
      </c>
      <c r="S89" s="61">
        <f t="shared" si="74"/>
        <v>-6252.0249995671993</v>
      </c>
      <c r="T89" s="61">
        <f t="shared" si="74"/>
        <v>-6767.0639818584004</v>
      </c>
      <c r="U89" s="61">
        <f t="shared" si="74"/>
        <v>-8382.6420807369996</v>
      </c>
      <c r="V89" s="61">
        <f t="shared" si="74"/>
        <v>-7702.0561565474991</v>
      </c>
      <c r="W89" s="61">
        <f t="shared" si="74"/>
        <v>-7056.1142374586998</v>
      </c>
      <c r="X89" s="61">
        <f t="shared" si="74"/>
        <v>-6659.8924233525004</v>
      </c>
      <c r="Y89" s="61">
        <f t="shared" si="74"/>
        <v>-6615.9540494751</v>
      </c>
      <c r="Z89" s="61">
        <f t="shared" si="74"/>
        <v>-7267.1588311377</v>
      </c>
      <c r="AA89" s="61">
        <f t="shared" si="74"/>
        <v>-6821.3682184544996</v>
      </c>
      <c r="AB89" s="61">
        <f t="shared" si="74"/>
        <v>-7734.2184338546995</v>
      </c>
      <c r="AC89" s="61">
        <f t="shared" si="74"/>
        <v>-7306.5639721624993</v>
      </c>
      <c r="AD89" s="61">
        <f t="shared" si="74"/>
        <v>-7520.2601355085999</v>
      </c>
      <c r="AE89" s="61">
        <f t="shared" si="74"/>
        <v>-7699.1370049041998</v>
      </c>
      <c r="AF89" s="61">
        <f t="shared" si="74"/>
        <v>-7952.1921154049014</v>
      </c>
      <c r="AG89" s="61">
        <f t="shared" si="74"/>
        <v>-8100.9454170065001</v>
      </c>
      <c r="AH89" s="61">
        <f t="shared" si="74"/>
        <v>-8314.1826577488991</v>
      </c>
      <c r="AI89" s="61">
        <f t="shared" si="74"/>
        <v>-8405.8826661247003</v>
      </c>
      <c r="AJ89" s="61">
        <f t="shared" si="74"/>
        <v>-7699.0701555904006</v>
      </c>
      <c r="AK89" s="61">
        <f t="shared" si="74"/>
        <v>-7202.0101835478999</v>
      </c>
      <c r="AL89" s="61">
        <f t="shared" si="74"/>
        <v>-7968.4557137219999</v>
      </c>
      <c r="AM89" s="61">
        <f t="shared" si="74"/>
        <v>-8220.7163526906988</v>
      </c>
      <c r="AN89" s="61">
        <f t="shared" si="74"/>
        <v>-7913.6864894578002</v>
      </c>
      <c r="AO89" s="61">
        <f t="shared" si="74"/>
        <v>-7744.7344598638001</v>
      </c>
      <c r="AP89" s="61">
        <f t="shared" si="74"/>
        <v>-7997.0986650575005</v>
      </c>
      <c r="AQ89" s="61">
        <f t="shared" si="74"/>
        <v>-8367.1248202524002</v>
      </c>
      <c r="AR89" s="61">
        <f t="shared" si="74"/>
        <v>-8363.4508024889001</v>
      </c>
      <c r="AS89" s="61">
        <f t="shared" si="74"/>
        <v>-8289.3096178103988</v>
      </c>
      <c r="AT89" s="61">
        <f t="shared" si="74"/>
        <v>0</v>
      </c>
      <c r="AU89" s="61">
        <f t="shared" si="74"/>
        <v>0</v>
      </c>
      <c r="AV89" s="61">
        <f t="shared" si="74"/>
        <v>0</v>
      </c>
      <c r="AW89" s="61">
        <f t="shared" si="74"/>
        <v>0</v>
      </c>
      <c r="AX89" s="61">
        <f t="shared" si="74"/>
        <v>0</v>
      </c>
      <c r="AY89" s="61">
        <f t="shared" si="74"/>
        <v>0</v>
      </c>
      <c r="AZ89" s="61">
        <f t="shared" ref="AZ89:BK89" si="75">SUM(AZ86:AZ88)</f>
        <v>-8291.6855066305998</v>
      </c>
      <c r="BA89" s="61">
        <f t="shared" si="75"/>
        <v>-8001.5758021619004</v>
      </c>
      <c r="BB89" s="61">
        <f t="shared" si="75"/>
        <v>-8320.5804703434005</v>
      </c>
      <c r="BC89" s="61">
        <f t="shared" si="75"/>
        <v>-8203.9206157338012</v>
      </c>
      <c r="BD89" s="61">
        <f t="shared" si="75"/>
        <v>-8543.1832753277995</v>
      </c>
      <c r="BE89" s="61">
        <f t="shared" si="75"/>
        <v>-8534.5846960308008</v>
      </c>
      <c r="BF89" s="61">
        <f t="shared" si="75"/>
        <v>-8411.6042348624014</v>
      </c>
      <c r="BG89" s="61">
        <f t="shared" si="75"/>
        <v>-8433.8911369087</v>
      </c>
      <c r="BH89" s="61">
        <f t="shared" si="75"/>
        <v>-8603.2042214744997</v>
      </c>
      <c r="BI89" s="61">
        <f t="shared" si="75"/>
        <v>-8502.6950358711983</v>
      </c>
      <c r="BJ89" s="61">
        <f t="shared" si="75"/>
        <v>-8452.485925946201</v>
      </c>
      <c r="BK89" s="61">
        <f t="shared" si="75"/>
        <v>-8565.3497694157013</v>
      </c>
      <c r="BO89" s="62">
        <f t="shared" ref="BO89:BT89" si="76">SUM(BO86:BO88)</f>
        <v>-23655.5196143791</v>
      </c>
      <c r="BP89" s="62">
        <f t="shared" si="76"/>
        <v>-24613.841779135902</v>
      </c>
      <c r="BQ89" s="62">
        <f t="shared" si="76"/>
        <v>-15658.4209493216</v>
      </c>
      <c r="BR89" s="62">
        <f t="shared" si="76"/>
        <v>-22561.0425415258</v>
      </c>
      <c r="BS89" s="62">
        <f t="shared" si="76"/>
        <v>-18408.148919935004</v>
      </c>
      <c r="BT89" s="62">
        <f t="shared" si="76"/>
        <v>-18253.4105340274</v>
      </c>
    </row>
    <row r="90" spans="1:72" x14ac:dyDescent="0.25">
      <c r="D90" s="19">
        <f>[1]Base_Evolutivo!BE1914-D89</f>
        <v>0</v>
      </c>
      <c r="E90" s="19">
        <f>[1]Base_Evolutivo!BF1914-E89</f>
        <v>0</v>
      </c>
      <c r="F90" s="19">
        <f>[1]Base_Evolutivo!BG1914-F89</f>
        <v>0</v>
      </c>
      <c r="G90" s="19">
        <f>[1]Base_Evolutivo!BH1914-G89</f>
        <v>0</v>
      </c>
      <c r="H90" s="19">
        <f>[1]Base_Evolutivo!BI1914-H89</f>
        <v>0</v>
      </c>
      <c r="I90" s="19">
        <f>[1]Base_Evolutivo!BJ1914-I89</f>
        <v>0</v>
      </c>
      <c r="J90" s="19">
        <f>[1]Base_Evolutivo!BK1914-J89</f>
        <v>0</v>
      </c>
      <c r="K90" s="19">
        <f>[1]Base_Evolutivo!BL1914-K89</f>
        <v>0</v>
      </c>
      <c r="L90" s="19">
        <f>[1]Base_Evolutivo!BM1914-L89</f>
        <v>0</v>
      </c>
      <c r="M90" s="19">
        <f>[1]Base_Evolutivo!BN1914-M89</f>
        <v>0</v>
      </c>
      <c r="N90" s="19">
        <f>[1]Base_Evolutivo!BO1914-N89</f>
        <v>0</v>
      </c>
      <c r="O90" s="19">
        <f>[1]Base_Evolutivo!BP1914-O89</f>
        <v>0</v>
      </c>
      <c r="P90" s="19">
        <f>[1]Base_Evolutivo!BQ1914-P89</f>
        <v>0</v>
      </c>
      <c r="Q90" s="19">
        <f>[1]Base_Evolutivo!BR1914-Q89</f>
        <v>0</v>
      </c>
      <c r="R90" s="19">
        <f>[1]Base_Evolutivo!BS1914-R89</f>
        <v>0</v>
      </c>
      <c r="S90" s="19">
        <f>[1]Base_Evolutivo!BT1914-S89</f>
        <v>0</v>
      </c>
      <c r="T90" s="19">
        <f>[1]Base_Evolutivo!BU1914-T89</f>
        <v>0</v>
      </c>
      <c r="U90" s="19">
        <f>[1]Base_Evolutivo!BV1914-U89</f>
        <v>0</v>
      </c>
      <c r="V90" s="19">
        <f>[1]Base_Evolutivo!BW1914-V89</f>
        <v>0</v>
      </c>
      <c r="W90" s="19">
        <f>[1]Base_Evolutivo!BX1914-W89</f>
        <v>0</v>
      </c>
      <c r="X90" s="19">
        <f>[1]Base_Evolutivo!BY1914-X89</f>
        <v>0</v>
      </c>
      <c r="Y90" s="19">
        <f>[1]Base_Evolutivo!BZ1914-Y89</f>
        <v>0</v>
      </c>
      <c r="Z90" s="19">
        <f>[1]Base_Evolutivo!CA1914-Z89</f>
        <v>0</v>
      </c>
      <c r="AA90" s="19">
        <f>[1]Base_Evolutivo!CB1914-AA89</f>
        <v>0</v>
      </c>
      <c r="AB90" s="19">
        <f>[1]Base_Evolutivo!CC1914-AB89</f>
        <v>0</v>
      </c>
      <c r="AC90" s="19">
        <f>[1]Base_Evolutivo!CD1914-AC89</f>
        <v>0</v>
      </c>
      <c r="AD90" s="19">
        <f>[1]Base_Evolutivo!CE1914-AD89</f>
        <v>0</v>
      </c>
      <c r="AE90" s="19">
        <f>[1]Base_Evolutivo!CF1914-AE89</f>
        <v>0</v>
      </c>
      <c r="AF90" s="19">
        <f>[1]Base_Evolutivo!CG1914-AF89</f>
        <v>0</v>
      </c>
      <c r="AG90" s="19">
        <f>[1]Base_Evolutivo!CH1914-AG89</f>
        <v>0</v>
      </c>
      <c r="AH90" s="19">
        <f>[1]Base_Evolutivo!CI1914-AH89</f>
        <v>0</v>
      </c>
      <c r="AI90" s="19">
        <f>[1]Base_Evolutivo!CJ1914-AI89</f>
        <v>0</v>
      </c>
      <c r="AJ90" s="19">
        <f>[1]Base_Evolutivo!CK1914-AJ89</f>
        <v>0</v>
      </c>
      <c r="AK90" s="19">
        <f>[1]Base_Evolutivo!CL1914-AK89</f>
        <v>0</v>
      </c>
      <c r="AL90" s="19">
        <f>[1]Base_Evolutivo!CM1914-AL89</f>
        <v>0</v>
      </c>
      <c r="AM90" s="19">
        <f>[1]Base_Evolutivo!CN1914-AM89</f>
        <v>0</v>
      </c>
      <c r="AN90" s="19">
        <f>[1]Base_Evolutivo!CO1914-AN89</f>
        <v>0</v>
      </c>
      <c r="AO90" s="19">
        <f>[1]Base_Evolutivo!CP1914-AO89</f>
        <v>0</v>
      </c>
      <c r="AP90" s="19">
        <f>[1]Base_Evolutivo!CQ1914-AP89</f>
        <v>0</v>
      </c>
      <c r="AQ90" s="19">
        <f>[1]Base_Evolutivo!CR1914-AQ89</f>
        <v>0</v>
      </c>
      <c r="AR90" s="19">
        <f>[1]Base_Evolutivo!CS1914-AR89</f>
        <v>0</v>
      </c>
      <c r="AS90" s="19">
        <f>[1]Base_Evolutivo!CT1914-AS89</f>
        <v>0</v>
      </c>
      <c r="AT90" s="19">
        <f>[1]Base_Evolutivo!CU1914-AT89</f>
        <v>-8483.4885367265997</v>
      </c>
      <c r="AU90" s="19">
        <f>[1]Base_Evolutivo!CV1914-AU89</f>
        <v>0</v>
      </c>
      <c r="AV90" s="19">
        <f>[1]Base_Evolutivo!CW1914-AV89</f>
        <v>0</v>
      </c>
      <c r="AW90" s="19">
        <f>[1]Base_Evolutivo!CX1914-AW89</f>
        <v>0</v>
      </c>
      <c r="AX90" s="19">
        <f>[1]Base_Evolutivo!CY1914-AX89</f>
        <v>0</v>
      </c>
      <c r="AY90" s="19">
        <f>[1]Base_Evolutivo!CZ1914-AY89</f>
        <v>0</v>
      </c>
      <c r="AZ90" s="19">
        <f>[1]Base_Evolutivo!DA1914-AZ89</f>
        <v>8291.6855066305998</v>
      </c>
      <c r="BA90" s="19">
        <f>[1]Base_Evolutivo!DB1914-BA89</f>
        <v>8001.5758021619004</v>
      </c>
      <c r="BB90" s="19">
        <f>[1]Base_Evolutivo!DC1914-BB89</f>
        <v>8320.5804703434005</v>
      </c>
      <c r="BC90" s="19">
        <f>[1]Base_Evolutivo!DD1914-BC89</f>
        <v>8203.9206157338012</v>
      </c>
      <c r="BD90" s="19">
        <f>[1]Base_Evolutivo!DE1914-BD89</f>
        <v>8543.1832753277995</v>
      </c>
      <c r="BE90" s="19">
        <f>[1]Base_Evolutivo!DF1914-BE89</f>
        <v>8534.5846960308008</v>
      </c>
      <c r="BF90" s="19">
        <f>[1]Base_Evolutivo!DG1914-BF89</f>
        <v>8411.6042348624014</v>
      </c>
      <c r="BG90" s="19">
        <f>[1]Base_Evolutivo!DH1914-BG89</f>
        <v>8433.8911369087</v>
      </c>
      <c r="BH90" s="19">
        <f>[1]Base_Evolutivo!DI1914-BH89</f>
        <v>8603.2042214744997</v>
      </c>
      <c r="BI90" s="19">
        <f>[1]Base_Evolutivo!DJ1914-BI89</f>
        <v>8502.6950358711983</v>
      </c>
      <c r="BJ90" s="19">
        <f>[1]Base_Evolutivo!DK1914-BJ89</f>
        <v>8452.485925946201</v>
      </c>
      <c r="BK90" s="19">
        <f>[1]Base_Evolutivo!DL1914-BK89</f>
        <v>8565.3497694157013</v>
      </c>
    </row>
    <row r="91" spans="1:72" hidden="1" outlineLevel="1" x14ac:dyDescent="0.25">
      <c r="A91" s="58" t="s">
        <v>81</v>
      </c>
      <c r="C91" s="59" t="s">
        <v>85</v>
      </c>
      <c r="D91" s="8">
        <f>Renta_Alta!D91+Masivo!D91+Consumo_Inicial!D91</f>
        <v>0</v>
      </c>
      <c r="E91" s="8">
        <f>Renta_Alta!E91+Masivo!E91+Consumo_Inicial!E91</f>
        <v>0</v>
      </c>
      <c r="F91" s="8">
        <f>Renta_Alta!F91+Masivo!F91+Consumo_Inicial!F91</f>
        <v>0</v>
      </c>
      <c r="G91" s="8">
        <f>Renta_Alta!G91+Masivo!G91+Consumo_Inicial!G91</f>
        <v>0</v>
      </c>
      <c r="H91" s="8">
        <f>Renta_Alta!H91+Masivo!H91+Consumo_Inicial!H91</f>
        <v>0</v>
      </c>
      <c r="I91" s="8">
        <f>Renta_Alta!I91+Masivo!I91+Consumo_Inicial!I91</f>
        <v>0</v>
      </c>
      <c r="J91" s="8">
        <f>Renta_Alta!J91+Masivo!J91+Consumo_Inicial!J91</f>
        <v>0</v>
      </c>
      <c r="K91" s="8">
        <f>Renta_Alta!K91+Masivo!K91+Consumo_Inicial!K91</f>
        <v>0</v>
      </c>
      <c r="L91" s="8">
        <f>Renta_Alta!L91+Masivo!L91+Consumo_Inicial!L91</f>
        <v>0</v>
      </c>
      <c r="M91" s="8">
        <f>Renta_Alta!M91+Masivo!M91+Consumo_Inicial!M91</f>
        <v>0</v>
      </c>
      <c r="N91" s="8">
        <f>Renta_Alta!N91+Masivo!N91+Consumo_Inicial!N91</f>
        <v>0</v>
      </c>
      <c r="O91" s="8">
        <f>Renta_Alta!O91+Masivo!O91+Consumo_Inicial!O91</f>
        <v>0</v>
      </c>
      <c r="P91" s="8">
        <f>Renta_Alta!P91+Masivo!P91+Consumo_Inicial!P91</f>
        <v>0</v>
      </c>
      <c r="Q91" s="8">
        <f>Renta_Alta!Q91+Masivo!Q91+Consumo_Inicial!Q91</f>
        <v>0</v>
      </c>
      <c r="R91" s="8">
        <f>Renta_Alta!R91+Masivo!R91+Consumo_Inicial!R91</f>
        <v>0</v>
      </c>
      <c r="S91" s="8">
        <f>Renta_Alta!S91+Masivo!S91+Consumo_Inicial!S91</f>
        <v>0</v>
      </c>
      <c r="T91" s="8">
        <f>Renta_Alta!T91+Masivo!T91+Consumo_Inicial!T91</f>
        <v>0</v>
      </c>
      <c r="U91" s="8">
        <f>Renta_Alta!U91+Masivo!U91+Consumo_Inicial!U91</f>
        <v>0</v>
      </c>
      <c r="V91" s="8">
        <f>Renta_Alta!V91+Masivo!V91+Consumo_Inicial!V91</f>
        <v>0</v>
      </c>
      <c r="W91" s="8">
        <f>Renta_Alta!W91+Masivo!W91+Consumo_Inicial!W91</f>
        <v>0</v>
      </c>
      <c r="X91" s="8">
        <f>Renta_Alta!X91+Masivo!X91+Consumo_Inicial!X91</f>
        <v>0</v>
      </c>
      <c r="Y91" s="8">
        <f>Renta_Alta!Y91+Masivo!Y91+Consumo_Inicial!Y91</f>
        <v>0</v>
      </c>
      <c r="Z91" s="8">
        <f>Renta_Alta!Z91+Masivo!Z91+Consumo_Inicial!Z91</f>
        <v>0</v>
      </c>
      <c r="AA91" s="8">
        <f>Renta_Alta!AA91+Masivo!AA91+Consumo_Inicial!AA91</f>
        <v>0</v>
      </c>
      <c r="AB91" s="8">
        <f>Renta_Alta!AB91+Masivo!AB91+Consumo_Inicial!AB91</f>
        <v>0</v>
      </c>
      <c r="AC91" s="8">
        <f>Renta_Alta!AC91+Masivo!AC91+Consumo_Inicial!AC91</f>
        <v>0</v>
      </c>
      <c r="AD91" s="8">
        <f>Renta_Alta!AD91+Masivo!AD91+Consumo_Inicial!AD91</f>
        <v>0</v>
      </c>
      <c r="AE91" s="8">
        <f>Renta_Alta!AE91+Masivo!AE91+Consumo_Inicial!AE91</f>
        <v>0</v>
      </c>
      <c r="AF91" s="8">
        <f>Renta_Alta!AF91+Masivo!AF91+Consumo_Inicial!AF91</f>
        <v>0</v>
      </c>
      <c r="AG91" s="8">
        <f>Renta_Alta!AG91+Masivo!AG91+Consumo_Inicial!AG91</f>
        <v>0</v>
      </c>
      <c r="AH91" s="8">
        <f>Renta_Alta!AH91+Masivo!AH91+Consumo_Inicial!AH91</f>
        <v>0</v>
      </c>
      <c r="AI91" s="8">
        <f>Renta_Alta!AI91+Masivo!AI91+Consumo_Inicial!AI91</f>
        <v>0</v>
      </c>
      <c r="AJ91" s="8">
        <f>Renta_Alta!AJ91+Masivo!AJ91+Consumo_Inicial!AJ91</f>
        <v>0</v>
      </c>
      <c r="AK91" s="8">
        <f>Renta_Alta!AK91+Masivo!AK91+Consumo_Inicial!AK91</f>
        <v>0</v>
      </c>
      <c r="AL91" s="8">
        <f>Renta_Alta!AL91+Masivo!AL91+Consumo_Inicial!AL91</f>
        <v>0</v>
      </c>
      <c r="AM91" s="8">
        <f>Renta_Alta!AM91+Masivo!AM91+Consumo_Inicial!AM91</f>
        <v>0</v>
      </c>
      <c r="AN91" s="8">
        <f>Renta_Alta!AN91+Masivo!AN91+Consumo_Inicial!AN91</f>
        <v>0</v>
      </c>
      <c r="AO91" s="8">
        <f>Renta_Alta!AO91+Masivo!AO91+Consumo_Inicial!AO91</f>
        <v>0</v>
      </c>
      <c r="AP91" s="8">
        <f>Renta_Alta!AP91+Masivo!AP91+Consumo_Inicial!AP91</f>
        <v>0</v>
      </c>
      <c r="AQ91" s="8">
        <f>Renta_Alta!AQ91+Masivo!AQ91+Consumo_Inicial!AQ91</f>
        <v>0</v>
      </c>
      <c r="AR91" s="8">
        <f>Renta_Alta!AR91+Masivo!AR91+Consumo_Inicial!AR91</f>
        <v>0</v>
      </c>
      <c r="AS91" s="8">
        <f>Renta_Alta!AS91+Masivo!AS91+Consumo_Inicial!AS91</f>
        <v>0</v>
      </c>
      <c r="AT91" s="8">
        <f>Renta_Alta!AT91+Masivo!AT91+Consumo_Inicial!AT91</f>
        <v>0</v>
      </c>
      <c r="AU91" s="8">
        <f>Renta_Alta!AU91+Masivo!AU91+Consumo_Inicial!AU91</f>
        <v>0</v>
      </c>
      <c r="AV91" s="8">
        <f>Renta_Alta!AV91+Masivo!AV91+Consumo_Inicial!AV91</f>
        <v>0</v>
      </c>
      <c r="AW91" s="8">
        <f>Renta_Alta!AW91+Masivo!AW91+Consumo_Inicial!AW91</f>
        <v>0</v>
      </c>
      <c r="AX91" s="8">
        <f>Renta_Alta!AX91+Masivo!AX91+Consumo_Inicial!AX91</f>
        <v>0</v>
      </c>
      <c r="AY91" s="8">
        <f>Renta_Alta!AY91+Masivo!AY91+Consumo_Inicial!AY91</f>
        <v>0</v>
      </c>
      <c r="AZ91" s="8">
        <f>Renta_Alta!AZ91+Masivo!AZ91+Consumo_Inicial!AZ91</f>
        <v>0</v>
      </c>
      <c r="BA91" s="8">
        <f>Renta_Alta!BA91+Masivo!BA91+Consumo_Inicial!BA91</f>
        <v>0</v>
      </c>
      <c r="BB91" s="8">
        <f>Renta_Alta!BB91+Masivo!BB91+Consumo_Inicial!BB91</f>
        <v>0</v>
      </c>
      <c r="BC91" s="8">
        <f>Renta_Alta!BC91+Masivo!BC91+Consumo_Inicial!BC91</f>
        <v>0</v>
      </c>
      <c r="BD91" s="8">
        <f>Renta_Alta!BD91+Masivo!BD91+Consumo_Inicial!BD91</f>
        <v>0</v>
      </c>
      <c r="BE91" s="8">
        <f>Renta_Alta!BE91+Masivo!BE91+Consumo_Inicial!BE91</f>
        <v>0</v>
      </c>
      <c r="BF91" s="8">
        <f>Renta_Alta!BF91+Masivo!BF91+Consumo_Inicial!BF91</f>
        <v>0</v>
      </c>
      <c r="BG91" s="8">
        <f>Renta_Alta!BG91+Masivo!BG91+Consumo_Inicial!BG91</f>
        <v>0</v>
      </c>
      <c r="BH91" s="8">
        <f>Renta_Alta!BH91+Masivo!BH91+Consumo_Inicial!BH91</f>
        <v>0</v>
      </c>
      <c r="BI91" s="8">
        <f>Renta_Alta!BI91+Masivo!BI91+Consumo_Inicial!BI91</f>
        <v>0</v>
      </c>
      <c r="BJ91" s="8">
        <f>Renta_Alta!BJ91+Masivo!BJ91+Consumo_Inicial!BJ91</f>
        <v>0</v>
      </c>
      <c r="BK91" s="8">
        <f>Renta_Alta!BK91+Masivo!BK91+Consumo_Inicial!BK91</f>
        <v>0</v>
      </c>
      <c r="BO91" s="24">
        <f t="shared" ref="BO91:BT92" si="77">SUMIFS($D91:$BM91,$D$6:$BM$6,"&gt;="&amp;BO$2,$D$6:$BM$6,"&lt;="&amp;BO$6,$D$5:$BM$5,BO$5)</f>
        <v>0</v>
      </c>
      <c r="BP91" s="24">
        <f t="shared" si="77"/>
        <v>0</v>
      </c>
      <c r="BQ91" s="24">
        <f t="shared" si="77"/>
        <v>0</v>
      </c>
      <c r="BR91" s="24">
        <f t="shared" si="77"/>
        <v>0</v>
      </c>
      <c r="BS91" s="24">
        <f t="shared" si="77"/>
        <v>0</v>
      </c>
      <c r="BT91" s="24">
        <f t="shared" si="77"/>
        <v>0</v>
      </c>
    </row>
    <row r="92" spans="1:72" hidden="1" outlineLevel="1" x14ac:dyDescent="0.25">
      <c r="A92" s="58" t="s">
        <v>81</v>
      </c>
      <c r="C92" s="59" t="s">
        <v>48</v>
      </c>
      <c r="D92" s="8">
        <f>Renta_Alta!D92+Masivo!D92+Consumo_Inicial!D92</f>
        <v>21.588909999999998</v>
      </c>
      <c r="E92" s="8">
        <f>Renta_Alta!E92+Masivo!E92+Consumo_Inicial!E92</f>
        <v>21.392550000000007</v>
      </c>
      <c r="F92" s="8">
        <f>Renta_Alta!F92+Masivo!F92+Consumo_Inicial!F92</f>
        <v>21.187039999999993</v>
      </c>
      <c r="G92" s="8">
        <f>Renta_Alta!G92+Masivo!G92+Consumo_Inicial!G92</f>
        <v>20.967479999999995</v>
      </c>
      <c r="H92" s="8">
        <f>Renta_Alta!H92+Masivo!H92+Consumo_Inicial!H92</f>
        <v>149.72308000000004</v>
      </c>
      <c r="I92" s="8">
        <f>Renta_Alta!I92+Masivo!I92+Consumo_Inicial!I92</f>
        <v>334.01483000000002</v>
      </c>
      <c r="J92" s="8">
        <f>Renta_Alta!J92+Masivo!J92+Consumo_Inicial!J92</f>
        <v>19.924469999999971</v>
      </c>
      <c r="K92" s="8">
        <f>Renta_Alta!K92+Masivo!K92+Consumo_Inicial!K92</f>
        <v>179</v>
      </c>
      <c r="L92" s="8">
        <f>Renta_Alta!L92+Masivo!L92+Consumo_Inicial!L92</f>
        <v>19.367190000000004</v>
      </c>
      <c r="M92" s="8">
        <f>Renta_Alta!M92+Masivo!M92+Consumo_Inicial!M92</f>
        <v>18.994079999999958</v>
      </c>
      <c r="N92" s="8">
        <f>Renta_Alta!N92+Masivo!N92+Consumo_Inicial!N92</f>
        <v>18.585180000000101</v>
      </c>
      <c r="O92" s="8">
        <f>Renta_Alta!O92+Masivo!O92+Consumo_Inicial!O92</f>
        <v>18.477039999999977</v>
      </c>
      <c r="P92" s="8">
        <f>Renta_Alta!P92+Masivo!P92+Consumo_Inicial!P92</f>
        <v>-120.34234012034234</v>
      </c>
      <c r="Q92" s="8">
        <f>Renta_Alta!Q92+Masivo!Q92+Consumo_Inicial!Q92</f>
        <v>86.135710000000003</v>
      </c>
      <c r="R92" s="8">
        <f>Renta_Alta!R92+Masivo!R92+Consumo_Inicial!R92</f>
        <v>156.21771000000001</v>
      </c>
      <c r="S92" s="8">
        <f>Renta_Alta!S92+Masivo!S92+Consumo_Inicial!S92</f>
        <v>16.335220000000003</v>
      </c>
      <c r="T92" s="8">
        <f>Renta_Alta!T92+Masivo!T92+Consumo_Inicial!T92</f>
        <v>-97.220120097220104</v>
      </c>
      <c r="U92" s="8">
        <f>Renta_Alta!U92+Masivo!U92+Consumo_Inicial!U92</f>
        <v>-51.648769999999978</v>
      </c>
      <c r="V92" s="8">
        <f>Renta_Alta!V92+Masivo!V92+Consumo_Inicial!V92</f>
        <v>16.020480016020443</v>
      </c>
      <c r="W92" s="8">
        <f>Renta_Alta!W92+Masivo!W92+Consumo_Inicial!W92</f>
        <v>13.86337000000003</v>
      </c>
      <c r="X92" s="8">
        <f>Renta_Alta!X92+Masivo!X92+Consumo_Inicial!X92</f>
        <v>216.22970999999995</v>
      </c>
      <c r="Y92" s="8">
        <f>Renta_Alta!Y92+Masivo!Y92+Consumo_Inicial!Y92</f>
        <v>-16.793819999999982</v>
      </c>
      <c r="Z92" s="8">
        <f>Renta_Alta!Z92+Masivo!Z92+Consumo_Inicial!Z92</f>
        <v>-302.58074087452792</v>
      </c>
      <c r="AA92" s="8">
        <f>Renta_Alta!AA92+Masivo!AA92+Consumo_Inicial!AA92</f>
        <v>-224.16481869130016</v>
      </c>
      <c r="AB92" s="8">
        <f>Renta_Alta!AB92+Masivo!AB92+Consumo_Inicial!AB92</f>
        <v>-18.30763001830762</v>
      </c>
      <c r="AC92" s="8">
        <f>Renta_Alta!AC92+Masivo!AC92+Consumo_Inicial!AC92</f>
        <v>-77.93031000000002</v>
      </c>
      <c r="AD92" s="8">
        <f>Renta_Alta!AD92+Masivo!AD92+Consumo_Inicial!AD92</f>
        <v>-217.94625000000002</v>
      </c>
      <c r="AE92" s="8">
        <f>Renta_Alta!AE92+Masivo!AE92+Consumo_Inicial!AE92</f>
        <v>80.384781853709228</v>
      </c>
      <c r="AF92" s="8">
        <f>Renta_Alta!AF92+Masivo!AF92+Consumo_Inicial!AF92</f>
        <v>-3.6131499999999974</v>
      </c>
      <c r="AG92" s="8">
        <f>Renta_Alta!AG92+Masivo!AG92+Consumo_Inicial!AG92</f>
        <v>-12.941802810591083</v>
      </c>
      <c r="AH92" s="8">
        <f>Renta_Alta!AH92+Masivo!AH92+Consumo_Inicial!AH92</f>
        <v>5.7471103741796314</v>
      </c>
      <c r="AI92" s="8">
        <f>Renta_Alta!AI92+Masivo!AI92+Consumo_Inicial!AI92</f>
        <v>-17.750499999999995</v>
      </c>
      <c r="AJ92" s="8">
        <f>Renta_Alta!AJ92+Masivo!AJ92+Consumo_Inicial!AJ92</f>
        <v>142.46488014246489</v>
      </c>
      <c r="AK92" s="8">
        <f>Renta_Alta!AK92+Masivo!AK92+Consumo_Inicial!AK92</f>
        <v>-17.468855637179008</v>
      </c>
      <c r="AL92" s="8">
        <f>Renta_Alta!AL92+Masivo!AL92+Consumo_Inicial!AL92</f>
        <v>-93.381799999999856</v>
      </c>
      <c r="AM92" s="8">
        <f>Renta_Alta!AM92+Masivo!AM92+Consumo_Inicial!AM92</f>
        <v>129.54462999999996</v>
      </c>
      <c r="AN92" s="8">
        <f>Renta_Alta!AN92+Masivo!AN92+Consumo_Inicial!AN92</f>
        <v>-24.525170000000003</v>
      </c>
      <c r="AO92" s="8">
        <f>Renta_Alta!AO92+Masivo!AO92+Consumo_Inicial!AO92</f>
        <v>70.527749396186039</v>
      </c>
      <c r="AP92" s="8">
        <f>Renta_Alta!AP92+Masivo!AP92+Consumo_Inicial!AP92</f>
        <v>-148.84950000000003</v>
      </c>
      <c r="AQ92" s="8">
        <f>Renta_Alta!AQ92+Masivo!AQ92+Consumo_Inicial!AQ92</f>
        <v>17.749439999999989</v>
      </c>
      <c r="AR92" s="8">
        <f>Renta_Alta!AR92+Masivo!AR92+Consumo_Inicial!AR92</f>
        <v>29.720150000000046</v>
      </c>
      <c r="AS92" s="8">
        <f>Renta_Alta!AS92+Masivo!AS92+Consumo_Inicial!AS92</f>
        <v>58.574759999999998</v>
      </c>
      <c r="AT92" s="8">
        <f>Renta_Alta!AT92+Masivo!AT92+Consumo_Inicial!AT92</f>
        <v>0</v>
      </c>
      <c r="AU92" s="8">
        <f>Renta_Alta!AU92+Masivo!AU92+Consumo_Inicial!AU92</f>
        <v>0</v>
      </c>
      <c r="AV92" s="8">
        <f>Renta_Alta!AV92+Masivo!AV92+Consumo_Inicial!AV92</f>
        <v>0</v>
      </c>
      <c r="AW92" s="8">
        <f>Renta_Alta!AW92+Masivo!AW92+Consumo_Inicial!AW92</f>
        <v>0</v>
      </c>
      <c r="AX92" s="8">
        <f>Renta_Alta!AX92+Masivo!AX92+Consumo_Inicial!AX92</f>
        <v>0</v>
      </c>
      <c r="AY92" s="8">
        <f>Renta_Alta!AY92+Masivo!AY92+Consumo_Inicial!AY92</f>
        <v>0</v>
      </c>
      <c r="AZ92" s="8">
        <f>Renta_Alta!AZ92+Masivo!AZ92+Consumo_Inicial!AZ92</f>
        <v>-134.71373379770336</v>
      </c>
      <c r="BA92" s="8">
        <f>Renta_Alta!BA92+Masivo!BA92+Consumo_Inicial!BA92</f>
        <v>-33.291986366524711</v>
      </c>
      <c r="BB92" s="8">
        <f>Renta_Alta!BB92+Masivo!BB92+Consumo_Inicial!BB92</f>
        <v>-35.039594985849909</v>
      </c>
      <c r="BC92" s="8">
        <f>Renta_Alta!BC92+Masivo!BC92+Consumo_Inicial!BC92</f>
        <v>-33.877932129814418</v>
      </c>
      <c r="BD92" s="8">
        <f>Renta_Alta!BD92+Masivo!BD92+Consumo_Inicial!BD92</f>
        <v>-33.896103631635107</v>
      </c>
      <c r="BE92" s="8">
        <f>Renta_Alta!BE92+Masivo!BE92+Consumo_Inicial!BE92</f>
        <v>-35.631597905141383</v>
      </c>
      <c r="BF92" s="8">
        <f>Renta_Alta!BF92+Masivo!BF92+Consumo_Inicial!BF92</f>
        <v>-33.673746051837114</v>
      </c>
      <c r="BG92" s="8">
        <f>Renta_Alta!BG92+Masivo!BG92+Consumo_Inicial!BG92</f>
        <v>-33.661331307393922</v>
      </c>
      <c r="BH92" s="8">
        <f>Renta_Alta!BH92+Masivo!BH92+Consumo_Inicial!BH92</f>
        <v>-34.892185320842415</v>
      </c>
      <c r="BI92" s="8">
        <f>Renta_Alta!BI92+Masivo!BI92+Consumo_Inicial!BI92</f>
        <v>-33.738127949571393</v>
      </c>
      <c r="BJ92" s="8">
        <f>Renta_Alta!BJ92+Masivo!BJ92+Consumo_Inicial!BJ92</f>
        <v>-33.738127949571393</v>
      </c>
      <c r="BK92" s="8">
        <f>Renta_Alta!BK92+Masivo!BK92+Consumo_Inicial!BK92</f>
        <v>-35.312284890622706</v>
      </c>
      <c r="BO92" s="24">
        <f t="shared" si="77"/>
        <v>-102.846920603814</v>
      </c>
      <c r="BP92" s="24">
        <f t="shared" si="77"/>
        <v>-203.04531515007798</v>
      </c>
      <c r="BQ92" s="24">
        <f t="shared" si="77"/>
        <v>46.002579396186036</v>
      </c>
      <c r="BR92" s="24">
        <f t="shared" si="77"/>
        <v>-314.18419001830767</v>
      </c>
      <c r="BS92" s="24">
        <f t="shared" si="77"/>
        <v>122.01107987965767</v>
      </c>
      <c r="BT92" s="24">
        <f t="shared" si="77"/>
        <v>64.168499999999995</v>
      </c>
    </row>
    <row r="93" spans="1:72" collapsed="1" x14ac:dyDescent="0.25">
      <c r="C93" s="60" t="s">
        <v>81</v>
      </c>
      <c r="D93" s="61">
        <f t="shared" ref="D93:AY93" si="78">SUM(D91:D92)</f>
        <v>21.588909999999998</v>
      </c>
      <c r="E93" s="61">
        <f t="shared" si="78"/>
        <v>21.392550000000007</v>
      </c>
      <c r="F93" s="61">
        <f t="shared" si="78"/>
        <v>21.187039999999993</v>
      </c>
      <c r="G93" s="61">
        <f t="shared" si="78"/>
        <v>20.967479999999995</v>
      </c>
      <c r="H93" s="61">
        <f t="shared" si="78"/>
        <v>149.72308000000004</v>
      </c>
      <c r="I93" s="61">
        <f t="shared" si="78"/>
        <v>334.01483000000002</v>
      </c>
      <c r="J93" s="61">
        <f t="shared" si="78"/>
        <v>19.924469999999971</v>
      </c>
      <c r="K93" s="61">
        <f t="shared" si="78"/>
        <v>179</v>
      </c>
      <c r="L93" s="61">
        <f t="shared" si="78"/>
        <v>19.367190000000004</v>
      </c>
      <c r="M93" s="61">
        <f t="shared" si="78"/>
        <v>18.994079999999958</v>
      </c>
      <c r="N93" s="61">
        <f t="shared" si="78"/>
        <v>18.585180000000101</v>
      </c>
      <c r="O93" s="61">
        <f t="shared" si="78"/>
        <v>18.477039999999977</v>
      </c>
      <c r="P93" s="61">
        <f t="shared" si="78"/>
        <v>-120.34234012034234</v>
      </c>
      <c r="Q93" s="61">
        <f t="shared" si="78"/>
        <v>86.135710000000003</v>
      </c>
      <c r="R93" s="61">
        <f t="shared" si="78"/>
        <v>156.21771000000001</v>
      </c>
      <c r="S93" s="61">
        <f t="shared" si="78"/>
        <v>16.335220000000003</v>
      </c>
      <c r="T93" s="61">
        <f t="shared" si="78"/>
        <v>-97.220120097220104</v>
      </c>
      <c r="U93" s="61">
        <f t="shared" si="78"/>
        <v>-51.648769999999978</v>
      </c>
      <c r="V93" s="61">
        <f t="shared" si="78"/>
        <v>16.020480016020443</v>
      </c>
      <c r="W93" s="61">
        <f t="shared" si="78"/>
        <v>13.86337000000003</v>
      </c>
      <c r="X93" s="61">
        <f t="shared" si="78"/>
        <v>216.22970999999995</v>
      </c>
      <c r="Y93" s="61">
        <f t="shared" si="78"/>
        <v>-16.793819999999982</v>
      </c>
      <c r="Z93" s="61">
        <f t="shared" si="78"/>
        <v>-302.58074087452792</v>
      </c>
      <c r="AA93" s="61">
        <f t="shared" si="78"/>
        <v>-224.16481869130016</v>
      </c>
      <c r="AB93" s="61">
        <f t="shared" si="78"/>
        <v>-18.30763001830762</v>
      </c>
      <c r="AC93" s="61">
        <f t="shared" si="78"/>
        <v>-77.93031000000002</v>
      </c>
      <c r="AD93" s="61">
        <f t="shared" si="78"/>
        <v>-217.94625000000002</v>
      </c>
      <c r="AE93" s="61">
        <f t="shared" si="78"/>
        <v>80.384781853709228</v>
      </c>
      <c r="AF93" s="61">
        <f t="shared" si="78"/>
        <v>-3.6131499999999974</v>
      </c>
      <c r="AG93" s="61">
        <f t="shared" si="78"/>
        <v>-12.941802810591083</v>
      </c>
      <c r="AH93" s="61">
        <f t="shared" si="78"/>
        <v>5.7471103741796314</v>
      </c>
      <c r="AI93" s="61">
        <f t="shared" si="78"/>
        <v>-17.750499999999995</v>
      </c>
      <c r="AJ93" s="61">
        <f t="shared" si="78"/>
        <v>142.46488014246489</v>
      </c>
      <c r="AK93" s="61">
        <f t="shared" si="78"/>
        <v>-17.468855637179008</v>
      </c>
      <c r="AL93" s="61">
        <f t="shared" si="78"/>
        <v>-93.381799999999856</v>
      </c>
      <c r="AM93" s="61">
        <f t="shared" si="78"/>
        <v>129.54462999999996</v>
      </c>
      <c r="AN93" s="61">
        <f t="shared" si="78"/>
        <v>-24.525170000000003</v>
      </c>
      <c r="AO93" s="61">
        <f t="shared" si="78"/>
        <v>70.527749396186039</v>
      </c>
      <c r="AP93" s="61">
        <f t="shared" si="78"/>
        <v>-148.84950000000003</v>
      </c>
      <c r="AQ93" s="61">
        <f t="shared" si="78"/>
        <v>17.749439999999989</v>
      </c>
      <c r="AR93" s="61">
        <f t="shared" si="78"/>
        <v>29.720150000000046</v>
      </c>
      <c r="AS93" s="61">
        <f t="shared" si="78"/>
        <v>58.574759999999998</v>
      </c>
      <c r="AT93" s="61">
        <f t="shared" si="78"/>
        <v>0</v>
      </c>
      <c r="AU93" s="61">
        <f t="shared" si="78"/>
        <v>0</v>
      </c>
      <c r="AV93" s="61">
        <f t="shared" si="78"/>
        <v>0</v>
      </c>
      <c r="AW93" s="61">
        <f t="shared" si="78"/>
        <v>0</v>
      </c>
      <c r="AX93" s="61">
        <f t="shared" si="78"/>
        <v>0</v>
      </c>
      <c r="AY93" s="61">
        <f t="shared" si="78"/>
        <v>0</v>
      </c>
      <c r="AZ93" s="61">
        <f t="shared" ref="AZ93:BK93" si="79">SUM(AZ91:AZ92)</f>
        <v>-134.71373379770336</v>
      </c>
      <c r="BA93" s="61">
        <f t="shared" si="79"/>
        <v>-33.291986366524711</v>
      </c>
      <c r="BB93" s="61">
        <f t="shared" si="79"/>
        <v>-35.039594985849909</v>
      </c>
      <c r="BC93" s="61">
        <f t="shared" si="79"/>
        <v>-33.877932129814418</v>
      </c>
      <c r="BD93" s="61">
        <f t="shared" si="79"/>
        <v>-33.896103631635107</v>
      </c>
      <c r="BE93" s="61">
        <f t="shared" si="79"/>
        <v>-35.631597905141383</v>
      </c>
      <c r="BF93" s="61">
        <f t="shared" si="79"/>
        <v>-33.673746051837114</v>
      </c>
      <c r="BG93" s="61">
        <f t="shared" si="79"/>
        <v>-33.661331307393922</v>
      </c>
      <c r="BH93" s="61">
        <f t="shared" si="79"/>
        <v>-34.892185320842415</v>
      </c>
      <c r="BI93" s="61">
        <f t="shared" si="79"/>
        <v>-33.738127949571393</v>
      </c>
      <c r="BJ93" s="61">
        <f t="shared" si="79"/>
        <v>-33.738127949571393</v>
      </c>
      <c r="BK93" s="61">
        <f t="shared" si="79"/>
        <v>-35.312284890622706</v>
      </c>
      <c r="BO93" s="62">
        <f t="shared" ref="BO93:BT93" si="80">SUM(BO91:BO92)</f>
        <v>-102.846920603814</v>
      </c>
      <c r="BP93" s="62">
        <f t="shared" si="80"/>
        <v>-203.04531515007798</v>
      </c>
      <c r="BQ93" s="62">
        <f t="shared" si="80"/>
        <v>46.002579396186036</v>
      </c>
      <c r="BR93" s="62">
        <f t="shared" si="80"/>
        <v>-314.18419001830767</v>
      </c>
      <c r="BS93" s="62">
        <f t="shared" si="80"/>
        <v>122.01107987965767</v>
      </c>
      <c r="BT93" s="62">
        <f t="shared" si="80"/>
        <v>64.168499999999995</v>
      </c>
    </row>
    <row r="94" spans="1:72" x14ac:dyDescent="0.25">
      <c r="D94" s="19">
        <f>[1]Base_Evolutivo!BE1951-D93</f>
        <v>0</v>
      </c>
      <c r="E94" s="19">
        <f>[1]Base_Evolutivo!BF1951-E93</f>
        <v>0</v>
      </c>
      <c r="F94" s="19">
        <f>[1]Base_Evolutivo!BG1951-F93</f>
        <v>0</v>
      </c>
      <c r="G94" s="19">
        <f>[1]Base_Evolutivo!BH1951-G93</f>
        <v>0</v>
      </c>
      <c r="H94" s="19">
        <f>[1]Base_Evolutivo!BI1951-H93</f>
        <v>0</v>
      </c>
      <c r="I94" s="19">
        <f>[1]Base_Evolutivo!BJ1951-I93</f>
        <v>0</v>
      </c>
      <c r="J94" s="19">
        <f>[1]Base_Evolutivo!BK1951-J93</f>
        <v>0</v>
      </c>
      <c r="K94" s="19">
        <f>[1]Base_Evolutivo!BL1951-K93</f>
        <v>0</v>
      </c>
      <c r="L94" s="19">
        <f>[1]Base_Evolutivo!BM1951-L93</f>
        <v>0</v>
      </c>
      <c r="M94" s="19">
        <f>[1]Base_Evolutivo!BN1951-M93</f>
        <v>0</v>
      </c>
      <c r="N94" s="19">
        <f>[1]Base_Evolutivo!BO1951-N93</f>
        <v>0</v>
      </c>
      <c r="O94" s="19">
        <f>[1]Base_Evolutivo!BP1951-O93</f>
        <v>0</v>
      </c>
      <c r="P94" s="19">
        <f>[1]Base_Evolutivo!BQ1951-P93</f>
        <v>1.2034233520807902E-7</v>
      </c>
      <c r="Q94" s="19">
        <f>[1]Base_Evolutivo!BR1951-Q93</f>
        <v>0</v>
      </c>
      <c r="R94" s="19">
        <f>[1]Base_Evolutivo!BS1951-R93</f>
        <v>0</v>
      </c>
      <c r="S94" s="19">
        <f>[1]Base_Evolutivo!BT1951-S93</f>
        <v>0</v>
      </c>
      <c r="T94" s="19">
        <f>[1]Base_Evolutivo!BU1951-T93</f>
        <v>9.7220137718068145E-8</v>
      </c>
      <c r="U94" s="19">
        <f>[1]Base_Evolutivo!BV1951-U93</f>
        <v>0</v>
      </c>
      <c r="V94" s="19">
        <f>[1]Base_Evolutivo!BW1951-V93</f>
        <v>-1.6020479165490542E-8</v>
      </c>
      <c r="W94" s="19">
        <f>[1]Base_Evolutivo!BX1951-W93</f>
        <v>0</v>
      </c>
      <c r="X94" s="19">
        <f>[1]Base_Evolutivo!BY1951-X93</f>
        <v>0</v>
      </c>
      <c r="Y94" s="19">
        <f>[1]Base_Evolutivo!BZ1951-Y93</f>
        <v>0</v>
      </c>
      <c r="Z94" s="19">
        <f>[1]Base_Evolutivo!CA1951-Z93</f>
        <v>-3.0258075867095613E-7</v>
      </c>
      <c r="AA94" s="19">
        <f>[1]Base_Evolutivo!CB1951-AA93</f>
        <v>0</v>
      </c>
      <c r="AB94" s="19">
        <f>[1]Base_Evolutivo!CC1951-AB93</f>
        <v>1.8307630966774013E-8</v>
      </c>
      <c r="AC94" s="19">
        <f>[1]Base_Evolutivo!CD1951-AC93</f>
        <v>0</v>
      </c>
      <c r="AD94" s="19">
        <f>[1]Base_Evolutivo!CE1951-AD93</f>
        <v>0</v>
      </c>
      <c r="AE94" s="19">
        <f>[1]Base_Evolutivo!CF1951-AE93</f>
        <v>0</v>
      </c>
      <c r="AF94" s="19">
        <f>[1]Base_Evolutivo!CG1951-AF93</f>
        <v>0</v>
      </c>
      <c r="AG94" s="19">
        <f>[1]Base_Evolutivo!CH1951-AG93</f>
        <v>0</v>
      </c>
      <c r="AH94" s="19">
        <f>[1]Base_Evolutivo!CI1951-AH93</f>
        <v>5.747110343179429E-9</v>
      </c>
      <c r="AI94" s="19">
        <f>[1]Base_Evolutivo!CJ1951-AI93</f>
        <v>0</v>
      </c>
      <c r="AJ94" s="19">
        <f>[1]Base_Evolutivo!CK1951-AJ93</f>
        <v>-1.4246489854485844E-7</v>
      </c>
      <c r="AK94" s="19">
        <f>[1]Base_Evolutivo!CL1951-AK93</f>
        <v>0</v>
      </c>
      <c r="AL94" s="19">
        <f>[1]Base_Evolutivo!CM1951-AL93</f>
        <v>0</v>
      </c>
      <c r="AM94" s="19">
        <f>[1]Base_Evolutivo!CN1951-AM93</f>
        <v>0</v>
      </c>
      <c r="AN94" s="19">
        <f>[1]Base_Evolutivo!CO1951-AN93</f>
        <v>0</v>
      </c>
      <c r="AO94" s="19">
        <f>[1]Base_Evolutivo!CP1951-AO93</f>
        <v>0.13588761655829273</v>
      </c>
      <c r="AP94" s="19">
        <f>[1]Base_Evolutivo!CQ1951-AP93</f>
        <v>0</v>
      </c>
      <c r="AQ94" s="19">
        <f>[1]Base_Evolutivo!CR1951-AQ93</f>
        <v>0</v>
      </c>
      <c r="AR94" s="19">
        <f>[1]Base_Evolutivo!CS1951-AR93</f>
        <v>0</v>
      </c>
      <c r="AS94" s="19">
        <f>[1]Base_Evolutivo!CT1951-AS93</f>
        <v>0</v>
      </c>
      <c r="AT94" s="19">
        <f>[1]Base_Evolutivo!CU1951-AT93</f>
        <v>-64.020529419880063</v>
      </c>
      <c r="AU94" s="19">
        <f>[1]Base_Evolutivo!CV1951-AU93</f>
        <v>0</v>
      </c>
      <c r="AV94" s="19">
        <f>[1]Base_Evolutivo!CW1951-AV93</f>
        <v>0</v>
      </c>
      <c r="AW94" s="19">
        <f>[1]Base_Evolutivo!CX1951-AW93</f>
        <v>0</v>
      </c>
      <c r="AX94" s="19">
        <f>[1]Base_Evolutivo!CY1951-AX93</f>
        <v>0</v>
      </c>
      <c r="AY94" s="19">
        <f>[1]Base_Evolutivo!CZ1951-AY93</f>
        <v>0</v>
      </c>
      <c r="AZ94" s="19">
        <f>[1]Base_Evolutivo!DA1951-AZ93</f>
        <v>134.71373379770336</v>
      </c>
      <c r="BA94" s="19">
        <f>[1]Base_Evolutivo!DB1951-BA93</f>
        <v>33.291986366524711</v>
      </c>
      <c r="BB94" s="19">
        <f>[1]Base_Evolutivo!DC1951-BB93</f>
        <v>35.039594985849909</v>
      </c>
      <c r="BC94" s="19">
        <f>[1]Base_Evolutivo!DD1951-BC93</f>
        <v>33.877932129814418</v>
      </c>
      <c r="BD94" s="19">
        <f>[1]Base_Evolutivo!DE1951-BD93</f>
        <v>33.896103631635107</v>
      </c>
      <c r="BE94" s="19">
        <f>[1]Base_Evolutivo!DF1951-BE93</f>
        <v>35.631597905141383</v>
      </c>
      <c r="BF94" s="19">
        <f>[1]Base_Evolutivo!DG1951-BF93</f>
        <v>33.673746051837114</v>
      </c>
      <c r="BG94" s="19">
        <f>[1]Base_Evolutivo!DH1951-BG93</f>
        <v>33.661331307393922</v>
      </c>
      <c r="BH94" s="19">
        <f>[1]Base_Evolutivo!DI1951-BH93</f>
        <v>34.892185320842415</v>
      </c>
      <c r="BI94" s="19">
        <f>[1]Base_Evolutivo!DJ1951-BI93</f>
        <v>33.738127949571393</v>
      </c>
      <c r="BJ94" s="19">
        <f>[1]Base_Evolutivo!DK1951-BJ93</f>
        <v>33.738127949571393</v>
      </c>
      <c r="BK94" s="19">
        <f>[1]Base_Evolutivo!DL1951-BK93</f>
        <v>35.312284890622706</v>
      </c>
    </row>
    <row r="95" spans="1:72" hidden="1" outlineLevel="1" x14ac:dyDescent="0.25">
      <c r="A95" s="58" t="s">
        <v>82</v>
      </c>
      <c r="C95" s="59" t="s">
        <v>83</v>
      </c>
      <c r="D95" s="8">
        <f>Renta_Alta!D95+Masivo!D95+Consumo_Inicial!D95</f>
        <v>0</v>
      </c>
      <c r="E95" s="8">
        <f>Renta_Alta!E95+Masivo!E95+Consumo_Inicial!E95</f>
        <v>0</v>
      </c>
      <c r="F95" s="8">
        <f>Renta_Alta!F95+Masivo!F95+Consumo_Inicial!F95</f>
        <v>0</v>
      </c>
      <c r="G95" s="8">
        <f>Renta_Alta!G95+Masivo!G95+Consumo_Inicial!G95</f>
        <v>0</v>
      </c>
      <c r="H95" s="8">
        <f>Renta_Alta!H95+Masivo!H95+Consumo_Inicial!H95</f>
        <v>0</v>
      </c>
      <c r="I95" s="8">
        <f>Renta_Alta!I95+Masivo!I95+Consumo_Inicial!I95</f>
        <v>0</v>
      </c>
      <c r="J95" s="8">
        <f>Renta_Alta!J95+Masivo!J95+Consumo_Inicial!J95</f>
        <v>0</v>
      </c>
      <c r="K95" s="8">
        <f>Renta_Alta!K95+Masivo!K95+Consumo_Inicial!K95</f>
        <v>0</v>
      </c>
      <c r="L95" s="8">
        <f>Renta_Alta!L95+Masivo!L95+Consumo_Inicial!L95</f>
        <v>0</v>
      </c>
      <c r="M95" s="8">
        <f>Renta_Alta!M95+Masivo!M95+Consumo_Inicial!M95</f>
        <v>0</v>
      </c>
      <c r="N95" s="8">
        <f>Renta_Alta!N95+Masivo!N95+Consumo_Inicial!N95</f>
        <v>0</v>
      </c>
      <c r="O95" s="8">
        <f>Renta_Alta!O95+Masivo!O95+Consumo_Inicial!O95</f>
        <v>0</v>
      </c>
      <c r="P95" s="8">
        <f>Renta_Alta!P95+Masivo!P95+Consumo_Inicial!P95</f>
        <v>0</v>
      </c>
      <c r="Q95" s="8">
        <f>Renta_Alta!Q95+Masivo!Q95+Consumo_Inicial!Q95</f>
        <v>0</v>
      </c>
      <c r="R95" s="8">
        <f>Renta_Alta!R95+Masivo!R95+Consumo_Inicial!R95</f>
        <v>0</v>
      </c>
      <c r="S95" s="8">
        <f>Renta_Alta!S95+Masivo!S95+Consumo_Inicial!S95</f>
        <v>0</v>
      </c>
      <c r="T95" s="8">
        <f>Renta_Alta!T95+Masivo!T95+Consumo_Inicial!T95</f>
        <v>0</v>
      </c>
      <c r="U95" s="8">
        <f>Renta_Alta!U95+Masivo!U95+Consumo_Inicial!U95</f>
        <v>0</v>
      </c>
      <c r="V95" s="8">
        <f>Renta_Alta!V95+Masivo!V95+Consumo_Inicial!V95</f>
        <v>0</v>
      </c>
      <c r="W95" s="8">
        <f>Renta_Alta!W95+Masivo!W95+Consumo_Inicial!W95</f>
        <v>0</v>
      </c>
      <c r="X95" s="8">
        <f>Renta_Alta!X95+Masivo!X95+Consumo_Inicial!X95</f>
        <v>0</v>
      </c>
      <c r="Y95" s="8">
        <f>Renta_Alta!Y95+Masivo!Y95+Consumo_Inicial!Y95</f>
        <v>0</v>
      </c>
      <c r="Z95" s="8">
        <f>Renta_Alta!Z95+Masivo!Z95+Consumo_Inicial!Z95</f>
        <v>0</v>
      </c>
      <c r="AA95" s="8">
        <f>Renta_Alta!AA95+Masivo!AA95+Consumo_Inicial!AA95</f>
        <v>0</v>
      </c>
      <c r="AB95" s="8">
        <f>Renta_Alta!AB95+Masivo!AB95+Consumo_Inicial!AB95</f>
        <v>0</v>
      </c>
      <c r="AC95" s="8">
        <f>Renta_Alta!AC95+Masivo!AC95+Consumo_Inicial!AC95</f>
        <v>0</v>
      </c>
      <c r="AD95" s="8">
        <f>Renta_Alta!AD95+Masivo!AD95+Consumo_Inicial!AD95</f>
        <v>317.56934999999999</v>
      </c>
      <c r="AE95" s="8">
        <f>Renta_Alta!AE95+Masivo!AE95+Consumo_Inicial!AE95</f>
        <v>0</v>
      </c>
      <c r="AF95" s="8">
        <f>Renta_Alta!AF95+Masivo!AF95+Consumo_Inicial!AF95</f>
        <v>0</v>
      </c>
      <c r="AG95" s="8">
        <f>Renta_Alta!AG95+Masivo!AG95+Consumo_Inicial!AG95</f>
        <v>0</v>
      </c>
      <c r="AH95" s="8">
        <f>Renta_Alta!AH95+Masivo!AH95+Consumo_Inicial!AH95</f>
        <v>0</v>
      </c>
      <c r="AI95" s="8">
        <f>Renta_Alta!AI95+Masivo!AI95+Consumo_Inicial!AI95</f>
        <v>0</v>
      </c>
      <c r="AJ95" s="8">
        <f>Renta_Alta!AJ95+Masivo!AJ95+Consumo_Inicial!AJ95</f>
        <v>0</v>
      </c>
      <c r="AK95" s="8">
        <f>Renta_Alta!AK95+Masivo!AK95+Consumo_Inicial!AK95</f>
        <v>0</v>
      </c>
      <c r="AL95" s="8">
        <f>Renta_Alta!AL95+Masivo!AL95+Consumo_Inicial!AL95</f>
        <v>0</v>
      </c>
      <c r="AM95" s="8">
        <f>Renta_Alta!AM95+Masivo!AM95+Consumo_Inicial!AM95</f>
        <v>0</v>
      </c>
      <c r="AN95" s="8">
        <f>Renta_Alta!AN95+Masivo!AN95+Consumo_Inicial!AN95</f>
        <v>0</v>
      </c>
      <c r="AO95" s="8">
        <f>Renta_Alta!AO95+Masivo!AO95+Consumo_Inicial!AO95</f>
        <v>60.139999999999993</v>
      </c>
      <c r="AP95" s="8">
        <f>Renta_Alta!AP95+Masivo!AP95+Consumo_Inicial!AP95</f>
        <v>1018.0437500000002</v>
      </c>
      <c r="AQ95" s="8">
        <f>Renta_Alta!AQ95+Masivo!AQ95+Consumo_Inicial!AQ95</f>
        <v>0</v>
      </c>
      <c r="AR95" s="8">
        <f>Renta_Alta!AR95+Masivo!AR95+Consumo_Inicial!AR95</f>
        <v>0</v>
      </c>
      <c r="AS95" s="8">
        <f>Renta_Alta!AS95+Masivo!AS95+Consumo_Inicial!AS95</f>
        <v>0</v>
      </c>
      <c r="AT95" s="8">
        <f>Renta_Alta!AT95+Masivo!AT95+Consumo_Inicial!AT95</f>
        <v>0</v>
      </c>
      <c r="AU95" s="8">
        <f>Renta_Alta!AU95+Masivo!AU95+Consumo_Inicial!AU95</f>
        <v>0</v>
      </c>
      <c r="AV95" s="8">
        <f>Renta_Alta!AV95+Masivo!AV95+Consumo_Inicial!AV95</f>
        <v>0</v>
      </c>
      <c r="AW95" s="8">
        <f>Renta_Alta!AW95+Masivo!AW95+Consumo_Inicial!AW95</f>
        <v>0</v>
      </c>
      <c r="AX95" s="8">
        <f>Renta_Alta!AX95+Masivo!AX95+Consumo_Inicial!AX95</f>
        <v>0</v>
      </c>
      <c r="AY95" s="8">
        <f>Renta_Alta!AY95+Masivo!AY95+Consumo_Inicial!AY95</f>
        <v>0</v>
      </c>
      <c r="AZ95" s="8">
        <f>Renta_Alta!AZ95+Masivo!AZ95+Consumo_Inicial!AZ95</f>
        <v>0</v>
      </c>
      <c r="BA95" s="8">
        <f>Renta_Alta!BA95+Masivo!BA95+Consumo_Inicial!BA95</f>
        <v>0</v>
      </c>
      <c r="BB95" s="8">
        <f>Renta_Alta!BB95+Masivo!BB95+Consumo_Inicial!BB95</f>
        <v>0</v>
      </c>
      <c r="BC95" s="8">
        <f>Renta_Alta!BC95+Masivo!BC95+Consumo_Inicial!BC95</f>
        <v>0</v>
      </c>
      <c r="BD95" s="8">
        <f>Renta_Alta!BD95+Masivo!BD95+Consumo_Inicial!BD95</f>
        <v>0</v>
      </c>
      <c r="BE95" s="8">
        <f>Renta_Alta!BE95+Masivo!BE95+Consumo_Inicial!BE95</f>
        <v>0</v>
      </c>
      <c r="BF95" s="8">
        <f>Renta_Alta!BF95+Masivo!BF95+Consumo_Inicial!BF95</f>
        <v>0</v>
      </c>
      <c r="BG95" s="8">
        <f>Renta_Alta!BG95+Masivo!BG95+Consumo_Inicial!BG95</f>
        <v>0</v>
      </c>
      <c r="BH95" s="8">
        <f>Renta_Alta!BH95+Masivo!BH95+Consumo_Inicial!BH95</f>
        <v>0</v>
      </c>
      <c r="BI95" s="8">
        <f>Renta_Alta!BI95+Masivo!BI95+Consumo_Inicial!BI95</f>
        <v>0</v>
      </c>
      <c r="BJ95" s="8">
        <f>Renta_Alta!BJ95+Masivo!BJ95+Consumo_Inicial!BJ95</f>
        <v>0</v>
      </c>
      <c r="BK95" s="8">
        <f>Renta_Alta!BK95+Masivo!BK95+Consumo_Inicial!BK95</f>
        <v>0</v>
      </c>
      <c r="BO95" s="24">
        <f t="shared" ref="BO95:BT95" si="81">SUMIFS($D95:$BM95,$D$6:$BM$6,"&gt;="&amp;BO$2,$D$6:$BM$6,"&lt;="&amp;BO$6,$D$5:$BM$5,BO$5)</f>
        <v>1078.1837500000001</v>
      </c>
      <c r="BP95" s="24">
        <f t="shared" si="81"/>
        <v>0</v>
      </c>
      <c r="BQ95" s="24">
        <f t="shared" si="81"/>
        <v>60.139999999999993</v>
      </c>
      <c r="BR95" s="24">
        <f t="shared" si="81"/>
        <v>317.56934999999999</v>
      </c>
      <c r="BS95" s="24">
        <f t="shared" si="81"/>
        <v>0</v>
      </c>
      <c r="BT95" s="24">
        <f t="shared" si="81"/>
        <v>0</v>
      </c>
    </row>
    <row r="96" spans="1:72" collapsed="1" x14ac:dyDescent="0.25">
      <c r="C96" s="60" t="s">
        <v>82</v>
      </c>
      <c r="D96" s="61">
        <f t="shared" ref="D96:AY96" si="82">SUM(D95:D95)</f>
        <v>0</v>
      </c>
      <c r="E96" s="61">
        <f t="shared" si="82"/>
        <v>0</v>
      </c>
      <c r="F96" s="61">
        <f t="shared" si="82"/>
        <v>0</v>
      </c>
      <c r="G96" s="61">
        <f t="shared" si="82"/>
        <v>0</v>
      </c>
      <c r="H96" s="61">
        <f t="shared" si="82"/>
        <v>0</v>
      </c>
      <c r="I96" s="61">
        <f t="shared" si="82"/>
        <v>0</v>
      </c>
      <c r="J96" s="61">
        <f t="shared" si="82"/>
        <v>0</v>
      </c>
      <c r="K96" s="61">
        <f t="shared" si="82"/>
        <v>0</v>
      </c>
      <c r="L96" s="61">
        <f t="shared" si="82"/>
        <v>0</v>
      </c>
      <c r="M96" s="61">
        <f t="shared" si="82"/>
        <v>0</v>
      </c>
      <c r="N96" s="61">
        <f t="shared" si="82"/>
        <v>0</v>
      </c>
      <c r="O96" s="61">
        <f t="shared" si="82"/>
        <v>0</v>
      </c>
      <c r="P96" s="61">
        <f t="shared" si="82"/>
        <v>0</v>
      </c>
      <c r="Q96" s="61">
        <f t="shared" si="82"/>
        <v>0</v>
      </c>
      <c r="R96" s="61">
        <f t="shared" si="82"/>
        <v>0</v>
      </c>
      <c r="S96" s="61">
        <f t="shared" si="82"/>
        <v>0</v>
      </c>
      <c r="T96" s="61">
        <f t="shared" si="82"/>
        <v>0</v>
      </c>
      <c r="U96" s="61">
        <f t="shared" si="82"/>
        <v>0</v>
      </c>
      <c r="V96" s="61">
        <f t="shared" si="82"/>
        <v>0</v>
      </c>
      <c r="W96" s="61">
        <f t="shared" si="82"/>
        <v>0</v>
      </c>
      <c r="X96" s="61">
        <f t="shared" si="82"/>
        <v>0</v>
      </c>
      <c r="Y96" s="61">
        <f t="shared" si="82"/>
        <v>0</v>
      </c>
      <c r="Z96" s="61">
        <f t="shared" si="82"/>
        <v>0</v>
      </c>
      <c r="AA96" s="61">
        <f t="shared" si="82"/>
        <v>0</v>
      </c>
      <c r="AB96" s="61">
        <f t="shared" si="82"/>
        <v>0</v>
      </c>
      <c r="AC96" s="61">
        <f t="shared" si="82"/>
        <v>0</v>
      </c>
      <c r="AD96" s="61">
        <f t="shared" si="82"/>
        <v>317.56934999999999</v>
      </c>
      <c r="AE96" s="61">
        <f t="shared" si="82"/>
        <v>0</v>
      </c>
      <c r="AF96" s="61">
        <f t="shared" si="82"/>
        <v>0</v>
      </c>
      <c r="AG96" s="61">
        <f t="shared" si="82"/>
        <v>0</v>
      </c>
      <c r="AH96" s="61">
        <f t="shared" si="82"/>
        <v>0</v>
      </c>
      <c r="AI96" s="61">
        <f t="shared" si="82"/>
        <v>0</v>
      </c>
      <c r="AJ96" s="61">
        <f t="shared" si="82"/>
        <v>0</v>
      </c>
      <c r="AK96" s="61">
        <f t="shared" si="82"/>
        <v>0</v>
      </c>
      <c r="AL96" s="61">
        <f t="shared" si="82"/>
        <v>0</v>
      </c>
      <c r="AM96" s="61">
        <f t="shared" si="82"/>
        <v>0</v>
      </c>
      <c r="AN96" s="61">
        <f t="shared" si="82"/>
        <v>0</v>
      </c>
      <c r="AO96" s="61">
        <f t="shared" si="82"/>
        <v>60.139999999999993</v>
      </c>
      <c r="AP96" s="61">
        <f t="shared" si="82"/>
        <v>1018.0437500000002</v>
      </c>
      <c r="AQ96" s="61">
        <f t="shared" si="82"/>
        <v>0</v>
      </c>
      <c r="AR96" s="61">
        <f t="shared" si="82"/>
        <v>0</v>
      </c>
      <c r="AS96" s="61">
        <f t="shared" si="82"/>
        <v>0</v>
      </c>
      <c r="AT96" s="61">
        <f t="shared" si="82"/>
        <v>0</v>
      </c>
      <c r="AU96" s="61">
        <f t="shared" si="82"/>
        <v>0</v>
      </c>
      <c r="AV96" s="61">
        <f t="shared" si="82"/>
        <v>0</v>
      </c>
      <c r="AW96" s="61">
        <f t="shared" si="82"/>
        <v>0</v>
      </c>
      <c r="AX96" s="61">
        <f t="shared" si="82"/>
        <v>0</v>
      </c>
      <c r="AY96" s="61">
        <f t="shared" si="82"/>
        <v>0</v>
      </c>
      <c r="AZ96" s="61">
        <f t="shared" ref="AZ96:BK96" si="83">SUM(AZ95:AZ95)</f>
        <v>0</v>
      </c>
      <c r="BA96" s="61">
        <f t="shared" si="83"/>
        <v>0</v>
      </c>
      <c r="BB96" s="61">
        <f t="shared" si="83"/>
        <v>0</v>
      </c>
      <c r="BC96" s="61">
        <f t="shared" si="83"/>
        <v>0</v>
      </c>
      <c r="BD96" s="61">
        <f t="shared" si="83"/>
        <v>0</v>
      </c>
      <c r="BE96" s="61">
        <f t="shared" si="83"/>
        <v>0</v>
      </c>
      <c r="BF96" s="61">
        <f t="shared" si="83"/>
        <v>0</v>
      </c>
      <c r="BG96" s="61">
        <f t="shared" si="83"/>
        <v>0</v>
      </c>
      <c r="BH96" s="61">
        <f t="shared" si="83"/>
        <v>0</v>
      </c>
      <c r="BI96" s="61">
        <f t="shared" si="83"/>
        <v>0</v>
      </c>
      <c r="BJ96" s="61">
        <f t="shared" si="83"/>
        <v>0</v>
      </c>
      <c r="BK96" s="61">
        <f t="shared" si="83"/>
        <v>0</v>
      </c>
      <c r="BO96" s="62">
        <f t="shared" ref="BO96:BT96" si="84">SUM(BO95)</f>
        <v>1078.1837500000001</v>
      </c>
      <c r="BP96" s="62">
        <f t="shared" si="84"/>
        <v>0</v>
      </c>
      <c r="BQ96" s="62">
        <f t="shared" si="84"/>
        <v>60.139999999999993</v>
      </c>
      <c r="BR96" s="62">
        <f t="shared" si="84"/>
        <v>317.56934999999999</v>
      </c>
      <c r="BS96" s="62">
        <f t="shared" si="84"/>
        <v>0</v>
      </c>
      <c r="BT96" s="62">
        <f t="shared" si="84"/>
        <v>0</v>
      </c>
    </row>
    <row r="97" spans="3:72" x14ac:dyDescent="0.25">
      <c r="D97" s="19">
        <f>[1]Base_Evolutivo!BE1730-D96</f>
        <v>0</v>
      </c>
      <c r="E97" s="19">
        <f>[1]Base_Evolutivo!BF1730-E96</f>
        <v>0</v>
      </c>
      <c r="F97" s="19">
        <f>[1]Base_Evolutivo!BG1730-F96</f>
        <v>0</v>
      </c>
      <c r="G97" s="19">
        <f>[1]Base_Evolutivo!BH1730-G96</f>
        <v>0</v>
      </c>
      <c r="H97" s="19">
        <f>[1]Base_Evolutivo!BI1730-H96</f>
        <v>0</v>
      </c>
      <c r="I97" s="19">
        <f>[1]Base_Evolutivo!BJ1730-I96</f>
        <v>0</v>
      </c>
      <c r="J97" s="19">
        <f>[1]Base_Evolutivo!BK1730-J96</f>
        <v>0</v>
      </c>
      <c r="K97" s="19">
        <f>[1]Base_Evolutivo!BL1730-K96</f>
        <v>0</v>
      </c>
      <c r="L97" s="19">
        <f>[1]Base_Evolutivo!BM1730-L96</f>
        <v>0</v>
      </c>
      <c r="M97" s="19">
        <f>[1]Base_Evolutivo!BN1730-M96</f>
        <v>0</v>
      </c>
      <c r="N97" s="19">
        <f>[1]Base_Evolutivo!BO1730-N96</f>
        <v>0</v>
      </c>
      <c r="O97" s="19">
        <f>[1]Base_Evolutivo!BP1730-O96</f>
        <v>0</v>
      </c>
      <c r="P97" s="19">
        <f>[1]Base_Evolutivo!BQ1730-P96</f>
        <v>0</v>
      </c>
      <c r="Q97" s="19">
        <f>[1]Base_Evolutivo!BR1730-Q96</f>
        <v>0</v>
      </c>
      <c r="R97" s="19">
        <f>[1]Base_Evolutivo!BS1730-R96</f>
        <v>0</v>
      </c>
      <c r="S97" s="19">
        <f>[1]Base_Evolutivo!BT1730-S96</f>
        <v>0</v>
      </c>
      <c r="T97" s="19">
        <f>[1]Base_Evolutivo!BU1730-T96</f>
        <v>0</v>
      </c>
      <c r="U97" s="19">
        <f>[1]Base_Evolutivo!BV1730-U96</f>
        <v>0</v>
      </c>
      <c r="V97" s="19">
        <f>[1]Base_Evolutivo!BW1730-V96</f>
        <v>0</v>
      </c>
      <c r="W97" s="19">
        <f>[1]Base_Evolutivo!BX1730-W96</f>
        <v>0</v>
      </c>
      <c r="X97" s="19">
        <f>[1]Base_Evolutivo!BY1730-X96</f>
        <v>0</v>
      </c>
      <c r="Y97" s="19">
        <f>[1]Base_Evolutivo!BZ1730-Y96</f>
        <v>0</v>
      </c>
      <c r="Z97" s="19">
        <f>[1]Base_Evolutivo!CA1730-Z96</f>
        <v>0</v>
      </c>
      <c r="AA97" s="19">
        <f>[1]Base_Evolutivo!CB1730-AA96</f>
        <v>0</v>
      </c>
      <c r="AB97" s="19">
        <f>[1]Base_Evolutivo!CC1730-AB96</f>
        <v>0</v>
      </c>
      <c r="AC97" s="19">
        <f>[1]Base_Evolutivo!CD1730-AC96</f>
        <v>0</v>
      </c>
      <c r="AD97" s="19">
        <f>[1]Base_Evolutivo!CE1730-AD96</f>
        <v>0</v>
      </c>
      <c r="AE97" s="19">
        <f>[1]Base_Evolutivo!CF1730-AE96</f>
        <v>0</v>
      </c>
      <c r="AF97" s="19">
        <f>[1]Base_Evolutivo!CG1730-AF96</f>
        <v>0</v>
      </c>
      <c r="AG97" s="19">
        <f>[1]Base_Evolutivo!CH1730-AG96</f>
        <v>0</v>
      </c>
      <c r="AH97" s="19">
        <f>[1]Base_Evolutivo!CI1730-AH96</f>
        <v>0</v>
      </c>
      <c r="AI97" s="19">
        <f>[1]Base_Evolutivo!CJ1730-AI96</f>
        <v>0</v>
      </c>
      <c r="AJ97" s="19">
        <f>[1]Base_Evolutivo!CK1730-AJ96</f>
        <v>0</v>
      </c>
      <c r="AK97" s="19">
        <f>[1]Base_Evolutivo!CL1730-AK96</f>
        <v>0</v>
      </c>
      <c r="AL97" s="19">
        <f>[1]Base_Evolutivo!CM1730-AL96</f>
        <v>0</v>
      </c>
      <c r="AM97" s="19">
        <f>[1]Base_Evolutivo!CN1730-AM96</f>
        <v>0</v>
      </c>
      <c r="AN97" s="19">
        <f>[1]Base_Evolutivo!CO1730-AN96</f>
        <v>0</v>
      </c>
      <c r="AO97" s="19">
        <f>[1]Base_Evolutivo!CP1730-AO96</f>
        <v>0</v>
      </c>
      <c r="AP97" s="19">
        <f>[1]Base_Evolutivo!CQ1730-AP96</f>
        <v>0</v>
      </c>
      <c r="AQ97" s="19">
        <f>[1]Base_Evolutivo!CR1730-AQ96</f>
        <v>0</v>
      </c>
      <c r="AR97" s="19">
        <f>[1]Base_Evolutivo!CS1730-AR96</f>
        <v>0</v>
      </c>
      <c r="AS97" s="19">
        <f>[1]Base_Evolutivo!CT1730-AS96</f>
        <v>0</v>
      </c>
      <c r="AT97" s="19">
        <f>[1]Base_Evolutivo!CU1730-AT96</f>
        <v>0</v>
      </c>
      <c r="AU97" s="19">
        <f>[1]Base_Evolutivo!CV1730-AU96</f>
        <v>0</v>
      </c>
      <c r="AV97" s="19">
        <f>[1]Base_Evolutivo!CW1730-AV96</f>
        <v>0</v>
      </c>
      <c r="AW97" s="19">
        <f>[1]Base_Evolutivo!CX1730-AW96</f>
        <v>0</v>
      </c>
      <c r="AX97" s="19">
        <f>[1]Base_Evolutivo!CY1730-AX96</f>
        <v>0</v>
      </c>
      <c r="AY97" s="19">
        <f>[1]Base_Evolutivo!CZ1730-AY96</f>
        <v>0</v>
      </c>
      <c r="AZ97" s="19">
        <f>[1]Base_Evolutivo!DA1730-AZ96</f>
        <v>0</v>
      </c>
      <c r="BA97" s="19">
        <f>[1]Base_Evolutivo!DB1730-BA96</f>
        <v>0</v>
      </c>
      <c r="BB97" s="19">
        <f>[1]Base_Evolutivo!DC1730-BB96</f>
        <v>0</v>
      </c>
      <c r="BC97" s="19">
        <f>[1]Base_Evolutivo!DD1730-BC96</f>
        <v>0</v>
      </c>
      <c r="BD97" s="19">
        <f>[1]Base_Evolutivo!DE1730-BD96</f>
        <v>0</v>
      </c>
      <c r="BE97" s="19">
        <f>[1]Base_Evolutivo!DF1730-BE96</f>
        <v>0</v>
      </c>
      <c r="BF97" s="19">
        <f>[1]Base_Evolutivo!DG1730-BF96</f>
        <v>0</v>
      </c>
      <c r="BG97" s="19">
        <f>[1]Base_Evolutivo!DH1730-BG96</f>
        <v>0</v>
      </c>
      <c r="BH97" s="19">
        <f>[1]Base_Evolutivo!DI1730-BH96</f>
        <v>0</v>
      </c>
      <c r="BI97" s="19">
        <f>[1]Base_Evolutivo!DJ1730-BI96</f>
        <v>0</v>
      </c>
      <c r="BJ97" s="19">
        <f>[1]Base_Evolutivo!DK1730-BJ96</f>
        <v>0</v>
      </c>
      <c r="BK97" s="19">
        <f>[1]Base_Evolutivo!DL1730-BK96</f>
        <v>0</v>
      </c>
    </row>
    <row r="98" spans="3:72" x14ac:dyDescent="0.25">
      <c r="C98" s="60" t="s">
        <v>84</v>
      </c>
      <c r="D98" s="61">
        <f t="shared" ref="D98:AY98" si="85">D60+D83+D89+D93+D96</f>
        <v>10801.526850570664</v>
      </c>
      <c r="E98" s="61">
        <f t="shared" si="85"/>
        <v>5052.5455914312688</v>
      </c>
      <c r="F98" s="61">
        <f t="shared" si="85"/>
        <v>11908.709186619601</v>
      </c>
      <c r="G98" s="61">
        <f t="shared" si="85"/>
        <v>8161.8951516987481</v>
      </c>
      <c r="H98" s="61">
        <f t="shared" si="85"/>
        <v>8492.7729364087063</v>
      </c>
      <c r="I98" s="61">
        <f t="shared" si="85"/>
        <v>9021.4493833795786</v>
      </c>
      <c r="J98" s="61">
        <f t="shared" si="85"/>
        <v>15654.699350489385</v>
      </c>
      <c r="K98" s="61">
        <f t="shared" si="85"/>
        <v>11457.785433295612</v>
      </c>
      <c r="L98" s="61">
        <f t="shared" si="85"/>
        <v>3943.6504680660864</v>
      </c>
      <c r="M98" s="61">
        <f t="shared" si="85"/>
        <v>6517.8305416752482</v>
      </c>
      <c r="N98" s="61">
        <f t="shared" si="85"/>
        <v>5813.5508612551166</v>
      </c>
      <c r="O98" s="61">
        <f t="shared" si="85"/>
        <v>14456.742829499868</v>
      </c>
      <c r="P98" s="61">
        <f t="shared" si="85"/>
        <v>5471.3313747175971</v>
      </c>
      <c r="Q98" s="61">
        <f t="shared" si="85"/>
        <v>6170.7451846754238</v>
      </c>
      <c r="R98" s="61">
        <f t="shared" si="85"/>
        <v>11963.02829937826</v>
      </c>
      <c r="S98" s="61">
        <f t="shared" si="85"/>
        <v>2499.8184061709926</v>
      </c>
      <c r="T98" s="61">
        <f t="shared" si="85"/>
        <v>11932.137346359568</v>
      </c>
      <c r="U98" s="61">
        <f t="shared" si="85"/>
        <v>7699.8370556263981</v>
      </c>
      <c r="V98" s="61">
        <f t="shared" si="85"/>
        <v>8032.8545086424556</v>
      </c>
      <c r="W98" s="61">
        <f t="shared" si="85"/>
        <v>11850.144177965685</v>
      </c>
      <c r="X98" s="61">
        <f t="shared" si="85"/>
        <v>8661.2903163832816</v>
      </c>
      <c r="Y98" s="61">
        <f t="shared" si="85"/>
        <v>4195.3496943863001</v>
      </c>
      <c r="Z98" s="61">
        <f t="shared" si="85"/>
        <v>11063.643872691204</v>
      </c>
      <c r="AA98" s="61">
        <f t="shared" si="85"/>
        <v>12313.257971289651</v>
      </c>
      <c r="AB98" s="61">
        <f t="shared" si="85"/>
        <v>7252.7935911518725</v>
      </c>
      <c r="AC98" s="61">
        <f t="shared" si="85"/>
        <v>3121.1140752306815</v>
      </c>
      <c r="AD98" s="61">
        <f t="shared" si="85"/>
        <v>10612.373564301242</v>
      </c>
      <c r="AE98" s="61">
        <f t="shared" si="85"/>
        <v>2771.8185219037191</v>
      </c>
      <c r="AF98" s="61">
        <f t="shared" si="85"/>
        <v>16674.944883094959</v>
      </c>
      <c r="AG98" s="61">
        <f t="shared" si="85"/>
        <v>3949.4195193147907</v>
      </c>
      <c r="AH98" s="61">
        <f t="shared" si="85"/>
        <v>8909.2716434509784</v>
      </c>
      <c r="AI98" s="61">
        <f t="shared" si="85"/>
        <v>6154.9837494977364</v>
      </c>
      <c r="AJ98" s="61">
        <f t="shared" si="85"/>
        <v>3465.0406535461275</v>
      </c>
      <c r="AK98" s="61">
        <f t="shared" si="85"/>
        <v>2711.1614984662606</v>
      </c>
      <c r="AL98" s="61">
        <f t="shared" si="85"/>
        <v>13228.428936864198</v>
      </c>
      <c r="AM98" s="61">
        <f t="shared" si="85"/>
        <v>24374.698996765452</v>
      </c>
      <c r="AN98" s="61">
        <f t="shared" si="85"/>
        <v>13308.366016537231</v>
      </c>
      <c r="AO98" s="61">
        <f t="shared" si="85"/>
        <v>7393.3416116967401</v>
      </c>
      <c r="AP98" s="61">
        <f t="shared" si="85"/>
        <v>12052.727733154679</v>
      </c>
      <c r="AQ98" s="61">
        <f t="shared" si="85"/>
        <v>8072.8580724634958</v>
      </c>
      <c r="AR98" s="61">
        <f t="shared" si="85"/>
        <v>17972.305479097442</v>
      </c>
      <c r="AS98" s="61">
        <f t="shared" si="85"/>
        <v>4323.2933650759414</v>
      </c>
      <c r="AT98" s="61">
        <f t="shared" si="85"/>
        <v>0</v>
      </c>
      <c r="AU98" s="61">
        <f t="shared" si="85"/>
        <v>0</v>
      </c>
      <c r="AV98" s="61">
        <f t="shared" si="85"/>
        <v>0</v>
      </c>
      <c r="AW98" s="61">
        <f t="shared" si="85"/>
        <v>0</v>
      </c>
      <c r="AX98" s="61">
        <f t="shared" si="85"/>
        <v>0</v>
      </c>
      <c r="AY98" s="61">
        <f t="shared" si="85"/>
        <v>0</v>
      </c>
      <c r="AZ98" s="61">
        <f t="shared" ref="AZ98:BK98" si="86">AZ60+AZ83+AZ89+AZ93+AZ96</f>
        <v>9434.1023828703783</v>
      </c>
      <c r="BA98" s="61">
        <f t="shared" si="86"/>
        <v>1225.2534903490559</v>
      </c>
      <c r="BB98" s="61">
        <f t="shared" si="86"/>
        <v>6399.2068984462239</v>
      </c>
      <c r="BC98" s="61">
        <f t="shared" si="86"/>
        <v>4883.0347449277933</v>
      </c>
      <c r="BD98" s="61">
        <f t="shared" si="86"/>
        <v>10614.738156773259</v>
      </c>
      <c r="BE98" s="61">
        <f t="shared" si="86"/>
        <v>4923.9424186560555</v>
      </c>
      <c r="BF98" s="61">
        <f t="shared" si="86"/>
        <v>10388.110761091209</v>
      </c>
      <c r="BG98" s="61">
        <f t="shared" si="86"/>
        <v>8674.6282283492219</v>
      </c>
      <c r="BH98" s="61">
        <f t="shared" si="86"/>
        <v>7415.8888779598065</v>
      </c>
      <c r="BI98" s="61">
        <f t="shared" si="86"/>
        <v>10432.029016534616</v>
      </c>
      <c r="BJ98" s="61">
        <f t="shared" si="86"/>
        <v>9770.7629070498424</v>
      </c>
      <c r="BK98" s="61">
        <f t="shared" si="86"/>
        <v>13416.5902149099</v>
      </c>
      <c r="BO98" s="62">
        <f t="shared" ref="BO98:BT98" si="87">BO60+BO83+BO89+BO93+BO96</f>
        <v>32754.435361388627</v>
      </c>
      <c r="BP98" s="62">
        <f t="shared" si="87"/>
        <v>17058.562771665682</v>
      </c>
      <c r="BQ98" s="62">
        <f t="shared" si="87"/>
        <v>20701.707628233969</v>
      </c>
      <c r="BR98" s="62">
        <f t="shared" si="87"/>
        <v>20986.281230683777</v>
      </c>
      <c r="BS98" s="62">
        <f t="shared" si="87"/>
        <v>23605.104858771261</v>
      </c>
      <c r="BT98" s="62">
        <f t="shared" si="87"/>
        <v>27762.781628621557</v>
      </c>
    </row>
    <row r="102" spans="3:72" s="48" customFormat="1" x14ac:dyDescent="0.25">
      <c r="C102" s="65" t="s">
        <v>110</v>
      </c>
      <c r="D102" s="47">
        <f>D11</f>
        <v>9588231.7687435392</v>
      </c>
      <c r="E102" s="47">
        <f t="shared" ref="E102:AY102" si="88">IFERROR(AVERAGE(D11:E11),0)</f>
        <v>9607179.8369842395</v>
      </c>
      <c r="F102" s="47">
        <f t="shared" si="88"/>
        <v>9646118.4649334811</v>
      </c>
      <c r="G102" s="47">
        <f t="shared" si="88"/>
        <v>9690459.2124690842</v>
      </c>
      <c r="H102" s="47">
        <f t="shared" si="88"/>
        <v>9738036.0820278097</v>
      </c>
      <c r="I102" s="47">
        <f t="shared" si="88"/>
        <v>9786148.3410814442</v>
      </c>
      <c r="J102" s="48">
        <f t="shared" si="88"/>
        <v>9815021.2793019582</v>
      </c>
      <c r="K102" s="48">
        <f t="shared" si="88"/>
        <v>9851256.639256373</v>
      </c>
      <c r="L102" s="48">
        <f t="shared" si="88"/>
        <v>9927887.8115380891</v>
      </c>
      <c r="M102" s="48">
        <f t="shared" si="88"/>
        <v>10005567.196518354</v>
      </c>
      <c r="N102" s="48">
        <f t="shared" si="88"/>
        <v>10053214.60894594</v>
      </c>
      <c r="O102" s="48">
        <f t="shared" si="88"/>
        <v>10079457.522536486</v>
      </c>
      <c r="P102" s="48">
        <f t="shared" si="88"/>
        <v>10109648.355114065</v>
      </c>
      <c r="Q102" s="48">
        <f t="shared" si="88"/>
        <v>10160434.799980629</v>
      </c>
      <c r="R102" s="48">
        <f t="shared" si="88"/>
        <v>10217267.385610478</v>
      </c>
      <c r="S102" s="48">
        <f t="shared" si="88"/>
        <v>10273793.737691019</v>
      </c>
      <c r="T102" s="48">
        <f t="shared" si="88"/>
        <v>10325849.915534031</v>
      </c>
      <c r="U102" s="48">
        <f t="shared" si="88"/>
        <v>10374253.563300565</v>
      </c>
      <c r="V102" s="48">
        <f t="shared" si="88"/>
        <v>10431354.049252532</v>
      </c>
      <c r="W102" s="47">
        <f t="shared" si="88"/>
        <v>10497761.670698557</v>
      </c>
      <c r="X102" s="47">
        <f t="shared" si="88"/>
        <v>10574092.472777609</v>
      </c>
      <c r="Y102" s="47">
        <f t="shared" si="88"/>
        <v>10657190.111266728</v>
      </c>
      <c r="Z102" s="47">
        <f t="shared" si="88"/>
        <v>10728704.2136946</v>
      </c>
      <c r="AA102" s="47">
        <f t="shared" si="88"/>
        <v>10790335.185308792</v>
      </c>
      <c r="AB102" s="47">
        <f t="shared" si="88"/>
        <v>10842173.459929552</v>
      </c>
      <c r="AC102" s="48">
        <f t="shared" si="88"/>
        <v>10889863.477696622</v>
      </c>
      <c r="AD102" s="48">
        <f t="shared" si="88"/>
        <v>10940801.528675139</v>
      </c>
      <c r="AE102" s="48">
        <f t="shared" si="88"/>
        <v>10992420.064990984</v>
      </c>
      <c r="AF102" s="48">
        <f t="shared" si="88"/>
        <v>11058855.308444954</v>
      </c>
      <c r="AG102" s="48">
        <f t="shared" si="88"/>
        <v>11136393.60151073</v>
      </c>
      <c r="AH102" s="48">
        <f t="shared" si="88"/>
        <v>11210799.878232408</v>
      </c>
      <c r="AI102" s="48">
        <f t="shared" si="88"/>
        <v>11292629.870365033</v>
      </c>
      <c r="AJ102" s="48">
        <f t="shared" si="88"/>
        <v>11394743.999537624</v>
      </c>
      <c r="AK102" s="48">
        <f t="shared" si="88"/>
        <v>11499709.945155675</v>
      </c>
      <c r="AL102" s="48">
        <f t="shared" si="88"/>
        <v>11602397.577739004</v>
      </c>
      <c r="AM102" s="48">
        <f t="shared" si="88"/>
        <v>11684647.864128172</v>
      </c>
      <c r="AN102" s="48">
        <f t="shared" si="88"/>
        <v>11744207.975278441</v>
      </c>
      <c r="AO102" s="48">
        <f t="shared" si="88"/>
        <v>11810462.934999999</v>
      </c>
      <c r="AP102" s="48">
        <f t="shared" si="88"/>
        <v>11878155.98</v>
      </c>
      <c r="AQ102" s="48">
        <f t="shared" si="88"/>
        <v>11929205.585602153</v>
      </c>
      <c r="AR102" s="48">
        <f t="shared" si="88"/>
        <v>11985431.994216222</v>
      </c>
      <c r="AS102" s="48">
        <f t="shared" si="88"/>
        <v>12062401.829270368</v>
      </c>
      <c r="AT102" s="48">
        <f t="shared" si="88"/>
        <v>6052694.765656299</v>
      </c>
      <c r="AU102" s="48">
        <f t="shared" si="88"/>
        <v>0</v>
      </c>
      <c r="AV102" s="48">
        <f t="shared" si="88"/>
        <v>0</v>
      </c>
      <c r="AW102" s="48">
        <f t="shared" si="88"/>
        <v>0</v>
      </c>
      <c r="AX102" s="48">
        <f t="shared" si="88"/>
        <v>0</v>
      </c>
      <c r="AY102" s="48">
        <f t="shared" si="88"/>
        <v>0</v>
      </c>
      <c r="AZ102" s="48">
        <f>AZ11</f>
        <v>11728965.830039851</v>
      </c>
      <c r="BA102" s="48">
        <f t="shared" ref="BA102:BK102" si="89">IFERROR(AVERAGE(AZ11:BA11),0)</f>
        <v>11765257.191904254</v>
      </c>
      <c r="BB102" s="48">
        <f t="shared" si="89"/>
        <v>11822679.520630529</v>
      </c>
      <c r="BC102" s="48">
        <f t="shared" si="89"/>
        <v>11874078.437150517</v>
      </c>
      <c r="BD102" s="48">
        <f t="shared" si="89"/>
        <v>11939240.689046886</v>
      </c>
      <c r="BE102" s="48">
        <f t="shared" si="89"/>
        <v>12018630.60706285</v>
      </c>
      <c r="BF102" s="48">
        <f t="shared" si="89"/>
        <v>12098524.410038687</v>
      </c>
      <c r="BG102" s="48">
        <f t="shared" si="89"/>
        <v>12188337.277727013</v>
      </c>
      <c r="BH102" s="48">
        <f t="shared" si="89"/>
        <v>12292233.343788724</v>
      </c>
      <c r="BI102" s="48">
        <f t="shared" si="89"/>
        <v>12399295.236390935</v>
      </c>
      <c r="BJ102" s="48">
        <f t="shared" si="89"/>
        <v>12506581.545319807</v>
      </c>
      <c r="BK102" s="48">
        <f t="shared" si="89"/>
        <v>12597579.682977572</v>
      </c>
      <c r="BO102" s="48">
        <f t="shared" ref="BO102:BT102" si="90">IFERROR(AVERAGEIFS($D11:$BM11,$D$6:$BM$6,"&gt;="&amp;EOMONTH(BO$2,-1),$D$6:$BM$6,"&lt;="&amp;BO$6,$D$5:$BM$5,BO$5,$D11:$BM11,"&lt;&gt;0"),0)</f>
        <v>11811181.977639221</v>
      </c>
      <c r="BP102" s="48">
        <f t="shared" si="90"/>
        <v>11791441.623766972</v>
      </c>
      <c r="BQ102" s="48">
        <f t="shared" si="90"/>
        <v>11779255.533518961</v>
      </c>
      <c r="BR102" s="48">
        <f t="shared" si="90"/>
        <v>10891487.494302345</v>
      </c>
      <c r="BS102" s="48">
        <f t="shared" si="90"/>
        <v>10163457.870362271</v>
      </c>
      <c r="BT102" s="48">
        <f t="shared" si="90"/>
        <v>9626822.8995368332</v>
      </c>
    </row>
  </sheetData>
  <mergeCells count="4">
    <mergeCell ref="D1:AY1"/>
    <mergeCell ref="AZ1:BK1"/>
    <mergeCell ref="BO1:BT1"/>
    <mergeCell ref="BW1:C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6B638-615A-4F5F-A5DA-8497D4B2415C}">
  <dimension ref="A1:AN102"/>
  <sheetViews>
    <sheetView showGridLines="0" zoomScale="80" zoomScaleNormal="80" workbookViewId="0">
      <pane xSplit="3" ySplit="6" topLeftCell="D18" activePane="bottomRight" state="frozen"/>
      <selection activeCell="AT11" sqref="AT11"/>
      <selection pane="topRight" activeCell="AT11" sqref="AT11"/>
      <selection pane="bottomLeft" activeCell="AT11" sqref="AT11"/>
      <selection pane="bottomRight" activeCell="D11" sqref="D11"/>
    </sheetView>
  </sheetViews>
  <sheetFormatPr baseColWidth="10" defaultRowHeight="15" outlineLevelRow="1" x14ac:dyDescent="0.25"/>
  <cols>
    <col min="1" max="1" width="2.42578125" customWidth="1"/>
    <col min="2" max="2" width="12" customWidth="1"/>
    <col min="3" max="3" width="22.85546875" bestFit="1" customWidth="1"/>
    <col min="4" max="4" width="12.42578125" bestFit="1" customWidth="1"/>
    <col min="5" max="5" width="11.28515625" hidden="1" customWidth="1"/>
    <col min="6" max="8" width="12.42578125" bestFit="1" customWidth="1"/>
    <col min="9" max="9" width="11.28515625" customWidth="1"/>
    <col min="10" max="10" width="1.5703125" customWidth="1"/>
    <col min="11" max="11" width="11.28515625" hidden="1" customWidth="1"/>
    <col min="16" max="16" width="1.42578125" customWidth="1"/>
    <col min="17" max="17" width="12.7109375" hidden="1" customWidth="1"/>
    <col min="18" max="19" width="11" bestFit="1" customWidth="1"/>
    <col min="20" max="20" width="11.5703125" bestFit="1" customWidth="1"/>
    <col min="21" max="21" width="11" bestFit="1" customWidth="1"/>
    <col min="22" max="22" width="5.85546875" customWidth="1"/>
    <col min="23" max="23" width="11.28515625" bestFit="1" customWidth="1"/>
    <col min="25" max="28" width="11.28515625" bestFit="1" customWidth="1"/>
    <col min="29" max="29" width="3.28515625" customWidth="1"/>
    <col min="35" max="35" width="3.140625" customWidth="1"/>
    <col min="36" max="36" width="12.7109375" bestFit="1" customWidth="1"/>
    <col min="39" max="39" width="11.5703125" bestFit="1" customWidth="1"/>
  </cols>
  <sheetData>
    <row r="1" spans="1:40" ht="15.75" x14ac:dyDescent="0.25">
      <c r="B1" s="31">
        <v>46112</v>
      </c>
      <c r="D1" s="70" t="s">
        <v>94</v>
      </c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W1" s="70" t="s">
        <v>90</v>
      </c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</row>
    <row r="2" spans="1:40" x14ac:dyDescent="0.25">
      <c r="B2" s="38" t="s">
        <v>102</v>
      </c>
      <c r="C2" s="13"/>
      <c r="D2" s="12"/>
      <c r="E2" s="12"/>
      <c r="F2" s="12"/>
      <c r="G2" s="12"/>
      <c r="H2" s="12"/>
      <c r="I2" s="12"/>
    </row>
    <row r="3" spans="1:40" x14ac:dyDescent="0.25">
      <c r="B3" s="39" t="s">
        <v>103</v>
      </c>
      <c r="C3" s="40" t="s">
        <v>61</v>
      </c>
      <c r="D3" s="41">
        <f>DAY(D6)</f>
        <v>31</v>
      </c>
      <c r="E3" s="41">
        <f t="shared" ref="E3:I3" si="0">DAY(E6)</f>
        <v>31</v>
      </c>
      <c r="F3" s="41">
        <f t="shared" si="0"/>
        <v>28</v>
      </c>
      <c r="G3" s="41">
        <f t="shared" si="0"/>
        <v>31</v>
      </c>
      <c r="H3" s="41">
        <f t="shared" si="0"/>
        <v>31</v>
      </c>
      <c r="I3" s="41">
        <f t="shared" si="0"/>
        <v>31</v>
      </c>
      <c r="W3" s="41"/>
      <c r="X3" s="41"/>
      <c r="Y3" s="41"/>
      <c r="Z3" s="41"/>
      <c r="AA3" s="41"/>
      <c r="AB3" s="41"/>
    </row>
    <row r="4" spans="1:40" x14ac:dyDescent="0.25">
      <c r="C4" s="40" t="s">
        <v>62</v>
      </c>
      <c r="D4" s="41">
        <f>DAY(D6)</f>
        <v>31</v>
      </c>
      <c r="E4" s="41">
        <f t="shared" ref="E4:I4" si="1">DAY(E6)</f>
        <v>31</v>
      </c>
      <c r="F4" s="41">
        <f t="shared" si="1"/>
        <v>28</v>
      </c>
      <c r="G4" s="41">
        <f t="shared" si="1"/>
        <v>31</v>
      </c>
      <c r="H4" s="41">
        <f t="shared" si="1"/>
        <v>31</v>
      </c>
      <c r="I4" s="41">
        <f t="shared" si="1"/>
        <v>31</v>
      </c>
      <c r="W4" s="41"/>
      <c r="X4" s="41"/>
      <c r="Y4" s="41"/>
      <c r="Z4" s="41"/>
      <c r="AA4" s="41"/>
      <c r="AB4" s="41"/>
    </row>
    <row r="5" spans="1:40" ht="15.75" thickBot="1" x14ac:dyDescent="0.3">
      <c r="C5" s="40" t="s">
        <v>86</v>
      </c>
      <c r="D5" s="41" t="s">
        <v>87</v>
      </c>
      <c r="E5" s="41" t="s">
        <v>88</v>
      </c>
      <c r="F5" s="41" t="s">
        <v>87</v>
      </c>
      <c r="G5" s="41" t="s">
        <v>87</v>
      </c>
      <c r="H5" s="41" t="s">
        <v>87</v>
      </c>
      <c r="I5" s="41" t="s">
        <v>87</v>
      </c>
      <c r="K5" s="69" t="s">
        <v>100</v>
      </c>
      <c r="L5" s="69"/>
      <c r="M5" s="69"/>
      <c r="N5" s="69"/>
      <c r="O5" s="69"/>
      <c r="Q5" s="69" t="s">
        <v>101</v>
      </c>
      <c r="R5" s="69"/>
      <c r="S5" s="69"/>
      <c r="T5" s="69"/>
      <c r="U5" s="69"/>
      <c r="W5" s="41"/>
      <c r="X5" s="41"/>
      <c r="Y5" s="41"/>
      <c r="Z5" s="41"/>
      <c r="AA5" s="41"/>
      <c r="AB5" s="41"/>
      <c r="AD5" s="69" t="s">
        <v>100</v>
      </c>
      <c r="AE5" s="69"/>
      <c r="AF5" s="69"/>
      <c r="AG5" s="69"/>
      <c r="AH5" s="69"/>
      <c r="AJ5" s="69" t="s">
        <v>101</v>
      </c>
      <c r="AK5" s="69"/>
      <c r="AL5" s="69"/>
      <c r="AM5" s="69"/>
      <c r="AN5" s="69"/>
    </row>
    <row r="6" spans="1:40" ht="16.5" thickTop="1" thickBot="1" x14ac:dyDescent="0.3">
      <c r="C6" s="45" t="s">
        <v>99</v>
      </c>
      <c r="D6" s="1">
        <f>$B$1</f>
        <v>46112</v>
      </c>
      <c r="E6" s="30">
        <f>D6</f>
        <v>46112</v>
      </c>
      <c r="F6" s="1">
        <f>EOMONTH(D6,-1)</f>
        <v>46081</v>
      </c>
      <c r="G6" s="1">
        <f>EOMONTH(D6,-12)</f>
        <v>45747</v>
      </c>
      <c r="H6" s="1">
        <f>EOMONTH(D6,-24)</f>
        <v>45382</v>
      </c>
      <c r="I6" s="1">
        <f>EOMONTH(D6,-36)</f>
        <v>45016</v>
      </c>
      <c r="K6" s="32">
        <f>E6</f>
        <v>46112</v>
      </c>
      <c r="L6" s="33">
        <f>F6</f>
        <v>46081</v>
      </c>
      <c r="M6" s="33">
        <f t="shared" ref="M6:O6" si="2">G6</f>
        <v>45747</v>
      </c>
      <c r="N6" s="33">
        <f t="shared" si="2"/>
        <v>45382</v>
      </c>
      <c r="O6" s="33">
        <f t="shared" si="2"/>
        <v>45016</v>
      </c>
      <c r="Q6" s="32">
        <f>K6</f>
        <v>46112</v>
      </c>
      <c r="R6" s="33">
        <f>L6</f>
        <v>46081</v>
      </c>
      <c r="S6" s="33">
        <f t="shared" ref="S6" si="3">M6</f>
        <v>45747</v>
      </c>
      <c r="T6" s="33">
        <f t="shared" ref="T6" si="4">N6</f>
        <v>45382</v>
      </c>
      <c r="U6" s="33">
        <f t="shared" ref="U6" si="5">O6</f>
        <v>45016</v>
      </c>
      <c r="W6" s="1">
        <f>$B$1</f>
        <v>46112</v>
      </c>
      <c r="X6" s="30">
        <f>W6</f>
        <v>46112</v>
      </c>
      <c r="Y6" s="1">
        <f>EOMONTH(W6,-1)</f>
        <v>46081</v>
      </c>
      <c r="Z6" s="1">
        <f>EOMONTH(W6,-12)</f>
        <v>45747</v>
      </c>
      <c r="AA6" s="1">
        <f>EOMONTH(W6,-24)</f>
        <v>45382</v>
      </c>
      <c r="AB6" s="1">
        <f>EOMONTH(W6,-36)</f>
        <v>45016</v>
      </c>
      <c r="AD6" s="32">
        <f>X6</f>
        <v>46112</v>
      </c>
      <c r="AE6" s="33">
        <f>Y6</f>
        <v>46081</v>
      </c>
      <c r="AF6" s="33">
        <f t="shared" ref="AF6" si="6">Z6</f>
        <v>45747</v>
      </c>
      <c r="AG6" s="33">
        <f t="shared" ref="AG6" si="7">AA6</f>
        <v>45382</v>
      </c>
      <c r="AH6" s="33">
        <f t="shared" ref="AH6" si="8">AB6</f>
        <v>45016</v>
      </c>
      <c r="AJ6" s="32">
        <f>AD6</f>
        <v>46112</v>
      </c>
      <c r="AK6" s="33">
        <f>AE6</f>
        <v>46081</v>
      </c>
      <c r="AL6" s="33">
        <f t="shared" ref="AL6" si="9">AF6</f>
        <v>45747</v>
      </c>
      <c r="AM6" s="33">
        <f t="shared" ref="AM6" si="10">AG6</f>
        <v>45382</v>
      </c>
      <c r="AN6" s="33">
        <f t="shared" ref="AN6" si="11">AH6</f>
        <v>45016</v>
      </c>
    </row>
    <row r="7" spans="1:40" ht="15.75" thickTop="1" x14ac:dyDescent="0.25"/>
    <row r="8" spans="1:40" hidden="1" outlineLevel="1" x14ac:dyDescent="0.25">
      <c r="A8" s="11" t="s">
        <v>51</v>
      </c>
      <c r="C8" s="2" t="s">
        <v>0</v>
      </c>
      <c r="D8" s="8" cm="1">
        <f t="array" aca="1" ref="D8" ca="1">_xlfn.XLOOKUP(1,
 (INDIRECT("'"&amp;$C$6&amp;"'!$6:$6")=D$6)*
 (INDIRECT("'"&amp;$C$6&amp;"'!$5:$5")=D$5),
 INDIRECT("'"&amp;$C$6&amp;"'!"&amp;ROW()&amp;":"&amp;ROW())
)</f>
        <v>11525776.530000001</v>
      </c>
      <c r="E8" s="8" cm="1">
        <f t="array" aca="1" ref="E8" ca="1">_xlfn.XLOOKUP(1,
 (INDIRECT("'"&amp;$C$6&amp;"'!$6:$6")=E$6)*
 (INDIRECT("'"&amp;$C$6&amp;"'!$5:$5")=E$5),
 INDIRECT("'"&amp;$C$6&amp;"'!"&amp;ROW()&amp;":"&amp;ROW())
)</f>
        <v>11438228.994629497</v>
      </c>
      <c r="F8" s="8" cm="1">
        <f t="array" aca="1" ref="F8" ca="1">_xlfn.XLOOKUP(1,
 (INDIRECT("'"&amp;$C$6&amp;"'!$6:$6")=F$6)*
 (INDIRECT("'"&amp;$C$6&amp;"'!$5:$5")=F$5),
 INDIRECT("'"&amp;$C$6&amp;"'!"&amp;ROW()&amp;":"&amp;ROW())
)</f>
        <v>11478075.789999999</v>
      </c>
      <c r="G8" s="8" cm="1">
        <f t="array" aca="1" ref="G8" ca="1">_xlfn.XLOOKUP(1,
 (INDIRECT("'"&amp;$C$6&amp;"'!$6:$6")=G$6)*
 (INDIRECT("'"&amp;$C$6&amp;"'!$5:$5")=G$5),
 INDIRECT("'"&amp;$C$6&amp;"'!"&amp;ROW()&amp;":"&amp;ROW())
)</f>
        <v>10587477.88690706</v>
      </c>
      <c r="H8" s="8" cm="1">
        <f t="array" aca="1" ref="H8" ca="1">_xlfn.XLOOKUP(1,
 (INDIRECT("'"&amp;$C$6&amp;"'!$6:$6")=H$6)*
 (INDIRECT("'"&amp;$C$6&amp;"'!$5:$5")=H$5),
 INDIRECT("'"&amp;$C$6&amp;"'!"&amp;ROW()&amp;":"&amp;ROW())
)</f>
        <v>9915549.8294023983</v>
      </c>
      <c r="I8" s="8" cm="1">
        <f t="array" aca="1" ref="I8" ca="1">_xlfn.XLOOKUP(1,
 (INDIRECT("'"&amp;$C$6&amp;"'!$6:$6")=I$6)*
 (INDIRECT("'"&amp;$C$6&amp;"'!$5:$5")=I$5),
 INDIRECT("'"&amp;$C$6&amp;"'!"&amp;ROW()&amp;":"&amp;ROW())
)</f>
        <v>9379816.8292940985</v>
      </c>
      <c r="K8" s="34">
        <f ca="1">$D8-E8</f>
        <v>87547.535370504484</v>
      </c>
      <c r="L8" s="34">
        <f t="shared" ref="L8:O11" ca="1" si="12">$D8-F8</f>
        <v>47700.740000002086</v>
      </c>
      <c r="M8" s="34">
        <f t="shared" ca="1" si="12"/>
        <v>938298.64309294149</v>
      </c>
      <c r="N8" s="34">
        <f t="shared" ca="1" si="12"/>
        <v>1610226.7005976029</v>
      </c>
      <c r="O8" s="34">
        <f t="shared" ca="1" si="12"/>
        <v>2145959.7007059027</v>
      </c>
      <c r="Q8" s="36">
        <f ca="1">IFERROR($D8/E8-1,0)</f>
        <v>7.6539414809417838E-3</v>
      </c>
      <c r="R8" s="36">
        <f t="shared" ref="R8:U11" ca="1" si="13">IFERROR($D8/F8-1,0)</f>
        <v>4.1558132976922124E-3</v>
      </c>
      <c r="S8" s="36">
        <f t="shared" ca="1" si="13"/>
        <v>8.8623433561385134E-2</v>
      </c>
      <c r="T8" s="36">
        <f t="shared" ca="1" si="13"/>
        <v>0.1623940909280519</v>
      </c>
      <c r="U8" s="36">
        <f t="shared" ca="1" si="13"/>
        <v>0.22878481955040497</v>
      </c>
      <c r="W8" s="8" cm="1">
        <f t="array" aca="1" ref="W8" ca="1">INDIRECT("'"&amp;$C$6&amp;"'!"&amp;ADDRESS(ROW(),COLUMN()+44))</f>
        <v>11525776.530000001</v>
      </c>
      <c r="X8" s="8" cm="1">
        <f t="array" aca="1" ref="X8" ca="1">INDIRECT("'"&amp;$C$6&amp;"'!"&amp;ADDRESS(ROW(),COLUMN()+44))</f>
        <v>11438228.994629497</v>
      </c>
      <c r="Y8" s="8" cm="1">
        <f t="array" aca="1" ref="Y8" ca="1">INDIRECT("'"&amp;$C$6&amp;"'!"&amp;ADDRESS(ROW(),COLUMN()+44))</f>
        <v>11478075.789999999</v>
      </c>
      <c r="Z8" s="8" cm="1">
        <f t="array" aca="1" ref="Z8" ca="1">INDIRECT("'"&amp;$C$6&amp;"'!"&amp;ADDRESS(ROW(),COLUMN()+44))</f>
        <v>10587477.88690706</v>
      </c>
      <c r="AA8" s="8" cm="1">
        <f t="array" aca="1" ref="AA8" ca="1">INDIRECT("'"&amp;$C$6&amp;"'!"&amp;ADDRESS(ROW(),COLUMN()+44))</f>
        <v>9915549.8294023983</v>
      </c>
      <c r="AB8" s="8" cm="1">
        <f t="array" aca="1" ref="AB8" ca="1">INDIRECT("'"&amp;$C$6&amp;"'!"&amp;ADDRESS(ROW(),COLUMN()+44))</f>
        <v>9379816.8292940985</v>
      </c>
      <c r="AD8" s="34">
        <f t="shared" ref="AD8:AH11" ca="1" si="14">$W8-X8</f>
        <v>87547.535370504484</v>
      </c>
      <c r="AE8" s="34">
        <f t="shared" ca="1" si="14"/>
        <v>47700.740000002086</v>
      </c>
      <c r="AF8" s="34">
        <f t="shared" ca="1" si="14"/>
        <v>938298.64309294149</v>
      </c>
      <c r="AG8" s="34">
        <f t="shared" ca="1" si="14"/>
        <v>1610226.7005976029</v>
      </c>
      <c r="AH8" s="34">
        <f t="shared" ca="1" si="14"/>
        <v>2145959.7007059027</v>
      </c>
      <c r="AJ8" s="36">
        <f t="shared" ref="AJ8:AN11" ca="1" si="15">IFERROR($W8/X8-1,0)</f>
        <v>7.6539414809417838E-3</v>
      </c>
      <c r="AK8" s="36">
        <f t="shared" ca="1" si="15"/>
        <v>4.1558132976922124E-3</v>
      </c>
      <c r="AL8" s="36">
        <f t="shared" ca="1" si="15"/>
        <v>8.8623433561385134E-2</v>
      </c>
      <c r="AM8" s="36">
        <f t="shared" ca="1" si="15"/>
        <v>0.1623940909280519</v>
      </c>
      <c r="AN8" s="36">
        <f t="shared" ca="1" si="15"/>
        <v>0.22878481955040497</v>
      </c>
    </row>
    <row r="9" spans="1:40" hidden="1" outlineLevel="1" x14ac:dyDescent="0.25">
      <c r="A9" s="11" t="s">
        <v>51</v>
      </c>
      <c r="C9" s="2" t="s">
        <v>1</v>
      </c>
      <c r="D9" s="8" cm="1">
        <f t="array" aca="1" ref="D9" ca="1">_xlfn.XLOOKUP(1,
 (INDIRECT("'"&amp;$C$6&amp;"'!$6:$6")=D$6)*
 (INDIRECT("'"&amp;$C$6&amp;"'!$5:$5")=D$5),
 INDIRECT("'"&amp;$C$6&amp;"'!"&amp;ROW()&amp;":"&amp;ROW())
)</f>
        <v>34203.919999999998</v>
      </c>
      <c r="E9" s="8" cm="1">
        <f t="array" aca="1" ref="E9" ca="1">_xlfn.XLOOKUP(1,
 (INDIRECT("'"&amp;$C$6&amp;"'!$6:$6")=E$6)*
 (INDIRECT("'"&amp;$C$6&amp;"'!$5:$5")=E$5),
 INDIRECT("'"&amp;$C$6&amp;"'!"&amp;ROW()&amp;":"&amp;ROW())
)</f>
        <v>29770.1866803265</v>
      </c>
      <c r="F9" s="8" cm="1">
        <f t="array" aca="1" ref="F9" ca="1">_xlfn.XLOOKUP(1,
 (INDIRECT("'"&amp;$C$6&amp;"'!$6:$6")=F$6)*
 (INDIRECT("'"&amp;$C$6&amp;"'!$5:$5")=F$5),
 INDIRECT("'"&amp;$C$6&amp;"'!"&amp;ROW()&amp;":"&amp;ROW())
)</f>
        <v>32640.44</v>
      </c>
      <c r="G9" s="8" cm="1">
        <f t="array" aca="1" ref="G9" ca="1">_xlfn.XLOOKUP(1,
 (INDIRECT("'"&amp;$C$6&amp;"'!$6:$6")=G$6)*
 (INDIRECT("'"&amp;$C$6&amp;"'!$5:$5")=G$5),
 INDIRECT("'"&amp;$C$6&amp;"'!"&amp;ROW()&amp;":"&amp;ROW())
)</f>
        <v>29921.002739999996</v>
      </c>
      <c r="H9" s="8" cm="1">
        <f t="array" aca="1" ref="H9" ca="1">_xlfn.XLOOKUP(1,
 (INDIRECT("'"&amp;$C$6&amp;"'!$6:$6")=H$6)*
 (INDIRECT("'"&amp;$C$6&amp;"'!$5:$5")=H$5),
 INDIRECT("'"&amp;$C$6&amp;"'!"&amp;ROW()&amp;":"&amp;ROW())
)</f>
        <v>31857.706951999997</v>
      </c>
      <c r="I9" s="8" cm="1">
        <f t="array" aca="1" ref="I9" ca="1">_xlfn.XLOOKUP(1,
 (INDIRECT("'"&amp;$C$6&amp;"'!$6:$6")=I$6)*
 (INDIRECT("'"&amp;$C$6&amp;"'!$5:$5")=I$5),
 INDIRECT("'"&amp;$C$6&amp;"'!"&amp;ROW()&amp;":"&amp;ROW())
)</f>
        <v>36652.880119999994</v>
      </c>
      <c r="K9" s="34">
        <f t="shared" ref="K9:K11" ca="1" si="16">$D9-E9</f>
        <v>4433.733319673498</v>
      </c>
      <c r="L9" s="34">
        <f t="shared" ca="1" si="12"/>
        <v>1563.4799999999996</v>
      </c>
      <c r="M9" s="34">
        <f t="shared" ca="1" si="12"/>
        <v>4282.917260000002</v>
      </c>
      <c r="N9" s="34">
        <f t="shared" ca="1" si="12"/>
        <v>2346.2130480000014</v>
      </c>
      <c r="O9" s="34">
        <f t="shared" ca="1" si="12"/>
        <v>-2448.9601199999961</v>
      </c>
      <c r="Q9" s="36">
        <f t="shared" ref="Q9:Q11" ca="1" si="17">IFERROR($D9/E9-1,0)</f>
        <v>0.14893199586831996</v>
      </c>
      <c r="R9" s="36">
        <f t="shared" ca="1" si="13"/>
        <v>4.7900089582125771E-2</v>
      </c>
      <c r="S9" s="36">
        <f t="shared" ca="1" si="13"/>
        <v>0.1431408331203543</v>
      </c>
      <c r="T9" s="36">
        <f t="shared" ca="1" si="13"/>
        <v>7.3646639148732262E-2</v>
      </c>
      <c r="U9" s="36">
        <f t="shared" ca="1" si="13"/>
        <v>-6.6814943654692427E-2</v>
      </c>
      <c r="W9" s="8" cm="1">
        <f t="array" aca="1" ref="W9" ca="1">INDIRECT("'"&amp;$C$6&amp;"'!"&amp;ADDRESS(ROW(),COLUMN()+44))</f>
        <v>34203.919999999998</v>
      </c>
      <c r="X9" s="8" cm="1">
        <f t="array" aca="1" ref="X9" ca="1">INDIRECT("'"&amp;$C$6&amp;"'!"&amp;ADDRESS(ROW(),COLUMN()+44))</f>
        <v>29770.1866803265</v>
      </c>
      <c r="Y9" s="8" cm="1">
        <f t="array" aca="1" ref="Y9" ca="1">INDIRECT("'"&amp;$C$6&amp;"'!"&amp;ADDRESS(ROW(),COLUMN()+44))</f>
        <v>32640.44</v>
      </c>
      <c r="Z9" s="8" cm="1">
        <f t="array" aca="1" ref="Z9" ca="1">INDIRECT("'"&amp;$C$6&amp;"'!"&amp;ADDRESS(ROW(),COLUMN()+44))</f>
        <v>29921.002739999996</v>
      </c>
      <c r="AA9" s="8" cm="1">
        <f t="array" aca="1" ref="AA9" ca="1">INDIRECT("'"&amp;$C$6&amp;"'!"&amp;ADDRESS(ROW(),COLUMN()+44))</f>
        <v>31857.706951999997</v>
      </c>
      <c r="AB9" s="8" cm="1">
        <f t="array" aca="1" ref="AB9" ca="1">INDIRECT("'"&amp;$C$6&amp;"'!"&amp;ADDRESS(ROW(),COLUMN()+44))</f>
        <v>36652.880119999994</v>
      </c>
      <c r="AD9" s="34">
        <f t="shared" ca="1" si="14"/>
        <v>4433.733319673498</v>
      </c>
      <c r="AE9" s="34">
        <f t="shared" ca="1" si="14"/>
        <v>1563.4799999999996</v>
      </c>
      <c r="AF9" s="34">
        <f t="shared" ca="1" si="14"/>
        <v>4282.917260000002</v>
      </c>
      <c r="AG9" s="34">
        <f t="shared" ca="1" si="14"/>
        <v>2346.2130480000014</v>
      </c>
      <c r="AH9" s="34">
        <f t="shared" ca="1" si="14"/>
        <v>-2448.9601199999961</v>
      </c>
      <c r="AJ9" s="36">
        <f t="shared" ca="1" si="15"/>
        <v>0.14893199586831996</v>
      </c>
      <c r="AK9" s="36">
        <f t="shared" ca="1" si="15"/>
        <v>4.7900089582125771E-2</v>
      </c>
      <c r="AL9" s="36">
        <f t="shared" ca="1" si="15"/>
        <v>0.1431408331203543</v>
      </c>
      <c r="AM9" s="36">
        <f t="shared" ca="1" si="15"/>
        <v>7.3646639148732262E-2</v>
      </c>
      <c r="AN9" s="36">
        <f t="shared" ca="1" si="15"/>
        <v>-6.6814943654692427E-2</v>
      </c>
    </row>
    <row r="10" spans="1:40" ht="14.45" hidden="1" customHeight="1" outlineLevel="1" x14ac:dyDescent="0.25">
      <c r="A10" s="11" t="s">
        <v>51</v>
      </c>
      <c r="C10" s="2" t="s">
        <v>45</v>
      </c>
      <c r="D10" s="8" cm="1">
        <f t="array" aca="1" ref="D10" ca="1">_xlfn.XLOOKUP(1,
 (INDIRECT("'"&amp;$C$6&amp;"'!$6:$6")=D$6)*
 (INDIRECT("'"&amp;$C$6&amp;"'!$5:$5")=D$5),
 INDIRECT("'"&amp;$C$6&amp;"'!"&amp;ROW()&amp;":"&amp;ROW())
)</f>
        <v>346980.86</v>
      </c>
      <c r="E10" s="8" cm="1">
        <f t="array" aca="1" ref="E10" ca="1">_xlfn.XLOOKUP(1,
 (INDIRECT("'"&amp;$C$6&amp;"'!$6:$6")=E$6)*
 (INDIRECT("'"&amp;$C$6&amp;"'!$5:$5")=E$5),
 INDIRECT("'"&amp;$C$6&amp;"'!"&amp;ROW()&amp;":"&amp;ROW())
)</f>
        <v>375811.30618258036</v>
      </c>
      <c r="F10" s="8" cm="1">
        <f t="array" aca="1" ref="F10" ca="1">_xlfn.XLOOKUP(1,
 (INDIRECT("'"&amp;$C$6&amp;"'!$6:$6")=F$6)*
 (INDIRECT("'"&amp;$C$6&amp;"'!$5:$5")=F$5),
 INDIRECT("'"&amp;$C$6&amp;"'!"&amp;ROW()&amp;":"&amp;ROW())
)</f>
        <v>338634.42</v>
      </c>
      <c r="G10" s="8" cm="1">
        <f t="array" aca="1" ref="G10" ca="1">_xlfn.XLOOKUP(1,
 (INDIRECT("'"&amp;$C$6&amp;"'!$6:$6")=G$6)*
 (INDIRECT("'"&amp;$C$6&amp;"'!$5:$5")=G$5),
 INDIRECT("'"&amp;$C$6&amp;"'!"&amp;ROW()&amp;":"&amp;ROW())
)</f>
        <v>343769.54418926011</v>
      </c>
      <c r="H10" s="8" cm="1">
        <f t="array" aca="1" ref="H10" ca="1">_xlfn.XLOOKUP(1,
 (INDIRECT("'"&amp;$C$6&amp;"'!$6:$6")=H$6)*
 (INDIRECT("'"&amp;$C$6&amp;"'!$5:$5")=H$5),
 INDIRECT("'"&amp;$C$6&amp;"'!"&amp;ROW()&amp;":"&amp;ROW())
)</f>
        <v>294205.10967955994</v>
      </c>
      <c r="I10" s="8" cm="1">
        <f t="array" aca="1" ref="I10" ca="1">_xlfn.XLOOKUP(1,
 (INDIRECT("'"&amp;$C$6&amp;"'!$6:$6")=I$6)*
 (INDIRECT("'"&amp;$C$6&amp;"'!$5:$5")=I$5),
 INDIRECT("'"&amp;$C$6&amp;"'!"&amp;ROW()&amp;":"&amp;ROW())
)</f>
        <v>249639.31522792004</v>
      </c>
      <c r="K10" s="34">
        <f t="shared" ca="1" si="16"/>
        <v>-28830.446182580374</v>
      </c>
      <c r="L10" s="34">
        <f t="shared" ca="1" si="12"/>
        <v>8346.4400000000023</v>
      </c>
      <c r="M10" s="34">
        <f t="shared" ca="1" si="12"/>
        <v>3211.3158107398776</v>
      </c>
      <c r="N10" s="34">
        <f t="shared" ca="1" si="12"/>
        <v>52775.750320440042</v>
      </c>
      <c r="O10" s="34">
        <f t="shared" ca="1" si="12"/>
        <v>97341.544772079942</v>
      </c>
      <c r="Q10" s="36">
        <f t="shared" ca="1" si="17"/>
        <v>-7.671521773901524E-2</v>
      </c>
      <c r="R10" s="36">
        <f t="shared" ca="1" si="13"/>
        <v>2.4647346834973272E-2</v>
      </c>
      <c r="S10" s="36">
        <f t="shared" ca="1" si="13"/>
        <v>9.3414785137915235E-3</v>
      </c>
      <c r="T10" s="36">
        <f t="shared" ca="1" si="13"/>
        <v>0.17938420708573655</v>
      </c>
      <c r="U10" s="36">
        <f t="shared" ca="1" si="13"/>
        <v>0.38992874452971216</v>
      </c>
      <c r="W10" s="8" cm="1">
        <f t="array" aca="1" ref="W10" ca="1">INDIRECT("'"&amp;$C$6&amp;"'!"&amp;ADDRESS(ROW(),COLUMN()+44))</f>
        <v>346980.86</v>
      </c>
      <c r="X10" s="8" cm="1">
        <f t="array" aca="1" ref="X10" ca="1">INDIRECT("'"&amp;$C$6&amp;"'!"&amp;ADDRESS(ROW(),COLUMN()+44))</f>
        <v>375811.30618258036</v>
      </c>
      <c r="Y10" s="8" cm="1">
        <f t="array" aca="1" ref="Y10" ca="1">INDIRECT("'"&amp;$C$6&amp;"'!"&amp;ADDRESS(ROW(),COLUMN()+44))</f>
        <v>338634.42</v>
      </c>
      <c r="Z10" s="8" cm="1">
        <f t="array" aca="1" ref="Z10" ca="1">INDIRECT("'"&amp;$C$6&amp;"'!"&amp;ADDRESS(ROW(),COLUMN()+44))</f>
        <v>343769.54418926011</v>
      </c>
      <c r="AA10" s="8" cm="1">
        <f t="array" aca="1" ref="AA10" ca="1">INDIRECT("'"&amp;$C$6&amp;"'!"&amp;ADDRESS(ROW(),COLUMN()+44))</f>
        <v>294205.10967955994</v>
      </c>
      <c r="AB10" s="8" cm="1">
        <f t="array" aca="1" ref="AB10" ca="1">INDIRECT("'"&amp;$C$6&amp;"'!"&amp;ADDRESS(ROW(),COLUMN()+44))</f>
        <v>249639.31522792004</v>
      </c>
      <c r="AD10" s="34">
        <f t="shared" ca="1" si="14"/>
        <v>-28830.446182580374</v>
      </c>
      <c r="AE10" s="34">
        <f t="shared" ca="1" si="14"/>
        <v>8346.4400000000023</v>
      </c>
      <c r="AF10" s="34">
        <f t="shared" ca="1" si="14"/>
        <v>3211.3158107398776</v>
      </c>
      <c r="AG10" s="34">
        <f t="shared" ca="1" si="14"/>
        <v>52775.750320440042</v>
      </c>
      <c r="AH10" s="34">
        <f t="shared" ca="1" si="14"/>
        <v>97341.544772079942</v>
      </c>
      <c r="AJ10" s="36">
        <f t="shared" ca="1" si="15"/>
        <v>-7.671521773901524E-2</v>
      </c>
      <c r="AK10" s="36">
        <f t="shared" ca="1" si="15"/>
        <v>2.4647346834973272E-2</v>
      </c>
      <c r="AL10" s="36">
        <f t="shared" ca="1" si="15"/>
        <v>9.3414785137915235E-3</v>
      </c>
      <c r="AM10" s="36">
        <f t="shared" ca="1" si="15"/>
        <v>0.17938420708573655</v>
      </c>
      <c r="AN10" s="36">
        <f t="shared" ca="1" si="15"/>
        <v>0.38992874452971216</v>
      </c>
    </row>
    <row r="11" spans="1:40" collapsed="1" x14ac:dyDescent="0.25">
      <c r="C11" s="3" t="s">
        <v>2</v>
      </c>
      <c r="D11" s="10">
        <f ca="1">SUM(D8:D10)</f>
        <v>11906961.310000001</v>
      </c>
      <c r="E11" s="10">
        <f t="shared" ref="E11:I11" ca="1" si="18">SUM(E8:E10)</f>
        <v>11843810.487492403</v>
      </c>
      <c r="F11" s="10">
        <f t="shared" ca="1" si="18"/>
        <v>11849350.649999999</v>
      </c>
      <c r="G11" s="10">
        <f t="shared" ca="1" si="18"/>
        <v>10961168.433836319</v>
      </c>
      <c r="H11" s="10">
        <f t="shared" ca="1" si="18"/>
        <v>10241612.646033958</v>
      </c>
      <c r="I11" s="10">
        <f t="shared" ca="1" si="18"/>
        <v>9666109.0246420186</v>
      </c>
      <c r="K11" s="35">
        <f t="shared" ca="1" si="16"/>
        <v>63150.822507597506</v>
      </c>
      <c r="L11" s="35">
        <f t="shared" ca="1" si="12"/>
        <v>57610.660000002012</v>
      </c>
      <c r="M11" s="35">
        <f t="shared" ca="1" si="12"/>
        <v>945792.87616368197</v>
      </c>
      <c r="N11" s="35">
        <f t="shared" ca="1" si="12"/>
        <v>1665348.6639660429</v>
      </c>
      <c r="O11" s="35">
        <f t="shared" ca="1" si="12"/>
        <v>2240852.2853579819</v>
      </c>
      <c r="Q11" s="37">
        <f t="shared" ca="1" si="17"/>
        <v>5.3319683369037474E-3</v>
      </c>
      <c r="R11" s="37">
        <f t="shared" ca="1" si="13"/>
        <v>4.8619254929385125E-3</v>
      </c>
      <c r="S11" s="37">
        <f t="shared" ca="1" si="13"/>
        <v>8.6285771619391438E-2</v>
      </c>
      <c r="T11" s="37">
        <f t="shared" ca="1" si="13"/>
        <v>0.16260609744998944</v>
      </c>
      <c r="U11" s="37">
        <f t="shared" ca="1" si="13"/>
        <v>0.23182567873436244</v>
      </c>
      <c r="W11" s="10">
        <f ca="1">SUM(W8:W10)</f>
        <v>11906961.310000001</v>
      </c>
      <c r="X11" s="10">
        <f t="shared" ref="X11" ca="1" si="19">SUM(X8:X10)</f>
        <v>11843810.487492403</v>
      </c>
      <c r="Y11" s="10">
        <f t="shared" ref="Y11" ca="1" si="20">SUM(Y8:Y10)</f>
        <v>11849350.649999999</v>
      </c>
      <c r="Z11" s="10">
        <f t="shared" ref="Z11" ca="1" si="21">SUM(Z8:Z10)</f>
        <v>10961168.433836319</v>
      </c>
      <c r="AA11" s="10">
        <f t="shared" ref="AA11" ca="1" si="22">SUM(AA8:AA10)</f>
        <v>10241612.646033958</v>
      </c>
      <c r="AB11" s="10">
        <f t="shared" ref="AB11" ca="1" si="23">SUM(AB8:AB10)</f>
        <v>9666109.0246420186</v>
      </c>
      <c r="AD11" s="35">
        <f t="shared" ca="1" si="14"/>
        <v>63150.822507597506</v>
      </c>
      <c r="AE11" s="35">
        <f t="shared" ca="1" si="14"/>
        <v>57610.660000002012</v>
      </c>
      <c r="AF11" s="35">
        <f t="shared" ca="1" si="14"/>
        <v>945792.87616368197</v>
      </c>
      <c r="AG11" s="35">
        <f t="shared" ca="1" si="14"/>
        <v>1665348.6639660429</v>
      </c>
      <c r="AH11" s="35">
        <f t="shared" ca="1" si="14"/>
        <v>2240852.2853579819</v>
      </c>
      <c r="AJ11" s="37">
        <f t="shared" ca="1" si="15"/>
        <v>5.3319683369037474E-3</v>
      </c>
      <c r="AK11" s="37">
        <f t="shared" ca="1" si="15"/>
        <v>4.8619254929385125E-3</v>
      </c>
      <c r="AL11" s="37">
        <f t="shared" ca="1" si="15"/>
        <v>8.6285771619391438E-2</v>
      </c>
      <c r="AM11" s="37">
        <f t="shared" ca="1" si="15"/>
        <v>0.16260609744998944</v>
      </c>
      <c r="AN11" s="37">
        <f t="shared" ca="1" si="15"/>
        <v>0.23182567873436244</v>
      </c>
    </row>
    <row r="12" spans="1:40" x14ac:dyDescent="0.25">
      <c r="D12" s="9"/>
      <c r="W12" s="9"/>
    </row>
    <row r="14" spans="1:40" hidden="1" outlineLevel="1" x14ac:dyDescent="0.25">
      <c r="A14" s="11" t="s">
        <v>52</v>
      </c>
      <c r="C14" s="2" t="s">
        <v>0</v>
      </c>
      <c r="D14" s="8" cm="1">
        <f t="array" aca="1" ref="D14" ca="1">_xlfn.XLOOKUP(1,
 (INDIRECT("'"&amp;$C$6&amp;"'!$6:$6")=D$6)*
 (INDIRECT("'"&amp;$C$6&amp;"'!$5:$5")=D$5),
 INDIRECT("'"&amp;$C$6&amp;"'!"&amp;ROW()&amp;":"&amp;ROW())
)</f>
        <v>11451669.57</v>
      </c>
      <c r="E14" s="8" cm="1">
        <f t="array" aca="1" ref="E14" ca="1">_xlfn.XLOOKUP(1,
 (INDIRECT("'"&amp;$C$6&amp;"'!$6:$6")=E$6)*
 (INDIRECT("'"&amp;$C$6&amp;"'!$5:$5")=E$5),
 INDIRECT("'"&amp;$C$6&amp;"'!"&amp;ROW()&amp;":"&amp;ROW())
)</f>
        <v>11344716.353114665</v>
      </c>
      <c r="F14" s="8" cm="1">
        <f t="array" aca="1" ref="F14" ca="1">_xlfn.XLOOKUP(1,
 (INDIRECT("'"&amp;$C$6&amp;"'!$6:$6")=F$6)*
 (INDIRECT("'"&amp;$C$6&amp;"'!$5:$5")=F$5),
 INDIRECT("'"&amp;$C$6&amp;"'!"&amp;ROW()&amp;":"&amp;ROW())
)</f>
        <v>11375328.35</v>
      </c>
      <c r="G14" s="8" cm="1">
        <f t="array" aca="1" ref="G14" ca="1">_xlfn.XLOOKUP(1,
 (INDIRECT("'"&amp;$C$6&amp;"'!$6:$6")=G$6)*
 (INDIRECT("'"&amp;$C$6&amp;"'!$5:$5")=G$5),
 INDIRECT("'"&amp;$C$6&amp;"'!"&amp;ROW()&amp;":"&amp;ROW())
)</f>
        <v>10528771.344747979</v>
      </c>
      <c r="H14" s="8" cm="1">
        <f t="array" aca="1" ref="H14" ca="1">_xlfn.XLOOKUP(1,
 (INDIRECT("'"&amp;$C$6&amp;"'!$6:$6")=H$6)*
 (INDIRECT("'"&amp;$C$6&amp;"'!$5:$5")=H$5),
 INDIRECT("'"&amp;$C$6&amp;"'!"&amp;ROW()&amp;":"&amp;ROW())
)</f>
        <v>9850997.1308992617</v>
      </c>
      <c r="I14" s="8" cm="1">
        <f t="array" aca="1" ref="I14" ca="1">_xlfn.XLOOKUP(1,
 (INDIRECT("'"&amp;$C$6&amp;"'!$6:$6")=I$6)*
 (INDIRECT("'"&amp;$C$6&amp;"'!$5:$5")=I$5),
 INDIRECT("'"&amp;$C$6&amp;"'!"&amp;ROW()&amp;":"&amp;ROW())
)</f>
        <v>9331212.7951529995</v>
      </c>
      <c r="K14" s="34">
        <f ca="1">$D14-E14</f>
        <v>106953.21688533574</v>
      </c>
      <c r="L14" s="34">
        <f t="shared" ref="L14:L17" ca="1" si="24">$D14-F14</f>
        <v>76341.220000000671</v>
      </c>
      <c r="M14" s="34">
        <f t="shared" ref="M14:M17" ca="1" si="25">$D14-G14</f>
        <v>922898.2252520211</v>
      </c>
      <c r="N14" s="34">
        <f t="shared" ref="N14:N17" ca="1" si="26">$D14-H14</f>
        <v>1600672.4391007386</v>
      </c>
      <c r="O14" s="34">
        <f t="shared" ref="O14:O17" ca="1" si="27">$D14-I14</f>
        <v>2120456.7748470008</v>
      </c>
      <c r="Q14" s="36">
        <f ca="1">IFERROR($D14/E14-1,0)</f>
        <v>9.4275796376321885E-3</v>
      </c>
      <c r="R14" s="36">
        <f t="shared" ref="R14:R17" ca="1" si="28">IFERROR($D14/F14-1,0)</f>
        <v>6.7111223211415716E-3</v>
      </c>
      <c r="S14" s="36">
        <f t="shared" ref="S14:S17" ca="1" si="29">IFERROR($D14/G14-1,0)</f>
        <v>8.7654883464858058E-2</v>
      </c>
      <c r="T14" s="36">
        <f t="shared" ref="T14:T17" ca="1" si="30">IFERROR($D14/H14-1,0)</f>
        <v>0.16248836720091697</v>
      </c>
      <c r="U14" s="36">
        <f t="shared" ref="U14:U17" ca="1" si="31">IFERROR($D14/I14-1,0)</f>
        <v>0.22724342712969214</v>
      </c>
      <c r="W14" s="8" cm="1">
        <f t="array" aca="1" ref="W14" ca="1">INDIRECT("'"&amp;$C$6&amp;"'!"&amp;ADDRESS(ROW(),COLUMN()+44))</f>
        <v>11375136.4</v>
      </c>
      <c r="X14" s="8" cm="1">
        <f t="array" aca="1" ref="X14" ca="1">INDIRECT("'"&amp;$C$6&amp;"'!"&amp;ADDRESS(ROW(),COLUMN()+44))</f>
        <v>11296486.309852758</v>
      </c>
      <c r="Y14" s="8" cm="1">
        <f t="array" aca="1" ref="Y14" ca="1">INDIRECT("'"&amp;$C$6&amp;"'!"&amp;ADDRESS(ROW(),COLUMN()+44))</f>
        <v>11336869.815000001</v>
      </c>
      <c r="Z14" s="8" cm="1">
        <f t="array" aca="1" ref="Z14" ca="1">INDIRECT("'"&amp;$C$6&amp;"'!"&amp;ADDRESS(ROW(),COLUMN()+44))</f>
        <v>10480867.411699286</v>
      </c>
      <c r="AA14" s="8" cm="1">
        <f t="array" aca="1" ref="AA14" ca="1">INDIRECT("'"&amp;$C$6&amp;"'!"&amp;ADDRESS(ROW(),COLUMN()+44))</f>
        <v>9799459.5550746676</v>
      </c>
      <c r="AB14" s="8" cm="1">
        <f t="array" aca="1" ref="AB14" ca="1">INDIRECT("'"&amp;$C$6&amp;"'!"&amp;ADDRESS(ROW(),COLUMN()+44))</f>
        <v>9296415.6185190547</v>
      </c>
      <c r="AD14" s="34">
        <f t="shared" ref="AD14:AH17" ca="1" si="32">$W14-X14</f>
        <v>78650.09014724195</v>
      </c>
      <c r="AE14" s="34">
        <f t="shared" ca="1" si="32"/>
        <v>38266.584999999031</v>
      </c>
      <c r="AF14" s="34">
        <f t="shared" ca="1" si="32"/>
        <v>894268.98830071464</v>
      </c>
      <c r="AG14" s="34">
        <f t="shared" ca="1" si="32"/>
        <v>1575676.8449253328</v>
      </c>
      <c r="AH14" s="34">
        <f t="shared" ca="1" si="32"/>
        <v>2078720.7814809456</v>
      </c>
      <c r="AJ14" s="36">
        <f t="shared" ref="AJ14:AN17" ca="1" si="33">IFERROR($W14/X14-1,0)</f>
        <v>6.9623498838433662E-3</v>
      </c>
      <c r="AK14" s="36">
        <f t="shared" ca="1" si="33"/>
        <v>3.3754101109433332E-3</v>
      </c>
      <c r="AL14" s="36">
        <f t="shared" ca="1" si="33"/>
        <v>8.5323948216584178E-2</v>
      </c>
      <c r="AM14" s="36">
        <f t="shared" ca="1" si="33"/>
        <v>0.16079221880245087</v>
      </c>
      <c r="AN14" s="36">
        <f t="shared" ca="1" si="33"/>
        <v>0.22360454467418611</v>
      </c>
    </row>
    <row r="15" spans="1:40" hidden="1" outlineLevel="1" x14ac:dyDescent="0.25">
      <c r="A15" s="11" t="s">
        <v>52</v>
      </c>
      <c r="C15" s="2" t="s">
        <v>1</v>
      </c>
      <c r="D15" s="8" cm="1">
        <f t="array" aca="1" ref="D15" ca="1">_xlfn.XLOOKUP(1,
 (INDIRECT("'"&amp;$C$6&amp;"'!$6:$6")=D$6)*
 (INDIRECT("'"&amp;$C$6&amp;"'!$5:$5")=D$5),
 INDIRECT("'"&amp;$C$6&amp;"'!"&amp;ROW()&amp;":"&amp;ROW())
)</f>
        <v>33692.729999999996</v>
      </c>
      <c r="E15" s="8" cm="1">
        <f t="array" aca="1" ref="E15" ca="1">_xlfn.XLOOKUP(1,
 (INDIRECT("'"&amp;$C$6&amp;"'!$6:$6")=E$6)*
 (INDIRECT("'"&amp;$C$6&amp;"'!$5:$5")=E$5),
 INDIRECT("'"&amp;$C$6&amp;"'!"&amp;ROW()&amp;":"&amp;ROW())
)</f>
        <v>29533.240684444303</v>
      </c>
      <c r="F15" s="8" cm="1">
        <f t="array" aca="1" ref="F15" ca="1">_xlfn.XLOOKUP(1,
 (INDIRECT("'"&amp;$C$6&amp;"'!$6:$6")=F$6)*
 (INDIRECT("'"&amp;$C$6&amp;"'!$5:$5")=F$5),
 INDIRECT("'"&amp;$C$6&amp;"'!"&amp;ROW()&amp;":"&amp;ROW())
)</f>
        <v>31737.910000000003</v>
      </c>
      <c r="G15" s="8" cm="1">
        <f t="array" aca="1" ref="G15" ca="1">_xlfn.XLOOKUP(1,
 (INDIRECT("'"&amp;$C$6&amp;"'!$6:$6")=G$6)*
 (INDIRECT("'"&amp;$C$6&amp;"'!$5:$5")=G$5),
 INDIRECT("'"&amp;$C$6&amp;"'!"&amp;ROW()&amp;":"&amp;ROW())
)</f>
        <v>29133.808720000001</v>
      </c>
      <c r="H15" s="8" cm="1">
        <f t="array" aca="1" ref="H15" ca="1">_xlfn.XLOOKUP(1,
 (INDIRECT("'"&amp;$C$6&amp;"'!$6:$6")=H$6)*
 (INDIRECT("'"&amp;$C$6&amp;"'!$5:$5")=H$5),
 INDIRECT("'"&amp;$C$6&amp;"'!"&amp;ROW()&amp;":"&amp;ROW())
)</f>
        <v>31397.627214</v>
      </c>
      <c r="I15" s="8" cm="1">
        <f t="array" aca="1" ref="I15" ca="1">_xlfn.XLOOKUP(1,
 (INDIRECT("'"&amp;$C$6&amp;"'!$6:$6")=I$6)*
 (INDIRECT("'"&amp;$C$6&amp;"'!$5:$5")=I$5),
 INDIRECT("'"&amp;$C$6&amp;"'!"&amp;ROW()&amp;":"&amp;ROW())
)</f>
        <v>33680.967703000002</v>
      </c>
      <c r="K15" s="34">
        <f t="shared" ref="K15:K17" ca="1" si="34">$D15-E15</f>
        <v>4159.4893155556929</v>
      </c>
      <c r="L15" s="34">
        <f t="shared" ca="1" si="24"/>
        <v>1954.8199999999924</v>
      </c>
      <c r="M15" s="34">
        <f t="shared" ca="1" si="25"/>
        <v>4558.921279999995</v>
      </c>
      <c r="N15" s="34">
        <f t="shared" ca="1" si="26"/>
        <v>2295.1027859999958</v>
      </c>
      <c r="O15" s="34">
        <f t="shared" ca="1" si="27"/>
        <v>11.76229699999385</v>
      </c>
      <c r="Q15" s="36">
        <f t="shared" ref="Q15:Q17" ca="1" si="35">IFERROR($D15/E15-1,0)</f>
        <v>0.14084093784352536</v>
      </c>
      <c r="R15" s="36">
        <f t="shared" ca="1" si="28"/>
        <v>6.1592587539633037E-2</v>
      </c>
      <c r="S15" s="36">
        <f t="shared" ca="1" si="29"/>
        <v>0.15648215871172222</v>
      </c>
      <c r="T15" s="36">
        <f t="shared" ca="1" si="30"/>
        <v>7.3097969166810994E-2</v>
      </c>
      <c r="U15" s="36">
        <f t="shared" ca="1" si="31"/>
        <v>3.4922681271254419E-4</v>
      </c>
      <c r="W15" s="8" cm="1">
        <f t="array" aca="1" ref="W15" ca="1">INDIRECT("'"&amp;$C$6&amp;"'!"&amp;ADDRESS(ROW(),COLUMN()+44))</f>
        <v>32543.543333333335</v>
      </c>
      <c r="X15" s="8" cm="1">
        <f t="array" aca="1" ref="X15" ca="1">INDIRECT("'"&amp;$C$6&amp;"'!"&amp;ADDRESS(ROW(),COLUMN()+44))</f>
        <v>29423.438117774422</v>
      </c>
      <c r="Y15" s="8" cm="1">
        <f t="array" aca="1" ref="Y15" ca="1">INDIRECT("'"&amp;$C$6&amp;"'!"&amp;ADDRESS(ROW(),COLUMN()+44))</f>
        <v>31968.950000000004</v>
      </c>
      <c r="Z15" s="8" cm="1">
        <f t="array" aca="1" ref="Z15" ca="1">INDIRECT("'"&amp;$C$6&amp;"'!"&amp;ADDRESS(ROW(),COLUMN()+44))</f>
        <v>29449.771646333335</v>
      </c>
      <c r="AA15" s="8" cm="1">
        <f t="array" aca="1" ref="AA15" ca="1">INDIRECT("'"&amp;$C$6&amp;"'!"&amp;ADDRESS(ROW(),COLUMN()+44))</f>
        <v>31300.341661333328</v>
      </c>
      <c r="AB15" s="8" cm="1">
        <f t="array" aca="1" ref="AB15" ca="1">INDIRECT("'"&amp;$C$6&amp;"'!"&amp;ADDRESS(ROW(),COLUMN()+44))</f>
        <v>33454.002954876669</v>
      </c>
      <c r="AD15" s="34">
        <f t="shared" ca="1" si="32"/>
        <v>3120.1052155589132</v>
      </c>
      <c r="AE15" s="34">
        <f t="shared" ca="1" si="32"/>
        <v>574.59333333333052</v>
      </c>
      <c r="AF15" s="34">
        <f t="shared" ca="1" si="32"/>
        <v>3093.7716870000004</v>
      </c>
      <c r="AG15" s="34">
        <f t="shared" ca="1" si="32"/>
        <v>1243.2016720000065</v>
      </c>
      <c r="AH15" s="34">
        <f t="shared" ca="1" si="32"/>
        <v>-910.45962154333392</v>
      </c>
      <c r="AJ15" s="36">
        <f t="shared" ca="1" si="33"/>
        <v>0.10604148988537432</v>
      </c>
      <c r="AK15" s="36">
        <f t="shared" ca="1" si="33"/>
        <v>1.7973481560493276E-2</v>
      </c>
      <c r="AL15" s="36">
        <f t="shared" ca="1" si="33"/>
        <v>0.10505248475789775</v>
      </c>
      <c r="AM15" s="36">
        <f t="shared" ca="1" si="33"/>
        <v>3.9718469703983628E-2</v>
      </c>
      <c r="AN15" s="36">
        <f t="shared" ca="1" si="33"/>
        <v>-2.7215266967345553E-2</v>
      </c>
    </row>
    <row r="16" spans="1:40" hidden="1" outlineLevel="1" x14ac:dyDescent="0.25">
      <c r="A16" s="11" t="s">
        <v>52</v>
      </c>
      <c r="C16" s="2" t="s">
        <v>45</v>
      </c>
      <c r="D16" s="8" cm="1">
        <f t="array" aca="1" ref="D16" ca="1">_xlfn.XLOOKUP(1,
 (INDIRECT("'"&amp;$C$6&amp;"'!$6:$6")=D$6)*
 (INDIRECT("'"&amp;$C$6&amp;"'!$5:$5")=D$5),
 INDIRECT("'"&amp;$C$6&amp;"'!"&amp;ROW()&amp;":"&amp;ROW())
)</f>
        <v>352941.66</v>
      </c>
      <c r="E16" s="8" cm="1">
        <f t="array" aca="1" ref="E16" ca="1">_xlfn.XLOOKUP(1,
 (INDIRECT("'"&amp;$C$6&amp;"'!$6:$6")=E$6)*
 (INDIRECT("'"&amp;$C$6&amp;"'!$5:$5")=E$5),
 INDIRECT("'"&amp;$C$6&amp;"'!"&amp;ROW()&amp;":"&amp;ROW())
)</f>
        <v>372710.8047826768</v>
      </c>
      <c r="F16" s="8" cm="1">
        <f t="array" aca="1" ref="F16" ca="1">_xlfn.XLOOKUP(1,
 (INDIRECT("'"&amp;$C$6&amp;"'!$6:$6")=F$6)*
 (INDIRECT("'"&amp;$C$6&amp;"'!$5:$5")=F$5),
 INDIRECT("'"&amp;$C$6&amp;"'!"&amp;ROW()&amp;":"&amp;ROW())
)</f>
        <v>357954.66</v>
      </c>
      <c r="G16" s="8" cm="1">
        <f t="array" aca="1" ref="G16" ca="1">_xlfn.XLOOKUP(1,
 (INDIRECT("'"&amp;$C$6&amp;"'!$6:$6")=G$6)*
 (INDIRECT("'"&amp;$C$6&amp;"'!$5:$5")=G$5),
 INDIRECT("'"&amp;$C$6&amp;"'!"&amp;ROW()&amp;":"&amp;ROW())
)</f>
        <v>347248.64839410997</v>
      </c>
      <c r="H16" s="8" cm="1">
        <f t="array" aca="1" ref="H16" ca="1">_xlfn.XLOOKUP(1,
 (INDIRECT("'"&amp;$C$6&amp;"'!$6:$6")=H$6)*
 (INDIRECT("'"&amp;$C$6&amp;"'!$5:$5")=H$5),
 INDIRECT("'"&amp;$C$6&amp;"'!"&amp;ROW()&amp;":"&amp;ROW())
)</f>
        <v>306654.19162747997</v>
      </c>
      <c r="I16" s="8" cm="1">
        <f t="array" aca="1" ref="I16" ca="1">_xlfn.XLOOKUP(1,
 (INDIRECT("'"&amp;$C$6&amp;"'!$6:$6")=I$6)*
 (INDIRECT("'"&amp;$C$6&amp;"'!$5:$5")=I$5),
 INDIRECT("'"&amp;$C$6&amp;"'!"&amp;ROW()&amp;":"&amp;ROW())
)</f>
        <v>256054.79527120004</v>
      </c>
      <c r="K16" s="34">
        <f t="shared" ca="1" si="34"/>
        <v>-19769.144782676827</v>
      </c>
      <c r="L16" s="34">
        <f t="shared" ca="1" si="24"/>
        <v>-5013</v>
      </c>
      <c r="M16" s="34">
        <f t="shared" ca="1" si="25"/>
        <v>5693.0116058900021</v>
      </c>
      <c r="N16" s="34">
        <f t="shared" ca="1" si="26"/>
        <v>46287.468372520001</v>
      </c>
      <c r="O16" s="34">
        <f t="shared" ca="1" si="27"/>
        <v>96886.864728799934</v>
      </c>
      <c r="Q16" s="36">
        <f t="shared" ca="1" si="35"/>
        <v>-5.3041512424637061E-2</v>
      </c>
      <c r="R16" s="36">
        <f t="shared" ca="1" si="28"/>
        <v>-1.4004566947110053E-2</v>
      </c>
      <c r="S16" s="36">
        <f t="shared" ca="1" si="29"/>
        <v>1.639462567303851E-2</v>
      </c>
      <c r="T16" s="36">
        <f t="shared" ca="1" si="30"/>
        <v>0.15094353717085163</v>
      </c>
      <c r="U16" s="36">
        <f t="shared" ca="1" si="31"/>
        <v>0.37838332465589009</v>
      </c>
      <c r="W16" s="8" cm="1">
        <f t="array" aca="1" ref="W16" ca="1">INDIRECT("'"&amp;$C$6&amp;"'!"&amp;ADDRESS(ROW(),COLUMN()+44))</f>
        <v>358023.75999999995</v>
      </c>
      <c r="X16" s="8" cm="1">
        <f t="array" aca="1" ref="X16" ca="1">INDIRECT("'"&amp;$C$6&amp;"'!"&amp;ADDRESS(ROW(),COLUMN()+44))</f>
        <v>369759.66846913006</v>
      </c>
      <c r="Y16" s="8" cm="1">
        <f t="array" aca="1" ref="Y16" ca="1">INDIRECT("'"&amp;$C$6&amp;"'!"&amp;ADDRESS(ROW(),COLUMN()+44))</f>
        <v>360564.80999999994</v>
      </c>
      <c r="Z16" s="8" cm="1">
        <f t="array" aca="1" ref="Z16" ca="1">INDIRECT("'"&amp;$C$6&amp;"'!"&amp;ADDRESS(ROW(),COLUMN()+44))</f>
        <v>340976.31107538665</v>
      </c>
      <c r="AA16" s="8" cm="1">
        <f t="array" aca="1" ref="AA16" ca="1">INDIRECT("'"&amp;$C$6&amp;"'!"&amp;ADDRESS(ROW(),COLUMN()+44))</f>
        <v>304066.03300656663</v>
      </c>
      <c r="AB16" s="8" cm="1">
        <f t="array" aca="1" ref="AB16" ca="1">INDIRECT("'"&amp;$C$6&amp;"'!"&amp;ADDRESS(ROW(),COLUMN()+44))</f>
        <v>252506.24481907333</v>
      </c>
      <c r="AD16" s="34">
        <f t="shared" ca="1" si="32"/>
        <v>-11735.90846913011</v>
      </c>
      <c r="AE16" s="34">
        <f t="shared" ca="1" si="32"/>
        <v>-2541.0499999999884</v>
      </c>
      <c r="AF16" s="34">
        <f t="shared" ca="1" si="32"/>
        <v>17047.448924613302</v>
      </c>
      <c r="AG16" s="34">
        <f t="shared" ca="1" si="32"/>
        <v>53957.726993433316</v>
      </c>
      <c r="AH16" s="34">
        <f t="shared" ca="1" si="32"/>
        <v>105517.51518092662</v>
      </c>
      <c r="AJ16" s="36">
        <f t="shared" ca="1" si="33"/>
        <v>-3.1739287623549717E-2</v>
      </c>
      <c r="AK16" s="36">
        <f t="shared" ca="1" si="33"/>
        <v>-7.0474154147210921E-3</v>
      </c>
      <c r="AL16" s="36">
        <f t="shared" ca="1" si="33"/>
        <v>4.9995992011434121E-2</v>
      </c>
      <c r="AM16" s="36">
        <f t="shared" ca="1" si="33"/>
        <v>0.17745397754529213</v>
      </c>
      <c r="AN16" s="36">
        <f t="shared" ca="1" si="33"/>
        <v>0.41788081422117851</v>
      </c>
    </row>
    <row r="17" spans="1:40" collapsed="1" x14ac:dyDescent="0.25">
      <c r="C17" s="3" t="s">
        <v>56</v>
      </c>
      <c r="D17" s="10">
        <f ca="1">SUM(D14:D16)</f>
        <v>11838303.960000001</v>
      </c>
      <c r="E17" s="10">
        <f t="shared" ref="E17:I17" ca="1" si="36">SUM(E14:E16)</f>
        <v>11746960.398581786</v>
      </c>
      <c r="F17" s="10">
        <f t="shared" ca="1" si="36"/>
        <v>11765020.92</v>
      </c>
      <c r="G17" s="10">
        <f t="shared" ca="1" si="36"/>
        <v>10905153.801862089</v>
      </c>
      <c r="H17" s="10">
        <f t="shared" ca="1" si="36"/>
        <v>10189048.949740741</v>
      </c>
      <c r="I17" s="10">
        <f t="shared" ca="1" si="36"/>
        <v>9620948.5581271984</v>
      </c>
      <c r="K17" s="35">
        <f t="shared" ca="1" si="34"/>
        <v>91343.561418214813</v>
      </c>
      <c r="L17" s="35">
        <f t="shared" ca="1" si="24"/>
        <v>73283.040000000969</v>
      </c>
      <c r="M17" s="35">
        <f t="shared" ca="1" si="25"/>
        <v>933150.15813791193</v>
      </c>
      <c r="N17" s="35">
        <f t="shared" ca="1" si="26"/>
        <v>1649255.0102592595</v>
      </c>
      <c r="O17" s="35">
        <f t="shared" ca="1" si="27"/>
        <v>2217355.4018728025</v>
      </c>
      <c r="Q17" s="37">
        <f t="shared" ca="1" si="35"/>
        <v>7.7759316724386185E-3</v>
      </c>
      <c r="R17" s="37">
        <f t="shared" ca="1" si="28"/>
        <v>6.2288916014949791E-3</v>
      </c>
      <c r="S17" s="37">
        <f t="shared" ca="1" si="29"/>
        <v>8.5569646709482861E-2</v>
      </c>
      <c r="T17" s="37">
        <f t="shared" ca="1" si="30"/>
        <v>0.1618654516623188</v>
      </c>
      <c r="U17" s="37">
        <f t="shared" ca="1" si="31"/>
        <v>0.23047159939335859</v>
      </c>
      <c r="W17" s="10">
        <f ca="1">SUM(W14:W16)</f>
        <v>11765703.703333333</v>
      </c>
      <c r="X17" s="10">
        <f t="shared" ref="X17" ca="1" si="37">SUM(X14:X16)</f>
        <v>11695669.416439664</v>
      </c>
      <c r="Y17" s="10">
        <f t="shared" ref="Y17" ca="1" si="38">SUM(Y14:Y16)</f>
        <v>11729403.575000001</v>
      </c>
      <c r="Z17" s="10">
        <f t="shared" ref="Z17" ca="1" si="39">SUM(Z14:Z16)</f>
        <v>10851293.494421007</v>
      </c>
      <c r="AA17" s="10">
        <f t="shared" ref="AA17" ca="1" si="40">SUM(AA14:AA16)</f>
        <v>10134825.929742569</v>
      </c>
      <c r="AB17" s="10">
        <f t="shared" ref="AB17" ca="1" si="41">SUM(AB14:AB16)</f>
        <v>9582375.8662930038</v>
      </c>
      <c r="AD17" s="35">
        <f t="shared" ca="1" si="32"/>
        <v>70034.286893669516</v>
      </c>
      <c r="AE17" s="35">
        <f t="shared" ca="1" si="32"/>
        <v>36300.128333332017</v>
      </c>
      <c r="AF17" s="35">
        <f t="shared" ca="1" si="32"/>
        <v>914410.20891232602</v>
      </c>
      <c r="AG17" s="35">
        <f t="shared" ca="1" si="32"/>
        <v>1630877.773590764</v>
      </c>
      <c r="AH17" s="35">
        <f t="shared" ca="1" si="32"/>
        <v>2183327.8370403294</v>
      </c>
      <c r="AJ17" s="37">
        <f t="shared" ca="1" si="33"/>
        <v>5.9880528766680374E-3</v>
      </c>
      <c r="AK17" s="37">
        <f t="shared" ca="1" si="33"/>
        <v>3.0947974550643575E-3</v>
      </c>
      <c r="AL17" s="37">
        <f t="shared" ca="1" si="33"/>
        <v>8.4267392581580447E-2</v>
      </c>
      <c r="AM17" s="37">
        <f t="shared" ca="1" si="33"/>
        <v>0.16091818299558991</v>
      </c>
      <c r="AN17" s="37">
        <f t="shared" ca="1" si="33"/>
        <v>0.22784827766153604</v>
      </c>
    </row>
    <row r="18" spans="1:40" x14ac:dyDescent="0.25">
      <c r="D18" s="8"/>
      <c r="E18" s="8"/>
      <c r="F18" s="8"/>
      <c r="G18" s="8"/>
      <c r="H18" s="8"/>
      <c r="I18" s="8"/>
      <c r="W18" s="8"/>
      <c r="X18" s="8"/>
      <c r="Y18" s="8"/>
      <c r="Z18" s="8"/>
      <c r="AA18" s="8"/>
      <c r="AB18" s="8"/>
    </row>
    <row r="19" spans="1:40" x14ac:dyDescent="0.25">
      <c r="D19" s="16"/>
      <c r="E19" s="16"/>
      <c r="F19" s="16"/>
      <c r="G19" s="16"/>
      <c r="H19" s="16"/>
      <c r="I19" s="16"/>
      <c r="W19" s="16"/>
      <c r="X19" s="16"/>
      <c r="Y19" s="16"/>
      <c r="Z19" s="16"/>
      <c r="AA19" s="16"/>
      <c r="AB19" s="16"/>
    </row>
    <row r="20" spans="1:40" outlineLevel="1" x14ac:dyDescent="0.25">
      <c r="A20" s="11"/>
      <c r="C20" s="2" t="s">
        <v>0</v>
      </c>
      <c r="D20" s="14">
        <f ca="1">IFERROR(((1+D38/D14)^(360/D$3))-1,0)</f>
        <v>7.4352368339906549E-2</v>
      </c>
      <c r="E20" s="14">
        <f t="shared" ref="E20:I23" ca="1" si="42">IFERROR(((1+E38/E14)^(360/E$3))-1,0)</f>
        <v>7.331778266855471E-2</v>
      </c>
      <c r="F20" s="14">
        <f t="shared" ca="1" si="42"/>
        <v>7.4713591424133474E-2</v>
      </c>
      <c r="G20" s="14">
        <f t="shared" ca="1" si="42"/>
        <v>7.3833101800927725E-2</v>
      </c>
      <c r="H20" s="14">
        <f t="shared" ca="1" si="42"/>
        <v>7.3558083913045635E-2</v>
      </c>
      <c r="I20" s="14">
        <f t="shared" ca="1" si="42"/>
        <v>7.1198037564876415E-2</v>
      </c>
      <c r="K20" s="44"/>
      <c r="L20" s="44"/>
      <c r="M20" s="44"/>
      <c r="N20" s="44"/>
      <c r="O20" s="44"/>
      <c r="Q20" s="42">
        <f ca="1">($D20-E20)*10000</f>
        <v>10.345856713518398</v>
      </c>
      <c r="R20" s="42">
        <f t="shared" ref="R20:U23" ca="1" si="43">($D20-F20)*10000</f>
        <v>-3.6122308422692484</v>
      </c>
      <c r="S20" s="42">
        <f t="shared" ca="1" si="43"/>
        <v>5.1926653897882424</v>
      </c>
      <c r="T20" s="42">
        <f t="shared" ca="1" si="43"/>
        <v>7.9428442686091394</v>
      </c>
      <c r="U20" s="42">
        <f t="shared" ca="1" si="43"/>
        <v>31.543307750301341</v>
      </c>
      <c r="W20" s="14" cm="1">
        <f t="array" aca="1" ref="W20" ca="1">INDIRECT("'"&amp;$C$6&amp;"'!"&amp;ADDRESS(ROW(),COLUMN()+44))</f>
        <v>7.4506470327017071E-2</v>
      </c>
      <c r="X20" s="14" cm="1">
        <f t="array" aca="1" ref="X20" ca="1">INDIRECT("'"&amp;$C$6&amp;"'!"&amp;ADDRESS(ROW(),COLUMN()+44))</f>
        <v>7.35788148045049E-2</v>
      </c>
      <c r="Y20" s="14" cm="1">
        <f t="array" aca="1" ref="Y20" ca="1">INDIRECT("'"&amp;$C$6&amp;"'!"&amp;ADDRESS(ROW(),COLUMN()+44))</f>
        <v>7.4574839731003983E-2</v>
      </c>
      <c r="Z20" s="14" cm="1">
        <f t="array" aca="1" ref="Z20" ca="1">INDIRECT("'"&amp;$C$6&amp;"'!"&amp;ADDRESS(ROW(),COLUMN()+44))</f>
        <v>7.4039432587309495E-2</v>
      </c>
      <c r="AA20" s="14" cm="1">
        <f t="array" aca="1" ref="AA20" ca="1">INDIRECT("'"&amp;$C$6&amp;"'!"&amp;ADDRESS(ROW(),COLUMN()+44))</f>
        <v>7.3188903395655647E-2</v>
      </c>
      <c r="AB20" s="14" cm="1">
        <f t="array" aca="1" ref="AB20" ca="1">INDIRECT("'"&amp;$C$6&amp;"'!"&amp;ADDRESS(ROW(),COLUMN()+44))</f>
        <v>7.0913736550247242E-2</v>
      </c>
      <c r="AD20" s="44"/>
      <c r="AE20" s="44"/>
      <c r="AF20" s="44"/>
      <c r="AG20" s="44"/>
      <c r="AH20" s="44"/>
      <c r="AJ20" s="42">
        <f t="shared" ref="AJ20:AN23" ca="1" si="44">($W20-X20)*10000</f>
        <v>9.2765552251217187</v>
      </c>
      <c r="AK20" s="42">
        <f t="shared" ca="1" si="44"/>
        <v>-0.68369403986912047</v>
      </c>
      <c r="AL20" s="42">
        <f t="shared" ca="1" si="44"/>
        <v>4.6703773970757645</v>
      </c>
      <c r="AM20" s="42">
        <f t="shared" ca="1" si="44"/>
        <v>13.175669313614247</v>
      </c>
      <c r="AN20" s="42">
        <f t="shared" ca="1" si="44"/>
        <v>35.927337767698297</v>
      </c>
    </row>
    <row r="21" spans="1:40" outlineLevel="1" x14ac:dyDescent="0.25">
      <c r="A21" s="11"/>
      <c r="C21" s="2" t="s">
        <v>1</v>
      </c>
      <c r="D21" s="14">
        <f t="shared" ref="D21:I23" ca="1" si="45">IFERROR(((1+D39/D15)^(360/D$3))-1,0)</f>
        <v>0</v>
      </c>
      <c r="E21" s="14">
        <f t="shared" ca="1" si="45"/>
        <v>0</v>
      </c>
      <c r="F21" s="14">
        <f t="shared" ca="1" si="45"/>
        <v>0</v>
      </c>
      <c r="G21" s="14">
        <f t="shared" ca="1" si="45"/>
        <v>0</v>
      </c>
      <c r="H21" s="14">
        <f t="shared" ca="1" si="45"/>
        <v>0</v>
      </c>
      <c r="I21" s="14">
        <f t="shared" ca="1" si="45"/>
        <v>0</v>
      </c>
      <c r="K21" s="44"/>
      <c r="L21" s="44"/>
      <c r="M21" s="44"/>
      <c r="N21" s="44"/>
      <c r="O21" s="44"/>
      <c r="Q21" s="42">
        <f t="shared" ref="Q21:Q23" ca="1" si="46">($D21-E21)*10000</f>
        <v>0</v>
      </c>
      <c r="R21" s="42">
        <f t="shared" ca="1" si="43"/>
        <v>0</v>
      </c>
      <c r="S21" s="42">
        <f t="shared" ca="1" si="43"/>
        <v>0</v>
      </c>
      <c r="T21" s="42">
        <f t="shared" ca="1" si="43"/>
        <v>0</v>
      </c>
      <c r="U21" s="42">
        <f t="shared" ca="1" si="43"/>
        <v>0</v>
      </c>
      <c r="W21" s="14" cm="1">
        <f t="array" aca="1" ref="W21" ca="1">INDIRECT("'"&amp;$C$6&amp;"'!"&amp;ADDRESS(ROW(),COLUMN()+44))</f>
        <v>0</v>
      </c>
      <c r="X21" s="14" cm="1">
        <f t="array" aca="1" ref="X21" ca="1">INDIRECT("'"&amp;$C$6&amp;"'!"&amp;ADDRESS(ROW(),COLUMN()+44))</f>
        <v>0</v>
      </c>
      <c r="Y21" s="14" cm="1">
        <f t="array" aca="1" ref="Y21" ca="1">INDIRECT("'"&amp;$C$6&amp;"'!"&amp;ADDRESS(ROW(),COLUMN()+44))</f>
        <v>0</v>
      </c>
      <c r="Z21" s="14" cm="1">
        <f t="array" aca="1" ref="Z21" ca="1">INDIRECT("'"&amp;$C$6&amp;"'!"&amp;ADDRESS(ROW(),COLUMN()+44))</f>
        <v>0</v>
      </c>
      <c r="AA21" s="14" cm="1">
        <f t="array" aca="1" ref="AA21" ca="1">INDIRECT("'"&amp;$C$6&amp;"'!"&amp;ADDRESS(ROW(),COLUMN()+44))</f>
        <v>0</v>
      </c>
      <c r="AB21" s="14" cm="1">
        <f t="array" aca="1" ref="AB21" ca="1">INDIRECT("'"&amp;$C$6&amp;"'!"&amp;ADDRESS(ROW(),COLUMN()+44))</f>
        <v>0</v>
      </c>
      <c r="AD21" s="44"/>
      <c r="AE21" s="44"/>
      <c r="AF21" s="44"/>
      <c r="AG21" s="44"/>
      <c r="AH21" s="44"/>
      <c r="AJ21" s="42">
        <f t="shared" ca="1" si="44"/>
        <v>0</v>
      </c>
      <c r="AK21" s="42">
        <f t="shared" ca="1" si="44"/>
        <v>0</v>
      </c>
      <c r="AL21" s="42">
        <f t="shared" ca="1" si="44"/>
        <v>0</v>
      </c>
      <c r="AM21" s="42">
        <f t="shared" ca="1" si="44"/>
        <v>0</v>
      </c>
      <c r="AN21" s="42">
        <f t="shared" ca="1" si="44"/>
        <v>0</v>
      </c>
    </row>
    <row r="22" spans="1:40" outlineLevel="1" x14ac:dyDescent="0.25">
      <c r="A22" s="11"/>
      <c r="C22" s="2" t="s">
        <v>45</v>
      </c>
      <c r="D22" s="14">
        <f t="shared" ca="1" si="45"/>
        <v>0.11211581194826059</v>
      </c>
      <c r="E22" s="14">
        <f t="shared" ca="1" si="42"/>
        <v>0.11903352847949278</v>
      </c>
      <c r="F22" s="14">
        <f t="shared" ca="1" si="42"/>
        <v>9.8066155187935378E-2</v>
      </c>
      <c r="G22" s="14">
        <f t="shared" ca="1" si="42"/>
        <v>0.11095812601709909</v>
      </c>
      <c r="H22" s="14">
        <f t="shared" ca="1" si="42"/>
        <v>0.10315959361253291</v>
      </c>
      <c r="I22" s="14">
        <f t="shared" ca="1" si="42"/>
        <v>0.10630799796760737</v>
      </c>
      <c r="K22" s="44"/>
      <c r="L22" s="44"/>
      <c r="M22" s="44"/>
      <c r="N22" s="44"/>
      <c r="O22" s="44"/>
      <c r="Q22" s="42">
        <f t="shared" ca="1" si="46"/>
        <v>-69.177165312321875</v>
      </c>
      <c r="R22" s="42">
        <f t="shared" ca="1" si="43"/>
        <v>140.49656760325212</v>
      </c>
      <c r="S22" s="42">
        <f t="shared" ca="1" si="43"/>
        <v>11.576859311615006</v>
      </c>
      <c r="T22" s="42">
        <f t="shared" ca="1" si="43"/>
        <v>89.562183357276837</v>
      </c>
      <c r="U22" s="42">
        <f t="shared" ca="1" si="43"/>
        <v>58.078139806532207</v>
      </c>
      <c r="W22" s="14" cm="1">
        <f t="array" aca="1" ref="W22" ca="1">INDIRECT("'"&amp;$C$6&amp;"'!"&amp;ADDRESS(ROW(),COLUMN()+44))</f>
        <v>0.10159882702963419</v>
      </c>
      <c r="X22" s="14" cm="1">
        <f t="array" aca="1" ref="X22" ca="1">INDIRECT("'"&amp;$C$6&amp;"'!"&amp;ADDRESS(ROW(),COLUMN()+44))</f>
        <v>0.11974894462577512</v>
      </c>
      <c r="Y22" s="14" cm="1">
        <f t="array" aca="1" ref="Y22" ca="1">INDIRECT("'"&amp;$C$6&amp;"'!"&amp;ADDRESS(ROW(),COLUMN()+44))</f>
        <v>9.6260818545675697E-2</v>
      </c>
      <c r="Z22" s="14" cm="1">
        <f t="array" aca="1" ref="Z22" ca="1">INDIRECT("'"&amp;$C$6&amp;"'!"&amp;ADDRESS(ROW(),COLUMN()+44))</f>
        <v>0.10408722028716144</v>
      </c>
      <c r="AA22" s="14" cm="1">
        <f t="array" aca="1" ref="AA22" ca="1">INDIRECT("'"&amp;$C$6&amp;"'!"&amp;ADDRESS(ROW(),COLUMN()+44))</f>
        <v>0.10317896901963652</v>
      </c>
      <c r="AB22" s="14" cm="1">
        <f t="array" aca="1" ref="AB22" ca="1">INDIRECT("'"&amp;$C$6&amp;"'!"&amp;ADDRESS(ROW(),COLUMN()+44))</f>
        <v>9.3382026489696734E-2</v>
      </c>
      <c r="AD22" s="44"/>
      <c r="AE22" s="44"/>
      <c r="AF22" s="44"/>
      <c r="AG22" s="44"/>
      <c r="AH22" s="44"/>
      <c r="AJ22" s="42">
        <f t="shared" ca="1" si="44"/>
        <v>-181.50117596140936</v>
      </c>
      <c r="AK22" s="42">
        <f t="shared" ca="1" si="44"/>
        <v>53.380084839584896</v>
      </c>
      <c r="AL22" s="42">
        <f t="shared" ca="1" si="44"/>
        <v>-24.883932575272549</v>
      </c>
      <c r="AM22" s="42">
        <f t="shared" ca="1" si="44"/>
        <v>-15.801419900023372</v>
      </c>
      <c r="AN22" s="42">
        <f t="shared" ca="1" si="44"/>
        <v>82.168005399374522</v>
      </c>
    </row>
    <row r="23" spans="1:40" x14ac:dyDescent="0.25">
      <c r="C23" s="3" t="s">
        <v>59</v>
      </c>
      <c r="D23" s="15">
        <f t="shared" ca="1" si="45"/>
        <v>7.5242263150208766E-2</v>
      </c>
      <c r="E23" s="15">
        <f t="shared" ca="1" si="42"/>
        <v>7.455107841005959E-2</v>
      </c>
      <c r="F23" s="15">
        <f t="shared" ca="1" si="42"/>
        <v>7.5208869370058329E-2</v>
      </c>
      <c r="G23" s="15">
        <f t="shared" ca="1" si="42"/>
        <v>7.4793645388227858E-2</v>
      </c>
      <c r="H23" s="15">
        <f t="shared" ca="1" si="42"/>
        <v>7.4204037354676844E-2</v>
      </c>
      <c r="I23" s="15">
        <f t="shared" ca="1" si="42"/>
        <v>7.186178619916439E-2</v>
      </c>
      <c r="K23" s="44"/>
      <c r="L23" s="44"/>
      <c r="M23" s="44"/>
      <c r="N23" s="44"/>
      <c r="O23" s="44"/>
      <c r="Q23" s="43">
        <f t="shared" ca="1" si="46"/>
        <v>6.9118474014917552</v>
      </c>
      <c r="R23" s="43">
        <f t="shared" ca="1" si="43"/>
        <v>0.33393780150436925</v>
      </c>
      <c r="S23" s="43">
        <f t="shared" ca="1" si="43"/>
        <v>4.486177619809073</v>
      </c>
      <c r="T23" s="43">
        <f t="shared" ca="1" si="43"/>
        <v>10.382257955319218</v>
      </c>
      <c r="U23" s="43">
        <f t="shared" ca="1" si="43"/>
        <v>33.804769510443755</v>
      </c>
      <c r="W23" s="15" cm="1">
        <f t="array" aca="1" ref="W23" ca="1">INDIRECT("'"&amp;$C$6&amp;"'!"&amp;ADDRESS(ROW(),COLUMN()+44))</f>
        <v>7.5108716254587371E-2</v>
      </c>
      <c r="X23" s="15" cm="1">
        <f t="array" aca="1" ref="X23" ca="1">INDIRECT("'"&amp;$C$6&amp;"'!"&amp;ADDRESS(ROW(),COLUMN()+44))</f>
        <v>7.4819950868336038E-2</v>
      </c>
      <c r="Y23" s="15" cm="1">
        <f t="array" aca="1" ref="Y23" ca="1">INDIRECT("'"&amp;$C$6&amp;"'!"&amp;ADDRESS(ROW(),COLUMN()+44))</f>
        <v>7.5025427623375718E-2</v>
      </c>
      <c r="Z23" s="15" cm="1">
        <f t="array" aca="1" ref="Z23" ca="1">INDIRECT("'"&amp;$C$6&amp;"'!"&amp;ADDRESS(ROW(),COLUMN()+44))</f>
        <v>7.4764361038663241E-2</v>
      </c>
      <c r="AA23" s="15" cm="1">
        <f t="array" aca="1" ref="AA23" ca="1">INDIRECT("'"&amp;$C$6&amp;"'!"&amp;ADDRESS(ROW(),COLUMN()+44))</f>
        <v>7.3844122248217348E-2</v>
      </c>
      <c r="AB23" s="15" cm="1">
        <f t="array" aca="1" ref="AB23" ca="1">INDIRECT("'"&amp;$C$6&amp;"'!"&amp;ADDRESS(ROW(),COLUMN()+44))</f>
        <v>7.1244807632643292E-2</v>
      </c>
      <c r="AD23" s="44"/>
      <c r="AE23" s="44"/>
      <c r="AF23" s="44"/>
      <c r="AG23" s="44"/>
      <c r="AH23" s="44"/>
      <c r="AJ23" s="43">
        <f t="shared" ca="1" si="44"/>
        <v>2.8876538625133286</v>
      </c>
      <c r="AK23" s="43">
        <f t="shared" ca="1" si="44"/>
        <v>0.83288631211653197</v>
      </c>
      <c r="AL23" s="43">
        <f t="shared" ca="1" si="44"/>
        <v>3.4435521592413032</v>
      </c>
      <c r="AM23" s="43">
        <f t="shared" ca="1" si="44"/>
        <v>12.645940063700234</v>
      </c>
      <c r="AN23" s="43">
        <f t="shared" ca="1" si="44"/>
        <v>38.639086219440784</v>
      </c>
    </row>
    <row r="26" spans="1:40" hidden="1" outlineLevel="1" x14ac:dyDescent="0.25">
      <c r="A26" s="11"/>
      <c r="C26" s="2" t="s">
        <v>0</v>
      </c>
      <c r="D26" s="14">
        <f ca="1">-IFERROR(((1-D44/D14)^(360/D$4))-1,0)</f>
        <v>-5.4368152706199435E-2</v>
      </c>
      <c r="E26" s="14">
        <f t="shared" ref="E26:I29" ca="1" si="47">-IFERROR(((1-E44/E14)^(360/E$4))-1,0)</f>
        <v>-5.4644750146153553E-2</v>
      </c>
      <c r="F26" s="14">
        <f t="shared" ca="1" si="47"/>
        <v>-6.0334375857067135E-2</v>
      </c>
      <c r="G26" s="14">
        <f t="shared" ca="1" si="47"/>
        <v>-5.3830678124548337E-2</v>
      </c>
      <c r="H26" s="14">
        <f t="shared" ca="1" si="47"/>
        <v>-5.1851670730614474E-2</v>
      </c>
      <c r="I26" s="14">
        <f t="shared" ca="1" si="47"/>
        <v>-4.8715269527168426E-2</v>
      </c>
      <c r="K26" s="44"/>
      <c r="L26" s="44"/>
      <c r="M26" s="44"/>
      <c r="N26" s="44"/>
      <c r="O26" s="44"/>
      <c r="Q26" s="42">
        <f ca="1">($D26-E26)*10000</f>
        <v>2.7659743995411823</v>
      </c>
      <c r="R26" s="42">
        <f t="shared" ref="R26:R29" ca="1" si="48">($D26-F26)*10000</f>
        <v>59.662231508676996</v>
      </c>
      <c r="S26" s="42">
        <f t="shared" ref="S26:S29" ca="1" si="49">($D26-G26)*10000</f>
        <v>-5.374745816510984</v>
      </c>
      <c r="T26" s="42">
        <f t="shared" ref="T26:T29" ca="1" si="50">($D26-H26)*10000</f>
        <v>-25.16481975584961</v>
      </c>
      <c r="U26" s="42">
        <f t="shared" ref="U26:U29" ca="1" si="51">($D26-I26)*10000</f>
        <v>-56.528831790310093</v>
      </c>
      <c r="W26" s="14" cm="1">
        <f t="array" aca="1" ref="W26" ca="1">INDIRECT("'"&amp;$C$6&amp;"'!"&amp;ADDRESS(ROW(),COLUMN()+44))</f>
        <v>-5.6239683437592003E-2</v>
      </c>
      <c r="X26" s="14" cm="1">
        <f t="array" aca="1" ref="X26" ca="1">INDIRECT("'"&amp;$C$6&amp;"'!"&amp;ADDRESS(ROW(),COLUMN()+44))</f>
        <v>-5.6482251612386625E-2</v>
      </c>
      <c r="Y26" s="14" cm="1">
        <f t="array" aca="1" ref="Y26" ca="1">INDIRECT("'"&amp;$C$6&amp;"'!"&amp;ADDRESS(ROW(),COLUMN()+44))</f>
        <v>-5.624434045150517E-2</v>
      </c>
      <c r="Z26" s="14" cm="1">
        <f t="array" aca="1" ref="Z26" ca="1">INDIRECT("'"&amp;$C$6&amp;"'!"&amp;ADDRESS(ROW(),COLUMN()+44))</f>
        <v>-5.5509069809386968E-2</v>
      </c>
      <c r="AA26" s="14" cm="1">
        <f t="array" aca="1" ref="AA26" ca="1">INDIRECT("'"&amp;$C$6&amp;"'!"&amp;ADDRESS(ROW(),COLUMN()+44))</f>
        <v>-5.3367564071846951E-2</v>
      </c>
      <c r="AB26" s="14" cm="1">
        <f t="array" aca="1" ref="AB26" ca="1">INDIRECT("'"&amp;$C$6&amp;"'!"&amp;ADDRESS(ROW(),COLUMN()+44))</f>
        <v>-4.9998844164216294E-2</v>
      </c>
      <c r="AD26" s="44"/>
      <c r="AE26" s="44"/>
      <c r="AF26" s="44"/>
      <c r="AG26" s="44"/>
      <c r="AH26" s="44"/>
      <c r="AJ26" s="42">
        <f t="shared" ref="AJ26:AN29" ca="1" si="52">($W26-X26)*10000</f>
        <v>2.4256817479462178</v>
      </c>
      <c r="AK26" s="42">
        <f t="shared" ca="1" si="52"/>
        <v>4.6570139131674182E-2</v>
      </c>
      <c r="AL26" s="42">
        <f t="shared" ca="1" si="52"/>
        <v>-7.3061362820503462</v>
      </c>
      <c r="AM26" s="42">
        <f t="shared" ca="1" si="52"/>
        <v>-28.721193657450517</v>
      </c>
      <c r="AN26" s="42">
        <f t="shared" ca="1" si="52"/>
        <v>-62.40839273375709</v>
      </c>
    </row>
    <row r="27" spans="1:40" hidden="1" outlineLevel="1" x14ac:dyDescent="0.25">
      <c r="A27" s="11"/>
      <c r="C27" s="2" t="s">
        <v>1</v>
      </c>
      <c r="D27" s="14">
        <f t="shared" ref="D27:I29" ca="1" si="53">-IFERROR(((1-D45/D15)^(360/D$4))-1,0)</f>
        <v>-5.3290649614216479E-2</v>
      </c>
      <c r="E27" s="14">
        <f t="shared" ca="1" si="53"/>
        <v>-5.545106419112722E-2</v>
      </c>
      <c r="F27" s="14">
        <f t="shared" ca="1" si="53"/>
        <v>-5.8217735957201588E-2</v>
      </c>
      <c r="G27" s="14">
        <f t="shared" ca="1" si="53"/>
        <v>-5.0702077707695636E-2</v>
      </c>
      <c r="H27" s="14">
        <f t="shared" ca="1" si="53"/>
        <v>-4.8797725350198995E-2</v>
      </c>
      <c r="I27" s="14">
        <f t="shared" ca="1" si="53"/>
        <v>-4.7853609666115515E-2</v>
      </c>
      <c r="K27" s="44"/>
      <c r="L27" s="44"/>
      <c r="M27" s="44"/>
      <c r="N27" s="44"/>
      <c r="O27" s="44"/>
      <c r="Q27" s="42">
        <f t="shared" ref="Q27:Q29" ca="1" si="54">($D27-E27)*10000</f>
        <v>21.604145769107408</v>
      </c>
      <c r="R27" s="42">
        <f t="shared" ca="1" si="48"/>
        <v>49.270863429851097</v>
      </c>
      <c r="S27" s="42">
        <f t="shared" ca="1" si="49"/>
        <v>-25.885719065208423</v>
      </c>
      <c r="T27" s="42">
        <f t="shared" ca="1" si="50"/>
        <v>-44.929242640174834</v>
      </c>
      <c r="U27" s="42">
        <f t="shared" ca="1" si="51"/>
        <v>-54.370399481009635</v>
      </c>
      <c r="W27" s="14" cm="1">
        <f t="array" aca="1" ref="W27" ca="1">INDIRECT("'"&amp;$C$6&amp;"'!"&amp;ADDRESS(ROW(),COLUMN()+44))</f>
        <v>-5.4758313943739534E-2</v>
      </c>
      <c r="X27" s="14" cm="1">
        <f t="array" aca="1" ref="X27" ca="1">INDIRECT("'"&amp;$C$6&amp;"'!"&amp;ADDRESS(ROW(),COLUMN()+44))</f>
        <v>-5.7133436915243196E-2</v>
      </c>
      <c r="Y27" s="14" cm="1">
        <f t="array" aca="1" ref="Y27" ca="1">INDIRECT("'"&amp;$C$6&amp;"'!"&amp;ADDRESS(ROW(),COLUMN()+44))</f>
        <v>-5.457034882237477E-2</v>
      </c>
      <c r="Z27" s="14" cm="1">
        <f t="array" aca="1" ref="Z27" ca="1">INDIRECT("'"&amp;$C$6&amp;"'!"&amp;ADDRESS(ROW(),COLUMN()+44))</f>
        <v>-5.2077722846431085E-2</v>
      </c>
      <c r="AA27" s="14" cm="1">
        <f t="array" aca="1" ref="AA27" ca="1">INDIRECT("'"&amp;$C$6&amp;"'!"&amp;ADDRESS(ROW(),COLUMN()+44))</f>
        <v>-4.9984859646687418E-2</v>
      </c>
      <c r="AB27" s="14" cm="1">
        <f t="array" aca="1" ref="AB27" ca="1">INDIRECT("'"&amp;$C$6&amp;"'!"&amp;ADDRESS(ROW(),COLUMN()+44))</f>
        <v>-4.9473511864425612E-2</v>
      </c>
      <c r="AD27" s="44"/>
      <c r="AE27" s="44"/>
      <c r="AF27" s="44"/>
      <c r="AG27" s="44"/>
      <c r="AH27" s="44"/>
      <c r="AJ27" s="42">
        <f t="shared" ca="1" si="52"/>
        <v>23.751229715036626</v>
      </c>
      <c r="AK27" s="42">
        <f t="shared" ca="1" si="52"/>
        <v>-1.8796512136476373</v>
      </c>
      <c r="AL27" s="42">
        <f t="shared" ca="1" si="52"/>
        <v>-26.80591097308449</v>
      </c>
      <c r="AM27" s="42">
        <f t="shared" ca="1" si="52"/>
        <v>-47.734542970521154</v>
      </c>
      <c r="AN27" s="42">
        <f t="shared" ca="1" si="52"/>
        <v>-52.848020793139213</v>
      </c>
    </row>
    <row r="28" spans="1:40" hidden="1" outlineLevel="1" x14ac:dyDescent="0.25">
      <c r="A28" s="11"/>
      <c r="C28" s="2" t="s">
        <v>45</v>
      </c>
      <c r="D28" s="14">
        <f t="shared" ca="1" si="53"/>
        <v>-5.3052523948068364E-2</v>
      </c>
      <c r="E28" s="14">
        <f t="shared" ca="1" si="47"/>
        <v>-5.4080404431130935E-2</v>
      </c>
      <c r="F28" s="14">
        <f t="shared" ca="1" si="47"/>
        <v>-5.8737159656916171E-2</v>
      </c>
      <c r="G28" s="14">
        <f t="shared" ca="1" si="47"/>
        <v>-5.0240859300287433E-2</v>
      </c>
      <c r="H28" s="14">
        <f t="shared" ca="1" si="47"/>
        <v>-5.1569350251904789E-2</v>
      </c>
      <c r="I28" s="14">
        <f t="shared" ca="1" si="47"/>
        <v>-5.0100361888089306E-2</v>
      </c>
      <c r="K28" s="44"/>
      <c r="L28" s="44"/>
      <c r="M28" s="44"/>
      <c r="N28" s="44"/>
      <c r="O28" s="44"/>
      <c r="Q28" s="42">
        <f t="shared" ca="1" si="54"/>
        <v>10.27880483062571</v>
      </c>
      <c r="R28" s="42">
        <f t="shared" ca="1" si="48"/>
        <v>56.846357088478072</v>
      </c>
      <c r="S28" s="42">
        <f t="shared" ca="1" si="49"/>
        <v>-28.116646477809315</v>
      </c>
      <c r="T28" s="42">
        <f t="shared" ca="1" si="50"/>
        <v>-14.831736961635755</v>
      </c>
      <c r="U28" s="42">
        <f t="shared" ca="1" si="51"/>
        <v>-29.521620599790577</v>
      </c>
      <c r="W28" s="14" cm="1">
        <f t="array" aca="1" ref="W28" ca="1">INDIRECT("'"&amp;$C$6&amp;"'!"&amp;ADDRESS(ROW(),COLUMN()+44))</f>
        <v>-5.4860100563947301E-2</v>
      </c>
      <c r="X28" s="14" cm="1">
        <f t="array" aca="1" ref="X28" ca="1">INDIRECT("'"&amp;$C$6&amp;"'!"&amp;ADDRESS(ROW(),COLUMN()+44))</f>
        <v>-5.5983092400021972E-2</v>
      </c>
      <c r="Y28" s="14" cm="1">
        <f t="array" aca="1" ref="Y28" ca="1">INDIRECT("'"&amp;$C$6&amp;"'!"&amp;ADDRESS(ROW(),COLUMN()+44))</f>
        <v>-5.4855937344853611E-2</v>
      </c>
      <c r="Z28" s="14" cm="1">
        <f t="array" aca="1" ref="Z28" ca="1">INDIRECT("'"&amp;$C$6&amp;"'!"&amp;ADDRESS(ROW(),COLUMN()+44))</f>
        <v>-5.3122544962380447E-2</v>
      </c>
      <c r="AA28" s="14" cm="1">
        <f t="array" aca="1" ref="AA28" ca="1">INDIRECT("'"&amp;$C$6&amp;"'!"&amp;ADDRESS(ROW(),COLUMN()+44))</f>
        <v>-5.2963823832300916E-2</v>
      </c>
      <c r="AB28" s="14" cm="1">
        <f t="array" aca="1" ref="AB28" ca="1">INDIRECT("'"&amp;$C$6&amp;"'!"&amp;ADDRESS(ROW(),COLUMN()+44))</f>
        <v>-5.1714840979512511E-2</v>
      </c>
      <c r="AD28" s="44"/>
      <c r="AE28" s="44"/>
      <c r="AF28" s="44"/>
      <c r="AG28" s="44"/>
      <c r="AH28" s="44"/>
      <c r="AJ28" s="42">
        <f t="shared" ca="1" si="52"/>
        <v>11.229918360746716</v>
      </c>
      <c r="AK28" s="42">
        <f t="shared" ca="1" si="52"/>
        <v>-4.1632190936891078E-2</v>
      </c>
      <c r="AL28" s="42">
        <f t="shared" ca="1" si="52"/>
        <v>-17.375556015668536</v>
      </c>
      <c r="AM28" s="42">
        <f t="shared" ca="1" si="52"/>
        <v>-18.962767316463847</v>
      </c>
      <c r="AN28" s="42">
        <f t="shared" ca="1" si="52"/>
        <v>-31.452595844347897</v>
      </c>
    </row>
    <row r="29" spans="1:40" collapsed="1" x14ac:dyDescent="0.25">
      <c r="C29" s="3" t="s">
        <v>60</v>
      </c>
      <c r="D29" s="15">
        <f t="shared" ca="1" si="53"/>
        <v>-5.4325839469255399E-2</v>
      </c>
      <c r="E29" s="15">
        <f t="shared" ca="1" si="47"/>
        <v>-5.4628866619567784E-2</v>
      </c>
      <c r="F29" s="15">
        <f t="shared" ca="1" si="47"/>
        <v>-6.028003230616652E-2</v>
      </c>
      <c r="G29" s="15">
        <f t="shared" ca="1" si="47"/>
        <v>-5.3707827508390649E-2</v>
      </c>
      <c r="H29" s="15">
        <f t="shared" ca="1" si="47"/>
        <v>-5.1833749721099442E-2</v>
      </c>
      <c r="I29" s="15">
        <f t="shared" ca="1" si="47"/>
        <v>-4.8749093430785484E-2</v>
      </c>
      <c r="K29" s="44"/>
      <c r="L29" s="44"/>
      <c r="M29" s="44"/>
      <c r="N29" s="44"/>
      <c r="O29" s="44"/>
      <c r="Q29" s="43">
        <f t="shared" ca="1" si="54"/>
        <v>3.0302715031238492</v>
      </c>
      <c r="R29" s="43">
        <f t="shared" ca="1" si="48"/>
        <v>59.541928369111204</v>
      </c>
      <c r="S29" s="43">
        <f t="shared" ca="1" si="49"/>
        <v>-6.1801196086475052</v>
      </c>
      <c r="T29" s="43">
        <f t="shared" ca="1" si="50"/>
        <v>-24.920897481559567</v>
      </c>
      <c r="U29" s="43">
        <f t="shared" ca="1" si="51"/>
        <v>-55.767460384699149</v>
      </c>
      <c r="W29" s="15" cm="1">
        <f t="array" aca="1" ref="W29" ca="1">INDIRECT("'"&amp;$C$6&amp;"'!"&amp;ADDRESS(ROW(),COLUMN()+44))</f>
        <v>-5.6193579220781942E-2</v>
      </c>
      <c r="X29" s="15" cm="1">
        <f t="array" aca="1" ref="X29" ca="1">INDIRECT("'"&amp;$C$6&amp;"'!"&amp;ADDRESS(ROW(),COLUMN()+44))</f>
        <v>-5.6468105076239006E-2</v>
      </c>
      <c r="Y29" s="15" cm="1">
        <f t="array" aca="1" ref="Y29" ca="1">INDIRECT("'"&amp;$C$6&amp;"'!"&amp;ADDRESS(ROW(),COLUMN()+44))</f>
        <v>-5.6197069978914937E-2</v>
      </c>
      <c r="Z29" s="15" cm="1">
        <f t="array" aca="1" ref="Z29" ca="1">INDIRECT("'"&amp;$C$6&amp;"'!"&amp;ADDRESS(ROW(),COLUMN()+44))</f>
        <v>-5.5424677782611509E-2</v>
      </c>
      <c r="AA29" s="15" cm="1">
        <f t="array" aca="1" ref="AA29" ca="1">INDIRECT("'"&amp;$C$6&amp;"'!"&amp;ADDRESS(ROW(),COLUMN()+44))</f>
        <v>-5.3344986576897568E-2</v>
      </c>
      <c r="AB29" s="15" cm="1">
        <f t="array" aca="1" ref="AB29" ca="1">INDIRECT("'"&amp;$C$6&amp;"'!"&amp;ADDRESS(ROW(),COLUMN()+44))</f>
        <v>-5.0042195109231136E-2</v>
      </c>
      <c r="AD29" s="44"/>
      <c r="AE29" s="44"/>
      <c r="AF29" s="44"/>
      <c r="AG29" s="44"/>
      <c r="AH29" s="44"/>
      <c r="AJ29" s="43">
        <f t="shared" ca="1" si="52"/>
        <v>2.7452585545706398</v>
      </c>
      <c r="AK29" s="43">
        <f t="shared" ca="1" si="52"/>
        <v>3.4907581329957083E-2</v>
      </c>
      <c r="AL29" s="43">
        <f t="shared" ca="1" si="52"/>
        <v>-7.6890143817043288</v>
      </c>
      <c r="AM29" s="43">
        <f t="shared" ca="1" si="52"/>
        <v>-28.485926438843734</v>
      </c>
      <c r="AN29" s="43">
        <f t="shared" ca="1" si="52"/>
        <v>-61.513841115508058</v>
      </c>
    </row>
    <row r="32" spans="1:40" hidden="1" outlineLevel="1" x14ac:dyDescent="0.25">
      <c r="A32" s="11"/>
      <c r="C32" s="2" t="s">
        <v>0</v>
      </c>
      <c r="D32" s="14">
        <f ca="1">D20+D26</f>
        <v>1.9984215633707114E-2</v>
      </c>
      <c r="E32" s="14">
        <f t="shared" ref="E32:I32" ca="1" si="55">E20+E26</f>
        <v>1.8673032522401156E-2</v>
      </c>
      <c r="F32" s="14">
        <f t="shared" ca="1" si="55"/>
        <v>1.4379215567066339E-2</v>
      </c>
      <c r="G32" s="14">
        <f t="shared" ca="1" si="55"/>
        <v>2.0002423676379388E-2</v>
      </c>
      <c r="H32" s="14">
        <f t="shared" ca="1" si="55"/>
        <v>2.1706413182431161E-2</v>
      </c>
      <c r="I32" s="14">
        <f t="shared" ca="1" si="55"/>
        <v>2.248276803770799E-2</v>
      </c>
      <c r="K32" s="44"/>
      <c r="L32" s="44"/>
      <c r="M32" s="44"/>
      <c r="N32" s="44"/>
      <c r="O32" s="44"/>
      <c r="Q32" s="42">
        <f ca="1">($D32-E32)*10000</f>
        <v>13.11183111305958</v>
      </c>
      <c r="R32" s="42">
        <f t="shared" ref="R32:R35" ca="1" si="56">($D32-F32)*10000</f>
        <v>56.050000666407755</v>
      </c>
      <c r="S32" s="42">
        <f t="shared" ref="S32:S35" ca="1" si="57">($D32-G32)*10000</f>
        <v>-0.18208042672274161</v>
      </c>
      <c r="T32" s="42">
        <f t="shared" ref="T32:T35" ca="1" si="58">($D32-H32)*10000</f>
        <v>-17.221975487240471</v>
      </c>
      <c r="U32" s="42">
        <f t="shared" ref="U32:U35" ca="1" si="59">($D32-I32)*10000</f>
        <v>-24.985524040008755</v>
      </c>
      <c r="W32" s="14">
        <f ca="1">W20+W26</f>
        <v>1.8266786889425068E-2</v>
      </c>
      <c r="X32" s="14">
        <f t="shared" ref="X32:AB32" ca="1" si="60">X20+X26</f>
        <v>1.7096563192118275E-2</v>
      </c>
      <c r="Y32" s="14">
        <f t="shared" ca="1" si="60"/>
        <v>1.8330499279498813E-2</v>
      </c>
      <c r="Z32" s="14">
        <f t="shared" ca="1" si="60"/>
        <v>1.8530362777922527E-2</v>
      </c>
      <c r="AA32" s="14">
        <f t="shared" ca="1" si="60"/>
        <v>1.9821339323808695E-2</v>
      </c>
      <c r="AB32" s="14">
        <f t="shared" ca="1" si="60"/>
        <v>2.0914892386030948E-2</v>
      </c>
      <c r="AD32" s="44"/>
      <c r="AE32" s="44"/>
      <c r="AF32" s="44"/>
      <c r="AG32" s="44"/>
      <c r="AH32" s="44"/>
      <c r="AJ32" s="42">
        <f t="shared" ref="AJ32:AN35" ca="1" si="61">($W32-X32)*10000</f>
        <v>11.702236973067937</v>
      </c>
      <c r="AK32" s="42">
        <f t="shared" ca="1" si="61"/>
        <v>-0.63712390073744629</v>
      </c>
      <c r="AL32" s="42">
        <f t="shared" ca="1" si="61"/>
        <v>-2.6357588849745817</v>
      </c>
      <c r="AM32" s="42">
        <f t="shared" ca="1" si="61"/>
        <v>-15.54552434383627</v>
      </c>
      <c r="AN32" s="42">
        <f t="shared" ca="1" si="61"/>
        <v>-26.481054966058792</v>
      </c>
    </row>
    <row r="33" spans="1:40" hidden="1" outlineLevel="1" x14ac:dyDescent="0.25">
      <c r="A33" s="11"/>
      <c r="C33" s="2" t="s">
        <v>1</v>
      </c>
      <c r="D33" s="14">
        <f t="shared" ref="D33:I35" ca="1" si="62">D21+D27</f>
        <v>-5.3290649614216479E-2</v>
      </c>
      <c r="E33" s="14">
        <f t="shared" ca="1" si="62"/>
        <v>-5.545106419112722E-2</v>
      </c>
      <c r="F33" s="14">
        <f t="shared" ca="1" si="62"/>
        <v>-5.8217735957201588E-2</v>
      </c>
      <c r="G33" s="14">
        <f t="shared" ca="1" si="62"/>
        <v>-5.0702077707695636E-2</v>
      </c>
      <c r="H33" s="14">
        <f t="shared" ca="1" si="62"/>
        <v>-4.8797725350198995E-2</v>
      </c>
      <c r="I33" s="14">
        <f t="shared" ca="1" si="62"/>
        <v>-4.7853609666115515E-2</v>
      </c>
      <c r="K33" s="44"/>
      <c r="L33" s="44"/>
      <c r="M33" s="44"/>
      <c r="N33" s="44"/>
      <c r="O33" s="44"/>
      <c r="Q33" s="42">
        <f t="shared" ref="Q33:Q35" ca="1" si="63">($D33-E33)*10000</f>
        <v>21.604145769107408</v>
      </c>
      <c r="R33" s="42">
        <f t="shared" ca="1" si="56"/>
        <v>49.270863429851097</v>
      </c>
      <c r="S33" s="42">
        <f t="shared" ca="1" si="57"/>
        <v>-25.885719065208423</v>
      </c>
      <c r="T33" s="42">
        <f t="shared" ca="1" si="58"/>
        <v>-44.929242640174834</v>
      </c>
      <c r="U33" s="42">
        <f t="shared" ca="1" si="59"/>
        <v>-54.370399481009635</v>
      </c>
      <c r="W33" s="14">
        <f t="shared" ref="W33:AB33" ca="1" si="64">W21+W27</f>
        <v>-5.4758313943739534E-2</v>
      </c>
      <c r="X33" s="14">
        <f t="shared" ca="1" si="64"/>
        <v>-5.7133436915243196E-2</v>
      </c>
      <c r="Y33" s="14">
        <f t="shared" ca="1" si="64"/>
        <v>-5.457034882237477E-2</v>
      </c>
      <c r="Z33" s="14">
        <f t="shared" ca="1" si="64"/>
        <v>-5.2077722846431085E-2</v>
      </c>
      <c r="AA33" s="14">
        <f t="shared" ca="1" si="64"/>
        <v>-4.9984859646687418E-2</v>
      </c>
      <c r="AB33" s="14">
        <f t="shared" ca="1" si="64"/>
        <v>-4.9473511864425612E-2</v>
      </c>
      <c r="AD33" s="44"/>
      <c r="AE33" s="44"/>
      <c r="AF33" s="44"/>
      <c r="AG33" s="44"/>
      <c r="AH33" s="44"/>
      <c r="AJ33" s="42">
        <f t="shared" ca="1" si="61"/>
        <v>23.751229715036626</v>
      </c>
      <c r="AK33" s="42">
        <f t="shared" ca="1" si="61"/>
        <v>-1.8796512136476373</v>
      </c>
      <c r="AL33" s="42">
        <f t="shared" ca="1" si="61"/>
        <v>-26.80591097308449</v>
      </c>
      <c r="AM33" s="42">
        <f t="shared" ca="1" si="61"/>
        <v>-47.734542970521154</v>
      </c>
      <c r="AN33" s="42">
        <f t="shared" ca="1" si="61"/>
        <v>-52.848020793139213</v>
      </c>
    </row>
    <row r="34" spans="1:40" hidden="1" outlineLevel="1" x14ac:dyDescent="0.25">
      <c r="A34" s="11"/>
      <c r="C34" s="2" t="s">
        <v>45</v>
      </c>
      <c r="D34" s="14">
        <f t="shared" ca="1" si="62"/>
        <v>5.9063288000192227E-2</v>
      </c>
      <c r="E34" s="14">
        <f t="shared" ca="1" si="62"/>
        <v>6.4953124048361843E-2</v>
      </c>
      <c r="F34" s="14">
        <f t="shared" ca="1" si="62"/>
        <v>3.9328995531019206E-2</v>
      </c>
      <c r="G34" s="14">
        <f t="shared" ca="1" si="62"/>
        <v>6.0717266716811658E-2</v>
      </c>
      <c r="H34" s="14">
        <f t="shared" ca="1" si="62"/>
        <v>5.1590243360628119E-2</v>
      </c>
      <c r="I34" s="14">
        <f t="shared" ca="1" si="62"/>
        <v>5.6207636079518064E-2</v>
      </c>
      <c r="K34" s="44"/>
      <c r="L34" s="44"/>
      <c r="M34" s="44"/>
      <c r="N34" s="44"/>
      <c r="O34" s="44"/>
      <c r="Q34" s="42">
        <f t="shared" ca="1" si="63"/>
        <v>-58.898360481696166</v>
      </c>
      <c r="R34" s="42">
        <f t="shared" ca="1" si="56"/>
        <v>197.34292469173022</v>
      </c>
      <c r="S34" s="42">
        <f t="shared" ca="1" si="57"/>
        <v>-16.539787166194309</v>
      </c>
      <c r="T34" s="42">
        <f t="shared" ca="1" si="58"/>
        <v>74.730446395641081</v>
      </c>
      <c r="U34" s="42">
        <f t="shared" ca="1" si="59"/>
        <v>28.556519206741626</v>
      </c>
      <c r="W34" s="14">
        <f t="shared" ref="W34:AB34" ca="1" si="65">W22+W28</f>
        <v>4.6738726465686886E-2</v>
      </c>
      <c r="X34" s="14">
        <f t="shared" ca="1" si="65"/>
        <v>6.376585222575315E-2</v>
      </c>
      <c r="Y34" s="14">
        <f t="shared" ca="1" si="65"/>
        <v>4.1404881200822086E-2</v>
      </c>
      <c r="Z34" s="14">
        <f t="shared" ca="1" si="65"/>
        <v>5.0964675324780995E-2</v>
      </c>
      <c r="AA34" s="14">
        <f t="shared" ca="1" si="65"/>
        <v>5.0215145187335608E-2</v>
      </c>
      <c r="AB34" s="14">
        <f t="shared" ca="1" si="65"/>
        <v>4.1667185510184224E-2</v>
      </c>
      <c r="AD34" s="44"/>
      <c r="AE34" s="44"/>
      <c r="AF34" s="44"/>
      <c r="AG34" s="44"/>
      <c r="AH34" s="44"/>
      <c r="AJ34" s="42">
        <f t="shared" ca="1" si="61"/>
        <v>-170.27125760066264</v>
      </c>
      <c r="AK34" s="42">
        <f t="shared" ca="1" si="61"/>
        <v>53.338452648648001</v>
      </c>
      <c r="AL34" s="42">
        <f t="shared" ca="1" si="61"/>
        <v>-42.259488590941089</v>
      </c>
      <c r="AM34" s="42">
        <f t="shared" ca="1" si="61"/>
        <v>-34.764187216487215</v>
      </c>
      <c r="AN34" s="42">
        <f t="shared" ca="1" si="61"/>
        <v>50.715409555026625</v>
      </c>
    </row>
    <row r="35" spans="1:40" collapsed="1" x14ac:dyDescent="0.25">
      <c r="C35" s="3" t="s">
        <v>63</v>
      </c>
      <c r="D35" s="15">
        <f t="shared" ca="1" si="62"/>
        <v>2.0916423680953367E-2</v>
      </c>
      <c r="E35" s="15">
        <f t="shared" ca="1" si="62"/>
        <v>1.9922211790491806E-2</v>
      </c>
      <c r="F35" s="15">
        <f t="shared" ca="1" si="62"/>
        <v>1.4928837063891809E-2</v>
      </c>
      <c r="G35" s="15">
        <f t="shared" ca="1" si="62"/>
        <v>2.108581787983721E-2</v>
      </c>
      <c r="H35" s="15">
        <f t="shared" ca="1" si="62"/>
        <v>2.2370287633577401E-2</v>
      </c>
      <c r="I35" s="15">
        <f t="shared" ca="1" si="62"/>
        <v>2.3112692768378906E-2</v>
      </c>
      <c r="K35" s="44"/>
      <c r="L35" s="44"/>
      <c r="M35" s="44"/>
      <c r="N35" s="44"/>
      <c r="O35" s="44"/>
      <c r="Q35" s="43">
        <f t="shared" ca="1" si="63"/>
        <v>9.9421189046156044</v>
      </c>
      <c r="R35" s="43">
        <f t="shared" ca="1" si="56"/>
        <v>59.875866170615581</v>
      </c>
      <c r="S35" s="43">
        <f t="shared" ca="1" si="57"/>
        <v>-1.6939419888384322</v>
      </c>
      <c r="T35" s="43">
        <f t="shared" ca="1" si="58"/>
        <v>-14.538639526240349</v>
      </c>
      <c r="U35" s="43">
        <f t="shared" ca="1" si="59"/>
        <v>-21.962690874255397</v>
      </c>
      <c r="W35" s="15">
        <f t="shared" ref="W35:AB35" ca="1" si="66">W23+W29</f>
        <v>1.8915137033805429E-2</v>
      </c>
      <c r="X35" s="15">
        <f t="shared" ca="1" si="66"/>
        <v>1.8351845792097032E-2</v>
      </c>
      <c r="Y35" s="15">
        <f t="shared" ca="1" si="66"/>
        <v>1.882835764446078E-2</v>
      </c>
      <c r="Z35" s="15">
        <f t="shared" ca="1" si="66"/>
        <v>1.9339683256051732E-2</v>
      </c>
      <c r="AA35" s="15">
        <f t="shared" ca="1" si="66"/>
        <v>2.0499135671319779E-2</v>
      </c>
      <c r="AB35" s="15">
        <f t="shared" ca="1" si="66"/>
        <v>2.1202612523412157E-2</v>
      </c>
      <c r="AD35" s="44"/>
      <c r="AE35" s="44"/>
      <c r="AF35" s="44"/>
      <c r="AG35" s="44"/>
      <c r="AH35" s="44"/>
      <c r="AJ35" s="43">
        <f t="shared" ca="1" si="61"/>
        <v>5.6329124170839684</v>
      </c>
      <c r="AK35" s="43">
        <f t="shared" ca="1" si="61"/>
        <v>0.86779389344648905</v>
      </c>
      <c r="AL35" s="43">
        <f t="shared" ca="1" si="61"/>
        <v>-4.2454622224630256</v>
      </c>
      <c r="AM35" s="43">
        <f t="shared" ca="1" si="61"/>
        <v>-15.8399863751435</v>
      </c>
      <c r="AN35" s="43">
        <f t="shared" ca="1" si="61"/>
        <v>-22.874754896067273</v>
      </c>
    </row>
    <row r="38" spans="1:40" hidden="1" outlineLevel="1" x14ac:dyDescent="0.25">
      <c r="A38" s="11" t="s">
        <v>55</v>
      </c>
      <c r="C38" s="2" t="s">
        <v>0</v>
      </c>
      <c r="D38" s="8" cm="1">
        <f t="array" aca="1" ref="D38" ca="1">_xlfn.XLOOKUP(1,
 (INDIRECT("'"&amp;$C$6&amp;"'!$6:$6")=D$6)*
 (INDIRECT("'"&amp;$C$6&amp;"'!$5:$5")=D$5),
 INDIRECT("'"&amp;$C$6&amp;"'!"&amp;ROW()&amp;":"&amp;ROW())
)</f>
        <v>70941.128941929986</v>
      </c>
      <c r="E38" s="8" cm="1">
        <f t="array" aca="1" ref="E38" ca="1">_xlfn.XLOOKUP(1,
 (INDIRECT("'"&amp;$C$6&amp;"'!$6:$6")=E$6)*
 (INDIRECT("'"&amp;$C$6&amp;"'!$5:$5")=E$5),
 INDIRECT("'"&amp;$C$6&amp;"'!"&amp;ROW()&amp;":"&amp;ROW())
)</f>
        <v>69331.581201752662</v>
      </c>
      <c r="F38" s="8" cm="1">
        <f t="array" aca="1" ref="F38" ca="1">_xlfn.XLOOKUP(1,
 (INDIRECT("'"&amp;$C$6&amp;"'!$6:$6")=F$6)*
 (INDIRECT("'"&amp;$C$6&amp;"'!$5:$5")=F$5),
 INDIRECT("'"&amp;$C$6&amp;"'!"&amp;ROW()&amp;":"&amp;ROW())
)</f>
        <v>63928.75960042001</v>
      </c>
      <c r="G38" s="8" cm="1">
        <f t="array" aca="1" ref="G38" ca="1">_xlfn.XLOOKUP(1,
 (INDIRECT("'"&amp;$C$6&amp;"'!$6:$6")=G$6)*
 (INDIRECT("'"&amp;$C$6&amp;"'!$5:$5")=G$5),
 INDIRECT("'"&amp;$C$6&amp;"'!"&amp;ROW()&amp;":"&amp;ROW())
)</f>
        <v>64782.91250631</v>
      </c>
      <c r="H38" s="8" cm="1">
        <f t="array" aca="1" ref="H38" ca="1">_xlfn.XLOOKUP(1,
 (INDIRECT("'"&amp;$C$6&amp;"'!$6:$6")=H$6)*
 (INDIRECT("'"&amp;$C$6&amp;"'!$5:$5")=H$5),
 INDIRECT("'"&amp;$C$6&amp;"'!"&amp;ROW()&amp;":"&amp;ROW())
)</f>
        <v>60393.993322369999</v>
      </c>
      <c r="I38" s="8" cm="1">
        <f t="array" aca="1" ref="I38" ca="1">_xlfn.XLOOKUP(1,
 (INDIRECT("'"&amp;$C$6&amp;"'!$6:$6")=I$6)*
 (INDIRECT("'"&amp;$C$6&amp;"'!$5:$5")=I$5),
 INDIRECT("'"&amp;$C$6&amp;"'!"&amp;ROW()&amp;":"&amp;ROW())
)</f>
        <v>55428.295594479998</v>
      </c>
      <c r="K38" s="34">
        <f ca="1">$D38-E38</f>
        <v>1609.5477401773242</v>
      </c>
      <c r="L38" s="34">
        <f t="shared" ref="L38:L41" ca="1" si="67">$D38-F38</f>
        <v>7012.3693415099769</v>
      </c>
      <c r="M38" s="34">
        <f t="shared" ref="M38:M41" ca="1" si="68">$D38-G38</f>
        <v>6158.2164356199864</v>
      </c>
      <c r="N38" s="34">
        <f t="shared" ref="N38:N41" ca="1" si="69">$D38-H38</f>
        <v>10547.135619559987</v>
      </c>
      <c r="O38" s="34">
        <f t="shared" ref="O38:O41" ca="1" si="70">$D38-I38</f>
        <v>15512.833347449989</v>
      </c>
      <c r="Q38" s="36">
        <f ca="1">IFERROR($D38/E38-1,0)</f>
        <v>2.3215217542689404E-2</v>
      </c>
      <c r="R38" s="36">
        <f t="shared" ref="R38:R41" ca="1" si="71">IFERROR($D38/F38-1,0)</f>
        <v>0.1096903707398682</v>
      </c>
      <c r="S38" s="36">
        <f t="shared" ref="S38:S41" ca="1" si="72">IFERROR($D38/G38-1,0)</f>
        <v>9.5059270992488454E-2</v>
      </c>
      <c r="T38" s="36">
        <f t="shared" ref="T38:T41" ca="1" si="73">IFERROR($D38/H38-1,0)</f>
        <v>0.17463881818944604</v>
      </c>
      <c r="U38" s="36">
        <f t="shared" ref="U38:U41" ca="1" si="74">IFERROR($D38/I38-1,0)</f>
        <v>0.27987209747425257</v>
      </c>
      <c r="W38" s="8" cm="1">
        <f t="array" aca="1" ref="W38" ca="1">INDIRECT("'"&amp;$C$6&amp;"'!"&amp;ADDRESS(ROW(),COLUMN()+44))</f>
        <v>204971.59293503998</v>
      </c>
      <c r="X38" s="8" cm="1">
        <f t="array" aca="1" ref="X38" ca="1">INDIRECT("'"&amp;$C$6&amp;"'!"&amp;ADDRESS(ROW(),COLUMN()+44))</f>
        <v>201100.6067284618</v>
      </c>
      <c r="Y38" s="8" cm="1">
        <f t="array" aca="1" ref="Y38" ca="1">INDIRECT("'"&amp;$C$6&amp;"'!"&amp;ADDRESS(ROW(),COLUMN()+44))</f>
        <v>134030.46399311</v>
      </c>
      <c r="Z38" s="8" cm="1">
        <f t="array" aca="1" ref="Z38" ca="1">INDIRECT("'"&amp;$C$6&amp;"'!"&amp;ADDRESS(ROW(),COLUMN()+44))</f>
        <v>187711.56865459</v>
      </c>
      <c r="AA38" s="8" cm="1">
        <f t="array" aca="1" ref="AA38" ca="1">INDIRECT("'"&amp;$C$6&amp;"'!"&amp;ADDRESS(ROW(),COLUMN()+44))</f>
        <v>175489.40725820998</v>
      </c>
      <c r="AB38" s="8" cm="1">
        <f t="array" aca="1" ref="AB38" ca="1">INDIRECT("'"&amp;$C$6&amp;"'!"&amp;ADDRESS(ROW(),COLUMN()+44))</f>
        <v>159684.98778333</v>
      </c>
      <c r="AD38" s="34">
        <f t="shared" ref="AD38:AH41" ca="1" si="75">$W38-X38</f>
        <v>3870.9862065781781</v>
      </c>
      <c r="AE38" s="34">
        <f t="shared" ca="1" si="75"/>
        <v>70941.128941929986</v>
      </c>
      <c r="AF38" s="34">
        <f t="shared" ca="1" si="75"/>
        <v>17260.024280449987</v>
      </c>
      <c r="AG38" s="34">
        <f t="shared" ca="1" si="75"/>
        <v>29482.185676830006</v>
      </c>
      <c r="AH38" s="34">
        <f t="shared" ca="1" si="75"/>
        <v>45286.605151709984</v>
      </c>
      <c r="AJ38" s="36">
        <f t="shared" ref="AJ38:AN41" ca="1" si="76">IFERROR($W38/X38-1,0)</f>
        <v>1.9249003121134312E-2</v>
      </c>
      <c r="AK38" s="36">
        <f t="shared" ca="1" si="76"/>
        <v>0.5292910792696861</v>
      </c>
      <c r="AL38" s="36">
        <f t="shared" ca="1" si="76"/>
        <v>9.1949709888208053E-2</v>
      </c>
      <c r="AM38" s="36">
        <f t="shared" ca="1" si="76"/>
        <v>0.16799980202480702</v>
      </c>
      <c r="AN38" s="36">
        <f t="shared" ca="1" si="76"/>
        <v>0.28359964064472676</v>
      </c>
    </row>
    <row r="39" spans="1:40" hidden="1" outlineLevel="1" x14ac:dyDescent="0.25">
      <c r="A39" s="11" t="s">
        <v>55</v>
      </c>
      <c r="C39" s="2" t="s">
        <v>1</v>
      </c>
      <c r="D39" s="8" cm="1">
        <f t="array" aca="1" ref="D39" ca="1">_xlfn.XLOOKUP(1,
 (INDIRECT("'"&amp;$C$6&amp;"'!$6:$6")=D$6)*
 (INDIRECT("'"&amp;$C$6&amp;"'!$5:$5")=D$5),
 INDIRECT("'"&amp;$C$6&amp;"'!"&amp;ROW()&amp;":"&amp;ROW())
)</f>
        <v>0</v>
      </c>
      <c r="E39" s="8" cm="1">
        <f t="array" aca="1" ref="E39" ca="1">_xlfn.XLOOKUP(1,
 (INDIRECT("'"&amp;$C$6&amp;"'!$6:$6")=E$6)*
 (INDIRECT("'"&amp;$C$6&amp;"'!$5:$5")=E$5),
 INDIRECT("'"&amp;$C$6&amp;"'!"&amp;ROW()&amp;":"&amp;ROW())
)</f>
        <v>0</v>
      </c>
      <c r="F39" s="8" cm="1">
        <f t="array" aca="1" ref="F39" ca="1">_xlfn.XLOOKUP(1,
 (INDIRECT("'"&amp;$C$6&amp;"'!$6:$6")=F$6)*
 (INDIRECT("'"&amp;$C$6&amp;"'!$5:$5")=F$5),
 INDIRECT("'"&amp;$C$6&amp;"'!"&amp;ROW()&amp;":"&amp;ROW())
)</f>
        <v>0</v>
      </c>
      <c r="G39" s="8" cm="1">
        <f t="array" aca="1" ref="G39" ca="1">_xlfn.XLOOKUP(1,
 (INDIRECT("'"&amp;$C$6&amp;"'!$6:$6")=G$6)*
 (INDIRECT("'"&amp;$C$6&amp;"'!$5:$5")=G$5),
 INDIRECT("'"&amp;$C$6&amp;"'!"&amp;ROW()&amp;":"&amp;ROW())
)</f>
        <v>0</v>
      </c>
      <c r="H39" s="8" cm="1">
        <f t="array" aca="1" ref="H39" ca="1">_xlfn.XLOOKUP(1,
 (INDIRECT("'"&amp;$C$6&amp;"'!$6:$6")=H$6)*
 (INDIRECT("'"&amp;$C$6&amp;"'!$5:$5")=H$5),
 INDIRECT("'"&amp;$C$6&amp;"'!"&amp;ROW()&amp;":"&amp;ROW())
)</f>
        <v>0</v>
      </c>
      <c r="I39" s="8" cm="1">
        <f t="array" aca="1" ref="I39" ca="1">_xlfn.XLOOKUP(1,
 (INDIRECT("'"&amp;$C$6&amp;"'!$6:$6")=I$6)*
 (INDIRECT("'"&amp;$C$6&amp;"'!$5:$5")=I$5),
 INDIRECT("'"&amp;$C$6&amp;"'!"&amp;ROW()&amp;":"&amp;ROW())
)</f>
        <v>0</v>
      </c>
      <c r="K39" s="34">
        <f t="shared" ref="K39:K41" ca="1" si="77">$D39-E39</f>
        <v>0</v>
      </c>
      <c r="L39" s="34">
        <f t="shared" ca="1" si="67"/>
        <v>0</v>
      </c>
      <c r="M39" s="34">
        <f t="shared" ca="1" si="68"/>
        <v>0</v>
      </c>
      <c r="N39" s="34">
        <f t="shared" ca="1" si="69"/>
        <v>0</v>
      </c>
      <c r="O39" s="34">
        <f t="shared" ca="1" si="70"/>
        <v>0</v>
      </c>
      <c r="Q39" s="36">
        <f t="shared" ref="Q39:Q41" ca="1" si="78">IFERROR($D39/E39-1,0)</f>
        <v>0</v>
      </c>
      <c r="R39" s="36">
        <f t="shared" ca="1" si="71"/>
        <v>0</v>
      </c>
      <c r="S39" s="36">
        <f t="shared" ca="1" si="72"/>
        <v>0</v>
      </c>
      <c r="T39" s="36">
        <f t="shared" ca="1" si="73"/>
        <v>0</v>
      </c>
      <c r="U39" s="36">
        <f t="shared" ca="1" si="74"/>
        <v>0</v>
      </c>
      <c r="W39" s="8" cm="1">
        <f t="array" aca="1" ref="W39" ca="1">INDIRECT("'"&amp;$C$6&amp;"'!"&amp;ADDRESS(ROW(),COLUMN()+44))</f>
        <v>0</v>
      </c>
      <c r="X39" s="8" cm="1">
        <f t="array" aca="1" ref="X39" ca="1">INDIRECT("'"&amp;$C$6&amp;"'!"&amp;ADDRESS(ROW(),COLUMN()+44))</f>
        <v>0</v>
      </c>
      <c r="Y39" s="8" cm="1">
        <f t="array" aca="1" ref="Y39" ca="1">INDIRECT("'"&amp;$C$6&amp;"'!"&amp;ADDRESS(ROW(),COLUMN()+44))</f>
        <v>0</v>
      </c>
      <c r="Z39" s="8" cm="1">
        <f t="array" aca="1" ref="Z39" ca="1">INDIRECT("'"&amp;$C$6&amp;"'!"&amp;ADDRESS(ROW(),COLUMN()+44))</f>
        <v>0</v>
      </c>
      <c r="AA39" s="8" cm="1">
        <f t="array" aca="1" ref="AA39" ca="1">INDIRECT("'"&amp;$C$6&amp;"'!"&amp;ADDRESS(ROW(),COLUMN()+44))</f>
        <v>0</v>
      </c>
      <c r="AB39" s="8" cm="1">
        <f t="array" aca="1" ref="AB39" ca="1">INDIRECT("'"&amp;$C$6&amp;"'!"&amp;ADDRESS(ROW(),COLUMN()+44))</f>
        <v>0</v>
      </c>
      <c r="AD39" s="34">
        <f t="shared" ca="1" si="75"/>
        <v>0</v>
      </c>
      <c r="AE39" s="34">
        <f t="shared" ca="1" si="75"/>
        <v>0</v>
      </c>
      <c r="AF39" s="34">
        <f t="shared" ca="1" si="75"/>
        <v>0</v>
      </c>
      <c r="AG39" s="34">
        <f t="shared" ca="1" si="75"/>
        <v>0</v>
      </c>
      <c r="AH39" s="34">
        <f t="shared" ca="1" si="75"/>
        <v>0</v>
      </c>
      <c r="AJ39" s="36">
        <f t="shared" ca="1" si="76"/>
        <v>0</v>
      </c>
      <c r="AK39" s="36">
        <f t="shared" ca="1" si="76"/>
        <v>0</v>
      </c>
      <c r="AL39" s="36">
        <f t="shared" ca="1" si="76"/>
        <v>0</v>
      </c>
      <c r="AM39" s="36">
        <f t="shared" ca="1" si="76"/>
        <v>0</v>
      </c>
      <c r="AN39" s="36">
        <f t="shared" ca="1" si="76"/>
        <v>0</v>
      </c>
    </row>
    <row r="40" spans="1:40" hidden="1" outlineLevel="1" x14ac:dyDescent="0.25">
      <c r="A40" s="11" t="s">
        <v>55</v>
      </c>
      <c r="C40" s="2" t="s">
        <v>45</v>
      </c>
      <c r="D40" s="8" cm="1">
        <f t="array" aca="1" ref="D40" ca="1">_xlfn.XLOOKUP(1,
 (INDIRECT("'"&amp;$C$6&amp;"'!$6:$6")=D$6)*
 (INDIRECT("'"&amp;$C$6&amp;"'!$5:$5")=D$5),
 INDIRECT("'"&amp;$C$6&amp;"'!"&amp;ROW()&amp;":"&amp;ROW())
)</f>
        <v>3244.4283465299995</v>
      </c>
      <c r="E40" s="8" cm="1">
        <f t="array" aca="1" ref="E40" ca="1">_xlfn.XLOOKUP(1,
 (INDIRECT("'"&amp;$C$6&amp;"'!$6:$6")=E$6)*
 (INDIRECT("'"&amp;$C$6&amp;"'!$5:$5")=E$5),
 INDIRECT("'"&amp;$C$6&amp;"'!"&amp;ROW()&amp;":"&amp;ROW())
)</f>
        <v>3627.0600051209385</v>
      </c>
      <c r="F40" s="8" cm="1">
        <f t="array" aca="1" ref="F40" ca="1">_xlfn.XLOOKUP(1,
 (INDIRECT("'"&amp;$C$6&amp;"'!$6:$6")=F$6)*
 (INDIRECT("'"&amp;$C$6&amp;"'!$5:$5")=F$5),
 INDIRECT("'"&amp;$C$6&amp;"'!"&amp;ROW()&amp;":"&amp;ROW())
)</f>
        <v>2614.032882160001</v>
      </c>
      <c r="G40" s="8" cm="1">
        <f t="array" aca="1" ref="G40" ca="1">_xlfn.XLOOKUP(1,
 (INDIRECT("'"&amp;$C$6&amp;"'!$6:$6")=G$6)*
 (INDIRECT("'"&amp;$C$6&amp;"'!$5:$5")=G$5),
 INDIRECT("'"&amp;$C$6&amp;"'!"&amp;ROW()&amp;":"&amp;ROW())
)</f>
        <v>3160.6668195500001</v>
      </c>
      <c r="H40" s="8" cm="1">
        <f t="array" aca="1" ref="H40" ca="1">_xlfn.XLOOKUP(1,
 (INDIRECT("'"&amp;$C$6&amp;"'!$6:$6")=H$6)*
 (INDIRECT("'"&amp;$C$6&amp;"'!$5:$5")=H$5),
 INDIRECT("'"&amp;$C$6&amp;"'!"&amp;ROW()&amp;":"&amp;ROW())
)</f>
        <v>2603.5219857699999</v>
      </c>
      <c r="I40" s="8" cm="1">
        <f t="array" aca="1" ref="I40" ca="1">_xlfn.XLOOKUP(1,
 (INDIRECT("'"&amp;$C$6&amp;"'!$6:$6")=I$6)*
 (INDIRECT("'"&amp;$C$6&amp;"'!$5:$5")=I$5),
 INDIRECT("'"&amp;$C$6&amp;"'!"&amp;ROW()&amp;":"&amp;ROW())
)</f>
        <v>2237.3082090600005</v>
      </c>
      <c r="K40" s="34">
        <f t="shared" ca="1" si="77"/>
        <v>-382.63165859093897</v>
      </c>
      <c r="L40" s="34">
        <f t="shared" ca="1" si="67"/>
        <v>630.39546436999854</v>
      </c>
      <c r="M40" s="34">
        <f t="shared" ca="1" si="68"/>
        <v>83.761526979999417</v>
      </c>
      <c r="N40" s="34">
        <f t="shared" ca="1" si="69"/>
        <v>640.90636075999964</v>
      </c>
      <c r="O40" s="34">
        <f t="shared" ca="1" si="70"/>
        <v>1007.120137469999</v>
      </c>
      <c r="Q40" s="36">
        <f t="shared" ca="1" si="78"/>
        <v>-0.10549361136863267</v>
      </c>
      <c r="R40" s="36">
        <f t="shared" ca="1" si="71"/>
        <v>0.24115819991104948</v>
      </c>
      <c r="S40" s="36">
        <f t="shared" ca="1" si="72"/>
        <v>2.6501220078592347E-2</v>
      </c>
      <c r="T40" s="36">
        <f t="shared" ca="1" si="73"/>
        <v>0.24616898350118976</v>
      </c>
      <c r="U40" s="36">
        <f t="shared" ca="1" si="74"/>
        <v>0.45014814382375068</v>
      </c>
      <c r="W40" s="8" cm="1">
        <f t="array" aca="1" ref="W40" ca="1">INDIRECT("'"&amp;$C$6&amp;"'!"&amp;ADDRESS(ROW(),COLUMN()+44))</f>
        <v>8695.8403515200007</v>
      </c>
      <c r="X40" s="8" cm="1">
        <f t="array" aca="1" ref="X40" ca="1">INDIRECT("'"&amp;$C$6&amp;"'!"&amp;ADDRESS(ROW(),COLUMN()+44))</f>
        <v>10504.799006149078</v>
      </c>
      <c r="Y40" s="8" cm="1">
        <f t="array" aca="1" ref="Y40" ca="1">INDIRECT("'"&amp;$C$6&amp;"'!"&amp;ADDRESS(ROW(),COLUMN()+44))</f>
        <v>5451.4120049900012</v>
      </c>
      <c r="Z40" s="8" cm="1">
        <f t="array" aca="1" ref="Z40" ca="1">INDIRECT("'"&amp;$C$6&amp;"'!"&amp;ADDRESS(ROW(),COLUMN()+44))</f>
        <v>8475.6998186199999</v>
      </c>
      <c r="AA40" s="8" cm="1">
        <f t="array" aca="1" ref="AA40" ca="1">INDIRECT("'"&amp;$C$6&amp;"'!"&amp;ADDRESS(ROW(),COLUMN()+44))</f>
        <v>7578.7646838799992</v>
      </c>
      <c r="AB40" s="8" cm="1">
        <f t="array" aca="1" ref="AB40" ca="1">INDIRECT("'"&amp;$C$6&amp;"'!"&amp;ADDRESS(ROW(),COLUMN()+44))</f>
        <v>5656.6817380299999</v>
      </c>
      <c r="AD40" s="34">
        <f t="shared" ca="1" si="75"/>
        <v>-1808.9586546290775</v>
      </c>
      <c r="AE40" s="34">
        <f t="shared" ca="1" si="75"/>
        <v>3244.4283465299995</v>
      </c>
      <c r="AF40" s="34">
        <f t="shared" ca="1" si="75"/>
        <v>220.14053290000084</v>
      </c>
      <c r="AG40" s="34">
        <f t="shared" ca="1" si="75"/>
        <v>1117.0756676400015</v>
      </c>
      <c r="AH40" s="34">
        <f t="shared" ca="1" si="75"/>
        <v>3039.1586134900008</v>
      </c>
      <c r="AJ40" s="36">
        <f t="shared" ca="1" si="76"/>
        <v>-0.17220307152666003</v>
      </c>
      <c r="AK40" s="36">
        <f t="shared" ca="1" si="76"/>
        <v>0.59515375898210987</v>
      </c>
      <c r="AL40" s="36">
        <f t="shared" ca="1" si="76"/>
        <v>2.5973139399814604E-2</v>
      </c>
      <c r="AM40" s="36">
        <f t="shared" ca="1" si="76"/>
        <v>0.14739548122084023</v>
      </c>
      <c r="AN40" s="36">
        <f t="shared" ca="1" si="76"/>
        <v>0.5372688007277604</v>
      </c>
    </row>
    <row r="41" spans="1:40" collapsed="1" x14ac:dyDescent="0.25">
      <c r="C41" s="3" t="s">
        <v>57</v>
      </c>
      <c r="D41" s="10">
        <f ca="1">SUM(D38:D40)</f>
        <v>74185.557288459982</v>
      </c>
      <c r="E41" s="10">
        <f t="shared" ref="E41:I41" ca="1" si="79">SUM(E38:E40)</f>
        <v>72958.641206873595</v>
      </c>
      <c r="F41" s="10">
        <f t="shared" ca="1" si="79"/>
        <v>66542.792482580015</v>
      </c>
      <c r="G41" s="10">
        <f t="shared" ca="1" si="79"/>
        <v>67943.579325860002</v>
      </c>
      <c r="H41" s="10">
        <f t="shared" ca="1" si="79"/>
        <v>62997.515308139999</v>
      </c>
      <c r="I41" s="10">
        <f t="shared" ca="1" si="79"/>
        <v>57665.603803539998</v>
      </c>
      <c r="K41" s="35">
        <f t="shared" ca="1" si="77"/>
        <v>1226.916081586387</v>
      </c>
      <c r="L41" s="35">
        <f t="shared" ca="1" si="67"/>
        <v>7642.7648058799678</v>
      </c>
      <c r="M41" s="35">
        <f t="shared" ca="1" si="68"/>
        <v>6241.9779625999799</v>
      </c>
      <c r="N41" s="35">
        <f t="shared" ca="1" si="69"/>
        <v>11188.041980319984</v>
      </c>
      <c r="O41" s="35">
        <f t="shared" ca="1" si="70"/>
        <v>16519.953484919984</v>
      </c>
      <c r="Q41" s="37">
        <f t="shared" ca="1" si="78"/>
        <v>1.6816597202070627E-2</v>
      </c>
      <c r="R41" s="37">
        <f t="shared" ca="1" si="71"/>
        <v>0.11485488541648947</v>
      </c>
      <c r="S41" s="37">
        <f t="shared" ca="1" si="72"/>
        <v>9.1870019574082473E-2</v>
      </c>
      <c r="T41" s="37">
        <f t="shared" ca="1" si="73"/>
        <v>0.17759497220796527</v>
      </c>
      <c r="U41" s="37">
        <f t="shared" ca="1" si="74"/>
        <v>0.28647846194763771</v>
      </c>
      <c r="W41" s="10">
        <f ca="1">SUM(W38:W40)</f>
        <v>213667.43328655997</v>
      </c>
      <c r="X41" s="10">
        <f t="shared" ref="X41" ca="1" si="80">SUM(X38:X40)</f>
        <v>211605.40573461089</v>
      </c>
      <c r="Y41" s="10">
        <f t="shared" ref="Y41" ca="1" si="81">SUM(Y38:Y40)</f>
        <v>139481.8759981</v>
      </c>
      <c r="Z41" s="10">
        <f t="shared" ref="Z41" ca="1" si="82">SUM(Z38:Z40)</f>
        <v>196187.26847320999</v>
      </c>
      <c r="AA41" s="10">
        <f t="shared" ref="AA41" ca="1" si="83">SUM(AA38:AA40)</f>
        <v>183068.17194208998</v>
      </c>
      <c r="AB41" s="10">
        <f t="shared" ref="AB41" ca="1" si="84">SUM(AB38:AB40)</f>
        <v>165341.66952135999</v>
      </c>
      <c r="AD41" s="35">
        <f t="shared" ca="1" si="75"/>
        <v>2062.0275519490824</v>
      </c>
      <c r="AE41" s="35">
        <f t="shared" ca="1" si="75"/>
        <v>74185.557288459968</v>
      </c>
      <c r="AF41" s="35">
        <f t="shared" ca="1" si="75"/>
        <v>17480.164813349984</v>
      </c>
      <c r="AG41" s="35">
        <f t="shared" ca="1" si="75"/>
        <v>30599.261344469996</v>
      </c>
      <c r="AH41" s="35">
        <f t="shared" ca="1" si="75"/>
        <v>48325.763765199983</v>
      </c>
      <c r="AJ41" s="37">
        <f t="shared" ca="1" si="76"/>
        <v>9.7446827730629515E-3</v>
      </c>
      <c r="AK41" s="37">
        <f t="shared" ca="1" si="76"/>
        <v>0.53186521014006516</v>
      </c>
      <c r="AL41" s="37">
        <f t="shared" ca="1" si="76"/>
        <v>8.9099384222972366E-2</v>
      </c>
      <c r="AM41" s="37">
        <f t="shared" ca="1" si="76"/>
        <v>0.16714681214028548</v>
      </c>
      <c r="AN41" s="37">
        <f t="shared" ca="1" si="76"/>
        <v>0.29227818918906534</v>
      </c>
    </row>
    <row r="44" spans="1:40" hidden="1" outlineLevel="1" x14ac:dyDescent="0.25">
      <c r="A44" s="11" t="s">
        <v>50</v>
      </c>
      <c r="C44" s="2" t="s">
        <v>0</v>
      </c>
      <c r="D44" s="8" cm="1">
        <f t="array" aca="1" ref="D44" ca="1">_xlfn.XLOOKUP(1,
 (INDIRECT("'"&amp;$C$6&amp;"'!$6:$6")=D$6)*
 (INDIRECT("'"&amp;$C$6&amp;"'!$5:$5")=D$5),
 INDIRECT("'"&amp;$C$6&amp;"'!"&amp;ROW()&amp;":"&amp;ROW())
)</f>
        <v>-52325.8199465</v>
      </c>
      <c r="E44" s="8" cm="1">
        <f t="array" aca="1" ref="E44" ca="1">_xlfn.XLOOKUP(1,
 (INDIRECT("'"&amp;$C$6&amp;"'!$6:$6")=E$6)*
 (INDIRECT("'"&amp;$C$6&amp;"'!$5:$5")=E$5),
 INDIRECT("'"&amp;$C$6&amp;"'!"&amp;ROW()&amp;":"&amp;ROW())
)</f>
        <v>-52094.537955665888</v>
      </c>
      <c r="F44" s="8" cm="1">
        <f t="array" aca="1" ref="F44" ca="1">_xlfn.XLOOKUP(1,
 (INDIRECT("'"&amp;$C$6&amp;"'!$6:$6")=F$6)*
 (INDIRECT("'"&amp;$C$6&amp;"'!$5:$5")=F$5),
 INDIRECT("'"&amp;$C$6&amp;"'!"&amp;ROW()&amp;":"&amp;ROW())
)</f>
        <v>-51950.602752619998</v>
      </c>
      <c r="G44" s="8" cm="1">
        <f t="array" aca="1" ref="G44" ca="1">_xlfn.XLOOKUP(1,
 (INDIRECT("'"&amp;$C$6&amp;"'!$6:$6")=G$6)*
 (INDIRECT("'"&amp;$C$6&amp;"'!$5:$5")=G$5),
 INDIRECT("'"&amp;$C$6&amp;"'!"&amp;ROW()&amp;":"&amp;ROW())
)</f>
        <v>-47644.453961220017</v>
      </c>
      <c r="H44" s="8" cm="1">
        <f t="array" aca="1" ref="H44" ca="1">_xlfn.XLOOKUP(1,
 (INDIRECT("'"&amp;$C$6&amp;"'!$6:$6")=H$6)*
 (INDIRECT("'"&amp;$C$6&amp;"'!$5:$5")=H$5),
 INDIRECT("'"&amp;$C$6&amp;"'!"&amp;ROW()&amp;":"&amp;ROW())
)</f>
        <v>-42975.828029239987</v>
      </c>
      <c r="I44" s="8" cm="1">
        <f t="array" aca="1" ref="I44" ca="1">_xlfn.XLOOKUP(1,
 (INDIRECT("'"&amp;$C$6&amp;"'!$6:$6")=I$6)*
 (INDIRECT("'"&amp;$C$6&amp;"'!$5:$5")=I$5),
 INDIRECT("'"&amp;$C$6&amp;"'!"&amp;ROW()&amp;":"&amp;ROW())
)</f>
        <v>-38298.554916799992</v>
      </c>
      <c r="K44" s="34">
        <f ca="1">$D44-E44</f>
        <v>-231.28199083411164</v>
      </c>
      <c r="L44" s="34">
        <f t="shared" ref="L44:L47" ca="1" si="85">$D44-F44</f>
        <v>-375.21719388000201</v>
      </c>
      <c r="M44" s="34">
        <f t="shared" ref="M44:M47" ca="1" si="86">$D44-G44</f>
        <v>-4681.3659852799829</v>
      </c>
      <c r="N44" s="34">
        <f t="shared" ref="N44:N47" ca="1" si="87">$D44-H44</f>
        <v>-9349.991917260013</v>
      </c>
      <c r="O44" s="34">
        <f t="shared" ref="O44:O47" ca="1" si="88">$D44-I44</f>
        <v>-14027.265029700007</v>
      </c>
      <c r="Q44" s="36">
        <f ca="1">IFERROR($D44/E44-1,0)</f>
        <v>4.4396591257021001E-3</v>
      </c>
      <c r="R44" s="36">
        <f t="shared" ref="R44:R47" ca="1" si="89">IFERROR($D44/F44-1,0)</f>
        <v>7.2225763321116521E-3</v>
      </c>
      <c r="S44" s="36">
        <f t="shared" ref="S44:S47" ca="1" si="90">IFERROR($D44/G44-1,0)</f>
        <v>9.8256262714026654E-2</v>
      </c>
      <c r="T44" s="36">
        <f t="shared" ref="T44:T47" ca="1" si="91">IFERROR($D44/H44-1,0)</f>
        <v>0.21756397365743463</v>
      </c>
      <c r="U44" s="36">
        <f t="shared" ref="U44:U47" ca="1" si="92">IFERROR($D44/I44-1,0)</f>
        <v>0.36626094796978426</v>
      </c>
      <c r="W44" s="8" cm="1">
        <f t="array" aca="1" ref="W44" ca="1">INDIRECT("'"&amp;$C$6&amp;"'!"&amp;ADDRESS(ROW(),COLUMN()+44))</f>
        <v>-155953.29547792999</v>
      </c>
      <c r="X44" s="8" cm="1">
        <f t="array" aca="1" ref="X44" ca="1">INDIRECT("'"&amp;$C$6&amp;"'!"&amp;ADDRESS(ROW(),COLUMN()+44))</f>
        <v>-155526.46373793675</v>
      </c>
      <c r="Y44" s="8" cm="1">
        <f t="array" aca="1" ref="Y44" ca="1">INDIRECT("'"&amp;$C$6&amp;"'!"&amp;ADDRESS(ROW(),COLUMN()+44))</f>
        <v>-103627.47553142998</v>
      </c>
      <c r="Z44" s="8" cm="1">
        <f t="array" aca="1" ref="Z44" ca="1">INDIRECT("'"&amp;$C$6&amp;"'!"&amp;ADDRESS(ROW(),COLUMN()+44))</f>
        <v>-141871.55818035002</v>
      </c>
      <c r="AA44" s="8" cm="1">
        <f t="array" aca="1" ref="AA44" ca="1">INDIRECT("'"&amp;$C$6&amp;"'!"&amp;ADDRESS(ROW(),COLUMN()+44))</f>
        <v>-127650.28795547999</v>
      </c>
      <c r="AB44" s="8" cm="1">
        <f t="array" aca="1" ref="AB44" ca="1">INDIRECT("'"&amp;$C$6&amp;"'!"&amp;ADDRESS(ROW(),COLUMN()+44))</f>
        <v>-113621.67513362999</v>
      </c>
      <c r="AD44" s="34">
        <f t="shared" ref="AD44:AH47" ca="1" si="93">$W44-X44</f>
        <v>-426.83173999324208</v>
      </c>
      <c r="AE44" s="34">
        <f t="shared" ca="1" si="93"/>
        <v>-52325.819946500007</v>
      </c>
      <c r="AF44" s="34">
        <f t="shared" ca="1" si="93"/>
        <v>-14081.737297579966</v>
      </c>
      <c r="AG44" s="34">
        <f t="shared" ca="1" si="93"/>
        <v>-28303.007522450003</v>
      </c>
      <c r="AH44" s="34">
        <f t="shared" ca="1" si="93"/>
        <v>-42331.620344299998</v>
      </c>
      <c r="AJ44" s="36">
        <f t="shared" ref="AJ44:AN47" ca="1" si="94">IFERROR($W44/X44-1,0)</f>
        <v>2.7444315889060267E-3</v>
      </c>
      <c r="AK44" s="36">
        <f t="shared" ca="1" si="94"/>
        <v>0.50494156765046072</v>
      </c>
      <c r="AL44" s="36">
        <f t="shared" ca="1" si="94"/>
        <v>9.925694394417639E-2</v>
      </c>
      <c r="AM44" s="36">
        <f t="shared" ca="1" si="94"/>
        <v>0.22172302135598088</v>
      </c>
      <c r="AN44" s="36">
        <f t="shared" ca="1" si="94"/>
        <v>0.37256641652672307</v>
      </c>
    </row>
    <row r="45" spans="1:40" hidden="1" outlineLevel="1" x14ac:dyDescent="0.25">
      <c r="A45" s="11" t="s">
        <v>50</v>
      </c>
      <c r="C45" s="2" t="s">
        <v>1</v>
      </c>
      <c r="D45" s="8" cm="1">
        <f t="array" aca="1" ref="D45" ca="1">_xlfn.XLOOKUP(1,
 (INDIRECT("'"&amp;$C$6&amp;"'!$6:$6")=D$6)*
 (INDIRECT("'"&amp;$C$6&amp;"'!$5:$5")=D$5),
 INDIRECT("'"&amp;$C$6&amp;"'!"&amp;ROW()&amp;":"&amp;ROW())
)</f>
        <v>-150.971408</v>
      </c>
      <c r="E45" s="8" cm="1">
        <f t="array" aca="1" ref="E45" ca="1">_xlfn.XLOOKUP(1,
 (INDIRECT("'"&amp;$C$6&amp;"'!$6:$6")=E$6)*
 (INDIRECT("'"&amp;$C$6&amp;"'!$5:$5")=E$5),
 INDIRECT("'"&amp;$C$6&amp;"'!"&amp;ROW()&amp;":"&amp;ROW())
)</f>
        <v>-137.5681699606402</v>
      </c>
      <c r="F45" s="8" cm="1">
        <f t="array" aca="1" ref="F45" ca="1">_xlfn.XLOOKUP(1,
 (INDIRECT("'"&amp;$C$6&amp;"'!$6:$6")=F$6)*
 (INDIRECT("'"&amp;$C$6&amp;"'!$5:$5")=F$5),
 INDIRECT("'"&amp;$C$6&amp;"'!"&amp;ROW()&amp;":"&amp;ROW())
)</f>
        <v>-139.99088362999998</v>
      </c>
      <c r="G45" s="8" cm="1">
        <f t="array" aca="1" ref="G45" ca="1">_xlfn.XLOOKUP(1,
 (INDIRECT("'"&amp;$C$6&amp;"'!$6:$6")=G$6)*
 (INDIRECT("'"&amp;$C$6&amp;"'!$5:$5")=G$5),
 INDIRECT("'"&amp;$C$6&amp;"'!"&amp;ROW()&amp;":"&amp;ROW())
)</f>
        <v>-124.34356047000001</v>
      </c>
      <c r="H45" s="8" cm="1">
        <f t="array" aca="1" ref="H45" ca="1">_xlfn.XLOOKUP(1,
 (INDIRECT("'"&amp;$C$6&amp;"'!$6:$6")=H$6)*
 (INDIRECT("'"&amp;$C$6&amp;"'!$5:$5")=H$5),
 INDIRECT("'"&amp;$C$6&amp;"'!"&amp;ROW()&amp;":"&amp;ROW())
)</f>
        <v>-129.0802668</v>
      </c>
      <c r="I45" s="8" cm="1">
        <f t="array" aca="1" ref="I45" ca="1">_xlfn.XLOOKUP(1,
 (INDIRECT("'"&amp;$C$6&amp;"'!$6:$6")=I$6)*
 (INDIRECT("'"&amp;$C$6&amp;"'!$5:$5")=I$5),
 INDIRECT("'"&amp;$C$6&amp;"'!"&amp;ROW()&amp;":"&amp;ROW())
)</f>
        <v>-135.84478140000002</v>
      </c>
      <c r="K45" s="34">
        <f t="shared" ref="K45:K47" ca="1" si="95">$D45-E45</f>
        <v>-13.403238039359792</v>
      </c>
      <c r="L45" s="34">
        <f t="shared" ca="1" si="85"/>
        <v>-10.980524370000012</v>
      </c>
      <c r="M45" s="34">
        <f t="shared" ca="1" si="86"/>
        <v>-26.627847529999983</v>
      </c>
      <c r="N45" s="34">
        <f t="shared" ca="1" si="87"/>
        <v>-21.891141199999993</v>
      </c>
      <c r="O45" s="34">
        <f t="shared" ca="1" si="88"/>
        <v>-15.12662659999998</v>
      </c>
      <c r="Q45" s="36">
        <f t="shared" ref="Q45:Q47" ca="1" si="96">IFERROR($D45/E45-1,0)</f>
        <v>9.742979094069959E-2</v>
      </c>
      <c r="R45" s="36">
        <f t="shared" ca="1" si="89"/>
        <v>7.8437424532742162E-2</v>
      </c>
      <c r="S45" s="36">
        <f t="shared" ca="1" si="90"/>
        <v>0.21414737867687483</v>
      </c>
      <c r="T45" s="36">
        <f t="shared" ca="1" si="91"/>
        <v>0.16959324413172028</v>
      </c>
      <c r="U45" s="36">
        <f t="shared" ca="1" si="92"/>
        <v>0.11135228342308623</v>
      </c>
      <c r="W45" s="8" cm="1">
        <f t="array" aca="1" ref="W45" ca="1">INDIRECT("'"&amp;$C$6&amp;"'!"&amp;ADDRESS(ROW(),COLUMN()+44))</f>
        <v>-434.70243133999998</v>
      </c>
      <c r="X45" s="8" cm="1">
        <f t="array" aca="1" ref="X45" ca="1">INDIRECT("'"&amp;$C$6&amp;"'!"&amp;ADDRESS(ROW(),COLUMN()+44))</f>
        <v>-409.64608553273769</v>
      </c>
      <c r="Y45" s="8" cm="1">
        <f t="array" aca="1" ref="Y45" ca="1">INDIRECT("'"&amp;$C$6&amp;"'!"&amp;ADDRESS(ROW(),COLUMN()+44))</f>
        <v>-283.73102333999998</v>
      </c>
      <c r="Z45" s="8" cm="1">
        <f t="array" aca="1" ref="Z45" ca="1">INDIRECT("'"&amp;$C$6&amp;"'!"&amp;ADDRESS(ROW(),COLUMN()+44))</f>
        <v>-374.56083159000002</v>
      </c>
      <c r="AA45" s="8" cm="1">
        <f t="array" aca="1" ref="AA45" ca="1">INDIRECT("'"&amp;$C$6&amp;"'!"&amp;ADDRESS(ROW(),COLUMN()+44))</f>
        <v>-382.45110584000003</v>
      </c>
      <c r="AB45" s="8" cm="1">
        <f t="array" aca="1" ref="AB45" ca="1">INDIRECT("'"&amp;$C$6&amp;"'!"&amp;ADDRESS(ROW(),COLUMN()+44))</f>
        <v>-404.67559030999996</v>
      </c>
      <c r="AD45" s="34">
        <f t="shared" ca="1" si="93"/>
        <v>-25.056345807262289</v>
      </c>
      <c r="AE45" s="34">
        <f t="shared" ca="1" si="93"/>
        <v>-150.971408</v>
      </c>
      <c r="AF45" s="34">
        <f t="shared" ca="1" si="93"/>
        <v>-60.141599749999955</v>
      </c>
      <c r="AG45" s="34">
        <f t="shared" ca="1" si="93"/>
        <v>-52.25132549999995</v>
      </c>
      <c r="AH45" s="34">
        <f t="shared" ca="1" si="93"/>
        <v>-30.026841030000014</v>
      </c>
      <c r="AJ45" s="36">
        <f t="shared" ca="1" si="94"/>
        <v>6.1165837273110757E-2</v>
      </c>
      <c r="AK45" s="36">
        <f t="shared" ca="1" si="94"/>
        <v>0.53209341094536655</v>
      </c>
      <c r="AL45" s="36">
        <f t="shared" ca="1" si="94"/>
        <v>0.16056564028518561</v>
      </c>
      <c r="AM45" s="36">
        <f t="shared" ca="1" si="94"/>
        <v>0.13662223667843043</v>
      </c>
      <c r="AN45" s="36">
        <f t="shared" ca="1" si="94"/>
        <v>7.4199783107743444E-2</v>
      </c>
    </row>
    <row r="46" spans="1:40" hidden="1" outlineLevel="1" x14ac:dyDescent="0.25">
      <c r="A46" s="11" t="s">
        <v>50</v>
      </c>
      <c r="C46" s="2" t="s">
        <v>45</v>
      </c>
      <c r="D46" s="8" cm="1">
        <f t="array" aca="1" ref="D46" ca="1">_xlfn.XLOOKUP(1,
 (INDIRECT("'"&amp;$C$6&amp;"'!$6:$6")=D$6)*
 (INDIRECT("'"&amp;$C$6&amp;"'!$5:$5")=D$5),
 INDIRECT("'"&amp;$C$6&amp;"'!"&amp;ROW()&amp;":"&amp;ROW())
)</f>
        <v>-1574.5692075000002</v>
      </c>
      <c r="E46" s="8" cm="1">
        <f t="array" aca="1" ref="E46" ca="1">_xlfn.XLOOKUP(1,
 (INDIRECT("'"&amp;$C$6&amp;"'!$6:$6")=E$6)*
 (INDIRECT("'"&amp;$C$6&amp;"'!$5:$5")=E$5),
 INDIRECT("'"&amp;$C$6&amp;"'!"&amp;ROW()&amp;":"&amp;ROW())
)</f>
        <v>-1694.2178565490908</v>
      </c>
      <c r="F46" s="8" cm="1">
        <f t="array" aca="1" ref="F46" ca="1">_xlfn.XLOOKUP(1,
 (INDIRECT("'"&amp;$C$6&amp;"'!$6:$6")=F$6)*
 (INDIRECT("'"&amp;$C$6&amp;"'!$5:$5")=F$5),
 INDIRECT("'"&amp;$C$6&amp;"'!"&amp;ROW()&amp;":"&amp;ROW())
)</f>
        <v>-1592.6040121700003</v>
      </c>
      <c r="G46" s="8" cm="1">
        <f t="array" aca="1" ref="G46" ca="1">_xlfn.XLOOKUP(1,
 (INDIRECT("'"&amp;$C$6&amp;"'!$6:$6")=G$6)*
 (INDIRECT("'"&amp;$C$6&amp;"'!$5:$5")=G$5),
 INDIRECT("'"&amp;$C$6&amp;"'!"&amp;ROW()&amp;":"&amp;ROW())
)</f>
        <v>-1468.8782752599998</v>
      </c>
      <c r="H46" s="8" cm="1">
        <f t="array" aca="1" ref="H46" ca="1">_xlfn.XLOOKUP(1,
 (INDIRECT("'"&amp;$C$6&amp;"'!$6:$6")=H$6)*
 (INDIRECT("'"&amp;$C$6&amp;"'!$5:$5")=H$5),
 INDIRECT("'"&amp;$C$6&amp;"'!"&amp;ROW()&amp;":"&amp;ROW())
)</f>
        <v>-1330.6861249700003</v>
      </c>
      <c r="I46" s="8" cm="1">
        <f t="array" aca="1" ref="I46" ca="1">_xlfn.XLOOKUP(1,
 (INDIRECT("'"&amp;$C$6&amp;"'!$6:$6")=I$6)*
 (INDIRECT("'"&amp;$C$6&amp;"'!$5:$5")=I$5),
 INDIRECT("'"&amp;$C$6&amp;"'!"&amp;ROW()&amp;":"&amp;ROW())
)</f>
        <v>-1080.1616300000001</v>
      </c>
      <c r="K46" s="34">
        <f t="shared" ca="1" si="95"/>
        <v>119.64864904909064</v>
      </c>
      <c r="L46" s="34">
        <f t="shared" ca="1" si="85"/>
        <v>18.034804670000085</v>
      </c>
      <c r="M46" s="34">
        <f t="shared" ca="1" si="86"/>
        <v>-105.69093224000039</v>
      </c>
      <c r="N46" s="34">
        <f t="shared" ca="1" si="87"/>
        <v>-243.88308252999991</v>
      </c>
      <c r="O46" s="34">
        <f t="shared" ca="1" si="88"/>
        <v>-494.40757750000012</v>
      </c>
      <c r="Q46" s="36">
        <f t="shared" ca="1" si="96"/>
        <v>-7.0621761296271512E-2</v>
      </c>
      <c r="R46" s="36">
        <f t="shared" ca="1" si="89"/>
        <v>-1.1324098477829891E-2</v>
      </c>
      <c r="S46" s="36">
        <f t="shared" ca="1" si="90"/>
        <v>7.1953499496949513E-2</v>
      </c>
      <c r="T46" s="36">
        <f t="shared" ca="1" si="91"/>
        <v>0.18327618959391967</v>
      </c>
      <c r="U46" s="36">
        <f t="shared" ca="1" si="92"/>
        <v>0.45771629334769104</v>
      </c>
      <c r="W46" s="8" cm="1">
        <f t="array" aca="1" ref="W46" ca="1">INDIRECT("'"&amp;$C$6&amp;"'!"&amp;ADDRESS(ROW(),COLUMN()+44))</f>
        <v>-4791.0005465200011</v>
      </c>
      <c r="X46" s="8" cm="1">
        <f t="array" aca="1" ref="X46" ca="1">INDIRECT("'"&amp;$C$6&amp;"'!"&amp;ADDRESS(ROW(),COLUMN()+44))</f>
        <v>-5046.8493016852954</v>
      </c>
      <c r="Y46" s="8" cm="1">
        <f t="array" aca="1" ref="Y46" ca="1">INDIRECT("'"&amp;$C$6&amp;"'!"&amp;ADDRESS(ROW(),COLUMN()+44))</f>
        <v>-3216.4313390200005</v>
      </c>
      <c r="Z46" s="8" cm="1">
        <f t="array" aca="1" ref="Z46" ca="1">INDIRECT("'"&amp;$C$6&amp;"'!"&amp;ADDRESS(ROW(),COLUMN()+44))</f>
        <v>-4421.7289212900005</v>
      </c>
      <c r="AA46" s="8" cm="1">
        <f t="array" aca="1" ref="AA46" ca="1">INDIRECT("'"&amp;$C$6&amp;"'!"&amp;ADDRESS(ROW(),COLUMN()+44))</f>
        <v>-3931.57492189</v>
      </c>
      <c r="AB46" s="8" cm="1">
        <f t="array" aca="1" ref="AB46" ca="1">INDIRECT("'"&amp;$C$6&amp;"'!"&amp;ADDRESS(ROW(),COLUMN()+44))</f>
        <v>-3189.6648732500003</v>
      </c>
      <c r="AD46" s="34">
        <f t="shared" ca="1" si="93"/>
        <v>255.84875516529428</v>
      </c>
      <c r="AE46" s="34">
        <f t="shared" ca="1" si="93"/>
        <v>-1574.5692075000006</v>
      </c>
      <c r="AF46" s="34">
        <f t="shared" ca="1" si="93"/>
        <v>-369.27162523000061</v>
      </c>
      <c r="AG46" s="34">
        <f t="shared" ca="1" si="93"/>
        <v>-859.42562463000104</v>
      </c>
      <c r="AH46" s="34">
        <f t="shared" ca="1" si="93"/>
        <v>-1601.3356732700008</v>
      </c>
      <c r="AJ46" s="36">
        <f t="shared" ca="1" si="94"/>
        <v>-5.0694748321464367E-2</v>
      </c>
      <c r="AK46" s="36">
        <f t="shared" ca="1" si="94"/>
        <v>0.48953919469636453</v>
      </c>
      <c r="AL46" s="36">
        <f t="shared" ca="1" si="94"/>
        <v>8.3512949754113164E-2</v>
      </c>
      <c r="AM46" s="36">
        <f t="shared" ca="1" si="94"/>
        <v>0.21859576421777938</v>
      </c>
      <c r="AN46" s="36">
        <f t="shared" ca="1" si="94"/>
        <v>0.50203884636895246</v>
      </c>
    </row>
    <row r="47" spans="1:40" collapsed="1" x14ac:dyDescent="0.25">
      <c r="C47" s="3" t="s">
        <v>58</v>
      </c>
      <c r="D47" s="10">
        <f ca="1">SUM(D44:D46)</f>
        <v>-54051.360561999994</v>
      </c>
      <c r="E47" s="10">
        <f t="shared" ref="E47:I47" ca="1" si="97">SUM(E44:E46)</f>
        <v>-53926.323982175621</v>
      </c>
      <c r="F47" s="10">
        <f t="shared" ca="1" si="97"/>
        <v>-53683.197648419999</v>
      </c>
      <c r="G47" s="10">
        <f t="shared" ca="1" si="97"/>
        <v>-49237.675796950018</v>
      </c>
      <c r="H47" s="10">
        <f t="shared" ca="1" si="97"/>
        <v>-44435.594421009991</v>
      </c>
      <c r="I47" s="10">
        <f t="shared" ca="1" si="97"/>
        <v>-39514.561328199998</v>
      </c>
      <c r="K47" s="35">
        <f t="shared" ca="1" si="95"/>
        <v>-125.03657982437289</v>
      </c>
      <c r="L47" s="35">
        <f t="shared" ca="1" si="85"/>
        <v>-368.1629135799958</v>
      </c>
      <c r="M47" s="35">
        <f t="shared" ca="1" si="86"/>
        <v>-4813.6847650499767</v>
      </c>
      <c r="N47" s="35">
        <f t="shared" ca="1" si="87"/>
        <v>-9615.7661409900029</v>
      </c>
      <c r="O47" s="35">
        <f t="shared" ca="1" si="88"/>
        <v>-14536.799233799997</v>
      </c>
      <c r="Q47" s="37">
        <f t="shared" ca="1" si="96"/>
        <v>2.3186557249053052E-3</v>
      </c>
      <c r="R47" s="37">
        <f t="shared" ca="1" si="89"/>
        <v>6.8580660189274667E-3</v>
      </c>
      <c r="S47" s="37">
        <f t="shared" ca="1" si="90"/>
        <v>9.7764256479144329E-2</v>
      </c>
      <c r="T47" s="37">
        <f t="shared" ca="1" si="91"/>
        <v>0.21639782850397715</v>
      </c>
      <c r="U47" s="37">
        <f t="shared" ca="1" si="92"/>
        <v>0.36788461633321101</v>
      </c>
      <c r="W47" s="10">
        <f ca="1">SUM(W44:W46)</f>
        <v>-161178.99845578999</v>
      </c>
      <c r="X47" s="10">
        <f t="shared" ref="X47" ca="1" si="98">SUM(X44:X46)</f>
        <v>-160982.95912515477</v>
      </c>
      <c r="Y47" s="10">
        <f t="shared" ref="Y47" ca="1" si="99">SUM(Y44:Y46)</f>
        <v>-107127.63789378999</v>
      </c>
      <c r="Z47" s="10">
        <f t="shared" ref="Z47" ca="1" si="100">SUM(Z44:Z46)</f>
        <v>-146667.84793323002</v>
      </c>
      <c r="AA47" s="10">
        <f t="shared" ref="AA47" ca="1" si="101">SUM(AA44:AA46)</f>
        <v>-131964.31398320998</v>
      </c>
      <c r="AB47" s="10">
        <f t="shared" ref="AB47" ca="1" si="102">SUM(AB44:AB46)</f>
        <v>-117216.01559718999</v>
      </c>
      <c r="AD47" s="35">
        <f t="shared" ca="1" si="93"/>
        <v>-196.03933063521981</v>
      </c>
      <c r="AE47" s="35">
        <f t="shared" ca="1" si="93"/>
        <v>-54051.360562000002</v>
      </c>
      <c r="AF47" s="35">
        <f t="shared" ca="1" si="93"/>
        <v>-14511.150522559969</v>
      </c>
      <c r="AG47" s="35">
        <f t="shared" ca="1" si="93"/>
        <v>-29214.684472580004</v>
      </c>
      <c r="AH47" s="35">
        <f t="shared" ca="1" si="93"/>
        <v>-43962.982858599993</v>
      </c>
      <c r="AJ47" s="37">
        <f t="shared" ca="1" si="94"/>
        <v>1.217764487002615E-3</v>
      </c>
      <c r="AK47" s="37">
        <f t="shared" ca="1" si="94"/>
        <v>0.50455103486542252</v>
      </c>
      <c r="AL47" s="37">
        <f t="shared" ca="1" si="94"/>
        <v>9.8938865791268205E-2</v>
      </c>
      <c r="AM47" s="37">
        <f t="shared" ca="1" si="94"/>
        <v>0.22138321786219439</v>
      </c>
      <c r="AN47" s="37">
        <f t="shared" ca="1" si="94"/>
        <v>0.37505952266521092</v>
      </c>
    </row>
    <row r="50" spans="1:40" hidden="1" outlineLevel="1" x14ac:dyDescent="0.25">
      <c r="A50" s="11"/>
      <c r="C50" s="2" t="s">
        <v>0</v>
      </c>
      <c r="D50" s="8">
        <f ca="1">D38+D44</f>
        <v>18615.308995429987</v>
      </c>
      <c r="E50" s="8">
        <f t="shared" ref="E50:I50" ca="1" si="103">E38+E44</f>
        <v>17237.043246086774</v>
      </c>
      <c r="F50" s="8">
        <f t="shared" ca="1" si="103"/>
        <v>11978.156847800012</v>
      </c>
      <c r="G50" s="8">
        <f t="shared" ca="1" si="103"/>
        <v>17138.458545089983</v>
      </c>
      <c r="H50" s="8">
        <f t="shared" ca="1" si="103"/>
        <v>17418.165293130012</v>
      </c>
      <c r="I50" s="8">
        <f t="shared" ca="1" si="103"/>
        <v>17129.740677680005</v>
      </c>
      <c r="K50" s="34">
        <f ca="1">$D50-E50</f>
        <v>1378.2657493432125</v>
      </c>
      <c r="L50" s="34">
        <f t="shared" ref="L50:L53" ca="1" si="104">$D50-F50</f>
        <v>6637.1521476299749</v>
      </c>
      <c r="M50" s="34">
        <f t="shared" ref="M50:M53" ca="1" si="105">$D50-G50</f>
        <v>1476.8504503400036</v>
      </c>
      <c r="N50" s="34">
        <f t="shared" ref="N50:N53" ca="1" si="106">$D50-H50</f>
        <v>1197.1437022999744</v>
      </c>
      <c r="O50" s="34">
        <f t="shared" ref="O50:O53" ca="1" si="107">$D50-I50</f>
        <v>1485.5683177499814</v>
      </c>
      <c r="Q50" s="36">
        <f ca="1">IFERROR($D50/E50-1,0)</f>
        <v>7.9959522620337564E-2</v>
      </c>
      <c r="R50" s="36">
        <f t="shared" ref="R50:R53" ca="1" si="108">IFERROR($D50/F50-1,0)</f>
        <v>0.55410462828001772</v>
      </c>
      <c r="S50" s="36">
        <f t="shared" ref="S50:S53" ca="1" si="109">IFERROR($D50/G50-1,0)</f>
        <v>8.617171996270967E-2</v>
      </c>
      <c r="T50" s="36">
        <f t="shared" ref="T50:T53" ca="1" si="110">IFERROR($D50/H50-1,0)</f>
        <v>6.8729609700749927E-2</v>
      </c>
      <c r="U50" s="36">
        <f t="shared" ref="U50:U53" ca="1" si="111">IFERROR($D50/I50-1,0)</f>
        <v>8.6724507142462048E-2</v>
      </c>
      <c r="W50" s="8">
        <f ca="1">W38+W44</f>
        <v>49018.297457109991</v>
      </c>
      <c r="X50" s="8">
        <f t="shared" ref="X50:AB50" ca="1" si="112">X38+X44</f>
        <v>45574.142990525055</v>
      </c>
      <c r="Y50" s="8">
        <f t="shared" ca="1" si="112"/>
        <v>30402.988461680012</v>
      </c>
      <c r="Z50" s="8">
        <f t="shared" ca="1" si="112"/>
        <v>45840.010474239971</v>
      </c>
      <c r="AA50" s="8">
        <f t="shared" ca="1" si="112"/>
        <v>47839.119302729989</v>
      </c>
      <c r="AB50" s="8">
        <f t="shared" ca="1" si="112"/>
        <v>46063.312649700005</v>
      </c>
      <c r="AD50" s="34">
        <f t="shared" ref="AD50:AH53" ca="1" si="113">$W50-X50</f>
        <v>3444.154466584936</v>
      </c>
      <c r="AE50" s="34">
        <f t="shared" ca="1" si="113"/>
        <v>18615.308995429979</v>
      </c>
      <c r="AF50" s="34">
        <f t="shared" ca="1" si="113"/>
        <v>3178.2869828700204</v>
      </c>
      <c r="AG50" s="34">
        <f t="shared" ca="1" si="113"/>
        <v>1179.1781543800025</v>
      </c>
      <c r="AH50" s="34">
        <f t="shared" ca="1" si="113"/>
        <v>2954.9848074099864</v>
      </c>
      <c r="AJ50" s="36">
        <f t="shared" ref="AJ50:AN53" ca="1" si="114">IFERROR($W50/X50-1,0)</f>
        <v>7.5572555852580381E-2</v>
      </c>
      <c r="AK50" s="36">
        <f t="shared" ca="1" si="114"/>
        <v>0.61228550012090932</v>
      </c>
      <c r="AL50" s="36">
        <f t="shared" ca="1" si="114"/>
        <v>6.9334342422458173E-2</v>
      </c>
      <c r="AM50" s="36">
        <f t="shared" ca="1" si="114"/>
        <v>2.46488265579905E-2</v>
      </c>
      <c r="AN50" s="36">
        <f t="shared" ca="1" si="114"/>
        <v>6.4150505845767203E-2</v>
      </c>
    </row>
    <row r="51" spans="1:40" hidden="1" outlineLevel="1" x14ac:dyDescent="0.25">
      <c r="A51" s="11"/>
      <c r="C51" s="2" t="s">
        <v>1</v>
      </c>
      <c r="D51" s="8">
        <f t="shared" ref="D51:I53" ca="1" si="115">D39+D45</f>
        <v>-150.971408</v>
      </c>
      <c r="E51" s="8">
        <f t="shared" ca="1" si="115"/>
        <v>-137.5681699606402</v>
      </c>
      <c r="F51" s="8">
        <f t="shared" ca="1" si="115"/>
        <v>-139.99088362999998</v>
      </c>
      <c r="G51" s="8">
        <f t="shared" ca="1" si="115"/>
        <v>-124.34356047000001</v>
      </c>
      <c r="H51" s="8">
        <f t="shared" ca="1" si="115"/>
        <v>-129.0802668</v>
      </c>
      <c r="I51" s="8">
        <f t="shared" ca="1" si="115"/>
        <v>-135.84478140000002</v>
      </c>
      <c r="K51" s="34">
        <f t="shared" ref="K51:K53" ca="1" si="116">$D51-E51</f>
        <v>-13.403238039359792</v>
      </c>
      <c r="L51" s="34">
        <f t="shared" ca="1" si="104"/>
        <v>-10.980524370000012</v>
      </c>
      <c r="M51" s="34">
        <f t="shared" ca="1" si="105"/>
        <v>-26.627847529999983</v>
      </c>
      <c r="N51" s="34">
        <f t="shared" ca="1" si="106"/>
        <v>-21.891141199999993</v>
      </c>
      <c r="O51" s="34">
        <f t="shared" ca="1" si="107"/>
        <v>-15.12662659999998</v>
      </c>
      <c r="Q51" s="36">
        <f t="shared" ref="Q51:Q53" ca="1" si="117">IFERROR($D51/E51-1,0)</f>
        <v>9.742979094069959E-2</v>
      </c>
      <c r="R51" s="36">
        <f t="shared" ca="1" si="108"/>
        <v>7.8437424532742162E-2</v>
      </c>
      <c r="S51" s="36">
        <f t="shared" ca="1" si="109"/>
        <v>0.21414737867687483</v>
      </c>
      <c r="T51" s="36">
        <f t="shared" ca="1" si="110"/>
        <v>0.16959324413172028</v>
      </c>
      <c r="U51" s="36">
        <f t="shared" ca="1" si="111"/>
        <v>0.11135228342308623</v>
      </c>
      <c r="W51" s="8">
        <f t="shared" ref="W51:AB51" ca="1" si="118">W39+W45</f>
        <v>-434.70243133999998</v>
      </c>
      <c r="X51" s="8">
        <f t="shared" ca="1" si="118"/>
        <v>-409.64608553273769</v>
      </c>
      <c r="Y51" s="8">
        <f t="shared" ca="1" si="118"/>
        <v>-283.73102333999998</v>
      </c>
      <c r="Z51" s="8">
        <f t="shared" ca="1" si="118"/>
        <v>-374.56083159000002</v>
      </c>
      <c r="AA51" s="8">
        <f t="shared" ca="1" si="118"/>
        <v>-382.45110584000003</v>
      </c>
      <c r="AB51" s="8">
        <f t="shared" ca="1" si="118"/>
        <v>-404.67559030999996</v>
      </c>
      <c r="AD51" s="34">
        <f t="shared" ca="1" si="113"/>
        <v>-25.056345807262289</v>
      </c>
      <c r="AE51" s="34">
        <f t="shared" ca="1" si="113"/>
        <v>-150.971408</v>
      </c>
      <c r="AF51" s="34">
        <f t="shared" ca="1" si="113"/>
        <v>-60.141599749999955</v>
      </c>
      <c r="AG51" s="34">
        <f t="shared" ca="1" si="113"/>
        <v>-52.25132549999995</v>
      </c>
      <c r="AH51" s="34">
        <f t="shared" ca="1" si="113"/>
        <v>-30.026841030000014</v>
      </c>
      <c r="AJ51" s="36">
        <f t="shared" ca="1" si="114"/>
        <v>6.1165837273110757E-2</v>
      </c>
      <c r="AK51" s="36">
        <f t="shared" ca="1" si="114"/>
        <v>0.53209341094536655</v>
      </c>
      <c r="AL51" s="36">
        <f t="shared" ca="1" si="114"/>
        <v>0.16056564028518561</v>
      </c>
      <c r="AM51" s="36">
        <f t="shared" ca="1" si="114"/>
        <v>0.13662223667843043</v>
      </c>
      <c r="AN51" s="36">
        <f t="shared" ca="1" si="114"/>
        <v>7.4199783107743444E-2</v>
      </c>
    </row>
    <row r="52" spans="1:40" hidden="1" outlineLevel="1" x14ac:dyDescent="0.25">
      <c r="A52" s="11"/>
      <c r="C52" s="2" t="s">
        <v>45</v>
      </c>
      <c r="D52" s="8">
        <f t="shared" ca="1" si="115"/>
        <v>1669.8591390299994</v>
      </c>
      <c r="E52" s="8">
        <f t="shared" ca="1" si="115"/>
        <v>1932.8421485718477</v>
      </c>
      <c r="F52" s="8">
        <f t="shared" ca="1" si="115"/>
        <v>1021.4288699900007</v>
      </c>
      <c r="G52" s="8">
        <f t="shared" ca="1" si="115"/>
        <v>1691.7885442900003</v>
      </c>
      <c r="H52" s="8">
        <f t="shared" ca="1" si="115"/>
        <v>1272.8358607999996</v>
      </c>
      <c r="I52" s="8">
        <f t="shared" ca="1" si="115"/>
        <v>1157.1465790600005</v>
      </c>
      <c r="K52" s="34">
        <f t="shared" ca="1" si="116"/>
        <v>-262.98300954184833</v>
      </c>
      <c r="L52" s="34">
        <f t="shared" ca="1" si="104"/>
        <v>648.43026903999862</v>
      </c>
      <c r="M52" s="34">
        <f t="shared" ca="1" si="105"/>
        <v>-21.929405260000976</v>
      </c>
      <c r="N52" s="34">
        <f t="shared" ca="1" si="106"/>
        <v>397.02327822999973</v>
      </c>
      <c r="O52" s="34">
        <f t="shared" ca="1" si="107"/>
        <v>512.71255996999889</v>
      </c>
      <c r="Q52" s="36">
        <f t="shared" ca="1" si="117"/>
        <v>-0.13606026220825285</v>
      </c>
      <c r="R52" s="36">
        <f t="shared" ca="1" si="108"/>
        <v>0.63482665126387738</v>
      </c>
      <c r="S52" s="36">
        <f t="shared" ca="1" si="109"/>
        <v>-1.2962261349987014E-2</v>
      </c>
      <c r="T52" s="36">
        <f t="shared" ca="1" si="110"/>
        <v>0.31192024868034718</v>
      </c>
      <c r="U52" s="36">
        <f t="shared" ca="1" si="111"/>
        <v>0.44308350320362799</v>
      </c>
      <c r="W52" s="8">
        <f t="shared" ref="W52:AB52" ca="1" si="119">W40+W46</f>
        <v>3904.8398049999996</v>
      </c>
      <c r="X52" s="8">
        <f t="shared" ca="1" si="119"/>
        <v>5457.9497044637828</v>
      </c>
      <c r="Y52" s="8">
        <f t="shared" ca="1" si="119"/>
        <v>2234.9806659700007</v>
      </c>
      <c r="Z52" s="8">
        <f t="shared" ca="1" si="119"/>
        <v>4053.9708973299994</v>
      </c>
      <c r="AA52" s="8">
        <f t="shared" ca="1" si="119"/>
        <v>3647.1897619899992</v>
      </c>
      <c r="AB52" s="8">
        <f t="shared" ca="1" si="119"/>
        <v>2467.0168647799997</v>
      </c>
      <c r="AD52" s="34">
        <f t="shared" ca="1" si="113"/>
        <v>-1553.1098994637832</v>
      </c>
      <c r="AE52" s="34">
        <f t="shared" ca="1" si="113"/>
        <v>1669.8591390299989</v>
      </c>
      <c r="AF52" s="34">
        <f t="shared" ca="1" si="113"/>
        <v>-149.13109232999977</v>
      </c>
      <c r="AG52" s="34">
        <f t="shared" ca="1" si="113"/>
        <v>257.65004301000045</v>
      </c>
      <c r="AH52" s="34">
        <f t="shared" ca="1" si="113"/>
        <v>1437.82294022</v>
      </c>
      <c r="AJ52" s="36">
        <f t="shared" ca="1" si="114"/>
        <v>-0.2845592179410471</v>
      </c>
      <c r="AK52" s="36">
        <f t="shared" ca="1" si="114"/>
        <v>0.74714701762543689</v>
      </c>
      <c r="AL52" s="36">
        <f t="shared" ca="1" si="114"/>
        <v>-3.6786424004232376E-2</v>
      </c>
      <c r="AM52" s="36">
        <f t="shared" ca="1" si="114"/>
        <v>7.0643443260111516E-2</v>
      </c>
      <c r="AN52" s="36">
        <f t="shared" ca="1" si="114"/>
        <v>0.58281844795909832</v>
      </c>
    </row>
    <row r="53" spans="1:40" collapsed="1" x14ac:dyDescent="0.25">
      <c r="C53" s="3" t="s">
        <v>66</v>
      </c>
      <c r="D53" s="10">
        <f t="shared" ca="1" si="115"/>
        <v>20134.196726459988</v>
      </c>
      <c r="E53" s="10">
        <f t="shared" ca="1" si="115"/>
        <v>19032.317224697974</v>
      </c>
      <c r="F53" s="10">
        <f t="shared" ca="1" si="115"/>
        <v>12859.594834160016</v>
      </c>
      <c r="G53" s="10">
        <f t="shared" ca="1" si="115"/>
        <v>18705.903528909985</v>
      </c>
      <c r="H53" s="10">
        <f t="shared" ca="1" si="115"/>
        <v>18561.920887130007</v>
      </c>
      <c r="I53" s="10">
        <f t="shared" ca="1" si="115"/>
        <v>18151.04247534</v>
      </c>
      <c r="K53" s="35">
        <f t="shared" ca="1" si="116"/>
        <v>1101.8795017620141</v>
      </c>
      <c r="L53" s="35">
        <f t="shared" ca="1" si="104"/>
        <v>7274.601892299972</v>
      </c>
      <c r="M53" s="35">
        <f t="shared" ca="1" si="105"/>
        <v>1428.2931975500032</v>
      </c>
      <c r="N53" s="35">
        <f t="shared" ca="1" si="106"/>
        <v>1572.275839329981</v>
      </c>
      <c r="O53" s="35">
        <f t="shared" ca="1" si="107"/>
        <v>1983.1542511199877</v>
      </c>
      <c r="Q53" s="37">
        <f t="shared" ca="1" si="117"/>
        <v>5.7895183689567808E-2</v>
      </c>
      <c r="R53" s="37">
        <f t="shared" ca="1" si="108"/>
        <v>0.5656944861883082</v>
      </c>
      <c r="S53" s="37">
        <f t="shared" ca="1" si="109"/>
        <v>7.6355210286558783E-2</v>
      </c>
      <c r="T53" s="37">
        <f t="shared" ca="1" si="110"/>
        <v>8.4704371325067251E-2</v>
      </c>
      <c r="U53" s="37">
        <f t="shared" ca="1" si="111"/>
        <v>0.10925842159282584</v>
      </c>
      <c r="W53" s="10">
        <f t="shared" ref="W53:AB53" ca="1" si="120">W41+W47</f>
        <v>52488.434830769984</v>
      </c>
      <c r="X53" s="10">
        <f t="shared" ca="1" si="120"/>
        <v>50622.446609456121</v>
      </c>
      <c r="Y53" s="10">
        <f t="shared" ca="1" si="120"/>
        <v>32354.238104310018</v>
      </c>
      <c r="Z53" s="10">
        <f t="shared" ca="1" si="120"/>
        <v>49519.420539979968</v>
      </c>
      <c r="AA53" s="10">
        <f t="shared" ca="1" si="120"/>
        <v>51103.857958879991</v>
      </c>
      <c r="AB53" s="10">
        <f t="shared" ca="1" si="120"/>
        <v>48125.653924169994</v>
      </c>
      <c r="AD53" s="35">
        <f t="shared" ca="1" si="113"/>
        <v>1865.9882213138626</v>
      </c>
      <c r="AE53" s="35">
        <f t="shared" ca="1" si="113"/>
        <v>20134.196726459966</v>
      </c>
      <c r="AF53" s="35">
        <f t="shared" ca="1" si="113"/>
        <v>2969.0142907900154</v>
      </c>
      <c r="AG53" s="35">
        <f t="shared" ca="1" si="113"/>
        <v>1384.5768718899926</v>
      </c>
      <c r="AH53" s="35">
        <f t="shared" ca="1" si="113"/>
        <v>4362.78090659999</v>
      </c>
      <c r="AJ53" s="37">
        <f t="shared" ca="1" si="114"/>
        <v>3.6860885759032014E-2</v>
      </c>
      <c r="AK53" s="37">
        <f t="shared" ca="1" si="114"/>
        <v>0.62230477075514323</v>
      </c>
      <c r="AL53" s="37">
        <f t="shared" ca="1" si="114"/>
        <v>5.9956563675718888E-2</v>
      </c>
      <c r="AM53" s="37">
        <f t="shared" ca="1" si="114"/>
        <v>2.7093392303259689E-2</v>
      </c>
      <c r="AN53" s="37">
        <f t="shared" ca="1" si="114"/>
        <v>9.065395586051217E-2</v>
      </c>
    </row>
    <row r="54" spans="1:40" x14ac:dyDescent="0.25">
      <c r="D54" s="17"/>
      <c r="E54" s="17"/>
      <c r="F54" s="17"/>
      <c r="G54" s="17"/>
      <c r="H54" s="17"/>
      <c r="I54" s="17"/>
      <c r="W54" s="17"/>
      <c r="X54" s="17"/>
      <c r="Y54" s="17"/>
      <c r="Z54" s="17"/>
      <c r="AA54" s="17"/>
      <c r="AB54" s="17"/>
    </row>
    <row r="55" spans="1:40" x14ac:dyDescent="0.25">
      <c r="D55" s="19"/>
      <c r="E55" s="19"/>
      <c r="F55" s="19"/>
      <c r="G55" s="19"/>
      <c r="H55" s="19"/>
      <c r="I55" s="19"/>
      <c r="W55" s="19"/>
      <c r="X55" s="19"/>
      <c r="Y55" s="19"/>
      <c r="Z55" s="19"/>
      <c r="AA55" s="19"/>
      <c r="AB55" s="19"/>
    </row>
    <row r="56" spans="1:40" hidden="1" outlineLevel="1" x14ac:dyDescent="0.25">
      <c r="A56" s="11" t="s">
        <v>64</v>
      </c>
      <c r="C56" s="2" t="s">
        <v>67</v>
      </c>
      <c r="D56" s="8" cm="1">
        <f t="array" aca="1" ref="D56" ca="1">_xlfn.XLOOKUP(1,
 (INDIRECT("'"&amp;$C$6&amp;"'!$6:$6")=D$6)*
 (INDIRECT("'"&amp;$C$6&amp;"'!$5:$5")=D$5),
 INDIRECT("'"&amp;$C$6&amp;"'!"&amp;ROW()&amp;":"&amp;ROW())
)</f>
        <v>-2362.5187835698534</v>
      </c>
      <c r="E56" s="8" cm="1">
        <f t="array" aca="1" ref="E56" ca="1">_xlfn.XLOOKUP(1,
 (INDIRECT("'"&amp;$C$6&amp;"'!$6:$6")=E$6)*
 (INDIRECT("'"&amp;$C$6&amp;"'!$5:$5")=E$5),
 INDIRECT("'"&amp;$C$6&amp;"'!"&amp;ROW()&amp;":"&amp;ROW())
)</f>
        <v>-5342.0107301225871</v>
      </c>
      <c r="F56" s="8" cm="1">
        <f t="array" aca="1" ref="F56" ca="1">_xlfn.XLOOKUP(1,
 (INDIRECT("'"&amp;$C$6&amp;"'!$6:$6")=F$6)*
 (INDIRECT("'"&amp;$C$6&amp;"'!$5:$5")=F$5),
 INDIRECT("'"&amp;$C$6&amp;"'!"&amp;ROW()&amp;":"&amp;ROW())
)</f>
        <v>1220.1899933843119</v>
      </c>
      <c r="G56" s="8" cm="1">
        <f t="array" aca="1" ref="G56" ca="1">_xlfn.XLOOKUP(1,
 (INDIRECT("'"&amp;$C$6&amp;"'!$6:$6")=G$6)*
 (INDIRECT("'"&amp;$C$6&amp;"'!$5:$5")=G$5),
 INDIRECT("'"&amp;$C$6&amp;"'!"&amp;ROW()&amp;":"&amp;ROW())
)</f>
        <v>-1775.7839930411949</v>
      </c>
      <c r="H56" s="8" cm="1">
        <f t="array" aca="1" ref="H56" ca="1">_xlfn.XLOOKUP(1,
 (INDIRECT("'"&amp;$C$6&amp;"'!$6:$6")=H$6)*
 (INDIRECT("'"&amp;$C$6&amp;"'!$5:$5")=H$5),
 INDIRECT("'"&amp;$C$6&amp;"'!"&amp;ROW()&amp;":"&amp;ROW())
)</f>
        <v>-1164.9272350947201</v>
      </c>
      <c r="I56" s="8" cm="1">
        <f t="array" aca="1" ref="I56" ca="1">_xlfn.XLOOKUP(1,
 (INDIRECT("'"&amp;$C$6&amp;"'!$6:$6")=I$6)*
 (INDIRECT("'"&amp;$C$6&amp;"'!$5:$5")=I$5),
 INDIRECT("'"&amp;$C$6&amp;"'!"&amp;ROW()&amp;":"&amp;ROW())
)</f>
        <v>-1002.9986046849481</v>
      </c>
      <c r="K56" s="34">
        <f t="shared" ref="K56:K58" ca="1" si="121">$D56-E56</f>
        <v>2979.4919465527337</v>
      </c>
      <c r="L56" s="34">
        <f t="shared" ref="L56:L58" ca="1" si="122">$D56-F56</f>
        <v>-3582.7087769541654</v>
      </c>
      <c r="M56" s="34">
        <f t="shared" ref="M56:M58" ca="1" si="123">$D56-G56</f>
        <v>-586.73479052865855</v>
      </c>
      <c r="N56" s="34">
        <f t="shared" ref="N56:N58" ca="1" si="124">$D56-H56</f>
        <v>-1197.5915484751333</v>
      </c>
      <c r="O56" s="34">
        <f t="shared" ref="O56:O58" ca="1" si="125">$D56-I56</f>
        <v>-1359.5201788849054</v>
      </c>
      <c r="Q56" s="36">
        <f t="shared" ref="Q56:Q58" ca="1" si="126">IFERROR($D56/E56-1,0)</f>
        <v>-0.55774727852041606</v>
      </c>
      <c r="R56" s="36">
        <f t="shared" ref="R56:R58" ca="1" si="127">IFERROR($D56/F56-1,0)</f>
        <v>-2.9361892790295592</v>
      </c>
      <c r="S56" s="36">
        <f t="shared" ref="S56:S58" ca="1" si="128">IFERROR($D56/G56-1,0)</f>
        <v>0.33040887451847167</v>
      </c>
      <c r="T56" s="36">
        <f t="shared" ref="T56:T58" ca="1" si="129">IFERROR($D56/H56-1,0)</f>
        <v>1.0280397885776593</v>
      </c>
      <c r="U56" s="36">
        <f t="shared" ref="U56:U58" ca="1" si="130">IFERROR($D56/I56-1,0)</f>
        <v>1.3554557030634595</v>
      </c>
      <c r="W56" s="8" cm="1">
        <f t="array" aca="1" ref="W56" ca="1">INDIRECT("'"&amp;$C$6&amp;"'!"&amp;ADDRESS(ROW(),COLUMN()+44))</f>
        <v>-613.56855196208676</v>
      </c>
      <c r="X56" s="8" cm="1">
        <f t="array" aca="1" ref="X56" ca="1">INDIRECT("'"&amp;$C$6&amp;"'!"&amp;ADDRESS(ROW(),COLUMN()+44))</f>
        <v>-11935.066331319729</v>
      </c>
      <c r="Y56" s="8" cm="1">
        <f t="array" aca="1" ref="Y56" ca="1">INDIRECT("'"&amp;$C$6&amp;"'!"&amp;ADDRESS(ROW(),COLUMN()+44))</f>
        <v>1748.9502316077667</v>
      </c>
      <c r="Z56" s="8" cm="1">
        <f t="array" aca="1" ref="Z56" ca="1">INDIRECT("'"&amp;$C$6&amp;"'!"&amp;ADDRESS(ROW(),COLUMN()+44))</f>
        <v>-9021.4880569200104</v>
      </c>
      <c r="AA56" s="8" cm="1">
        <f t="array" aca="1" ref="AA56" ca="1">INDIRECT("'"&amp;$C$6&amp;"'!"&amp;ADDRESS(ROW(),COLUMN()+44))</f>
        <v>-11150.787144310227</v>
      </c>
      <c r="AB56" s="8" cm="1">
        <f t="array" aca="1" ref="AB56" ca="1">INDIRECT("'"&amp;$C$6&amp;"'!"&amp;ADDRESS(ROW(),COLUMN()+44))</f>
        <v>-5539.6946726822434</v>
      </c>
      <c r="AD56" s="34">
        <f t="shared" ref="AD56:AH58" ca="1" si="131">$W56-X56</f>
        <v>11321.497779357642</v>
      </c>
      <c r="AE56" s="34">
        <f t="shared" ca="1" si="131"/>
        <v>-2362.5187835698534</v>
      </c>
      <c r="AF56" s="34">
        <f t="shared" ca="1" si="131"/>
        <v>8407.919504957923</v>
      </c>
      <c r="AG56" s="34">
        <f t="shared" ca="1" si="131"/>
        <v>10537.218592348139</v>
      </c>
      <c r="AH56" s="34">
        <f t="shared" ca="1" si="131"/>
        <v>4926.1261207201569</v>
      </c>
      <c r="AJ56" s="36">
        <f t="shared" ref="AJ56:AN58" ca="1" si="132">IFERROR($W56/X56-1,0)</f>
        <v>-0.94859110666591151</v>
      </c>
      <c r="AK56" s="36">
        <f t="shared" ca="1" si="132"/>
        <v>-1.3508210473193674</v>
      </c>
      <c r="AL56" s="36">
        <f t="shared" ca="1" si="132"/>
        <v>-0.93198809907070224</v>
      </c>
      <c r="AM56" s="36">
        <f t="shared" ca="1" si="132"/>
        <v>-0.94497531483459762</v>
      </c>
      <c r="AN56" s="36">
        <f t="shared" ca="1" si="132"/>
        <v>-0.88924144953552009</v>
      </c>
    </row>
    <row r="57" spans="1:40" hidden="1" outlineLevel="1" x14ac:dyDescent="0.25">
      <c r="A57" s="11" t="s">
        <v>65</v>
      </c>
      <c r="C57" s="2" t="s">
        <v>69</v>
      </c>
      <c r="D57" s="8" cm="1">
        <f t="array" aca="1" ref="D57" ca="1">_xlfn.XLOOKUP(1,
 (INDIRECT("'"&amp;$C$6&amp;"'!$6:$6")=D$6)*
 (INDIRECT("'"&amp;$C$6&amp;"'!$5:$5")=D$5),
 INDIRECT("'"&amp;$C$6&amp;"'!"&amp;ROW()&amp;":"&amp;ROW())
)</f>
        <v>0.48019000000000001</v>
      </c>
      <c r="E57" s="8" cm="1">
        <f t="array" aca="1" ref="E57" ca="1">_xlfn.XLOOKUP(1,
 (INDIRECT("'"&amp;$C$6&amp;"'!$6:$6")=E$6)*
 (INDIRECT("'"&amp;$C$6&amp;"'!$5:$5")=E$5),
 INDIRECT("'"&amp;$C$6&amp;"'!"&amp;ROW()&amp;":"&amp;ROW())
)</f>
        <v>0</v>
      </c>
      <c r="F57" s="8" cm="1">
        <f t="array" aca="1" ref="F57" ca="1">_xlfn.XLOOKUP(1,
 (INDIRECT("'"&amp;$C$6&amp;"'!$6:$6")=F$6)*
 (INDIRECT("'"&amp;$C$6&amp;"'!$5:$5")=F$5),
 INDIRECT("'"&amp;$C$6&amp;"'!"&amp;ROW()&amp;":"&amp;ROW())
)</f>
        <v>20.094999999999999</v>
      </c>
      <c r="G57" s="8" cm="1">
        <f t="array" aca="1" ref="G57" ca="1">_xlfn.XLOOKUP(1,
 (INDIRECT("'"&amp;$C$6&amp;"'!$6:$6")=G$6)*
 (INDIRECT("'"&amp;$C$6&amp;"'!$5:$5")=G$5),
 INDIRECT("'"&amp;$C$6&amp;"'!"&amp;ROW()&amp;":"&amp;ROW())
)</f>
        <v>60.703759999999996</v>
      </c>
      <c r="H57" s="8" cm="1">
        <f t="array" aca="1" ref="H57" ca="1">_xlfn.XLOOKUP(1,
 (INDIRECT("'"&amp;$C$6&amp;"'!$6:$6")=H$6)*
 (INDIRECT("'"&amp;$C$6&amp;"'!$5:$5")=H$5),
 INDIRECT("'"&amp;$C$6&amp;"'!"&amp;ROW()&amp;":"&amp;ROW())
)</f>
        <v>0</v>
      </c>
      <c r="I57" s="8" cm="1">
        <f t="array" aca="1" ref="I57" ca="1">_xlfn.XLOOKUP(1,
 (INDIRECT("'"&amp;$C$6&amp;"'!$6:$6")=I$6)*
 (INDIRECT("'"&amp;$C$6&amp;"'!$5:$5")=I$5),
 INDIRECT("'"&amp;$C$6&amp;"'!"&amp;ROW()&amp;":"&amp;ROW())
)</f>
        <v>44.159119999999994</v>
      </c>
      <c r="K57" s="34">
        <f t="shared" ca="1" si="121"/>
        <v>0.48019000000000001</v>
      </c>
      <c r="L57" s="34">
        <f t="shared" ca="1" si="122"/>
        <v>-19.614809999999999</v>
      </c>
      <c r="M57" s="34">
        <f t="shared" ca="1" si="123"/>
        <v>-60.223569999999995</v>
      </c>
      <c r="N57" s="34">
        <f t="shared" ca="1" si="124"/>
        <v>0.48019000000000001</v>
      </c>
      <c r="O57" s="34">
        <f t="shared" ca="1" si="125"/>
        <v>-43.678929999999994</v>
      </c>
      <c r="Q57" s="36">
        <f t="shared" ca="1" si="126"/>
        <v>0</v>
      </c>
      <c r="R57" s="36">
        <f t="shared" ca="1" si="127"/>
        <v>-0.97610400597163471</v>
      </c>
      <c r="S57" s="36">
        <f t="shared" ca="1" si="128"/>
        <v>-0.99208961685404662</v>
      </c>
      <c r="T57" s="36">
        <f t="shared" ca="1" si="129"/>
        <v>0</v>
      </c>
      <c r="U57" s="36">
        <f t="shared" ca="1" si="130"/>
        <v>-0.98912591555266505</v>
      </c>
      <c r="W57" s="8" cm="1">
        <f t="array" aca="1" ref="W57" ca="1">INDIRECT("'"&amp;$C$6&amp;"'!"&amp;ADDRESS(ROW(),COLUMN()+44))</f>
        <v>20.575189999999999</v>
      </c>
      <c r="X57" s="8" cm="1">
        <f t="array" aca="1" ref="X57" ca="1">INDIRECT("'"&amp;$C$6&amp;"'!"&amp;ADDRESS(ROW(),COLUMN()+44))</f>
        <v>0</v>
      </c>
      <c r="Y57" s="8" cm="1">
        <f t="array" aca="1" ref="Y57" ca="1">INDIRECT("'"&amp;$C$6&amp;"'!"&amp;ADDRESS(ROW(),COLUMN()+44))</f>
        <v>20.094999999999999</v>
      </c>
      <c r="Z57" s="8" cm="1">
        <f t="array" aca="1" ref="Z57" ca="1">INDIRECT("'"&amp;$C$6&amp;"'!"&amp;ADDRESS(ROW(),COLUMN()+44))</f>
        <v>64.108549999999994</v>
      </c>
      <c r="AA57" s="8" cm="1">
        <f t="array" aca="1" ref="AA57" ca="1">INDIRECT("'"&amp;$C$6&amp;"'!"&amp;ADDRESS(ROW(),COLUMN()+44))</f>
        <v>3.37</v>
      </c>
      <c r="AB57" s="8" cm="1">
        <f t="array" aca="1" ref="AB57" ca="1">INDIRECT("'"&amp;$C$6&amp;"'!"&amp;ADDRESS(ROW(),COLUMN()+44))</f>
        <v>44.859119999999997</v>
      </c>
      <c r="AD57" s="34">
        <f t="shared" ca="1" si="131"/>
        <v>20.575189999999999</v>
      </c>
      <c r="AE57" s="34">
        <f t="shared" ca="1" si="131"/>
        <v>0.48019000000000034</v>
      </c>
      <c r="AF57" s="34">
        <f t="shared" ca="1" si="131"/>
        <v>-43.533359999999995</v>
      </c>
      <c r="AG57" s="34">
        <f t="shared" ca="1" si="131"/>
        <v>17.205189999999998</v>
      </c>
      <c r="AH57" s="34">
        <f t="shared" ca="1" si="131"/>
        <v>-24.283929999999998</v>
      </c>
      <c r="AJ57" s="36">
        <f t="shared" ca="1" si="132"/>
        <v>0</v>
      </c>
      <c r="AK57" s="36">
        <f t="shared" ca="1" si="132"/>
        <v>2.3895994028365175E-2</v>
      </c>
      <c r="AL57" s="36">
        <f t="shared" ca="1" si="132"/>
        <v>-0.67905700565681171</v>
      </c>
      <c r="AM57" s="36">
        <f t="shared" ca="1" si="132"/>
        <v>5.1053976261127589</v>
      </c>
      <c r="AN57" s="36">
        <f t="shared" ca="1" si="132"/>
        <v>-0.54133763658315193</v>
      </c>
    </row>
    <row r="58" spans="1:40" collapsed="1" x14ac:dyDescent="0.25">
      <c r="C58" s="3" t="s">
        <v>68</v>
      </c>
      <c r="D58" s="10">
        <f t="shared" ref="D58:I58" ca="1" si="133">SUM(D56:D57)</f>
        <v>-2362.0385935698532</v>
      </c>
      <c r="E58" s="10">
        <f t="shared" ca="1" si="133"/>
        <v>-5342.0107301225871</v>
      </c>
      <c r="F58" s="10">
        <f t="shared" ca="1" si="133"/>
        <v>1240.284993384312</v>
      </c>
      <c r="G58" s="10">
        <f t="shared" ca="1" si="133"/>
        <v>-1715.0802330411948</v>
      </c>
      <c r="H58" s="10">
        <f t="shared" ca="1" si="133"/>
        <v>-1164.9272350947201</v>
      </c>
      <c r="I58" s="10">
        <f t="shared" ca="1" si="133"/>
        <v>-958.83948468494805</v>
      </c>
      <c r="K58" s="35">
        <f t="shared" ca="1" si="121"/>
        <v>2979.9721365527339</v>
      </c>
      <c r="L58" s="35">
        <f t="shared" ca="1" si="122"/>
        <v>-3602.323586954165</v>
      </c>
      <c r="M58" s="35">
        <f t="shared" ca="1" si="123"/>
        <v>-646.95836052865843</v>
      </c>
      <c r="N58" s="35">
        <f t="shared" ca="1" si="124"/>
        <v>-1197.1113584751331</v>
      </c>
      <c r="O58" s="35">
        <f t="shared" ca="1" si="125"/>
        <v>-1403.1991088849052</v>
      </c>
      <c r="Q58" s="37">
        <f t="shared" ca="1" si="126"/>
        <v>-0.55783716789433524</v>
      </c>
      <c r="R58" s="37">
        <f t="shared" ca="1" si="127"/>
        <v>-2.9044321314608998</v>
      </c>
      <c r="S58" s="37">
        <f t="shared" ca="1" si="128"/>
        <v>0.3772175482318203</v>
      </c>
      <c r="T58" s="37">
        <f t="shared" ca="1" si="129"/>
        <v>1.0276275825741132</v>
      </c>
      <c r="U58" s="37">
        <f t="shared" ca="1" si="130"/>
        <v>1.4634348410734912</v>
      </c>
      <c r="W58" s="10">
        <f t="shared" ref="W58:AB58" ca="1" si="134">SUM(W56:W57)</f>
        <v>-592.99336196208674</v>
      </c>
      <c r="X58" s="10">
        <f t="shared" ca="1" si="134"/>
        <v>-11935.066331319729</v>
      </c>
      <c r="Y58" s="10">
        <f t="shared" ca="1" si="134"/>
        <v>1769.0452316077667</v>
      </c>
      <c r="Z58" s="10">
        <f t="shared" ca="1" si="134"/>
        <v>-8957.3795069200096</v>
      </c>
      <c r="AA58" s="10">
        <f t="shared" ca="1" si="134"/>
        <v>-11147.417144310226</v>
      </c>
      <c r="AB58" s="10">
        <f t="shared" ca="1" si="134"/>
        <v>-5494.8355526822434</v>
      </c>
      <c r="AD58" s="35">
        <f t="shared" ca="1" si="131"/>
        <v>11342.072969357643</v>
      </c>
      <c r="AE58" s="35">
        <f t="shared" ca="1" si="131"/>
        <v>-2362.0385935698532</v>
      </c>
      <c r="AF58" s="35">
        <f t="shared" ca="1" si="131"/>
        <v>8364.3861449579235</v>
      </c>
      <c r="AG58" s="35">
        <f t="shared" ca="1" si="131"/>
        <v>10554.42378234814</v>
      </c>
      <c r="AH58" s="35">
        <f t="shared" ca="1" si="131"/>
        <v>4901.8421907201564</v>
      </c>
      <c r="AJ58" s="37">
        <f t="shared" ca="1" si="132"/>
        <v>-0.9503150342444292</v>
      </c>
      <c r="AK58" s="37">
        <f t="shared" ca="1" si="132"/>
        <v>-1.3352053137856486</v>
      </c>
      <c r="AL58" s="37">
        <f t="shared" ca="1" si="132"/>
        <v>-0.93379834342131307</v>
      </c>
      <c r="AM58" s="37">
        <f t="shared" ca="1" si="132"/>
        <v>-0.94680441627998491</v>
      </c>
      <c r="AN58" s="37">
        <f t="shared" ca="1" si="132"/>
        <v>-0.89208169083920563</v>
      </c>
    </row>
    <row r="60" spans="1:40" x14ac:dyDescent="0.25">
      <c r="C60" s="3" t="s">
        <v>70</v>
      </c>
      <c r="D60" s="10">
        <f ca="1">D53+D58</f>
        <v>17772.158132890134</v>
      </c>
      <c r="E60" s="10">
        <f t="shared" ref="E60:I60" ca="1" si="135">E53+E58</f>
        <v>13690.306494575387</v>
      </c>
      <c r="F60" s="10">
        <f t="shared" ca="1" si="135"/>
        <v>14099.879827544328</v>
      </c>
      <c r="G60" s="10">
        <f t="shared" ca="1" si="135"/>
        <v>16990.823295868791</v>
      </c>
      <c r="H60" s="10">
        <f t="shared" ca="1" si="135"/>
        <v>17396.993652035286</v>
      </c>
      <c r="I60" s="10">
        <f t="shared" ca="1" si="135"/>
        <v>17192.202990655052</v>
      </c>
      <c r="K60" s="35">
        <f t="shared" ref="K60" ca="1" si="136">$D60-E60</f>
        <v>4081.8516383147471</v>
      </c>
      <c r="L60" s="35">
        <f t="shared" ref="L60" ca="1" si="137">$D60-F60</f>
        <v>3672.2783053458061</v>
      </c>
      <c r="M60" s="35">
        <f t="shared" ref="M60" ca="1" si="138">$D60-G60</f>
        <v>781.33483702134254</v>
      </c>
      <c r="N60" s="35">
        <f t="shared" ref="N60" ca="1" si="139">$D60-H60</f>
        <v>375.16448085484808</v>
      </c>
      <c r="O60" s="35">
        <f t="shared" ref="O60" ca="1" si="140">$D60-I60</f>
        <v>579.95514223508144</v>
      </c>
      <c r="Q60" s="37">
        <f t="shared" ref="Q60" ca="1" si="141">IFERROR($D60/E60-1,0)</f>
        <v>0.29815633710845924</v>
      </c>
      <c r="R60" s="37">
        <f t="shared" ref="R60" ca="1" si="142">IFERROR($D60/F60-1,0)</f>
        <v>0.26044748964256814</v>
      </c>
      <c r="S60" s="37">
        <f t="shared" ref="S60" ca="1" si="143">IFERROR($D60/G60-1,0)</f>
        <v>4.598569612640957E-2</v>
      </c>
      <c r="T60" s="37">
        <f t="shared" ref="T60" ca="1" si="144">IFERROR($D60/H60-1,0)</f>
        <v>2.1564903014777981E-2</v>
      </c>
      <c r="U60" s="37">
        <f t="shared" ref="U60" ca="1" si="145">IFERROR($D60/I60-1,0)</f>
        <v>3.3733614159297654E-2</v>
      </c>
      <c r="W60" s="10">
        <f ca="1">W53+W58</f>
        <v>51895.441468807898</v>
      </c>
      <c r="X60" s="10">
        <f t="shared" ref="X60:AB60" ca="1" si="146">X53+X58</f>
        <v>38687.380278136392</v>
      </c>
      <c r="Y60" s="10">
        <f t="shared" ca="1" si="146"/>
        <v>34123.283335917782</v>
      </c>
      <c r="Z60" s="10">
        <f t="shared" ca="1" si="146"/>
        <v>40562.041033059955</v>
      </c>
      <c r="AA60" s="10">
        <f t="shared" ca="1" si="146"/>
        <v>39956.440814569767</v>
      </c>
      <c r="AB60" s="10">
        <f t="shared" ca="1" si="146"/>
        <v>42630.818371487752</v>
      </c>
      <c r="AD60" s="35">
        <f ca="1">$W60-X60</f>
        <v>13208.061190671506</v>
      </c>
      <c r="AE60" s="35">
        <f ca="1">$W60-Y60</f>
        <v>17772.158132890116</v>
      </c>
      <c r="AF60" s="35">
        <f ca="1">$W60-Z60</f>
        <v>11333.400435747943</v>
      </c>
      <c r="AG60" s="35">
        <f ca="1">$W60-AA60</f>
        <v>11939.000654238131</v>
      </c>
      <c r="AH60" s="35">
        <f ca="1">$W60-AB60</f>
        <v>9264.6230973201455</v>
      </c>
      <c r="AJ60" s="37">
        <f ca="1">IFERROR($W60/X60-1,0)</f>
        <v>0.34140489988503697</v>
      </c>
      <c r="AK60" s="37">
        <f ca="1">IFERROR($W60/Y60-1,0)</f>
        <v>0.5208220427658361</v>
      </c>
      <c r="AL60" s="37">
        <f ca="1">IFERROR($W60/Z60-1,0)</f>
        <v>0.27940902743307938</v>
      </c>
      <c r="AM60" s="37">
        <f ca="1">IFERROR($W60/AA60-1,0)</f>
        <v>0.29880040391096796</v>
      </c>
      <c r="AN60" s="37">
        <f ca="1">IFERROR($W60/AB60-1,0)</f>
        <v>0.21732219674010511</v>
      </c>
    </row>
    <row r="63" spans="1:40" hidden="1" outlineLevel="1" x14ac:dyDescent="0.25">
      <c r="A63" s="11" t="s">
        <v>71</v>
      </c>
      <c r="C63" s="2" t="s">
        <v>75</v>
      </c>
      <c r="D63" s="8" cm="1">
        <f t="array" aca="1" ref="D63" ca="1">_xlfn.XLOOKUP(1,
 (INDIRECT("'"&amp;$C$6&amp;"'!$6:$6")=D$6)*
 (INDIRECT("'"&amp;$C$6&amp;"'!$5:$5")=D$5),
 INDIRECT("'"&amp;$C$6&amp;"'!"&amp;ROW()&amp;":"&amp;ROW())
)</f>
        <v>1018.1365999999999</v>
      </c>
      <c r="E63" s="8" cm="1">
        <f t="array" aca="1" ref="E63" ca="1">_xlfn.XLOOKUP(1,
 (INDIRECT("'"&amp;$C$6&amp;"'!$6:$6")=E$6)*
 (INDIRECT("'"&amp;$C$6&amp;"'!$5:$5")=E$5),
 INDIRECT("'"&amp;$C$6&amp;"'!"&amp;ROW()&amp;":"&amp;ROW())
)</f>
        <v>657.15694249999945</v>
      </c>
      <c r="F63" s="8" cm="1">
        <f t="array" aca="1" ref="F63" ca="1">_xlfn.XLOOKUP(1,
 (INDIRECT("'"&amp;$C$6&amp;"'!$6:$6")=F$6)*
 (INDIRECT("'"&amp;$C$6&amp;"'!$5:$5")=F$5),
 INDIRECT("'"&amp;$C$6&amp;"'!"&amp;ROW()&amp;":"&amp;ROW())
)</f>
        <v>259.69511999999389</v>
      </c>
      <c r="G63" s="8" cm="1">
        <f t="array" aca="1" ref="G63" ca="1">_xlfn.XLOOKUP(1,
 (INDIRECT("'"&amp;$C$6&amp;"'!$6:$6")=G$6)*
 (INDIRECT("'"&amp;$C$6&amp;"'!$5:$5")=G$5),
 INDIRECT("'"&amp;$C$6&amp;"'!"&amp;ROW()&amp;":"&amp;ROW())
)</f>
        <v>814.49952999165134</v>
      </c>
      <c r="H63" s="8" cm="1">
        <f t="array" aca="1" ref="H63" ca="1">_xlfn.XLOOKUP(1,
 (INDIRECT("'"&amp;$C$6&amp;"'!$6:$6")=H$6)*
 (INDIRECT("'"&amp;$C$6&amp;"'!$5:$5")=H$5),
 INDIRECT("'"&amp;$C$6&amp;"'!"&amp;ROW()&amp;":"&amp;ROW())
)</f>
        <v>529.90471052805401</v>
      </c>
      <c r="I63" s="8" cm="1">
        <f t="array" aca="1" ref="I63" ca="1">_xlfn.XLOOKUP(1,
 (INDIRECT("'"&amp;$C$6&amp;"'!$6:$6")=I$6)*
 (INDIRECT("'"&amp;$C$6&amp;"'!$5:$5")=I$5),
 INDIRECT("'"&amp;$C$6&amp;"'!"&amp;ROW()&amp;":"&amp;ROW())
)</f>
        <v>787.93692968420851</v>
      </c>
      <c r="K63" s="34">
        <f t="shared" ref="K63:K83" ca="1" si="147">$D63-E63</f>
        <v>360.97965750000049</v>
      </c>
      <c r="L63" s="34">
        <f t="shared" ref="L63:L83" ca="1" si="148">$D63-F63</f>
        <v>758.44148000000609</v>
      </c>
      <c r="M63" s="34">
        <f t="shared" ref="M63:M83" ca="1" si="149">$D63-G63</f>
        <v>203.63707000834859</v>
      </c>
      <c r="N63" s="34">
        <f t="shared" ref="N63:N83" ca="1" si="150">$D63-H63</f>
        <v>488.23188947194592</v>
      </c>
      <c r="O63" s="34">
        <f t="shared" ref="O63:O83" ca="1" si="151">$D63-I63</f>
        <v>230.19967031579142</v>
      </c>
      <c r="Q63" s="36">
        <f t="shared" ref="Q63:Q83" ca="1" si="152">IFERROR($D63/E63-1,0)</f>
        <v>0.54930509617190992</v>
      </c>
      <c r="R63" s="36">
        <f t="shared" ref="R63:R83" ca="1" si="153">IFERROR($D63/F63-1,0)</f>
        <v>2.9205072471135534</v>
      </c>
      <c r="S63" s="36">
        <f t="shared" ref="S63:S83" ca="1" si="154">IFERROR($D63/G63-1,0)</f>
        <v>0.25001496318903449</v>
      </c>
      <c r="T63" s="36">
        <f t="shared" ref="T63:T83" ca="1" si="155">IFERROR($D63/H63-1,0)</f>
        <v>0.92135789656487321</v>
      </c>
      <c r="U63" s="36">
        <f t="shared" ref="U63:U83" ca="1" si="156">IFERROR($D63/I63-1,0)</f>
        <v>0.29215494494978356</v>
      </c>
      <c r="W63" s="8" cm="1">
        <f t="array" aca="1" ref="W63" ca="1">INDIRECT("'"&amp;$C$6&amp;"'!"&amp;ADDRESS(ROW(),COLUMN()+44))</f>
        <v>2118.3980099999894</v>
      </c>
      <c r="X63" s="8" cm="1">
        <f t="array" aca="1" ref="X63" ca="1">INDIRECT("'"&amp;$C$6&amp;"'!"&amp;ADDRESS(ROW(),COLUMN()+44))</f>
        <v>1971.4708274999984</v>
      </c>
      <c r="Y63" s="8" cm="1">
        <f t="array" aca="1" ref="Y63" ca="1">INDIRECT("'"&amp;$C$6&amp;"'!"&amp;ADDRESS(ROW(),COLUMN()+44))</f>
        <v>1100.2614099999896</v>
      </c>
      <c r="Z63" s="8" cm="1">
        <f t="array" aca="1" ref="Z63" ca="1">INDIRECT("'"&amp;$C$6&amp;"'!"&amp;ADDRESS(ROW(),COLUMN()+44))</f>
        <v>1906.6406493774566</v>
      </c>
      <c r="AA63" s="8" cm="1">
        <f t="array" aca="1" ref="AA63" ca="1">INDIRECT("'"&amp;$C$6&amp;"'!"&amp;ADDRESS(ROW(),COLUMN()+44))</f>
        <v>1322.2734097344753</v>
      </c>
      <c r="AB63" s="8" cm="1">
        <f t="array" aca="1" ref="AB63" ca="1">INDIRECT("'"&amp;$C$6&amp;"'!"&amp;ADDRESS(ROW(),COLUMN()+44))</f>
        <v>2050.6329300177913</v>
      </c>
      <c r="AD63" s="34">
        <f t="shared" ref="AD63:AD83" ca="1" si="157">$W63-X63</f>
        <v>146.92718249999098</v>
      </c>
      <c r="AE63" s="34">
        <f t="shared" ref="AE63:AE83" ca="1" si="158">$W63-Y63</f>
        <v>1018.1365999999998</v>
      </c>
      <c r="AF63" s="34">
        <f t="shared" ref="AF63:AF83" ca="1" si="159">$W63-Z63</f>
        <v>211.75736062253281</v>
      </c>
      <c r="AG63" s="34">
        <f t="shared" ref="AG63:AG83" ca="1" si="160">$W63-AA63</f>
        <v>796.12460026551412</v>
      </c>
      <c r="AH63" s="34">
        <f t="shared" ref="AH63:AH83" ca="1" si="161">$W63-AB63</f>
        <v>67.765079982198131</v>
      </c>
      <c r="AJ63" s="36">
        <f t="shared" ref="AJ63:AJ83" ca="1" si="162">IFERROR($W63/X63-1,0)</f>
        <v>7.4526683555499407E-2</v>
      </c>
      <c r="AK63" s="36">
        <f t="shared" ref="AK63:AK83" ca="1" si="163">IFERROR($W63/Y63-1,0)</f>
        <v>0.92535881995534996</v>
      </c>
      <c r="AL63" s="36">
        <f t="shared" ref="AL63:AL83" ca="1" si="164">IFERROR($W63/Z63-1,0)</f>
        <v>0.11106306827753532</v>
      </c>
      <c r="AM63" s="36">
        <f t="shared" ref="AM63:AM83" ca="1" si="165">IFERROR($W63/AA63-1,0)</f>
        <v>0.60208773344794353</v>
      </c>
      <c r="AN63" s="36">
        <f t="shared" ref="AN63:AN83" ca="1" si="166">IFERROR($W63/AB63-1,0)</f>
        <v>3.3045933765244895E-2</v>
      </c>
    </row>
    <row r="64" spans="1:40" hidden="1" outlineLevel="1" x14ac:dyDescent="0.25">
      <c r="A64" s="11" t="s">
        <v>71</v>
      </c>
      <c r="C64" s="2" t="s">
        <v>72</v>
      </c>
      <c r="D64" s="8" cm="1">
        <f t="array" aca="1" ref="D64" ca="1">_xlfn.XLOOKUP(1,
 (INDIRECT("'"&amp;$C$6&amp;"'!$6:$6")=D$6)*
 (INDIRECT("'"&amp;$C$6&amp;"'!$5:$5")=D$5),
 INDIRECT("'"&amp;$C$6&amp;"'!"&amp;ROW()&amp;":"&amp;ROW())
)</f>
        <v>376.68120550000009</v>
      </c>
      <c r="E64" s="8" cm="1">
        <f t="array" aca="1" ref="E64" ca="1">_xlfn.XLOOKUP(1,
 (INDIRECT("'"&amp;$C$6&amp;"'!$6:$6")=E$6)*
 (INDIRECT("'"&amp;$C$6&amp;"'!$5:$5")=E$5),
 INDIRECT("'"&amp;$C$6&amp;"'!"&amp;ROW()&amp;":"&amp;ROW())
)</f>
        <v>413.71093488159471</v>
      </c>
      <c r="F64" s="8" cm="1">
        <f t="array" aca="1" ref="F64" ca="1">_xlfn.XLOOKUP(1,
 (INDIRECT("'"&amp;$C$6&amp;"'!$6:$6")=F$6)*
 (INDIRECT("'"&amp;$C$6&amp;"'!$5:$5")=F$5),
 INDIRECT("'"&amp;$C$6&amp;"'!"&amp;ROW()&amp;":"&amp;ROW())
)</f>
        <v>449.58388534999995</v>
      </c>
      <c r="G64" s="8" cm="1">
        <f t="array" aca="1" ref="G64" ca="1">_xlfn.XLOOKUP(1,
 (INDIRECT("'"&amp;$C$6&amp;"'!$6:$6")=G$6)*
 (INDIRECT("'"&amp;$C$6&amp;"'!$5:$5")=G$5),
 INDIRECT("'"&amp;$C$6&amp;"'!"&amp;ROW()&amp;":"&amp;ROW())
)</f>
        <v>318.50245626114003</v>
      </c>
      <c r="H64" s="8" cm="1">
        <f t="array" aca="1" ref="H64" ca="1">_xlfn.XLOOKUP(1,
 (INDIRECT("'"&amp;$C$6&amp;"'!$6:$6")=H$6)*
 (INDIRECT("'"&amp;$C$6&amp;"'!$5:$5")=H$5),
 INDIRECT("'"&amp;$C$6&amp;"'!"&amp;ROW()&amp;":"&amp;ROW())
)</f>
        <v>385.38059095700999</v>
      </c>
      <c r="I64" s="8" cm="1">
        <f t="array" aca="1" ref="I64" ca="1">_xlfn.XLOOKUP(1,
 (INDIRECT("'"&amp;$C$6&amp;"'!$6:$6")=I$6)*
 (INDIRECT("'"&amp;$C$6&amp;"'!$5:$5")=I$5),
 INDIRECT("'"&amp;$C$6&amp;"'!"&amp;ROW()&amp;":"&amp;ROW())
)</f>
        <v>373.30377217428003</v>
      </c>
      <c r="K64" s="34">
        <f t="shared" ca="1" si="147"/>
        <v>-37.02972938159462</v>
      </c>
      <c r="L64" s="34">
        <f t="shared" ca="1" si="148"/>
        <v>-72.902679849999856</v>
      </c>
      <c r="M64" s="34">
        <f t="shared" ca="1" si="149"/>
        <v>58.178749238860064</v>
      </c>
      <c r="N64" s="34">
        <f t="shared" ca="1" si="150"/>
        <v>-8.6993854570098961</v>
      </c>
      <c r="O64" s="34">
        <f t="shared" ca="1" si="151"/>
        <v>3.3774333257200624</v>
      </c>
      <c r="Q64" s="36">
        <f t="shared" ca="1" si="152"/>
        <v>-8.9506286296717419E-2</v>
      </c>
      <c r="R64" s="36">
        <f t="shared" ca="1" si="153"/>
        <v>-0.16215590065743857</v>
      </c>
      <c r="S64" s="36">
        <f t="shared" ca="1" si="154"/>
        <v>0.18266342408097258</v>
      </c>
      <c r="T64" s="36">
        <f t="shared" ca="1" si="155"/>
        <v>-2.2573491403412027E-2</v>
      </c>
      <c r="U64" s="36">
        <f t="shared" ca="1" si="156"/>
        <v>9.0474127974877749E-3</v>
      </c>
      <c r="W64" s="8" cm="1">
        <f t="array" aca="1" ref="W64" ca="1">INDIRECT("'"&amp;$C$6&amp;"'!"&amp;ADDRESS(ROW(),COLUMN()+44))</f>
        <v>1314.3343771300001</v>
      </c>
      <c r="X64" s="8" cm="1">
        <f t="array" aca="1" ref="X64" ca="1">INDIRECT("'"&amp;$C$6&amp;"'!"&amp;ADDRESS(ROW(),COLUMN()+44))</f>
        <v>1235.6628349642651</v>
      </c>
      <c r="Y64" s="8" cm="1">
        <f t="array" aca="1" ref="Y64" ca="1">INDIRECT("'"&amp;$C$6&amp;"'!"&amp;ADDRESS(ROW(),COLUMN()+44))</f>
        <v>937.65317162999997</v>
      </c>
      <c r="Z64" s="8" cm="1">
        <f t="array" aca="1" ref="Z64" ca="1">INDIRECT("'"&amp;$C$6&amp;"'!"&amp;ADDRESS(ROW(),COLUMN()+44))</f>
        <v>1247.9667966858501</v>
      </c>
      <c r="AA64" s="8" cm="1">
        <f t="array" aca="1" ref="AA64" ca="1">INDIRECT("'"&amp;$C$6&amp;"'!"&amp;ADDRESS(ROW(),COLUMN()+44))</f>
        <v>1317.3101064092298</v>
      </c>
      <c r="AB64" s="8" cm="1">
        <f t="array" aca="1" ref="AB64" ca="1">INDIRECT("'"&amp;$C$6&amp;"'!"&amp;ADDRESS(ROW(),COLUMN()+44))</f>
        <v>1320.24701296025</v>
      </c>
      <c r="AD64" s="34">
        <f t="shared" ca="1" si="157"/>
        <v>78.671542165734991</v>
      </c>
      <c r="AE64" s="34">
        <f t="shared" ca="1" si="158"/>
        <v>376.68120550000015</v>
      </c>
      <c r="AF64" s="34">
        <f t="shared" ca="1" si="159"/>
        <v>66.367580444150008</v>
      </c>
      <c r="AG64" s="34">
        <f t="shared" ca="1" si="160"/>
        <v>-2.9757292792296539</v>
      </c>
      <c r="AH64" s="34">
        <f t="shared" ca="1" si="161"/>
        <v>-5.9126358302498829</v>
      </c>
      <c r="AJ64" s="36">
        <f t="shared" ca="1" si="162"/>
        <v>6.3667482698069655E-2</v>
      </c>
      <c r="AK64" s="36">
        <f t="shared" ca="1" si="163"/>
        <v>0.40172765036904212</v>
      </c>
      <c r="AL64" s="36">
        <f t="shared" ca="1" si="164"/>
        <v>5.3180565877552599E-2</v>
      </c>
      <c r="AM64" s="36">
        <f t="shared" ca="1" si="165"/>
        <v>-2.2589436342677072E-3</v>
      </c>
      <c r="AN64" s="36">
        <f t="shared" ca="1" si="166"/>
        <v>-4.4784315148667098E-3</v>
      </c>
    </row>
    <row r="65" spans="1:40" hidden="1" outlineLevel="1" x14ac:dyDescent="0.25">
      <c r="A65" s="11" t="s">
        <v>71</v>
      </c>
      <c r="C65" s="2" t="s">
        <v>73</v>
      </c>
      <c r="D65" s="8" cm="1">
        <f t="array" aca="1" ref="D65" ca="1">_xlfn.XLOOKUP(1,
 (INDIRECT("'"&amp;$C$6&amp;"'!$6:$6")=D$6)*
 (INDIRECT("'"&amp;$C$6&amp;"'!$5:$5")=D$5),
 INDIRECT("'"&amp;$C$6&amp;"'!"&amp;ROW()&amp;":"&amp;ROW())
)</f>
        <v>10.080415322044221</v>
      </c>
      <c r="E65" s="8" cm="1">
        <f t="array" aca="1" ref="E65" ca="1">_xlfn.XLOOKUP(1,
 (INDIRECT("'"&amp;$C$6&amp;"'!$6:$6")=E$6)*
 (INDIRECT("'"&amp;$C$6&amp;"'!$5:$5")=E$5),
 INDIRECT("'"&amp;$C$6&amp;"'!"&amp;ROW()&amp;":"&amp;ROW())
)</f>
        <v>-7.9999999999999876</v>
      </c>
      <c r="F65" s="8" cm="1">
        <f t="array" aca="1" ref="F65" ca="1">_xlfn.XLOOKUP(1,
 (INDIRECT("'"&amp;$C$6&amp;"'!$6:$6")=F$6)*
 (INDIRECT("'"&amp;$C$6&amp;"'!$5:$5")=F$5),
 INDIRECT("'"&amp;$C$6&amp;"'!"&amp;ROW()&amp;":"&amp;ROW())
)</f>
        <v>195.99659283003234</v>
      </c>
      <c r="G65" s="8" cm="1">
        <f t="array" aca="1" ref="G65" ca="1">_xlfn.XLOOKUP(1,
 (INDIRECT("'"&amp;$C$6&amp;"'!$6:$6")=G$6)*
 (INDIRECT("'"&amp;$C$6&amp;"'!$5:$5")=G$5),
 INDIRECT("'"&amp;$C$6&amp;"'!"&amp;ROW()&amp;":"&amp;ROW())
)</f>
        <v>-94.255725671740066</v>
      </c>
      <c r="H65" s="8" cm="1">
        <f t="array" aca="1" ref="H65" ca="1">_xlfn.XLOOKUP(1,
 (INDIRECT("'"&amp;$C$6&amp;"'!$6:$6")=H$6)*
 (INDIRECT("'"&amp;$C$6&amp;"'!$5:$5")=H$5),
 INDIRECT("'"&amp;$C$6&amp;"'!"&amp;ROW()&amp;":"&amp;ROW())
)</f>
        <v>-237.32362384918997</v>
      </c>
      <c r="I65" s="8" cm="1">
        <f t="array" aca="1" ref="I65" ca="1">_xlfn.XLOOKUP(1,
 (INDIRECT("'"&amp;$C$6&amp;"'!$6:$6")=I$6)*
 (INDIRECT("'"&amp;$C$6&amp;"'!$5:$5")=I$5),
 INDIRECT("'"&amp;$C$6&amp;"'!"&amp;ROW()&amp;":"&amp;ROW())
)</f>
        <v>-49.958924545240009</v>
      </c>
      <c r="K65" s="34">
        <f t="shared" ca="1" si="147"/>
        <v>18.08041532204421</v>
      </c>
      <c r="L65" s="34">
        <f t="shared" ca="1" si="148"/>
        <v>-185.91617750798812</v>
      </c>
      <c r="M65" s="34">
        <f t="shared" ca="1" si="149"/>
        <v>104.33614099378428</v>
      </c>
      <c r="N65" s="34">
        <f t="shared" ca="1" si="150"/>
        <v>247.40403917123419</v>
      </c>
      <c r="O65" s="34">
        <f t="shared" ca="1" si="151"/>
        <v>60.039339867284227</v>
      </c>
      <c r="Q65" s="36">
        <f t="shared" ca="1" si="152"/>
        <v>-2.2600519152555298</v>
      </c>
      <c r="R65" s="36">
        <f t="shared" ca="1" si="153"/>
        <v>-0.94856841551941706</v>
      </c>
      <c r="S65" s="36">
        <f t="shared" ca="1" si="154"/>
        <v>-1.1069475116785032</v>
      </c>
      <c r="T65" s="36">
        <f t="shared" ca="1" si="155"/>
        <v>-1.0424753977650785</v>
      </c>
      <c r="U65" s="36">
        <f t="shared" ca="1" si="156"/>
        <v>-1.2017740656710085</v>
      </c>
      <c r="W65" s="8" cm="1">
        <f t="array" aca="1" ref="W65" ca="1">INDIRECT("'"&amp;$C$6&amp;"'!"&amp;ADDRESS(ROW(),COLUMN()+44))</f>
        <v>97.828040203654695</v>
      </c>
      <c r="X65" s="8" cm="1">
        <f t="array" aca="1" ref="X65" ca="1">INDIRECT("'"&amp;$C$6&amp;"'!"&amp;ADDRESS(ROW(),COLUMN()+44))</f>
        <v>-23.999999999999964</v>
      </c>
      <c r="Y65" s="8" cm="1">
        <f t="array" aca="1" ref="Y65" ca="1">INDIRECT("'"&amp;$C$6&amp;"'!"&amp;ADDRESS(ROW(),COLUMN()+44))</f>
        <v>87.747624881610477</v>
      </c>
      <c r="Z65" s="8" cm="1">
        <f t="array" aca="1" ref="Z65" ca="1">INDIRECT("'"&amp;$C$6&amp;"'!"&amp;ADDRESS(ROW(),COLUMN()+44))</f>
        <v>-179.0619050051402</v>
      </c>
      <c r="AA65" s="8" cm="1">
        <f t="array" aca="1" ref="AA65" ca="1">INDIRECT("'"&amp;$C$6&amp;"'!"&amp;ADDRESS(ROW(),COLUMN()+44))</f>
        <v>-707.60813524758998</v>
      </c>
      <c r="AB65" s="8" cm="1">
        <f t="array" aca="1" ref="AB65" ca="1">INDIRECT("'"&amp;$C$6&amp;"'!"&amp;ADDRESS(ROW(),COLUMN()+44))</f>
        <v>-49.766874627040011</v>
      </c>
      <c r="AD65" s="34">
        <f t="shared" ca="1" si="157"/>
        <v>121.82804020365467</v>
      </c>
      <c r="AE65" s="34">
        <f t="shared" ca="1" si="158"/>
        <v>10.080415322044217</v>
      </c>
      <c r="AF65" s="34">
        <f t="shared" ca="1" si="159"/>
        <v>276.88994520879487</v>
      </c>
      <c r="AG65" s="34">
        <f t="shared" ca="1" si="160"/>
        <v>805.43617545124471</v>
      </c>
      <c r="AH65" s="34">
        <f t="shared" ca="1" si="161"/>
        <v>147.59491483069471</v>
      </c>
      <c r="AJ65" s="36">
        <f t="shared" ca="1" si="162"/>
        <v>-5.0761683418189518</v>
      </c>
      <c r="AK65" s="36">
        <f t="shared" ca="1" si="163"/>
        <v>0.11487963731946893</v>
      </c>
      <c r="AL65" s="36">
        <f t="shared" ca="1" si="164"/>
        <v>-1.546336420361698</v>
      </c>
      <c r="AM65" s="36">
        <f t="shared" ca="1" si="165"/>
        <v>-1.1382517177666773</v>
      </c>
      <c r="AN65" s="36">
        <f t="shared" ca="1" si="166"/>
        <v>-2.9657260162867738</v>
      </c>
    </row>
    <row r="66" spans="1:40" hidden="1" outlineLevel="1" x14ac:dyDescent="0.25">
      <c r="A66" s="11" t="s">
        <v>71</v>
      </c>
      <c r="C66" s="2"/>
      <c r="D66" s="8" cm="1">
        <f t="array" aca="1" ref="D66" ca="1">_xlfn.XLOOKUP(1,
 (INDIRECT("'"&amp;$C$6&amp;"'!$6:$6")=D$6)*
 (INDIRECT("'"&amp;$C$6&amp;"'!$5:$5")=D$5),
 INDIRECT("'"&amp;$C$6&amp;"'!"&amp;ROW()&amp;":"&amp;ROW())
)</f>
        <v>3.5757945000000002</v>
      </c>
      <c r="E66" s="8" cm="1">
        <f t="array" aca="1" ref="E66" ca="1">_xlfn.XLOOKUP(1,
 (INDIRECT("'"&amp;$C$6&amp;"'!$6:$6")=E$6)*
 (INDIRECT("'"&amp;$C$6&amp;"'!$5:$5")=E$5),
 INDIRECT("'"&amp;$C$6&amp;"'!"&amp;ROW()&amp;":"&amp;ROW())
)</f>
        <v>1.6525918184933295</v>
      </c>
      <c r="F66" s="8" cm="1">
        <f t="array" aca="1" ref="F66" ca="1">_xlfn.XLOOKUP(1,
 (INDIRECT("'"&amp;$C$6&amp;"'!$6:$6")=F$6)*
 (INDIRECT("'"&amp;$C$6&amp;"'!$5:$5")=F$5),
 INDIRECT("'"&amp;$C$6&amp;"'!"&amp;ROW()&amp;":"&amp;ROW())
)</f>
        <v>2.2528964399999998</v>
      </c>
      <c r="G66" s="8" cm="1">
        <f t="array" aca="1" ref="G66" ca="1">_xlfn.XLOOKUP(1,
 (INDIRECT("'"&amp;$C$6&amp;"'!$6:$6")=G$6)*
 (INDIRECT("'"&amp;$C$6&amp;"'!$5:$5")=G$5),
 INDIRECT("'"&amp;$C$6&amp;"'!"&amp;ROW()&amp;":"&amp;ROW())
)</f>
        <v>3.4410433600000001</v>
      </c>
      <c r="H66" s="8" cm="1">
        <f t="array" aca="1" ref="H66" ca="1">_xlfn.XLOOKUP(1,
 (INDIRECT("'"&amp;$C$6&amp;"'!$6:$6")=H$6)*
 (INDIRECT("'"&amp;$C$6&amp;"'!$5:$5")=H$5),
 INDIRECT("'"&amp;$C$6&amp;"'!"&amp;ROW()&amp;":"&amp;ROW())
)</f>
        <v>1.7143404001</v>
      </c>
      <c r="I66" s="8" cm="1">
        <f t="array" aca="1" ref="I66" ca="1">_xlfn.XLOOKUP(1,
 (INDIRECT("'"&amp;$C$6&amp;"'!$6:$6")=I$6)*
 (INDIRECT("'"&amp;$C$6&amp;"'!$5:$5")=I$5),
 INDIRECT("'"&amp;$C$6&amp;"'!"&amp;ROW()&amp;":"&amp;ROW())
)</f>
        <v>-1.4854462000020003</v>
      </c>
      <c r="K66" s="34">
        <f t="shared" ca="1" si="147"/>
        <v>1.9232026815066707</v>
      </c>
      <c r="L66" s="34">
        <f t="shared" ca="1" si="148"/>
        <v>1.3228980600000004</v>
      </c>
      <c r="M66" s="34">
        <f t="shared" ca="1" si="149"/>
        <v>0.1347511400000001</v>
      </c>
      <c r="N66" s="34">
        <f t="shared" ca="1" si="150"/>
        <v>1.8614540999000002</v>
      </c>
      <c r="O66" s="34">
        <f t="shared" ca="1" si="151"/>
        <v>5.061240700002001</v>
      </c>
      <c r="Q66" s="36">
        <f t="shared" ca="1" si="152"/>
        <v>1.163749366289407</v>
      </c>
      <c r="R66" s="36">
        <f t="shared" ca="1" si="153"/>
        <v>0.58719878841834405</v>
      </c>
      <c r="S66" s="36">
        <f t="shared" ca="1" si="154"/>
        <v>3.915996571458491E-2</v>
      </c>
      <c r="T66" s="36">
        <f t="shared" ca="1" si="155"/>
        <v>1.0858135874248886</v>
      </c>
      <c r="U66" s="36">
        <f t="shared" ca="1" si="156"/>
        <v>-3.4072191237859606</v>
      </c>
      <c r="W66" s="8" cm="1">
        <f t="array" aca="1" ref="W66" ca="1">INDIRECT("'"&amp;$C$6&amp;"'!"&amp;ADDRESS(ROW(),COLUMN()+44))</f>
        <v>8.6162502300000003</v>
      </c>
      <c r="X66" s="8" cm="1">
        <f t="array" aca="1" ref="X66" ca="1">INDIRECT("'"&amp;$C$6&amp;"'!"&amp;ADDRESS(ROW(),COLUMN()+44))</f>
        <v>4.9359253510247614</v>
      </c>
      <c r="Y66" s="8" cm="1">
        <f t="array" aca="1" ref="Y66" ca="1">INDIRECT("'"&amp;$C$6&amp;"'!"&amp;ADDRESS(ROW(),COLUMN()+44))</f>
        <v>5.0404557299999997</v>
      </c>
      <c r="Z66" s="8" cm="1">
        <f t="array" aca="1" ref="Z66" ca="1">INDIRECT("'"&amp;$C$6&amp;"'!"&amp;ADDRESS(ROW(),COLUMN()+44))</f>
        <v>6.3520381097610006</v>
      </c>
      <c r="AA66" s="8" cm="1">
        <f t="array" aca="1" ref="AA66" ca="1">INDIRECT("'"&amp;$C$6&amp;"'!"&amp;ADDRESS(ROW(),COLUMN()+44))</f>
        <v>2.8265033607319916</v>
      </c>
      <c r="AB66" s="8" cm="1">
        <f t="array" aca="1" ref="AB66" ca="1">INDIRECT("'"&amp;$C$6&amp;"'!"&amp;ADDRESS(ROW(),COLUMN()+44))</f>
        <v>9.2222810188000048E-2</v>
      </c>
      <c r="AD66" s="34">
        <f t="shared" ca="1" si="157"/>
        <v>3.680324878975239</v>
      </c>
      <c r="AE66" s="34">
        <f t="shared" ca="1" si="158"/>
        <v>3.5757945000000007</v>
      </c>
      <c r="AF66" s="34">
        <f t="shared" ca="1" si="159"/>
        <v>2.2642121202389998</v>
      </c>
      <c r="AG66" s="34">
        <f t="shared" ca="1" si="160"/>
        <v>5.7897468692680087</v>
      </c>
      <c r="AH66" s="34">
        <f t="shared" ca="1" si="161"/>
        <v>8.5240274198120005</v>
      </c>
      <c r="AJ66" s="36">
        <f t="shared" ca="1" si="162"/>
        <v>0.74562004431674733</v>
      </c>
      <c r="AK66" s="36">
        <f t="shared" ca="1" si="163"/>
        <v>0.70941888820041288</v>
      </c>
      <c r="AL66" s="36">
        <f t="shared" ca="1" si="164"/>
        <v>0.35645442944677042</v>
      </c>
      <c r="AM66" s="36">
        <f t="shared" ca="1" si="165"/>
        <v>2.0483778472382972</v>
      </c>
      <c r="AN66" s="36">
        <f t="shared" ca="1" si="166"/>
        <v>92.428623704216065</v>
      </c>
    </row>
    <row r="67" spans="1:40" hidden="1" outlineLevel="1" x14ac:dyDescent="0.25">
      <c r="A67" s="11" t="s">
        <v>71</v>
      </c>
      <c r="C67" s="2"/>
      <c r="D67" s="8" cm="1">
        <f t="array" aca="1" ref="D67" ca="1">_xlfn.XLOOKUP(1,
 (INDIRECT("'"&amp;$C$6&amp;"'!$6:$6")=D$6)*
 (INDIRECT("'"&amp;$C$6&amp;"'!$5:$5")=D$5),
 INDIRECT("'"&amp;$C$6&amp;"'!"&amp;ROW()&amp;":"&amp;ROW())
)</f>
        <v>0</v>
      </c>
      <c r="E67" s="8" cm="1">
        <f t="array" aca="1" ref="E67" ca="1">_xlfn.XLOOKUP(1,
 (INDIRECT("'"&amp;$C$6&amp;"'!$6:$6")=E$6)*
 (INDIRECT("'"&amp;$C$6&amp;"'!$5:$5")=E$5),
 INDIRECT("'"&amp;$C$6&amp;"'!"&amp;ROW()&amp;":"&amp;ROW())
)</f>
        <v>0</v>
      </c>
      <c r="F67" s="8" cm="1">
        <f t="array" aca="1" ref="F67" ca="1">_xlfn.XLOOKUP(1,
 (INDIRECT("'"&amp;$C$6&amp;"'!$6:$6")=F$6)*
 (INDIRECT("'"&amp;$C$6&amp;"'!$5:$5")=F$5),
 INDIRECT("'"&amp;$C$6&amp;"'!"&amp;ROW()&amp;":"&amp;ROW())
)</f>
        <v>0</v>
      </c>
      <c r="G67" s="8" cm="1">
        <f t="array" aca="1" ref="G67" ca="1">_xlfn.XLOOKUP(1,
 (INDIRECT("'"&amp;$C$6&amp;"'!$6:$6")=G$6)*
 (INDIRECT("'"&amp;$C$6&amp;"'!$5:$5")=G$5),
 INDIRECT("'"&amp;$C$6&amp;"'!"&amp;ROW()&amp;":"&amp;ROW())
)</f>
        <v>0</v>
      </c>
      <c r="H67" s="8" cm="1">
        <f t="array" aca="1" ref="H67" ca="1">_xlfn.XLOOKUP(1,
 (INDIRECT("'"&amp;$C$6&amp;"'!$6:$6")=H$6)*
 (INDIRECT("'"&amp;$C$6&amp;"'!$5:$5")=H$5),
 INDIRECT("'"&amp;$C$6&amp;"'!"&amp;ROW()&amp;":"&amp;ROW())
)</f>
        <v>0</v>
      </c>
      <c r="I67" s="8" cm="1">
        <f t="array" aca="1" ref="I67" ca="1">_xlfn.XLOOKUP(1,
 (INDIRECT("'"&amp;$C$6&amp;"'!$6:$6")=I$6)*
 (INDIRECT("'"&amp;$C$6&amp;"'!$5:$5")=I$5),
 INDIRECT("'"&amp;$C$6&amp;"'!"&amp;ROW()&amp;":"&amp;ROW())
)</f>
        <v>0</v>
      </c>
      <c r="K67" s="34">
        <f t="shared" ca="1" si="147"/>
        <v>0</v>
      </c>
      <c r="L67" s="34">
        <f t="shared" ca="1" si="148"/>
        <v>0</v>
      </c>
      <c r="M67" s="34">
        <f t="shared" ca="1" si="149"/>
        <v>0</v>
      </c>
      <c r="N67" s="34">
        <f t="shared" ca="1" si="150"/>
        <v>0</v>
      </c>
      <c r="O67" s="34">
        <f t="shared" ca="1" si="151"/>
        <v>0</v>
      </c>
      <c r="Q67" s="36">
        <f t="shared" ca="1" si="152"/>
        <v>0</v>
      </c>
      <c r="R67" s="36">
        <f t="shared" ca="1" si="153"/>
        <v>0</v>
      </c>
      <c r="S67" s="36">
        <f t="shared" ca="1" si="154"/>
        <v>0</v>
      </c>
      <c r="T67" s="36">
        <f t="shared" ca="1" si="155"/>
        <v>0</v>
      </c>
      <c r="U67" s="36">
        <f t="shared" ca="1" si="156"/>
        <v>0</v>
      </c>
      <c r="W67" s="8" cm="1">
        <f t="array" aca="1" ref="W67" ca="1">INDIRECT("'"&amp;$C$6&amp;"'!"&amp;ADDRESS(ROW(),COLUMN()+44))</f>
        <v>0</v>
      </c>
      <c r="X67" s="8" cm="1">
        <f t="array" aca="1" ref="X67" ca="1">INDIRECT("'"&amp;$C$6&amp;"'!"&amp;ADDRESS(ROW(),COLUMN()+44))</f>
        <v>0</v>
      </c>
      <c r="Y67" s="8" cm="1">
        <f t="array" aca="1" ref="Y67" ca="1">INDIRECT("'"&amp;$C$6&amp;"'!"&amp;ADDRESS(ROW(),COLUMN()+44))</f>
        <v>0</v>
      </c>
      <c r="Z67" s="8" cm="1">
        <f t="array" aca="1" ref="Z67" ca="1">INDIRECT("'"&amp;$C$6&amp;"'!"&amp;ADDRESS(ROW(),COLUMN()+44))</f>
        <v>0</v>
      </c>
      <c r="AA67" s="8" cm="1">
        <f t="array" aca="1" ref="AA67" ca="1">INDIRECT("'"&amp;$C$6&amp;"'!"&amp;ADDRESS(ROW(),COLUMN()+44))</f>
        <v>0</v>
      </c>
      <c r="AB67" s="8" cm="1">
        <f t="array" aca="1" ref="AB67" ca="1">INDIRECT("'"&amp;$C$6&amp;"'!"&amp;ADDRESS(ROW(),COLUMN()+44))</f>
        <v>0</v>
      </c>
      <c r="AD67" s="34">
        <f t="shared" ca="1" si="157"/>
        <v>0</v>
      </c>
      <c r="AE67" s="34">
        <f t="shared" ca="1" si="158"/>
        <v>0</v>
      </c>
      <c r="AF67" s="34">
        <f t="shared" ca="1" si="159"/>
        <v>0</v>
      </c>
      <c r="AG67" s="34">
        <f t="shared" ca="1" si="160"/>
        <v>0</v>
      </c>
      <c r="AH67" s="34">
        <f t="shared" ca="1" si="161"/>
        <v>0</v>
      </c>
      <c r="AJ67" s="36">
        <f t="shared" ca="1" si="162"/>
        <v>0</v>
      </c>
      <c r="AK67" s="36">
        <f t="shared" ca="1" si="163"/>
        <v>0</v>
      </c>
      <c r="AL67" s="36">
        <f t="shared" ca="1" si="164"/>
        <v>0</v>
      </c>
      <c r="AM67" s="36">
        <f t="shared" ca="1" si="165"/>
        <v>0</v>
      </c>
      <c r="AN67" s="36">
        <f t="shared" ca="1" si="166"/>
        <v>0</v>
      </c>
    </row>
    <row r="68" spans="1:40" hidden="1" outlineLevel="1" x14ac:dyDescent="0.25">
      <c r="A68" s="11" t="s">
        <v>71</v>
      </c>
      <c r="C68" s="2"/>
      <c r="D68" s="8" cm="1">
        <f t="array" aca="1" ref="D68" ca="1">_xlfn.XLOOKUP(1,
 (INDIRECT("'"&amp;$C$6&amp;"'!$6:$6")=D$6)*
 (INDIRECT("'"&amp;$C$6&amp;"'!$5:$5")=D$5),
 INDIRECT("'"&amp;$C$6&amp;"'!"&amp;ROW()&amp;":"&amp;ROW())
)</f>
        <v>0</v>
      </c>
      <c r="E68" s="8" cm="1">
        <f t="array" aca="1" ref="E68" ca="1">_xlfn.XLOOKUP(1,
 (INDIRECT("'"&amp;$C$6&amp;"'!$6:$6")=E$6)*
 (INDIRECT("'"&amp;$C$6&amp;"'!$5:$5")=E$5),
 INDIRECT("'"&amp;$C$6&amp;"'!"&amp;ROW()&amp;":"&amp;ROW())
)</f>
        <v>0</v>
      </c>
      <c r="F68" s="8" cm="1">
        <f t="array" aca="1" ref="F68" ca="1">_xlfn.XLOOKUP(1,
 (INDIRECT("'"&amp;$C$6&amp;"'!$6:$6")=F$6)*
 (INDIRECT("'"&amp;$C$6&amp;"'!$5:$5")=F$5),
 INDIRECT("'"&amp;$C$6&amp;"'!"&amp;ROW()&amp;":"&amp;ROW())
)</f>
        <v>0</v>
      </c>
      <c r="G68" s="8" cm="1">
        <f t="array" aca="1" ref="G68" ca="1">_xlfn.XLOOKUP(1,
 (INDIRECT("'"&amp;$C$6&amp;"'!$6:$6")=G$6)*
 (INDIRECT("'"&amp;$C$6&amp;"'!$5:$5")=G$5),
 INDIRECT("'"&amp;$C$6&amp;"'!"&amp;ROW()&amp;":"&amp;ROW())
)</f>
        <v>0</v>
      </c>
      <c r="H68" s="8" cm="1">
        <f t="array" aca="1" ref="H68" ca="1">_xlfn.XLOOKUP(1,
 (INDIRECT("'"&amp;$C$6&amp;"'!$6:$6")=H$6)*
 (INDIRECT("'"&amp;$C$6&amp;"'!$5:$5")=H$5),
 INDIRECT("'"&amp;$C$6&amp;"'!"&amp;ROW()&amp;":"&amp;ROW())
)</f>
        <v>0</v>
      </c>
      <c r="I68" s="8" cm="1">
        <f t="array" aca="1" ref="I68" ca="1">_xlfn.XLOOKUP(1,
 (INDIRECT("'"&amp;$C$6&amp;"'!$6:$6")=I$6)*
 (INDIRECT("'"&amp;$C$6&amp;"'!$5:$5")=I$5),
 INDIRECT("'"&amp;$C$6&amp;"'!"&amp;ROW()&amp;":"&amp;ROW())
)</f>
        <v>0</v>
      </c>
      <c r="K68" s="34">
        <f t="shared" ca="1" si="147"/>
        <v>0</v>
      </c>
      <c r="L68" s="34">
        <f t="shared" ca="1" si="148"/>
        <v>0</v>
      </c>
      <c r="M68" s="34">
        <f t="shared" ca="1" si="149"/>
        <v>0</v>
      </c>
      <c r="N68" s="34">
        <f t="shared" ca="1" si="150"/>
        <v>0</v>
      </c>
      <c r="O68" s="34">
        <f t="shared" ca="1" si="151"/>
        <v>0</v>
      </c>
      <c r="Q68" s="36">
        <f t="shared" ca="1" si="152"/>
        <v>0</v>
      </c>
      <c r="R68" s="36">
        <f t="shared" ca="1" si="153"/>
        <v>0</v>
      </c>
      <c r="S68" s="36">
        <f t="shared" ca="1" si="154"/>
        <v>0</v>
      </c>
      <c r="T68" s="36">
        <f t="shared" ca="1" si="155"/>
        <v>0</v>
      </c>
      <c r="U68" s="36">
        <f t="shared" ca="1" si="156"/>
        <v>0</v>
      </c>
      <c r="W68" s="8" cm="1">
        <f t="array" aca="1" ref="W68" ca="1">INDIRECT("'"&amp;$C$6&amp;"'!"&amp;ADDRESS(ROW(),COLUMN()+44))</f>
        <v>0</v>
      </c>
      <c r="X68" s="8" cm="1">
        <f t="array" aca="1" ref="X68" ca="1">INDIRECT("'"&amp;$C$6&amp;"'!"&amp;ADDRESS(ROW(),COLUMN()+44))</f>
        <v>0</v>
      </c>
      <c r="Y68" s="8" cm="1">
        <f t="array" aca="1" ref="Y68" ca="1">INDIRECT("'"&amp;$C$6&amp;"'!"&amp;ADDRESS(ROW(),COLUMN()+44))</f>
        <v>0</v>
      </c>
      <c r="Z68" s="8" cm="1">
        <f t="array" aca="1" ref="Z68" ca="1">INDIRECT("'"&amp;$C$6&amp;"'!"&amp;ADDRESS(ROW(),COLUMN()+44))</f>
        <v>0</v>
      </c>
      <c r="AA68" s="8" cm="1">
        <f t="array" aca="1" ref="AA68" ca="1">INDIRECT("'"&amp;$C$6&amp;"'!"&amp;ADDRESS(ROW(),COLUMN()+44))</f>
        <v>0</v>
      </c>
      <c r="AB68" s="8" cm="1">
        <f t="array" aca="1" ref="AB68" ca="1">INDIRECT("'"&amp;$C$6&amp;"'!"&amp;ADDRESS(ROW(),COLUMN()+44))</f>
        <v>0</v>
      </c>
      <c r="AD68" s="34">
        <f t="shared" ca="1" si="157"/>
        <v>0</v>
      </c>
      <c r="AE68" s="34">
        <f t="shared" ca="1" si="158"/>
        <v>0</v>
      </c>
      <c r="AF68" s="34">
        <f t="shared" ca="1" si="159"/>
        <v>0</v>
      </c>
      <c r="AG68" s="34">
        <f t="shared" ca="1" si="160"/>
        <v>0</v>
      </c>
      <c r="AH68" s="34">
        <f t="shared" ca="1" si="161"/>
        <v>0</v>
      </c>
      <c r="AJ68" s="36">
        <f t="shared" ca="1" si="162"/>
        <v>0</v>
      </c>
      <c r="AK68" s="36">
        <f t="shared" ca="1" si="163"/>
        <v>0</v>
      </c>
      <c r="AL68" s="36">
        <f t="shared" ca="1" si="164"/>
        <v>0</v>
      </c>
      <c r="AM68" s="36">
        <f t="shared" ca="1" si="165"/>
        <v>0</v>
      </c>
      <c r="AN68" s="36">
        <f t="shared" ca="1" si="166"/>
        <v>0</v>
      </c>
    </row>
    <row r="69" spans="1:40" hidden="1" outlineLevel="1" x14ac:dyDescent="0.25">
      <c r="A69" s="11" t="s">
        <v>71</v>
      </c>
      <c r="C69" s="2"/>
      <c r="D69" s="8" cm="1">
        <f t="array" aca="1" ref="D69" ca="1">_xlfn.XLOOKUP(1,
 (INDIRECT("'"&amp;$C$6&amp;"'!$6:$6")=D$6)*
 (INDIRECT("'"&amp;$C$6&amp;"'!$5:$5")=D$5),
 INDIRECT("'"&amp;$C$6&amp;"'!"&amp;ROW()&amp;":"&amp;ROW())
)</f>
        <v>0</v>
      </c>
      <c r="E69" s="8" cm="1">
        <f t="array" aca="1" ref="E69" ca="1">_xlfn.XLOOKUP(1,
 (INDIRECT("'"&amp;$C$6&amp;"'!$6:$6")=E$6)*
 (INDIRECT("'"&amp;$C$6&amp;"'!$5:$5")=E$5),
 INDIRECT("'"&amp;$C$6&amp;"'!"&amp;ROW()&amp;":"&amp;ROW())
)</f>
        <v>0</v>
      </c>
      <c r="F69" s="8" cm="1">
        <f t="array" aca="1" ref="F69" ca="1">_xlfn.XLOOKUP(1,
 (INDIRECT("'"&amp;$C$6&amp;"'!$6:$6")=F$6)*
 (INDIRECT("'"&amp;$C$6&amp;"'!$5:$5")=F$5),
 INDIRECT("'"&amp;$C$6&amp;"'!"&amp;ROW()&amp;":"&amp;ROW())
)</f>
        <v>0</v>
      </c>
      <c r="G69" s="8" cm="1">
        <f t="array" aca="1" ref="G69" ca="1">_xlfn.XLOOKUP(1,
 (INDIRECT("'"&amp;$C$6&amp;"'!$6:$6")=G$6)*
 (INDIRECT("'"&amp;$C$6&amp;"'!$5:$5")=G$5),
 INDIRECT("'"&amp;$C$6&amp;"'!"&amp;ROW()&amp;":"&amp;ROW())
)</f>
        <v>0</v>
      </c>
      <c r="H69" s="8" cm="1">
        <f t="array" aca="1" ref="H69" ca="1">_xlfn.XLOOKUP(1,
 (INDIRECT("'"&amp;$C$6&amp;"'!$6:$6")=H$6)*
 (INDIRECT("'"&amp;$C$6&amp;"'!$5:$5")=H$5),
 INDIRECT("'"&amp;$C$6&amp;"'!"&amp;ROW()&amp;":"&amp;ROW())
)</f>
        <v>0</v>
      </c>
      <c r="I69" s="8" cm="1">
        <f t="array" aca="1" ref="I69" ca="1">_xlfn.XLOOKUP(1,
 (INDIRECT("'"&amp;$C$6&amp;"'!$6:$6")=I$6)*
 (INDIRECT("'"&amp;$C$6&amp;"'!$5:$5")=I$5),
 INDIRECT("'"&amp;$C$6&amp;"'!"&amp;ROW()&amp;":"&amp;ROW())
)</f>
        <v>0</v>
      </c>
      <c r="K69" s="34">
        <f t="shared" ca="1" si="147"/>
        <v>0</v>
      </c>
      <c r="L69" s="34">
        <f t="shared" ca="1" si="148"/>
        <v>0</v>
      </c>
      <c r="M69" s="34">
        <f t="shared" ca="1" si="149"/>
        <v>0</v>
      </c>
      <c r="N69" s="34">
        <f t="shared" ca="1" si="150"/>
        <v>0</v>
      </c>
      <c r="O69" s="34">
        <f t="shared" ca="1" si="151"/>
        <v>0</v>
      </c>
      <c r="Q69" s="36">
        <f t="shared" ca="1" si="152"/>
        <v>0</v>
      </c>
      <c r="R69" s="36">
        <f t="shared" ca="1" si="153"/>
        <v>0</v>
      </c>
      <c r="S69" s="36">
        <f t="shared" ca="1" si="154"/>
        <v>0</v>
      </c>
      <c r="T69" s="36">
        <f t="shared" ca="1" si="155"/>
        <v>0</v>
      </c>
      <c r="U69" s="36">
        <f t="shared" ca="1" si="156"/>
        <v>0</v>
      </c>
      <c r="W69" s="8" cm="1">
        <f t="array" aca="1" ref="W69" ca="1">INDIRECT("'"&amp;$C$6&amp;"'!"&amp;ADDRESS(ROW(),COLUMN()+44))</f>
        <v>0</v>
      </c>
      <c r="X69" s="8" cm="1">
        <f t="array" aca="1" ref="X69" ca="1">INDIRECT("'"&amp;$C$6&amp;"'!"&amp;ADDRESS(ROW(),COLUMN()+44))</f>
        <v>0</v>
      </c>
      <c r="Y69" s="8" cm="1">
        <f t="array" aca="1" ref="Y69" ca="1">INDIRECT("'"&amp;$C$6&amp;"'!"&amp;ADDRESS(ROW(),COLUMN()+44))</f>
        <v>0</v>
      </c>
      <c r="Z69" s="8" cm="1">
        <f t="array" aca="1" ref="Z69" ca="1">INDIRECT("'"&amp;$C$6&amp;"'!"&amp;ADDRESS(ROW(),COLUMN()+44))</f>
        <v>0</v>
      </c>
      <c r="AA69" s="8" cm="1">
        <f t="array" aca="1" ref="AA69" ca="1">INDIRECT("'"&amp;$C$6&amp;"'!"&amp;ADDRESS(ROW(),COLUMN()+44))</f>
        <v>0</v>
      </c>
      <c r="AB69" s="8" cm="1">
        <f t="array" aca="1" ref="AB69" ca="1">INDIRECT("'"&amp;$C$6&amp;"'!"&amp;ADDRESS(ROW(),COLUMN()+44))</f>
        <v>0</v>
      </c>
      <c r="AD69" s="34">
        <f t="shared" ca="1" si="157"/>
        <v>0</v>
      </c>
      <c r="AE69" s="34">
        <f t="shared" ca="1" si="158"/>
        <v>0</v>
      </c>
      <c r="AF69" s="34">
        <f t="shared" ca="1" si="159"/>
        <v>0</v>
      </c>
      <c r="AG69" s="34">
        <f t="shared" ca="1" si="160"/>
        <v>0</v>
      </c>
      <c r="AH69" s="34">
        <f t="shared" ca="1" si="161"/>
        <v>0</v>
      </c>
      <c r="AJ69" s="36">
        <f t="shared" ca="1" si="162"/>
        <v>0</v>
      </c>
      <c r="AK69" s="36">
        <f t="shared" ca="1" si="163"/>
        <v>0</v>
      </c>
      <c r="AL69" s="36">
        <f t="shared" ca="1" si="164"/>
        <v>0</v>
      </c>
      <c r="AM69" s="36">
        <f t="shared" ca="1" si="165"/>
        <v>0</v>
      </c>
      <c r="AN69" s="36">
        <f t="shared" ca="1" si="166"/>
        <v>0</v>
      </c>
    </row>
    <row r="70" spans="1:40" hidden="1" outlineLevel="1" x14ac:dyDescent="0.25">
      <c r="A70" s="11" t="s">
        <v>71</v>
      </c>
      <c r="C70" s="2"/>
      <c r="D70" s="8" cm="1">
        <f t="array" aca="1" ref="D70" ca="1">_xlfn.XLOOKUP(1,
 (INDIRECT("'"&amp;$C$6&amp;"'!$6:$6")=D$6)*
 (INDIRECT("'"&amp;$C$6&amp;"'!$5:$5")=D$5),
 INDIRECT("'"&amp;$C$6&amp;"'!"&amp;ROW()&amp;":"&amp;ROW())
)</f>
        <v>0</v>
      </c>
      <c r="E70" s="8" cm="1">
        <f t="array" aca="1" ref="E70" ca="1">_xlfn.XLOOKUP(1,
 (INDIRECT("'"&amp;$C$6&amp;"'!$6:$6")=E$6)*
 (INDIRECT("'"&amp;$C$6&amp;"'!$5:$5")=E$5),
 INDIRECT("'"&amp;$C$6&amp;"'!"&amp;ROW()&amp;":"&amp;ROW())
)</f>
        <v>0</v>
      </c>
      <c r="F70" s="8" cm="1">
        <f t="array" aca="1" ref="F70" ca="1">_xlfn.XLOOKUP(1,
 (INDIRECT("'"&amp;$C$6&amp;"'!$6:$6")=F$6)*
 (INDIRECT("'"&amp;$C$6&amp;"'!$5:$5")=F$5),
 INDIRECT("'"&amp;$C$6&amp;"'!"&amp;ROW()&amp;":"&amp;ROW())
)</f>
        <v>0</v>
      </c>
      <c r="G70" s="8" cm="1">
        <f t="array" aca="1" ref="G70" ca="1">_xlfn.XLOOKUP(1,
 (INDIRECT("'"&amp;$C$6&amp;"'!$6:$6")=G$6)*
 (INDIRECT("'"&amp;$C$6&amp;"'!$5:$5")=G$5),
 INDIRECT("'"&amp;$C$6&amp;"'!"&amp;ROW()&amp;":"&amp;ROW())
)</f>
        <v>0</v>
      </c>
      <c r="H70" s="8" cm="1">
        <f t="array" aca="1" ref="H70" ca="1">_xlfn.XLOOKUP(1,
 (INDIRECT("'"&amp;$C$6&amp;"'!$6:$6")=H$6)*
 (INDIRECT("'"&amp;$C$6&amp;"'!$5:$5")=H$5),
 INDIRECT("'"&amp;$C$6&amp;"'!"&amp;ROW()&amp;":"&amp;ROW())
)</f>
        <v>0</v>
      </c>
      <c r="I70" s="8" cm="1">
        <f t="array" aca="1" ref="I70" ca="1">_xlfn.XLOOKUP(1,
 (INDIRECT("'"&amp;$C$6&amp;"'!$6:$6")=I$6)*
 (INDIRECT("'"&amp;$C$6&amp;"'!$5:$5")=I$5),
 INDIRECT("'"&amp;$C$6&amp;"'!"&amp;ROW()&amp;":"&amp;ROW())
)</f>
        <v>0</v>
      </c>
      <c r="K70" s="34">
        <f t="shared" ca="1" si="147"/>
        <v>0</v>
      </c>
      <c r="L70" s="34">
        <f t="shared" ca="1" si="148"/>
        <v>0</v>
      </c>
      <c r="M70" s="34">
        <f t="shared" ca="1" si="149"/>
        <v>0</v>
      </c>
      <c r="N70" s="34">
        <f t="shared" ca="1" si="150"/>
        <v>0</v>
      </c>
      <c r="O70" s="34">
        <f t="shared" ca="1" si="151"/>
        <v>0</v>
      </c>
      <c r="Q70" s="36">
        <f t="shared" ca="1" si="152"/>
        <v>0</v>
      </c>
      <c r="R70" s="36">
        <f t="shared" ca="1" si="153"/>
        <v>0</v>
      </c>
      <c r="S70" s="36">
        <f t="shared" ca="1" si="154"/>
        <v>0</v>
      </c>
      <c r="T70" s="36">
        <f t="shared" ca="1" si="155"/>
        <v>0</v>
      </c>
      <c r="U70" s="36">
        <f t="shared" ca="1" si="156"/>
        <v>0</v>
      </c>
      <c r="W70" s="8" cm="1">
        <f t="array" aca="1" ref="W70" ca="1">INDIRECT("'"&amp;$C$6&amp;"'!"&amp;ADDRESS(ROW(),COLUMN()+44))</f>
        <v>0</v>
      </c>
      <c r="X70" s="8" cm="1">
        <f t="array" aca="1" ref="X70" ca="1">INDIRECT("'"&amp;$C$6&amp;"'!"&amp;ADDRESS(ROW(),COLUMN()+44))</f>
        <v>0</v>
      </c>
      <c r="Y70" s="8" cm="1">
        <f t="array" aca="1" ref="Y70" ca="1">INDIRECT("'"&amp;$C$6&amp;"'!"&amp;ADDRESS(ROW(),COLUMN()+44))</f>
        <v>0</v>
      </c>
      <c r="Z70" s="8" cm="1">
        <f t="array" aca="1" ref="Z70" ca="1">INDIRECT("'"&amp;$C$6&amp;"'!"&amp;ADDRESS(ROW(),COLUMN()+44))</f>
        <v>0</v>
      </c>
      <c r="AA70" s="8" cm="1">
        <f t="array" aca="1" ref="AA70" ca="1">INDIRECT("'"&amp;$C$6&amp;"'!"&amp;ADDRESS(ROW(),COLUMN()+44))</f>
        <v>0</v>
      </c>
      <c r="AB70" s="8" cm="1">
        <f t="array" aca="1" ref="AB70" ca="1">INDIRECT("'"&amp;$C$6&amp;"'!"&amp;ADDRESS(ROW(),COLUMN()+44))</f>
        <v>0</v>
      </c>
      <c r="AD70" s="34">
        <f t="shared" ca="1" si="157"/>
        <v>0</v>
      </c>
      <c r="AE70" s="34">
        <f t="shared" ca="1" si="158"/>
        <v>0</v>
      </c>
      <c r="AF70" s="34">
        <f t="shared" ca="1" si="159"/>
        <v>0</v>
      </c>
      <c r="AG70" s="34">
        <f t="shared" ca="1" si="160"/>
        <v>0</v>
      </c>
      <c r="AH70" s="34">
        <f t="shared" ca="1" si="161"/>
        <v>0</v>
      </c>
      <c r="AJ70" s="36">
        <f t="shared" ca="1" si="162"/>
        <v>0</v>
      </c>
      <c r="AK70" s="36">
        <f t="shared" ca="1" si="163"/>
        <v>0</v>
      </c>
      <c r="AL70" s="36">
        <f t="shared" ca="1" si="164"/>
        <v>0</v>
      </c>
      <c r="AM70" s="36">
        <f t="shared" ca="1" si="165"/>
        <v>0</v>
      </c>
      <c r="AN70" s="36">
        <f t="shared" ca="1" si="166"/>
        <v>0</v>
      </c>
    </row>
    <row r="71" spans="1:40" hidden="1" outlineLevel="1" x14ac:dyDescent="0.25">
      <c r="A71" s="11" t="s">
        <v>71</v>
      </c>
      <c r="C71" s="2"/>
      <c r="D71" s="8" cm="1">
        <f t="array" aca="1" ref="D71" ca="1">_xlfn.XLOOKUP(1,
 (INDIRECT("'"&amp;$C$6&amp;"'!$6:$6")=D$6)*
 (INDIRECT("'"&amp;$C$6&amp;"'!$5:$5")=D$5),
 INDIRECT("'"&amp;$C$6&amp;"'!"&amp;ROW()&amp;":"&amp;ROW())
)</f>
        <v>0</v>
      </c>
      <c r="E71" s="8" cm="1">
        <f t="array" aca="1" ref="E71" ca="1">_xlfn.XLOOKUP(1,
 (INDIRECT("'"&amp;$C$6&amp;"'!$6:$6")=E$6)*
 (INDIRECT("'"&amp;$C$6&amp;"'!$5:$5")=E$5),
 INDIRECT("'"&amp;$C$6&amp;"'!"&amp;ROW()&amp;":"&amp;ROW())
)</f>
        <v>0</v>
      </c>
      <c r="F71" s="8" cm="1">
        <f t="array" aca="1" ref="F71" ca="1">_xlfn.XLOOKUP(1,
 (INDIRECT("'"&amp;$C$6&amp;"'!$6:$6")=F$6)*
 (INDIRECT("'"&amp;$C$6&amp;"'!$5:$5")=F$5),
 INDIRECT("'"&amp;$C$6&amp;"'!"&amp;ROW()&amp;":"&amp;ROW())
)</f>
        <v>0</v>
      </c>
      <c r="G71" s="8" cm="1">
        <f t="array" aca="1" ref="G71" ca="1">_xlfn.XLOOKUP(1,
 (INDIRECT("'"&amp;$C$6&amp;"'!$6:$6")=G$6)*
 (INDIRECT("'"&amp;$C$6&amp;"'!$5:$5")=G$5),
 INDIRECT("'"&amp;$C$6&amp;"'!"&amp;ROW()&amp;":"&amp;ROW())
)</f>
        <v>0</v>
      </c>
      <c r="H71" s="8" cm="1">
        <f t="array" aca="1" ref="H71" ca="1">_xlfn.XLOOKUP(1,
 (INDIRECT("'"&amp;$C$6&amp;"'!$6:$6")=H$6)*
 (INDIRECT("'"&amp;$C$6&amp;"'!$5:$5")=H$5),
 INDIRECT("'"&amp;$C$6&amp;"'!"&amp;ROW()&amp;":"&amp;ROW())
)</f>
        <v>0</v>
      </c>
      <c r="I71" s="8" cm="1">
        <f t="array" aca="1" ref="I71" ca="1">_xlfn.XLOOKUP(1,
 (INDIRECT("'"&amp;$C$6&amp;"'!$6:$6")=I$6)*
 (INDIRECT("'"&amp;$C$6&amp;"'!$5:$5")=I$5),
 INDIRECT("'"&amp;$C$6&amp;"'!"&amp;ROW()&amp;":"&amp;ROW())
)</f>
        <v>0</v>
      </c>
      <c r="K71" s="34">
        <f t="shared" ca="1" si="147"/>
        <v>0</v>
      </c>
      <c r="L71" s="34">
        <f t="shared" ca="1" si="148"/>
        <v>0</v>
      </c>
      <c r="M71" s="34">
        <f t="shared" ca="1" si="149"/>
        <v>0</v>
      </c>
      <c r="N71" s="34">
        <f t="shared" ca="1" si="150"/>
        <v>0</v>
      </c>
      <c r="O71" s="34">
        <f t="shared" ca="1" si="151"/>
        <v>0</v>
      </c>
      <c r="Q71" s="36">
        <f t="shared" ca="1" si="152"/>
        <v>0</v>
      </c>
      <c r="R71" s="36">
        <f t="shared" ca="1" si="153"/>
        <v>0</v>
      </c>
      <c r="S71" s="36">
        <f t="shared" ca="1" si="154"/>
        <v>0</v>
      </c>
      <c r="T71" s="36">
        <f t="shared" ca="1" si="155"/>
        <v>0</v>
      </c>
      <c r="U71" s="36">
        <f t="shared" ca="1" si="156"/>
        <v>0</v>
      </c>
      <c r="W71" s="8" cm="1">
        <f t="array" aca="1" ref="W71" ca="1">INDIRECT("'"&amp;$C$6&amp;"'!"&amp;ADDRESS(ROW(),COLUMN()+44))</f>
        <v>0</v>
      </c>
      <c r="X71" s="8" cm="1">
        <f t="array" aca="1" ref="X71" ca="1">INDIRECT("'"&amp;$C$6&amp;"'!"&amp;ADDRESS(ROW(),COLUMN()+44))</f>
        <v>0</v>
      </c>
      <c r="Y71" s="8" cm="1">
        <f t="array" aca="1" ref="Y71" ca="1">INDIRECT("'"&amp;$C$6&amp;"'!"&amp;ADDRESS(ROW(),COLUMN()+44))</f>
        <v>0</v>
      </c>
      <c r="Z71" s="8" cm="1">
        <f t="array" aca="1" ref="Z71" ca="1">INDIRECT("'"&amp;$C$6&amp;"'!"&amp;ADDRESS(ROW(),COLUMN()+44))</f>
        <v>0</v>
      </c>
      <c r="AA71" s="8" cm="1">
        <f t="array" aca="1" ref="AA71" ca="1">INDIRECT("'"&amp;$C$6&amp;"'!"&amp;ADDRESS(ROW(),COLUMN()+44))</f>
        <v>0</v>
      </c>
      <c r="AB71" s="8" cm="1">
        <f t="array" aca="1" ref="AB71" ca="1">INDIRECT("'"&amp;$C$6&amp;"'!"&amp;ADDRESS(ROW(),COLUMN()+44))</f>
        <v>0</v>
      </c>
      <c r="AD71" s="34">
        <f t="shared" ca="1" si="157"/>
        <v>0</v>
      </c>
      <c r="AE71" s="34">
        <f t="shared" ca="1" si="158"/>
        <v>0</v>
      </c>
      <c r="AF71" s="34">
        <f t="shared" ca="1" si="159"/>
        <v>0</v>
      </c>
      <c r="AG71" s="34">
        <f t="shared" ca="1" si="160"/>
        <v>0</v>
      </c>
      <c r="AH71" s="34">
        <f t="shared" ca="1" si="161"/>
        <v>0</v>
      </c>
      <c r="AJ71" s="36">
        <f t="shared" ca="1" si="162"/>
        <v>0</v>
      </c>
      <c r="AK71" s="36">
        <f t="shared" ca="1" si="163"/>
        <v>0</v>
      </c>
      <c r="AL71" s="36">
        <f t="shared" ca="1" si="164"/>
        <v>0</v>
      </c>
      <c r="AM71" s="36">
        <f t="shared" ca="1" si="165"/>
        <v>0</v>
      </c>
      <c r="AN71" s="36">
        <f t="shared" ca="1" si="166"/>
        <v>0</v>
      </c>
    </row>
    <row r="72" spans="1:40" hidden="1" outlineLevel="1" x14ac:dyDescent="0.25">
      <c r="A72" s="11" t="s">
        <v>71</v>
      </c>
      <c r="C72" s="2"/>
      <c r="D72" s="8" cm="1">
        <f t="array" aca="1" ref="D72" ca="1">_xlfn.XLOOKUP(1,
 (INDIRECT("'"&amp;$C$6&amp;"'!$6:$6")=D$6)*
 (INDIRECT("'"&amp;$C$6&amp;"'!$5:$5")=D$5),
 INDIRECT("'"&amp;$C$6&amp;"'!"&amp;ROW()&amp;":"&amp;ROW())
)</f>
        <v>0</v>
      </c>
      <c r="E72" s="8" cm="1">
        <f t="array" aca="1" ref="E72" ca="1">_xlfn.XLOOKUP(1,
 (INDIRECT("'"&amp;$C$6&amp;"'!$6:$6")=E$6)*
 (INDIRECT("'"&amp;$C$6&amp;"'!$5:$5")=E$5),
 INDIRECT("'"&amp;$C$6&amp;"'!"&amp;ROW()&amp;":"&amp;ROW())
)</f>
        <v>0</v>
      </c>
      <c r="F72" s="8" cm="1">
        <f t="array" aca="1" ref="F72" ca="1">_xlfn.XLOOKUP(1,
 (INDIRECT("'"&amp;$C$6&amp;"'!$6:$6")=F$6)*
 (INDIRECT("'"&amp;$C$6&amp;"'!$5:$5")=F$5),
 INDIRECT("'"&amp;$C$6&amp;"'!"&amp;ROW()&amp;":"&amp;ROW())
)</f>
        <v>0</v>
      </c>
      <c r="G72" s="8" cm="1">
        <f t="array" aca="1" ref="G72" ca="1">_xlfn.XLOOKUP(1,
 (INDIRECT("'"&amp;$C$6&amp;"'!$6:$6")=G$6)*
 (INDIRECT("'"&amp;$C$6&amp;"'!$5:$5")=G$5),
 INDIRECT("'"&amp;$C$6&amp;"'!"&amp;ROW()&amp;":"&amp;ROW())
)</f>
        <v>0</v>
      </c>
      <c r="H72" s="8" cm="1">
        <f t="array" aca="1" ref="H72" ca="1">_xlfn.XLOOKUP(1,
 (INDIRECT("'"&amp;$C$6&amp;"'!$6:$6")=H$6)*
 (INDIRECT("'"&amp;$C$6&amp;"'!$5:$5")=H$5),
 INDIRECT("'"&amp;$C$6&amp;"'!"&amp;ROW()&amp;":"&amp;ROW())
)</f>
        <v>0</v>
      </c>
      <c r="I72" s="8" cm="1">
        <f t="array" aca="1" ref="I72" ca="1">_xlfn.XLOOKUP(1,
 (INDIRECT("'"&amp;$C$6&amp;"'!$6:$6")=I$6)*
 (INDIRECT("'"&amp;$C$6&amp;"'!$5:$5")=I$5),
 INDIRECT("'"&amp;$C$6&amp;"'!"&amp;ROW()&amp;":"&amp;ROW())
)</f>
        <v>0</v>
      </c>
      <c r="K72" s="34">
        <f t="shared" ca="1" si="147"/>
        <v>0</v>
      </c>
      <c r="L72" s="34">
        <f t="shared" ca="1" si="148"/>
        <v>0</v>
      </c>
      <c r="M72" s="34">
        <f t="shared" ca="1" si="149"/>
        <v>0</v>
      </c>
      <c r="N72" s="34">
        <f t="shared" ca="1" si="150"/>
        <v>0</v>
      </c>
      <c r="O72" s="34">
        <f t="shared" ca="1" si="151"/>
        <v>0</v>
      </c>
      <c r="Q72" s="36">
        <f t="shared" ca="1" si="152"/>
        <v>0</v>
      </c>
      <c r="R72" s="36">
        <f t="shared" ca="1" si="153"/>
        <v>0</v>
      </c>
      <c r="S72" s="36">
        <f t="shared" ca="1" si="154"/>
        <v>0</v>
      </c>
      <c r="T72" s="36">
        <f t="shared" ca="1" si="155"/>
        <v>0</v>
      </c>
      <c r="U72" s="36">
        <f t="shared" ca="1" si="156"/>
        <v>0</v>
      </c>
      <c r="W72" s="8" cm="1">
        <f t="array" aca="1" ref="W72" ca="1">INDIRECT("'"&amp;$C$6&amp;"'!"&amp;ADDRESS(ROW(),COLUMN()+44))</f>
        <v>0</v>
      </c>
      <c r="X72" s="8" cm="1">
        <f t="array" aca="1" ref="X72" ca="1">INDIRECT("'"&amp;$C$6&amp;"'!"&amp;ADDRESS(ROW(),COLUMN()+44))</f>
        <v>0</v>
      </c>
      <c r="Y72" s="8" cm="1">
        <f t="array" aca="1" ref="Y72" ca="1">INDIRECT("'"&amp;$C$6&amp;"'!"&amp;ADDRESS(ROW(),COLUMN()+44))</f>
        <v>0</v>
      </c>
      <c r="Z72" s="8" cm="1">
        <f t="array" aca="1" ref="Z72" ca="1">INDIRECT("'"&amp;$C$6&amp;"'!"&amp;ADDRESS(ROW(),COLUMN()+44))</f>
        <v>0</v>
      </c>
      <c r="AA72" s="8" cm="1">
        <f t="array" aca="1" ref="AA72" ca="1">INDIRECT("'"&amp;$C$6&amp;"'!"&amp;ADDRESS(ROW(),COLUMN()+44))</f>
        <v>0</v>
      </c>
      <c r="AB72" s="8" cm="1">
        <f t="array" aca="1" ref="AB72" ca="1">INDIRECT("'"&amp;$C$6&amp;"'!"&amp;ADDRESS(ROW(),COLUMN()+44))</f>
        <v>0</v>
      </c>
      <c r="AD72" s="34">
        <f t="shared" ca="1" si="157"/>
        <v>0</v>
      </c>
      <c r="AE72" s="34">
        <f t="shared" ca="1" si="158"/>
        <v>0</v>
      </c>
      <c r="AF72" s="34">
        <f t="shared" ca="1" si="159"/>
        <v>0</v>
      </c>
      <c r="AG72" s="34">
        <f t="shared" ca="1" si="160"/>
        <v>0</v>
      </c>
      <c r="AH72" s="34">
        <f t="shared" ca="1" si="161"/>
        <v>0</v>
      </c>
      <c r="AJ72" s="36">
        <f t="shared" ca="1" si="162"/>
        <v>0</v>
      </c>
      <c r="AK72" s="36">
        <f t="shared" ca="1" si="163"/>
        <v>0</v>
      </c>
      <c r="AL72" s="36">
        <f t="shared" ca="1" si="164"/>
        <v>0</v>
      </c>
      <c r="AM72" s="36">
        <f t="shared" ca="1" si="165"/>
        <v>0</v>
      </c>
      <c r="AN72" s="36">
        <f t="shared" ca="1" si="166"/>
        <v>0</v>
      </c>
    </row>
    <row r="73" spans="1:40" hidden="1" outlineLevel="1" x14ac:dyDescent="0.25">
      <c r="A73" s="11" t="s">
        <v>71</v>
      </c>
      <c r="C73" s="2"/>
      <c r="D73" s="8" cm="1">
        <f t="array" aca="1" ref="D73" ca="1">_xlfn.XLOOKUP(1,
 (INDIRECT("'"&amp;$C$6&amp;"'!$6:$6")=D$6)*
 (INDIRECT("'"&amp;$C$6&amp;"'!$5:$5")=D$5),
 INDIRECT("'"&amp;$C$6&amp;"'!"&amp;ROW()&amp;":"&amp;ROW())
)</f>
        <v>0</v>
      </c>
      <c r="E73" s="8" cm="1">
        <f t="array" aca="1" ref="E73" ca="1">_xlfn.XLOOKUP(1,
 (INDIRECT("'"&amp;$C$6&amp;"'!$6:$6")=E$6)*
 (INDIRECT("'"&amp;$C$6&amp;"'!$5:$5")=E$5),
 INDIRECT("'"&amp;$C$6&amp;"'!"&amp;ROW()&amp;":"&amp;ROW())
)</f>
        <v>0</v>
      </c>
      <c r="F73" s="8" cm="1">
        <f t="array" aca="1" ref="F73" ca="1">_xlfn.XLOOKUP(1,
 (INDIRECT("'"&amp;$C$6&amp;"'!$6:$6")=F$6)*
 (INDIRECT("'"&amp;$C$6&amp;"'!$5:$5")=F$5),
 INDIRECT("'"&amp;$C$6&amp;"'!"&amp;ROW()&amp;":"&amp;ROW())
)</f>
        <v>0</v>
      </c>
      <c r="G73" s="8" cm="1">
        <f t="array" aca="1" ref="G73" ca="1">_xlfn.XLOOKUP(1,
 (INDIRECT("'"&amp;$C$6&amp;"'!$6:$6")=G$6)*
 (INDIRECT("'"&amp;$C$6&amp;"'!$5:$5")=G$5),
 INDIRECT("'"&amp;$C$6&amp;"'!"&amp;ROW()&amp;":"&amp;ROW())
)</f>
        <v>0</v>
      </c>
      <c r="H73" s="8" cm="1">
        <f t="array" aca="1" ref="H73" ca="1">_xlfn.XLOOKUP(1,
 (INDIRECT("'"&amp;$C$6&amp;"'!$6:$6")=H$6)*
 (INDIRECT("'"&amp;$C$6&amp;"'!$5:$5")=H$5),
 INDIRECT("'"&amp;$C$6&amp;"'!"&amp;ROW()&amp;":"&amp;ROW())
)</f>
        <v>0</v>
      </c>
      <c r="I73" s="8" cm="1">
        <f t="array" aca="1" ref="I73" ca="1">_xlfn.XLOOKUP(1,
 (INDIRECT("'"&amp;$C$6&amp;"'!$6:$6")=I$6)*
 (INDIRECT("'"&amp;$C$6&amp;"'!$5:$5")=I$5),
 INDIRECT("'"&amp;$C$6&amp;"'!"&amp;ROW()&amp;":"&amp;ROW())
)</f>
        <v>0</v>
      </c>
      <c r="K73" s="34">
        <f t="shared" ca="1" si="147"/>
        <v>0</v>
      </c>
      <c r="L73" s="34">
        <f t="shared" ca="1" si="148"/>
        <v>0</v>
      </c>
      <c r="M73" s="34">
        <f t="shared" ca="1" si="149"/>
        <v>0</v>
      </c>
      <c r="N73" s="34">
        <f t="shared" ca="1" si="150"/>
        <v>0</v>
      </c>
      <c r="O73" s="34">
        <f t="shared" ca="1" si="151"/>
        <v>0</v>
      </c>
      <c r="Q73" s="36">
        <f t="shared" ca="1" si="152"/>
        <v>0</v>
      </c>
      <c r="R73" s="36">
        <f t="shared" ca="1" si="153"/>
        <v>0</v>
      </c>
      <c r="S73" s="36">
        <f t="shared" ca="1" si="154"/>
        <v>0</v>
      </c>
      <c r="T73" s="36">
        <f t="shared" ca="1" si="155"/>
        <v>0</v>
      </c>
      <c r="U73" s="36">
        <f t="shared" ca="1" si="156"/>
        <v>0</v>
      </c>
      <c r="W73" s="8" cm="1">
        <f t="array" aca="1" ref="W73" ca="1">INDIRECT("'"&amp;$C$6&amp;"'!"&amp;ADDRESS(ROW(),COLUMN()+44))</f>
        <v>0</v>
      </c>
      <c r="X73" s="8" cm="1">
        <f t="array" aca="1" ref="X73" ca="1">INDIRECT("'"&amp;$C$6&amp;"'!"&amp;ADDRESS(ROW(),COLUMN()+44))</f>
        <v>0</v>
      </c>
      <c r="Y73" s="8" cm="1">
        <f t="array" aca="1" ref="Y73" ca="1">INDIRECT("'"&amp;$C$6&amp;"'!"&amp;ADDRESS(ROW(),COLUMN()+44))</f>
        <v>0</v>
      </c>
      <c r="Z73" s="8" cm="1">
        <f t="array" aca="1" ref="Z73" ca="1">INDIRECT("'"&amp;$C$6&amp;"'!"&amp;ADDRESS(ROW(),COLUMN()+44))</f>
        <v>0</v>
      </c>
      <c r="AA73" s="8" cm="1">
        <f t="array" aca="1" ref="AA73" ca="1">INDIRECT("'"&amp;$C$6&amp;"'!"&amp;ADDRESS(ROW(),COLUMN()+44))</f>
        <v>0</v>
      </c>
      <c r="AB73" s="8" cm="1">
        <f t="array" aca="1" ref="AB73" ca="1">INDIRECT("'"&amp;$C$6&amp;"'!"&amp;ADDRESS(ROW(),COLUMN()+44))</f>
        <v>0</v>
      </c>
      <c r="AD73" s="34">
        <f t="shared" ca="1" si="157"/>
        <v>0</v>
      </c>
      <c r="AE73" s="34">
        <f t="shared" ca="1" si="158"/>
        <v>0</v>
      </c>
      <c r="AF73" s="34">
        <f t="shared" ca="1" si="159"/>
        <v>0</v>
      </c>
      <c r="AG73" s="34">
        <f t="shared" ca="1" si="160"/>
        <v>0</v>
      </c>
      <c r="AH73" s="34">
        <f t="shared" ca="1" si="161"/>
        <v>0</v>
      </c>
      <c r="AJ73" s="36">
        <f t="shared" ca="1" si="162"/>
        <v>0</v>
      </c>
      <c r="AK73" s="36">
        <f t="shared" ca="1" si="163"/>
        <v>0</v>
      </c>
      <c r="AL73" s="36">
        <f t="shared" ca="1" si="164"/>
        <v>0</v>
      </c>
      <c r="AM73" s="36">
        <f t="shared" ca="1" si="165"/>
        <v>0</v>
      </c>
      <c r="AN73" s="36">
        <f t="shared" ca="1" si="166"/>
        <v>0</v>
      </c>
    </row>
    <row r="74" spans="1:40" hidden="1" outlineLevel="1" x14ac:dyDescent="0.25">
      <c r="A74" s="11" t="s">
        <v>71</v>
      </c>
      <c r="C74" s="2"/>
      <c r="D74" s="8" cm="1">
        <f t="array" aca="1" ref="D74" ca="1">_xlfn.XLOOKUP(1,
 (INDIRECT("'"&amp;$C$6&amp;"'!$6:$6")=D$6)*
 (INDIRECT("'"&amp;$C$6&amp;"'!$5:$5")=D$5),
 INDIRECT("'"&amp;$C$6&amp;"'!"&amp;ROW()&amp;":"&amp;ROW())
)</f>
        <v>0</v>
      </c>
      <c r="E74" s="8" cm="1">
        <f t="array" aca="1" ref="E74" ca="1">_xlfn.XLOOKUP(1,
 (INDIRECT("'"&amp;$C$6&amp;"'!$6:$6")=E$6)*
 (INDIRECT("'"&amp;$C$6&amp;"'!$5:$5")=E$5),
 INDIRECT("'"&amp;$C$6&amp;"'!"&amp;ROW()&amp;":"&amp;ROW())
)</f>
        <v>0</v>
      </c>
      <c r="F74" s="8" cm="1">
        <f t="array" aca="1" ref="F74" ca="1">_xlfn.XLOOKUP(1,
 (INDIRECT("'"&amp;$C$6&amp;"'!$6:$6")=F$6)*
 (INDIRECT("'"&amp;$C$6&amp;"'!$5:$5")=F$5),
 INDIRECT("'"&amp;$C$6&amp;"'!"&amp;ROW()&amp;":"&amp;ROW())
)</f>
        <v>0</v>
      </c>
      <c r="G74" s="8" cm="1">
        <f t="array" aca="1" ref="G74" ca="1">_xlfn.XLOOKUP(1,
 (INDIRECT("'"&amp;$C$6&amp;"'!$6:$6")=G$6)*
 (INDIRECT("'"&amp;$C$6&amp;"'!$5:$5")=G$5),
 INDIRECT("'"&amp;$C$6&amp;"'!"&amp;ROW()&amp;":"&amp;ROW())
)</f>
        <v>0</v>
      </c>
      <c r="H74" s="8" cm="1">
        <f t="array" aca="1" ref="H74" ca="1">_xlfn.XLOOKUP(1,
 (INDIRECT("'"&amp;$C$6&amp;"'!$6:$6")=H$6)*
 (INDIRECT("'"&amp;$C$6&amp;"'!$5:$5")=H$5),
 INDIRECT("'"&amp;$C$6&amp;"'!"&amp;ROW()&amp;":"&amp;ROW())
)</f>
        <v>0</v>
      </c>
      <c r="I74" s="8" cm="1">
        <f t="array" aca="1" ref="I74" ca="1">_xlfn.XLOOKUP(1,
 (INDIRECT("'"&amp;$C$6&amp;"'!$6:$6")=I$6)*
 (INDIRECT("'"&amp;$C$6&amp;"'!$5:$5")=I$5),
 INDIRECT("'"&amp;$C$6&amp;"'!"&amp;ROW()&amp;":"&amp;ROW())
)</f>
        <v>0</v>
      </c>
      <c r="K74" s="34">
        <f t="shared" ca="1" si="147"/>
        <v>0</v>
      </c>
      <c r="L74" s="34">
        <f t="shared" ca="1" si="148"/>
        <v>0</v>
      </c>
      <c r="M74" s="34">
        <f t="shared" ca="1" si="149"/>
        <v>0</v>
      </c>
      <c r="N74" s="34">
        <f t="shared" ca="1" si="150"/>
        <v>0</v>
      </c>
      <c r="O74" s="34">
        <f t="shared" ca="1" si="151"/>
        <v>0</v>
      </c>
      <c r="Q74" s="36">
        <f t="shared" ca="1" si="152"/>
        <v>0</v>
      </c>
      <c r="R74" s="36">
        <f t="shared" ca="1" si="153"/>
        <v>0</v>
      </c>
      <c r="S74" s="36">
        <f t="shared" ca="1" si="154"/>
        <v>0</v>
      </c>
      <c r="T74" s="36">
        <f t="shared" ca="1" si="155"/>
        <v>0</v>
      </c>
      <c r="U74" s="36">
        <f t="shared" ca="1" si="156"/>
        <v>0</v>
      </c>
      <c r="W74" s="8" cm="1">
        <f t="array" aca="1" ref="W74" ca="1">INDIRECT("'"&amp;$C$6&amp;"'!"&amp;ADDRESS(ROW(),COLUMN()+44))</f>
        <v>0</v>
      </c>
      <c r="X74" s="8" cm="1">
        <f t="array" aca="1" ref="X74" ca="1">INDIRECT("'"&amp;$C$6&amp;"'!"&amp;ADDRESS(ROW(),COLUMN()+44))</f>
        <v>0</v>
      </c>
      <c r="Y74" s="8" cm="1">
        <f t="array" aca="1" ref="Y74" ca="1">INDIRECT("'"&amp;$C$6&amp;"'!"&amp;ADDRESS(ROW(),COLUMN()+44))</f>
        <v>0</v>
      </c>
      <c r="Z74" s="8" cm="1">
        <f t="array" aca="1" ref="Z74" ca="1">INDIRECT("'"&amp;$C$6&amp;"'!"&amp;ADDRESS(ROW(),COLUMN()+44))</f>
        <v>0</v>
      </c>
      <c r="AA74" s="8" cm="1">
        <f t="array" aca="1" ref="AA74" ca="1">INDIRECT("'"&amp;$C$6&amp;"'!"&amp;ADDRESS(ROW(),COLUMN()+44))</f>
        <v>0</v>
      </c>
      <c r="AB74" s="8" cm="1">
        <f t="array" aca="1" ref="AB74" ca="1">INDIRECT("'"&amp;$C$6&amp;"'!"&amp;ADDRESS(ROW(),COLUMN()+44))</f>
        <v>0</v>
      </c>
      <c r="AD74" s="34">
        <f t="shared" ca="1" si="157"/>
        <v>0</v>
      </c>
      <c r="AE74" s="34">
        <f t="shared" ca="1" si="158"/>
        <v>0</v>
      </c>
      <c r="AF74" s="34">
        <f t="shared" ca="1" si="159"/>
        <v>0</v>
      </c>
      <c r="AG74" s="34">
        <f t="shared" ca="1" si="160"/>
        <v>0</v>
      </c>
      <c r="AH74" s="34">
        <f t="shared" ca="1" si="161"/>
        <v>0</v>
      </c>
      <c r="AJ74" s="36">
        <f t="shared" ca="1" si="162"/>
        <v>0</v>
      </c>
      <c r="AK74" s="36">
        <f t="shared" ca="1" si="163"/>
        <v>0</v>
      </c>
      <c r="AL74" s="36">
        <f t="shared" ca="1" si="164"/>
        <v>0</v>
      </c>
      <c r="AM74" s="36">
        <f t="shared" ca="1" si="165"/>
        <v>0</v>
      </c>
      <c r="AN74" s="36">
        <f t="shared" ca="1" si="166"/>
        <v>0</v>
      </c>
    </row>
    <row r="75" spans="1:40" hidden="1" outlineLevel="1" x14ac:dyDescent="0.25">
      <c r="A75" s="11" t="s">
        <v>71</v>
      </c>
      <c r="C75" s="2"/>
      <c r="D75" s="8" cm="1">
        <f t="array" aca="1" ref="D75" ca="1">_xlfn.XLOOKUP(1,
 (INDIRECT("'"&amp;$C$6&amp;"'!$6:$6")=D$6)*
 (INDIRECT("'"&amp;$C$6&amp;"'!$5:$5")=D$5),
 INDIRECT("'"&amp;$C$6&amp;"'!"&amp;ROW()&amp;":"&amp;ROW())
)</f>
        <v>0</v>
      </c>
      <c r="E75" s="8" cm="1">
        <f t="array" aca="1" ref="E75" ca="1">_xlfn.XLOOKUP(1,
 (INDIRECT("'"&amp;$C$6&amp;"'!$6:$6")=E$6)*
 (INDIRECT("'"&amp;$C$6&amp;"'!$5:$5")=E$5),
 INDIRECT("'"&amp;$C$6&amp;"'!"&amp;ROW()&amp;":"&amp;ROW())
)</f>
        <v>0</v>
      </c>
      <c r="F75" s="8" cm="1">
        <f t="array" aca="1" ref="F75" ca="1">_xlfn.XLOOKUP(1,
 (INDIRECT("'"&amp;$C$6&amp;"'!$6:$6")=F$6)*
 (INDIRECT("'"&amp;$C$6&amp;"'!$5:$5")=F$5),
 INDIRECT("'"&amp;$C$6&amp;"'!"&amp;ROW()&amp;":"&amp;ROW())
)</f>
        <v>0</v>
      </c>
      <c r="G75" s="8" cm="1">
        <f t="array" aca="1" ref="G75" ca="1">_xlfn.XLOOKUP(1,
 (INDIRECT("'"&amp;$C$6&amp;"'!$6:$6")=G$6)*
 (INDIRECT("'"&amp;$C$6&amp;"'!$5:$5")=G$5),
 INDIRECT("'"&amp;$C$6&amp;"'!"&amp;ROW()&amp;":"&amp;ROW())
)</f>
        <v>0</v>
      </c>
      <c r="H75" s="8" cm="1">
        <f t="array" aca="1" ref="H75" ca="1">_xlfn.XLOOKUP(1,
 (INDIRECT("'"&amp;$C$6&amp;"'!$6:$6")=H$6)*
 (INDIRECT("'"&amp;$C$6&amp;"'!$5:$5")=H$5),
 INDIRECT("'"&amp;$C$6&amp;"'!"&amp;ROW()&amp;":"&amp;ROW())
)</f>
        <v>0</v>
      </c>
      <c r="I75" s="8" cm="1">
        <f t="array" aca="1" ref="I75" ca="1">_xlfn.XLOOKUP(1,
 (INDIRECT("'"&amp;$C$6&amp;"'!$6:$6")=I$6)*
 (INDIRECT("'"&amp;$C$6&amp;"'!$5:$5")=I$5),
 INDIRECT("'"&amp;$C$6&amp;"'!"&amp;ROW()&amp;":"&amp;ROW())
)</f>
        <v>0</v>
      </c>
      <c r="K75" s="34">
        <f t="shared" ca="1" si="147"/>
        <v>0</v>
      </c>
      <c r="L75" s="34">
        <f t="shared" ca="1" si="148"/>
        <v>0</v>
      </c>
      <c r="M75" s="34">
        <f t="shared" ca="1" si="149"/>
        <v>0</v>
      </c>
      <c r="N75" s="34">
        <f t="shared" ca="1" si="150"/>
        <v>0</v>
      </c>
      <c r="O75" s="34">
        <f t="shared" ca="1" si="151"/>
        <v>0</v>
      </c>
      <c r="Q75" s="36">
        <f t="shared" ca="1" si="152"/>
        <v>0</v>
      </c>
      <c r="R75" s="36">
        <f t="shared" ca="1" si="153"/>
        <v>0</v>
      </c>
      <c r="S75" s="36">
        <f t="shared" ca="1" si="154"/>
        <v>0</v>
      </c>
      <c r="T75" s="36">
        <f t="shared" ca="1" si="155"/>
        <v>0</v>
      </c>
      <c r="U75" s="36">
        <f t="shared" ca="1" si="156"/>
        <v>0</v>
      </c>
      <c r="W75" s="8" cm="1">
        <f t="array" aca="1" ref="W75" ca="1">INDIRECT("'"&amp;$C$6&amp;"'!"&amp;ADDRESS(ROW(),COLUMN()+44))</f>
        <v>0</v>
      </c>
      <c r="X75" s="8" cm="1">
        <f t="array" aca="1" ref="X75" ca="1">INDIRECT("'"&amp;$C$6&amp;"'!"&amp;ADDRESS(ROW(),COLUMN()+44))</f>
        <v>0</v>
      </c>
      <c r="Y75" s="8" cm="1">
        <f t="array" aca="1" ref="Y75" ca="1">INDIRECT("'"&amp;$C$6&amp;"'!"&amp;ADDRESS(ROW(),COLUMN()+44))</f>
        <v>0</v>
      </c>
      <c r="Z75" s="8" cm="1">
        <f t="array" aca="1" ref="Z75" ca="1">INDIRECT("'"&amp;$C$6&amp;"'!"&amp;ADDRESS(ROW(),COLUMN()+44))</f>
        <v>0</v>
      </c>
      <c r="AA75" s="8" cm="1">
        <f t="array" aca="1" ref="AA75" ca="1">INDIRECT("'"&amp;$C$6&amp;"'!"&amp;ADDRESS(ROW(),COLUMN()+44))</f>
        <v>0</v>
      </c>
      <c r="AB75" s="8" cm="1">
        <f t="array" aca="1" ref="AB75" ca="1">INDIRECT("'"&amp;$C$6&amp;"'!"&amp;ADDRESS(ROW(),COLUMN()+44))</f>
        <v>0</v>
      </c>
      <c r="AD75" s="34">
        <f t="shared" ca="1" si="157"/>
        <v>0</v>
      </c>
      <c r="AE75" s="34">
        <f t="shared" ca="1" si="158"/>
        <v>0</v>
      </c>
      <c r="AF75" s="34">
        <f t="shared" ca="1" si="159"/>
        <v>0</v>
      </c>
      <c r="AG75" s="34">
        <f t="shared" ca="1" si="160"/>
        <v>0</v>
      </c>
      <c r="AH75" s="34">
        <f t="shared" ca="1" si="161"/>
        <v>0</v>
      </c>
      <c r="AJ75" s="36">
        <f t="shared" ca="1" si="162"/>
        <v>0</v>
      </c>
      <c r="AK75" s="36">
        <f t="shared" ca="1" si="163"/>
        <v>0</v>
      </c>
      <c r="AL75" s="36">
        <f t="shared" ca="1" si="164"/>
        <v>0</v>
      </c>
      <c r="AM75" s="36">
        <f t="shared" ca="1" si="165"/>
        <v>0</v>
      </c>
      <c r="AN75" s="36">
        <f t="shared" ca="1" si="166"/>
        <v>0</v>
      </c>
    </row>
    <row r="76" spans="1:40" hidden="1" outlineLevel="1" x14ac:dyDescent="0.25">
      <c r="A76" s="11" t="s">
        <v>71</v>
      </c>
      <c r="C76" s="2"/>
      <c r="D76" s="8" cm="1">
        <f t="array" aca="1" ref="D76" ca="1">_xlfn.XLOOKUP(1,
 (INDIRECT("'"&amp;$C$6&amp;"'!$6:$6")=D$6)*
 (INDIRECT("'"&amp;$C$6&amp;"'!$5:$5")=D$5),
 INDIRECT("'"&amp;$C$6&amp;"'!"&amp;ROW()&amp;":"&amp;ROW())
)</f>
        <v>0</v>
      </c>
      <c r="E76" s="8" cm="1">
        <f t="array" aca="1" ref="E76" ca="1">_xlfn.XLOOKUP(1,
 (INDIRECT("'"&amp;$C$6&amp;"'!$6:$6")=E$6)*
 (INDIRECT("'"&amp;$C$6&amp;"'!$5:$5")=E$5),
 INDIRECT("'"&amp;$C$6&amp;"'!"&amp;ROW()&amp;":"&amp;ROW())
)</f>
        <v>0</v>
      </c>
      <c r="F76" s="8" cm="1">
        <f t="array" aca="1" ref="F76" ca="1">_xlfn.XLOOKUP(1,
 (INDIRECT("'"&amp;$C$6&amp;"'!$6:$6")=F$6)*
 (INDIRECT("'"&amp;$C$6&amp;"'!$5:$5")=F$5),
 INDIRECT("'"&amp;$C$6&amp;"'!"&amp;ROW()&amp;":"&amp;ROW())
)</f>
        <v>0</v>
      </c>
      <c r="G76" s="8" cm="1">
        <f t="array" aca="1" ref="G76" ca="1">_xlfn.XLOOKUP(1,
 (INDIRECT("'"&amp;$C$6&amp;"'!$6:$6")=G$6)*
 (INDIRECT("'"&amp;$C$6&amp;"'!$5:$5")=G$5),
 INDIRECT("'"&amp;$C$6&amp;"'!"&amp;ROW()&amp;":"&amp;ROW())
)</f>
        <v>0</v>
      </c>
      <c r="H76" s="8" cm="1">
        <f t="array" aca="1" ref="H76" ca="1">_xlfn.XLOOKUP(1,
 (INDIRECT("'"&amp;$C$6&amp;"'!$6:$6")=H$6)*
 (INDIRECT("'"&amp;$C$6&amp;"'!$5:$5")=H$5),
 INDIRECT("'"&amp;$C$6&amp;"'!"&amp;ROW()&amp;":"&amp;ROW())
)</f>
        <v>0</v>
      </c>
      <c r="I76" s="8" cm="1">
        <f t="array" aca="1" ref="I76" ca="1">_xlfn.XLOOKUP(1,
 (INDIRECT("'"&amp;$C$6&amp;"'!$6:$6")=I$6)*
 (INDIRECT("'"&amp;$C$6&amp;"'!$5:$5")=I$5),
 INDIRECT("'"&amp;$C$6&amp;"'!"&amp;ROW()&amp;":"&amp;ROW())
)</f>
        <v>0</v>
      </c>
      <c r="K76" s="34">
        <f t="shared" ca="1" si="147"/>
        <v>0</v>
      </c>
      <c r="L76" s="34">
        <f t="shared" ca="1" si="148"/>
        <v>0</v>
      </c>
      <c r="M76" s="34">
        <f t="shared" ca="1" si="149"/>
        <v>0</v>
      </c>
      <c r="N76" s="34">
        <f t="shared" ca="1" si="150"/>
        <v>0</v>
      </c>
      <c r="O76" s="34">
        <f t="shared" ca="1" si="151"/>
        <v>0</v>
      </c>
      <c r="Q76" s="36">
        <f t="shared" ca="1" si="152"/>
        <v>0</v>
      </c>
      <c r="R76" s="36">
        <f t="shared" ca="1" si="153"/>
        <v>0</v>
      </c>
      <c r="S76" s="36">
        <f t="shared" ca="1" si="154"/>
        <v>0</v>
      </c>
      <c r="T76" s="36">
        <f t="shared" ca="1" si="155"/>
        <v>0</v>
      </c>
      <c r="U76" s="36">
        <f t="shared" ca="1" si="156"/>
        <v>0</v>
      </c>
      <c r="W76" s="8" cm="1">
        <f t="array" aca="1" ref="W76" ca="1">INDIRECT("'"&amp;$C$6&amp;"'!"&amp;ADDRESS(ROW(),COLUMN()+44))</f>
        <v>0</v>
      </c>
      <c r="X76" s="8" cm="1">
        <f t="array" aca="1" ref="X76" ca="1">INDIRECT("'"&amp;$C$6&amp;"'!"&amp;ADDRESS(ROW(),COLUMN()+44))</f>
        <v>0</v>
      </c>
      <c r="Y76" s="8" cm="1">
        <f t="array" aca="1" ref="Y76" ca="1">INDIRECT("'"&amp;$C$6&amp;"'!"&amp;ADDRESS(ROW(),COLUMN()+44))</f>
        <v>0</v>
      </c>
      <c r="Z76" s="8" cm="1">
        <f t="array" aca="1" ref="Z76" ca="1">INDIRECT("'"&amp;$C$6&amp;"'!"&amp;ADDRESS(ROW(),COLUMN()+44))</f>
        <v>0</v>
      </c>
      <c r="AA76" s="8" cm="1">
        <f t="array" aca="1" ref="AA76" ca="1">INDIRECT("'"&amp;$C$6&amp;"'!"&amp;ADDRESS(ROW(),COLUMN()+44))</f>
        <v>0</v>
      </c>
      <c r="AB76" s="8" cm="1">
        <f t="array" aca="1" ref="AB76" ca="1">INDIRECT("'"&amp;$C$6&amp;"'!"&amp;ADDRESS(ROW(),COLUMN()+44))</f>
        <v>0</v>
      </c>
      <c r="AD76" s="34">
        <f t="shared" ca="1" si="157"/>
        <v>0</v>
      </c>
      <c r="AE76" s="34">
        <f t="shared" ca="1" si="158"/>
        <v>0</v>
      </c>
      <c r="AF76" s="34">
        <f t="shared" ca="1" si="159"/>
        <v>0</v>
      </c>
      <c r="AG76" s="34">
        <f t="shared" ca="1" si="160"/>
        <v>0</v>
      </c>
      <c r="AH76" s="34">
        <f t="shared" ca="1" si="161"/>
        <v>0</v>
      </c>
      <c r="AJ76" s="36">
        <f t="shared" ca="1" si="162"/>
        <v>0</v>
      </c>
      <c r="AK76" s="36">
        <f t="shared" ca="1" si="163"/>
        <v>0</v>
      </c>
      <c r="AL76" s="36">
        <f t="shared" ca="1" si="164"/>
        <v>0</v>
      </c>
      <c r="AM76" s="36">
        <f t="shared" ca="1" si="165"/>
        <v>0</v>
      </c>
      <c r="AN76" s="36">
        <f t="shared" ca="1" si="166"/>
        <v>0</v>
      </c>
    </row>
    <row r="77" spans="1:40" hidden="1" outlineLevel="1" x14ac:dyDescent="0.25">
      <c r="A77" s="11" t="s">
        <v>71</v>
      </c>
      <c r="C77" s="2"/>
      <c r="D77" s="8" cm="1">
        <f t="array" aca="1" ref="D77" ca="1">_xlfn.XLOOKUP(1,
 (INDIRECT("'"&amp;$C$6&amp;"'!$6:$6")=D$6)*
 (INDIRECT("'"&amp;$C$6&amp;"'!$5:$5")=D$5),
 INDIRECT("'"&amp;$C$6&amp;"'!"&amp;ROW()&amp;":"&amp;ROW())
)</f>
        <v>0</v>
      </c>
      <c r="E77" s="8" cm="1">
        <f t="array" aca="1" ref="E77" ca="1">_xlfn.XLOOKUP(1,
 (INDIRECT("'"&amp;$C$6&amp;"'!$6:$6")=E$6)*
 (INDIRECT("'"&amp;$C$6&amp;"'!$5:$5")=E$5),
 INDIRECT("'"&amp;$C$6&amp;"'!"&amp;ROW()&amp;":"&amp;ROW())
)</f>
        <v>0</v>
      </c>
      <c r="F77" s="8" cm="1">
        <f t="array" aca="1" ref="F77" ca="1">_xlfn.XLOOKUP(1,
 (INDIRECT("'"&amp;$C$6&amp;"'!$6:$6")=F$6)*
 (INDIRECT("'"&amp;$C$6&amp;"'!$5:$5")=F$5),
 INDIRECT("'"&amp;$C$6&amp;"'!"&amp;ROW()&amp;":"&amp;ROW())
)</f>
        <v>0</v>
      </c>
      <c r="G77" s="8" cm="1">
        <f t="array" aca="1" ref="G77" ca="1">_xlfn.XLOOKUP(1,
 (INDIRECT("'"&amp;$C$6&amp;"'!$6:$6")=G$6)*
 (INDIRECT("'"&amp;$C$6&amp;"'!$5:$5")=G$5),
 INDIRECT("'"&amp;$C$6&amp;"'!"&amp;ROW()&amp;":"&amp;ROW())
)</f>
        <v>0</v>
      </c>
      <c r="H77" s="8" cm="1">
        <f t="array" aca="1" ref="H77" ca="1">_xlfn.XLOOKUP(1,
 (INDIRECT("'"&amp;$C$6&amp;"'!$6:$6")=H$6)*
 (INDIRECT("'"&amp;$C$6&amp;"'!$5:$5")=H$5),
 INDIRECT("'"&amp;$C$6&amp;"'!"&amp;ROW()&amp;":"&amp;ROW())
)</f>
        <v>0</v>
      </c>
      <c r="I77" s="8" cm="1">
        <f t="array" aca="1" ref="I77" ca="1">_xlfn.XLOOKUP(1,
 (INDIRECT("'"&amp;$C$6&amp;"'!$6:$6")=I$6)*
 (INDIRECT("'"&amp;$C$6&amp;"'!$5:$5")=I$5),
 INDIRECT("'"&amp;$C$6&amp;"'!"&amp;ROW()&amp;":"&amp;ROW())
)</f>
        <v>0</v>
      </c>
      <c r="K77" s="34">
        <f t="shared" ca="1" si="147"/>
        <v>0</v>
      </c>
      <c r="L77" s="34">
        <f t="shared" ca="1" si="148"/>
        <v>0</v>
      </c>
      <c r="M77" s="34">
        <f t="shared" ca="1" si="149"/>
        <v>0</v>
      </c>
      <c r="N77" s="34">
        <f t="shared" ca="1" si="150"/>
        <v>0</v>
      </c>
      <c r="O77" s="34">
        <f t="shared" ca="1" si="151"/>
        <v>0</v>
      </c>
      <c r="Q77" s="36">
        <f t="shared" ca="1" si="152"/>
        <v>0</v>
      </c>
      <c r="R77" s="36">
        <f t="shared" ca="1" si="153"/>
        <v>0</v>
      </c>
      <c r="S77" s="36">
        <f t="shared" ca="1" si="154"/>
        <v>0</v>
      </c>
      <c r="T77" s="36">
        <f t="shared" ca="1" si="155"/>
        <v>0</v>
      </c>
      <c r="U77" s="36">
        <f t="shared" ca="1" si="156"/>
        <v>0</v>
      </c>
      <c r="W77" s="8" cm="1">
        <f t="array" aca="1" ref="W77" ca="1">INDIRECT("'"&amp;$C$6&amp;"'!"&amp;ADDRESS(ROW(),COLUMN()+44))</f>
        <v>0</v>
      </c>
      <c r="X77" s="8" cm="1">
        <f t="array" aca="1" ref="X77" ca="1">INDIRECT("'"&amp;$C$6&amp;"'!"&amp;ADDRESS(ROW(),COLUMN()+44))</f>
        <v>0</v>
      </c>
      <c r="Y77" s="8" cm="1">
        <f t="array" aca="1" ref="Y77" ca="1">INDIRECT("'"&amp;$C$6&amp;"'!"&amp;ADDRESS(ROW(),COLUMN()+44))</f>
        <v>0</v>
      </c>
      <c r="Z77" s="8" cm="1">
        <f t="array" aca="1" ref="Z77" ca="1">INDIRECT("'"&amp;$C$6&amp;"'!"&amp;ADDRESS(ROW(),COLUMN()+44))</f>
        <v>0</v>
      </c>
      <c r="AA77" s="8" cm="1">
        <f t="array" aca="1" ref="AA77" ca="1">INDIRECT("'"&amp;$C$6&amp;"'!"&amp;ADDRESS(ROW(),COLUMN()+44))</f>
        <v>0</v>
      </c>
      <c r="AB77" s="8" cm="1">
        <f t="array" aca="1" ref="AB77" ca="1">INDIRECT("'"&amp;$C$6&amp;"'!"&amp;ADDRESS(ROW(),COLUMN()+44))</f>
        <v>0</v>
      </c>
      <c r="AD77" s="34">
        <f t="shared" ca="1" si="157"/>
        <v>0</v>
      </c>
      <c r="AE77" s="34">
        <f t="shared" ca="1" si="158"/>
        <v>0</v>
      </c>
      <c r="AF77" s="34">
        <f t="shared" ca="1" si="159"/>
        <v>0</v>
      </c>
      <c r="AG77" s="34">
        <f t="shared" ca="1" si="160"/>
        <v>0</v>
      </c>
      <c r="AH77" s="34">
        <f t="shared" ca="1" si="161"/>
        <v>0</v>
      </c>
      <c r="AJ77" s="36">
        <f t="shared" ca="1" si="162"/>
        <v>0</v>
      </c>
      <c r="AK77" s="36">
        <f t="shared" ca="1" si="163"/>
        <v>0</v>
      </c>
      <c r="AL77" s="36">
        <f t="shared" ca="1" si="164"/>
        <v>0</v>
      </c>
      <c r="AM77" s="36">
        <f t="shared" ca="1" si="165"/>
        <v>0</v>
      </c>
      <c r="AN77" s="36">
        <f t="shared" ca="1" si="166"/>
        <v>0</v>
      </c>
    </row>
    <row r="78" spans="1:40" hidden="1" outlineLevel="1" x14ac:dyDescent="0.25">
      <c r="A78" s="11" t="s">
        <v>71</v>
      </c>
      <c r="C78" s="2"/>
      <c r="D78" s="8" cm="1">
        <f t="array" aca="1" ref="D78" ca="1">_xlfn.XLOOKUP(1,
 (INDIRECT("'"&amp;$C$6&amp;"'!$6:$6")=D$6)*
 (INDIRECT("'"&amp;$C$6&amp;"'!$5:$5")=D$5),
 INDIRECT("'"&amp;$C$6&amp;"'!"&amp;ROW()&amp;":"&amp;ROW())
)</f>
        <v>0</v>
      </c>
      <c r="E78" s="8" cm="1">
        <f t="array" aca="1" ref="E78" ca="1">_xlfn.XLOOKUP(1,
 (INDIRECT("'"&amp;$C$6&amp;"'!$6:$6")=E$6)*
 (INDIRECT("'"&amp;$C$6&amp;"'!$5:$5")=E$5),
 INDIRECT("'"&amp;$C$6&amp;"'!"&amp;ROW()&amp;":"&amp;ROW())
)</f>
        <v>0</v>
      </c>
      <c r="F78" s="8" cm="1">
        <f t="array" aca="1" ref="F78" ca="1">_xlfn.XLOOKUP(1,
 (INDIRECT("'"&amp;$C$6&amp;"'!$6:$6")=F$6)*
 (INDIRECT("'"&amp;$C$6&amp;"'!$5:$5")=F$5),
 INDIRECT("'"&amp;$C$6&amp;"'!"&amp;ROW()&amp;":"&amp;ROW())
)</f>
        <v>0</v>
      </c>
      <c r="G78" s="8" cm="1">
        <f t="array" aca="1" ref="G78" ca="1">_xlfn.XLOOKUP(1,
 (INDIRECT("'"&amp;$C$6&amp;"'!$6:$6")=G$6)*
 (INDIRECT("'"&amp;$C$6&amp;"'!$5:$5")=G$5),
 INDIRECT("'"&amp;$C$6&amp;"'!"&amp;ROW()&amp;":"&amp;ROW())
)</f>
        <v>0</v>
      </c>
      <c r="H78" s="8" cm="1">
        <f t="array" aca="1" ref="H78" ca="1">_xlfn.XLOOKUP(1,
 (INDIRECT("'"&amp;$C$6&amp;"'!$6:$6")=H$6)*
 (INDIRECT("'"&amp;$C$6&amp;"'!$5:$5")=H$5),
 INDIRECT("'"&amp;$C$6&amp;"'!"&amp;ROW()&amp;":"&amp;ROW())
)</f>
        <v>0</v>
      </c>
      <c r="I78" s="8" cm="1">
        <f t="array" aca="1" ref="I78" ca="1">_xlfn.XLOOKUP(1,
 (INDIRECT("'"&amp;$C$6&amp;"'!$6:$6")=I$6)*
 (INDIRECT("'"&amp;$C$6&amp;"'!$5:$5")=I$5),
 INDIRECT("'"&amp;$C$6&amp;"'!"&amp;ROW()&amp;":"&amp;ROW())
)</f>
        <v>0</v>
      </c>
      <c r="K78" s="34">
        <f t="shared" ca="1" si="147"/>
        <v>0</v>
      </c>
      <c r="L78" s="34">
        <f t="shared" ca="1" si="148"/>
        <v>0</v>
      </c>
      <c r="M78" s="34">
        <f t="shared" ca="1" si="149"/>
        <v>0</v>
      </c>
      <c r="N78" s="34">
        <f t="shared" ca="1" si="150"/>
        <v>0</v>
      </c>
      <c r="O78" s="34">
        <f t="shared" ca="1" si="151"/>
        <v>0</v>
      </c>
      <c r="Q78" s="36">
        <f t="shared" ca="1" si="152"/>
        <v>0</v>
      </c>
      <c r="R78" s="36">
        <f t="shared" ca="1" si="153"/>
        <v>0</v>
      </c>
      <c r="S78" s="36">
        <f t="shared" ca="1" si="154"/>
        <v>0</v>
      </c>
      <c r="T78" s="36">
        <f t="shared" ca="1" si="155"/>
        <v>0</v>
      </c>
      <c r="U78" s="36">
        <f t="shared" ca="1" si="156"/>
        <v>0</v>
      </c>
      <c r="W78" s="8" cm="1">
        <f t="array" aca="1" ref="W78" ca="1">INDIRECT("'"&amp;$C$6&amp;"'!"&amp;ADDRESS(ROW(),COLUMN()+44))</f>
        <v>0</v>
      </c>
      <c r="X78" s="8" cm="1">
        <f t="array" aca="1" ref="X78" ca="1">INDIRECT("'"&amp;$C$6&amp;"'!"&amp;ADDRESS(ROW(),COLUMN()+44))</f>
        <v>0</v>
      </c>
      <c r="Y78" s="8" cm="1">
        <f t="array" aca="1" ref="Y78" ca="1">INDIRECT("'"&amp;$C$6&amp;"'!"&amp;ADDRESS(ROW(),COLUMN()+44))</f>
        <v>0</v>
      </c>
      <c r="Z78" s="8" cm="1">
        <f t="array" aca="1" ref="Z78" ca="1">INDIRECT("'"&amp;$C$6&amp;"'!"&amp;ADDRESS(ROW(),COLUMN()+44))</f>
        <v>0</v>
      </c>
      <c r="AA78" s="8" cm="1">
        <f t="array" aca="1" ref="AA78" ca="1">INDIRECT("'"&amp;$C$6&amp;"'!"&amp;ADDRESS(ROW(),COLUMN()+44))</f>
        <v>0</v>
      </c>
      <c r="AB78" s="8" cm="1">
        <f t="array" aca="1" ref="AB78" ca="1">INDIRECT("'"&amp;$C$6&amp;"'!"&amp;ADDRESS(ROW(),COLUMN()+44))</f>
        <v>0</v>
      </c>
      <c r="AD78" s="34">
        <f t="shared" ca="1" si="157"/>
        <v>0</v>
      </c>
      <c r="AE78" s="34">
        <f t="shared" ca="1" si="158"/>
        <v>0</v>
      </c>
      <c r="AF78" s="34">
        <f t="shared" ca="1" si="159"/>
        <v>0</v>
      </c>
      <c r="AG78" s="34">
        <f t="shared" ca="1" si="160"/>
        <v>0</v>
      </c>
      <c r="AH78" s="34">
        <f t="shared" ca="1" si="161"/>
        <v>0</v>
      </c>
      <c r="AJ78" s="36">
        <f t="shared" ca="1" si="162"/>
        <v>0</v>
      </c>
      <c r="AK78" s="36">
        <f t="shared" ca="1" si="163"/>
        <v>0</v>
      </c>
      <c r="AL78" s="36">
        <f t="shared" ca="1" si="164"/>
        <v>0</v>
      </c>
      <c r="AM78" s="36">
        <f t="shared" ca="1" si="165"/>
        <v>0</v>
      </c>
      <c r="AN78" s="36">
        <f t="shared" ca="1" si="166"/>
        <v>0</v>
      </c>
    </row>
    <row r="79" spans="1:40" hidden="1" outlineLevel="1" x14ac:dyDescent="0.25">
      <c r="A79" s="11" t="s">
        <v>71</v>
      </c>
      <c r="C79" s="2"/>
      <c r="D79" s="8" cm="1">
        <f t="array" aca="1" ref="D79" ca="1">_xlfn.XLOOKUP(1,
 (INDIRECT("'"&amp;$C$6&amp;"'!$6:$6")=D$6)*
 (INDIRECT("'"&amp;$C$6&amp;"'!$5:$5")=D$5),
 INDIRECT("'"&amp;$C$6&amp;"'!"&amp;ROW()&amp;":"&amp;ROW())
)</f>
        <v>0</v>
      </c>
      <c r="E79" s="8" cm="1">
        <f t="array" aca="1" ref="E79" ca="1">_xlfn.XLOOKUP(1,
 (INDIRECT("'"&amp;$C$6&amp;"'!$6:$6")=E$6)*
 (INDIRECT("'"&amp;$C$6&amp;"'!$5:$5")=E$5),
 INDIRECT("'"&amp;$C$6&amp;"'!"&amp;ROW()&amp;":"&amp;ROW())
)</f>
        <v>0</v>
      </c>
      <c r="F79" s="8" cm="1">
        <f t="array" aca="1" ref="F79" ca="1">_xlfn.XLOOKUP(1,
 (INDIRECT("'"&amp;$C$6&amp;"'!$6:$6")=F$6)*
 (INDIRECT("'"&amp;$C$6&amp;"'!$5:$5")=F$5),
 INDIRECT("'"&amp;$C$6&amp;"'!"&amp;ROW()&amp;":"&amp;ROW())
)</f>
        <v>0</v>
      </c>
      <c r="G79" s="8" cm="1">
        <f t="array" aca="1" ref="G79" ca="1">_xlfn.XLOOKUP(1,
 (INDIRECT("'"&amp;$C$6&amp;"'!$6:$6")=G$6)*
 (INDIRECT("'"&amp;$C$6&amp;"'!$5:$5")=G$5),
 INDIRECT("'"&amp;$C$6&amp;"'!"&amp;ROW()&amp;":"&amp;ROW())
)</f>
        <v>0</v>
      </c>
      <c r="H79" s="8" cm="1">
        <f t="array" aca="1" ref="H79" ca="1">_xlfn.XLOOKUP(1,
 (INDIRECT("'"&amp;$C$6&amp;"'!$6:$6")=H$6)*
 (INDIRECT("'"&amp;$C$6&amp;"'!$5:$5")=H$5),
 INDIRECT("'"&amp;$C$6&amp;"'!"&amp;ROW()&amp;":"&amp;ROW())
)</f>
        <v>0</v>
      </c>
      <c r="I79" s="8" cm="1">
        <f t="array" aca="1" ref="I79" ca="1">_xlfn.XLOOKUP(1,
 (INDIRECT("'"&amp;$C$6&amp;"'!$6:$6")=I$6)*
 (INDIRECT("'"&amp;$C$6&amp;"'!$5:$5")=I$5),
 INDIRECT("'"&amp;$C$6&amp;"'!"&amp;ROW()&amp;":"&amp;ROW())
)</f>
        <v>0</v>
      </c>
      <c r="K79" s="34">
        <f t="shared" ca="1" si="147"/>
        <v>0</v>
      </c>
      <c r="L79" s="34">
        <f t="shared" ca="1" si="148"/>
        <v>0</v>
      </c>
      <c r="M79" s="34">
        <f t="shared" ca="1" si="149"/>
        <v>0</v>
      </c>
      <c r="N79" s="34">
        <f t="shared" ca="1" si="150"/>
        <v>0</v>
      </c>
      <c r="O79" s="34">
        <f t="shared" ca="1" si="151"/>
        <v>0</v>
      </c>
      <c r="Q79" s="36">
        <f t="shared" ca="1" si="152"/>
        <v>0</v>
      </c>
      <c r="R79" s="36">
        <f t="shared" ca="1" si="153"/>
        <v>0</v>
      </c>
      <c r="S79" s="36">
        <f t="shared" ca="1" si="154"/>
        <v>0</v>
      </c>
      <c r="T79" s="36">
        <f t="shared" ca="1" si="155"/>
        <v>0</v>
      </c>
      <c r="U79" s="36">
        <f t="shared" ca="1" si="156"/>
        <v>0</v>
      </c>
      <c r="W79" s="8" cm="1">
        <f t="array" aca="1" ref="W79" ca="1">INDIRECT("'"&amp;$C$6&amp;"'!"&amp;ADDRESS(ROW(),COLUMN()+44))</f>
        <v>0</v>
      </c>
      <c r="X79" s="8" cm="1">
        <f t="array" aca="1" ref="X79" ca="1">INDIRECT("'"&amp;$C$6&amp;"'!"&amp;ADDRESS(ROW(),COLUMN()+44))</f>
        <v>0</v>
      </c>
      <c r="Y79" s="8" cm="1">
        <f t="array" aca="1" ref="Y79" ca="1">INDIRECT("'"&amp;$C$6&amp;"'!"&amp;ADDRESS(ROW(),COLUMN()+44))</f>
        <v>0</v>
      </c>
      <c r="Z79" s="8" cm="1">
        <f t="array" aca="1" ref="Z79" ca="1">INDIRECT("'"&amp;$C$6&amp;"'!"&amp;ADDRESS(ROW(),COLUMN()+44))</f>
        <v>0</v>
      </c>
      <c r="AA79" s="8" cm="1">
        <f t="array" aca="1" ref="AA79" ca="1">INDIRECT("'"&amp;$C$6&amp;"'!"&amp;ADDRESS(ROW(),COLUMN()+44))</f>
        <v>0</v>
      </c>
      <c r="AB79" s="8" cm="1">
        <f t="array" aca="1" ref="AB79" ca="1">INDIRECT("'"&amp;$C$6&amp;"'!"&amp;ADDRESS(ROW(),COLUMN()+44))</f>
        <v>0</v>
      </c>
      <c r="AD79" s="34">
        <f t="shared" ca="1" si="157"/>
        <v>0</v>
      </c>
      <c r="AE79" s="34">
        <f t="shared" ca="1" si="158"/>
        <v>0</v>
      </c>
      <c r="AF79" s="34">
        <f t="shared" ca="1" si="159"/>
        <v>0</v>
      </c>
      <c r="AG79" s="34">
        <f t="shared" ca="1" si="160"/>
        <v>0</v>
      </c>
      <c r="AH79" s="34">
        <f t="shared" ca="1" si="161"/>
        <v>0</v>
      </c>
      <c r="AJ79" s="36">
        <f t="shared" ca="1" si="162"/>
        <v>0</v>
      </c>
      <c r="AK79" s="36">
        <f t="shared" ca="1" si="163"/>
        <v>0</v>
      </c>
      <c r="AL79" s="36">
        <f t="shared" ca="1" si="164"/>
        <v>0</v>
      </c>
      <c r="AM79" s="36">
        <f t="shared" ca="1" si="165"/>
        <v>0</v>
      </c>
      <c r="AN79" s="36">
        <f t="shared" ca="1" si="166"/>
        <v>0</v>
      </c>
    </row>
    <row r="80" spans="1:40" hidden="1" outlineLevel="1" x14ac:dyDescent="0.25">
      <c r="A80" s="11" t="s">
        <v>71</v>
      </c>
      <c r="C80" s="2"/>
      <c r="D80" s="8" cm="1">
        <f t="array" aca="1" ref="D80" ca="1">_xlfn.XLOOKUP(1,
 (INDIRECT("'"&amp;$C$6&amp;"'!$6:$6")=D$6)*
 (INDIRECT("'"&amp;$C$6&amp;"'!$5:$5")=D$5),
 INDIRECT("'"&amp;$C$6&amp;"'!"&amp;ROW()&amp;":"&amp;ROW())
)</f>
        <v>0</v>
      </c>
      <c r="E80" s="8" cm="1">
        <f t="array" aca="1" ref="E80" ca="1">_xlfn.XLOOKUP(1,
 (INDIRECT("'"&amp;$C$6&amp;"'!$6:$6")=E$6)*
 (INDIRECT("'"&amp;$C$6&amp;"'!$5:$5")=E$5),
 INDIRECT("'"&amp;$C$6&amp;"'!"&amp;ROW()&amp;":"&amp;ROW())
)</f>
        <v>0</v>
      </c>
      <c r="F80" s="8" cm="1">
        <f t="array" aca="1" ref="F80" ca="1">_xlfn.XLOOKUP(1,
 (INDIRECT("'"&amp;$C$6&amp;"'!$6:$6")=F$6)*
 (INDIRECT("'"&amp;$C$6&amp;"'!$5:$5")=F$5),
 INDIRECT("'"&amp;$C$6&amp;"'!"&amp;ROW()&amp;":"&amp;ROW())
)</f>
        <v>0</v>
      </c>
      <c r="G80" s="8" cm="1">
        <f t="array" aca="1" ref="G80" ca="1">_xlfn.XLOOKUP(1,
 (INDIRECT("'"&amp;$C$6&amp;"'!$6:$6")=G$6)*
 (INDIRECT("'"&amp;$C$6&amp;"'!$5:$5")=G$5),
 INDIRECT("'"&amp;$C$6&amp;"'!"&amp;ROW()&amp;":"&amp;ROW())
)</f>
        <v>0</v>
      </c>
      <c r="H80" s="8" cm="1">
        <f t="array" aca="1" ref="H80" ca="1">_xlfn.XLOOKUP(1,
 (INDIRECT("'"&amp;$C$6&amp;"'!$6:$6")=H$6)*
 (INDIRECT("'"&amp;$C$6&amp;"'!$5:$5")=H$5),
 INDIRECT("'"&amp;$C$6&amp;"'!"&amp;ROW()&amp;":"&amp;ROW())
)</f>
        <v>0</v>
      </c>
      <c r="I80" s="8" cm="1">
        <f t="array" aca="1" ref="I80" ca="1">_xlfn.XLOOKUP(1,
 (INDIRECT("'"&amp;$C$6&amp;"'!$6:$6")=I$6)*
 (INDIRECT("'"&amp;$C$6&amp;"'!$5:$5")=I$5),
 INDIRECT("'"&amp;$C$6&amp;"'!"&amp;ROW()&amp;":"&amp;ROW())
)</f>
        <v>0</v>
      </c>
      <c r="K80" s="34">
        <f t="shared" ca="1" si="147"/>
        <v>0</v>
      </c>
      <c r="L80" s="34">
        <f t="shared" ca="1" si="148"/>
        <v>0</v>
      </c>
      <c r="M80" s="34">
        <f t="shared" ca="1" si="149"/>
        <v>0</v>
      </c>
      <c r="N80" s="34">
        <f t="shared" ca="1" si="150"/>
        <v>0</v>
      </c>
      <c r="O80" s="34">
        <f t="shared" ca="1" si="151"/>
        <v>0</v>
      </c>
      <c r="Q80" s="36">
        <f t="shared" ca="1" si="152"/>
        <v>0</v>
      </c>
      <c r="R80" s="36">
        <f t="shared" ca="1" si="153"/>
        <v>0</v>
      </c>
      <c r="S80" s="36">
        <f t="shared" ca="1" si="154"/>
        <v>0</v>
      </c>
      <c r="T80" s="36">
        <f t="shared" ca="1" si="155"/>
        <v>0</v>
      </c>
      <c r="U80" s="36">
        <f t="shared" ca="1" si="156"/>
        <v>0</v>
      </c>
      <c r="W80" s="8" cm="1">
        <f t="array" aca="1" ref="W80" ca="1">INDIRECT("'"&amp;$C$6&amp;"'!"&amp;ADDRESS(ROW(),COLUMN()+44))</f>
        <v>0</v>
      </c>
      <c r="X80" s="8" cm="1">
        <f t="array" aca="1" ref="X80" ca="1">INDIRECT("'"&amp;$C$6&amp;"'!"&amp;ADDRESS(ROW(),COLUMN()+44))</f>
        <v>0</v>
      </c>
      <c r="Y80" s="8" cm="1">
        <f t="array" aca="1" ref="Y80" ca="1">INDIRECT("'"&amp;$C$6&amp;"'!"&amp;ADDRESS(ROW(),COLUMN()+44))</f>
        <v>0</v>
      </c>
      <c r="Z80" s="8" cm="1">
        <f t="array" aca="1" ref="Z80" ca="1">INDIRECT("'"&amp;$C$6&amp;"'!"&amp;ADDRESS(ROW(),COLUMN()+44))</f>
        <v>0</v>
      </c>
      <c r="AA80" s="8" cm="1">
        <f t="array" aca="1" ref="AA80" ca="1">INDIRECT("'"&amp;$C$6&amp;"'!"&amp;ADDRESS(ROW(),COLUMN()+44))</f>
        <v>0</v>
      </c>
      <c r="AB80" s="8" cm="1">
        <f t="array" aca="1" ref="AB80" ca="1">INDIRECT("'"&amp;$C$6&amp;"'!"&amp;ADDRESS(ROW(),COLUMN()+44))</f>
        <v>0</v>
      </c>
      <c r="AD80" s="34">
        <f t="shared" ca="1" si="157"/>
        <v>0</v>
      </c>
      <c r="AE80" s="34">
        <f t="shared" ca="1" si="158"/>
        <v>0</v>
      </c>
      <c r="AF80" s="34">
        <f t="shared" ca="1" si="159"/>
        <v>0</v>
      </c>
      <c r="AG80" s="34">
        <f t="shared" ca="1" si="160"/>
        <v>0</v>
      </c>
      <c r="AH80" s="34">
        <f t="shared" ca="1" si="161"/>
        <v>0</v>
      </c>
      <c r="AJ80" s="36">
        <f t="shared" ca="1" si="162"/>
        <v>0</v>
      </c>
      <c r="AK80" s="36">
        <f t="shared" ca="1" si="163"/>
        <v>0</v>
      </c>
      <c r="AL80" s="36">
        <f t="shared" ca="1" si="164"/>
        <v>0</v>
      </c>
      <c r="AM80" s="36">
        <f t="shared" ca="1" si="165"/>
        <v>0</v>
      </c>
      <c r="AN80" s="36">
        <f t="shared" ca="1" si="166"/>
        <v>0</v>
      </c>
    </row>
    <row r="81" spans="1:40" hidden="1" outlineLevel="1" x14ac:dyDescent="0.25">
      <c r="A81" s="11" t="s">
        <v>71</v>
      </c>
      <c r="C81" s="2"/>
      <c r="D81" s="8" cm="1">
        <f t="array" aca="1" ref="D81" ca="1">_xlfn.XLOOKUP(1,
 (INDIRECT("'"&amp;$C$6&amp;"'!$6:$6")=D$6)*
 (INDIRECT("'"&amp;$C$6&amp;"'!$5:$5")=D$5),
 INDIRECT("'"&amp;$C$6&amp;"'!"&amp;ROW()&amp;":"&amp;ROW())
)</f>
        <v>0</v>
      </c>
      <c r="E81" s="8" cm="1">
        <f t="array" aca="1" ref="E81" ca="1">_xlfn.XLOOKUP(1,
 (INDIRECT("'"&amp;$C$6&amp;"'!$6:$6")=E$6)*
 (INDIRECT("'"&amp;$C$6&amp;"'!$5:$5")=E$5),
 INDIRECT("'"&amp;$C$6&amp;"'!"&amp;ROW()&amp;":"&amp;ROW())
)</f>
        <v>0</v>
      </c>
      <c r="F81" s="8" cm="1">
        <f t="array" aca="1" ref="F81" ca="1">_xlfn.XLOOKUP(1,
 (INDIRECT("'"&amp;$C$6&amp;"'!$6:$6")=F$6)*
 (INDIRECT("'"&amp;$C$6&amp;"'!$5:$5")=F$5),
 INDIRECT("'"&amp;$C$6&amp;"'!"&amp;ROW()&amp;":"&amp;ROW())
)</f>
        <v>0</v>
      </c>
      <c r="G81" s="8" cm="1">
        <f t="array" aca="1" ref="G81" ca="1">_xlfn.XLOOKUP(1,
 (INDIRECT("'"&amp;$C$6&amp;"'!$6:$6")=G$6)*
 (INDIRECT("'"&amp;$C$6&amp;"'!$5:$5")=G$5),
 INDIRECT("'"&amp;$C$6&amp;"'!"&amp;ROW()&amp;":"&amp;ROW())
)</f>
        <v>0</v>
      </c>
      <c r="H81" s="8" cm="1">
        <f t="array" aca="1" ref="H81" ca="1">_xlfn.XLOOKUP(1,
 (INDIRECT("'"&amp;$C$6&amp;"'!$6:$6")=H$6)*
 (INDIRECT("'"&amp;$C$6&amp;"'!$5:$5")=H$5),
 INDIRECT("'"&amp;$C$6&amp;"'!"&amp;ROW()&amp;":"&amp;ROW())
)</f>
        <v>0</v>
      </c>
      <c r="I81" s="8" cm="1">
        <f t="array" aca="1" ref="I81" ca="1">_xlfn.XLOOKUP(1,
 (INDIRECT("'"&amp;$C$6&amp;"'!$6:$6")=I$6)*
 (INDIRECT("'"&amp;$C$6&amp;"'!$5:$5")=I$5),
 INDIRECT("'"&amp;$C$6&amp;"'!"&amp;ROW()&amp;":"&amp;ROW())
)</f>
        <v>0</v>
      </c>
      <c r="K81" s="34">
        <f t="shared" ca="1" si="147"/>
        <v>0</v>
      </c>
      <c r="L81" s="34">
        <f t="shared" ca="1" si="148"/>
        <v>0</v>
      </c>
      <c r="M81" s="34">
        <f t="shared" ca="1" si="149"/>
        <v>0</v>
      </c>
      <c r="N81" s="34">
        <f t="shared" ca="1" si="150"/>
        <v>0</v>
      </c>
      <c r="O81" s="34">
        <f t="shared" ca="1" si="151"/>
        <v>0</v>
      </c>
      <c r="Q81" s="36">
        <f t="shared" ca="1" si="152"/>
        <v>0</v>
      </c>
      <c r="R81" s="36">
        <f t="shared" ca="1" si="153"/>
        <v>0</v>
      </c>
      <c r="S81" s="36">
        <f t="shared" ca="1" si="154"/>
        <v>0</v>
      </c>
      <c r="T81" s="36">
        <f t="shared" ca="1" si="155"/>
        <v>0</v>
      </c>
      <c r="U81" s="36">
        <f t="shared" ca="1" si="156"/>
        <v>0</v>
      </c>
      <c r="W81" s="8" cm="1">
        <f t="array" aca="1" ref="W81" ca="1">INDIRECT("'"&amp;$C$6&amp;"'!"&amp;ADDRESS(ROW(),COLUMN()+44))</f>
        <v>0</v>
      </c>
      <c r="X81" s="8" cm="1">
        <f t="array" aca="1" ref="X81" ca="1">INDIRECT("'"&amp;$C$6&amp;"'!"&amp;ADDRESS(ROW(),COLUMN()+44))</f>
        <v>0</v>
      </c>
      <c r="Y81" s="8" cm="1">
        <f t="array" aca="1" ref="Y81" ca="1">INDIRECT("'"&amp;$C$6&amp;"'!"&amp;ADDRESS(ROW(),COLUMN()+44))</f>
        <v>0</v>
      </c>
      <c r="Z81" s="8" cm="1">
        <f t="array" aca="1" ref="Z81" ca="1">INDIRECT("'"&amp;$C$6&amp;"'!"&amp;ADDRESS(ROW(),COLUMN()+44))</f>
        <v>0</v>
      </c>
      <c r="AA81" s="8" cm="1">
        <f t="array" aca="1" ref="AA81" ca="1">INDIRECT("'"&amp;$C$6&amp;"'!"&amp;ADDRESS(ROW(),COLUMN()+44))</f>
        <v>0</v>
      </c>
      <c r="AB81" s="8" cm="1">
        <f t="array" aca="1" ref="AB81" ca="1">INDIRECT("'"&amp;$C$6&amp;"'!"&amp;ADDRESS(ROW(),COLUMN()+44))</f>
        <v>0</v>
      </c>
      <c r="AD81" s="34">
        <f t="shared" ca="1" si="157"/>
        <v>0</v>
      </c>
      <c r="AE81" s="34">
        <f t="shared" ca="1" si="158"/>
        <v>0</v>
      </c>
      <c r="AF81" s="34">
        <f t="shared" ca="1" si="159"/>
        <v>0</v>
      </c>
      <c r="AG81" s="34">
        <f t="shared" ca="1" si="160"/>
        <v>0</v>
      </c>
      <c r="AH81" s="34">
        <f t="shared" ca="1" si="161"/>
        <v>0</v>
      </c>
      <c r="AJ81" s="36">
        <f t="shared" ca="1" si="162"/>
        <v>0</v>
      </c>
      <c r="AK81" s="36">
        <f t="shared" ca="1" si="163"/>
        <v>0</v>
      </c>
      <c r="AL81" s="36">
        <f t="shared" ca="1" si="164"/>
        <v>0</v>
      </c>
      <c r="AM81" s="36">
        <f t="shared" ca="1" si="165"/>
        <v>0</v>
      </c>
      <c r="AN81" s="36">
        <f t="shared" ca="1" si="166"/>
        <v>0</v>
      </c>
    </row>
    <row r="82" spans="1:40" hidden="1" outlineLevel="1" x14ac:dyDescent="0.25">
      <c r="A82" s="11" t="s">
        <v>71</v>
      </c>
      <c r="C82" s="2"/>
      <c r="D82" s="8" cm="1">
        <f t="array" aca="1" ref="D82" ca="1">_xlfn.XLOOKUP(1,
 (INDIRECT("'"&amp;$C$6&amp;"'!$6:$6")=D$6)*
 (INDIRECT("'"&amp;$C$6&amp;"'!$5:$5")=D$5),
 INDIRECT("'"&amp;$C$6&amp;"'!"&amp;ROW()&amp;":"&amp;ROW())
)</f>
        <v>0</v>
      </c>
      <c r="E82" s="8" cm="1">
        <f t="array" aca="1" ref="E82" ca="1">_xlfn.XLOOKUP(1,
 (INDIRECT("'"&amp;$C$6&amp;"'!$6:$6")=E$6)*
 (INDIRECT("'"&amp;$C$6&amp;"'!$5:$5")=E$5),
 INDIRECT("'"&amp;$C$6&amp;"'!"&amp;ROW()&amp;":"&amp;ROW())
)</f>
        <v>0</v>
      </c>
      <c r="F82" s="8" cm="1">
        <f t="array" aca="1" ref="F82" ca="1">_xlfn.XLOOKUP(1,
 (INDIRECT("'"&amp;$C$6&amp;"'!$6:$6")=F$6)*
 (INDIRECT("'"&amp;$C$6&amp;"'!$5:$5")=F$5),
 INDIRECT("'"&amp;$C$6&amp;"'!"&amp;ROW()&amp;":"&amp;ROW())
)</f>
        <v>0</v>
      </c>
      <c r="G82" s="8" cm="1">
        <f t="array" aca="1" ref="G82" ca="1">_xlfn.XLOOKUP(1,
 (INDIRECT("'"&amp;$C$6&amp;"'!$6:$6")=G$6)*
 (INDIRECT("'"&amp;$C$6&amp;"'!$5:$5")=G$5),
 INDIRECT("'"&amp;$C$6&amp;"'!"&amp;ROW()&amp;":"&amp;ROW())
)</f>
        <v>0</v>
      </c>
      <c r="H82" s="8" cm="1">
        <f t="array" aca="1" ref="H82" ca="1">_xlfn.XLOOKUP(1,
 (INDIRECT("'"&amp;$C$6&amp;"'!$6:$6")=H$6)*
 (INDIRECT("'"&amp;$C$6&amp;"'!$5:$5")=H$5),
 INDIRECT("'"&amp;$C$6&amp;"'!"&amp;ROW()&amp;":"&amp;ROW())
)</f>
        <v>0</v>
      </c>
      <c r="I82" s="8" cm="1">
        <f t="array" aca="1" ref="I82" ca="1">_xlfn.XLOOKUP(1,
 (INDIRECT("'"&amp;$C$6&amp;"'!$6:$6")=I$6)*
 (INDIRECT("'"&amp;$C$6&amp;"'!$5:$5")=I$5),
 INDIRECT("'"&amp;$C$6&amp;"'!"&amp;ROW()&amp;":"&amp;ROW())
)</f>
        <v>0</v>
      </c>
      <c r="K82" s="34">
        <f t="shared" ca="1" si="147"/>
        <v>0</v>
      </c>
      <c r="L82" s="34">
        <f t="shared" ca="1" si="148"/>
        <v>0</v>
      </c>
      <c r="M82" s="34">
        <f t="shared" ca="1" si="149"/>
        <v>0</v>
      </c>
      <c r="N82" s="34">
        <f t="shared" ca="1" si="150"/>
        <v>0</v>
      </c>
      <c r="O82" s="34">
        <f t="shared" ca="1" si="151"/>
        <v>0</v>
      </c>
      <c r="Q82" s="36">
        <f t="shared" ca="1" si="152"/>
        <v>0</v>
      </c>
      <c r="R82" s="36">
        <f t="shared" ca="1" si="153"/>
        <v>0</v>
      </c>
      <c r="S82" s="36">
        <f t="shared" ca="1" si="154"/>
        <v>0</v>
      </c>
      <c r="T82" s="36">
        <f t="shared" ca="1" si="155"/>
        <v>0</v>
      </c>
      <c r="U82" s="36">
        <f t="shared" ca="1" si="156"/>
        <v>0</v>
      </c>
      <c r="W82" s="8" cm="1">
        <f t="array" aca="1" ref="W82" ca="1">INDIRECT("'"&amp;$C$6&amp;"'!"&amp;ADDRESS(ROW(),COLUMN()+44))</f>
        <v>0</v>
      </c>
      <c r="X82" s="8" cm="1">
        <f t="array" aca="1" ref="X82" ca="1">INDIRECT("'"&amp;$C$6&amp;"'!"&amp;ADDRESS(ROW(),COLUMN()+44))</f>
        <v>0</v>
      </c>
      <c r="Y82" s="8" cm="1">
        <f t="array" aca="1" ref="Y82" ca="1">INDIRECT("'"&amp;$C$6&amp;"'!"&amp;ADDRESS(ROW(),COLUMN()+44))</f>
        <v>0</v>
      </c>
      <c r="Z82" s="8" cm="1">
        <f t="array" aca="1" ref="Z82" ca="1">INDIRECT("'"&amp;$C$6&amp;"'!"&amp;ADDRESS(ROW(),COLUMN()+44))</f>
        <v>0</v>
      </c>
      <c r="AA82" s="8" cm="1">
        <f t="array" aca="1" ref="AA82" ca="1">INDIRECT("'"&amp;$C$6&amp;"'!"&amp;ADDRESS(ROW(),COLUMN()+44))</f>
        <v>0</v>
      </c>
      <c r="AB82" s="8" cm="1">
        <f t="array" aca="1" ref="AB82" ca="1">INDIRECT("'"&amp;$C$6&amp;"'!"&amp;ADDRESS(ROW(),COLUMN()+44))</f>
        <v>0</v>
      </c>
      <c r="AD82" s="34">
        <f t="shared" ca="1" si="157"/>
        <v>0</v>
      </c>
      <c r="AE82" s="34">
        <f t="shared" ca="1" si="158"/>
        <v>0</v>
      </c>
      <c r="AF82" s="34">
        <f t="shared" ca="1" si="159"/>
        <v>0</v>
      </c>
      <c r="AG82" s="34">
        <f t="shared" ca="1" si="160"/>
        <v>0</v>
      </c>
      <c r="AH82" s="34">
        <f t="shared" ca="1" si="161"/>
        <v>0</v>
      </c>
      <c r="AJ82" s="36">
        <f t="shared" ca="1" si="162"/>
        <v>0</v>
      </c>
      <c r="AK82" s="36">
        <f t="shared" ca="1" si="163"/>
        <v>0</v>
      </c>
      <c r="AL82" s="36">
        <f t="shared" ca="1" si="164"/>
        <v>0</v>
      </c>
      <c r="AM82" s="36">
        <f t="shared" ca="1" si="165"/>
        <v>0</v>
      </c>
      <c r="AN82" s="36">
        <f t="shared" ca="1" si="166"/>
        <v>0</v>
      </c>
    </row>
    <row r="83" spans="1:40" collapsed="1" x14ac:dyDescent="0.25">
      <c r="C83" s="3" t="s">
        <v>71</v>
      </c>
      <c r="D83" s="10">
        <f t="shared" ref="D83:I83" ca="1" si="167">SUM(D63:D82)</f>
        <v>1408.4740153220444</v>
      </c>
      <c r="E83" s="10">
        <f t="shared" ca="1" si="167"/>
        <v>1064.5204692000875</v>
      </c>
      <c r="F83" s="10">
        <f t="shared" ca="1" si="167"/>
        <v>907.52849462002621</v>
      </c>
      <c r="G83" s="10">
        <f t="shared" ca="1" si="167"/>
        <v>1042.1873039410514</v>
      </c>
      <c r="H83" s="10">
        <f t="shared" ca="1" si="167"/>
        <v>679.67601803597404</v>
      </c>
      <c r="I83" s="10">
        <f t="shared" ca="1" si="167"/>
        <v>1109.7963311132467</v>
      </c>
      <c r="K83" s="35">
        <f t="shared" ca="1" si="147"/>
        <v>343.95354612195683</v>
      </c>
      <c r="L83" s="35">
        <f t="shared" ca="1" si="148"/>
        <v>500.94552070201814</v>
      </c>
      <c r="M83" s="35">
        <f t="shared" ca="1" si="149"/>
        <v>366.28671138099298</v>
      </c>
      <c r="N83" s="35">
        <f t="shared" ca="1" si="150"/>
        <v>728.79799728607031</v>
      </c>
      <c r="O83" s="35">
        <f t="shared" ca="1" si="151"/>
        <v>298.6776842087977</v>
      </c>
      <c r="Q83" s="37">
        <f t="shared" ca="1" si="152"/>
        <v>0.32310655931342858</v>
      </c>
      <c r="R83" s="37">
        <f t="shared" ca="1" si="153"/>
        <v>0.55198875150665039</v>
      </c>
      <c r="S83" s="37">
        <f t="shared" ca="1" si="154"/>
        <v>0.35145957928663374</v>
      </c>
      <c r="T83" s="37">
        <f t="shared" ca="1" si="155"/>
        <v>1.0722726386492814</v>
      </c>
      <c r="U83" s="37">
        <f t="shared" ca="1" si="156"/>
        <v>0.26912837593289884</v>
      </c>
      <c r="W83" s="10">
        <f t="shared" ref="W83:AB83" ca="1" si="168">SUM(W63:W82)</f>
        <v>3539.1766775636443</v>
      </c>
      <c r="X83" s="10">
        <f t="shared" ca="1" si="168"/>
        <v>3188.0695878152883</v>
      </c>
      <c r="Y83" s="10">
        <f t="shared" ca="1" si="168"/>
        <v>2130.7026622416001</v>
      </c>
      <c r="Z83" s="10">
        <f t="shared" ca="1" si="168"/>
        <v>2981.8975791679277</v>
      </c>
      <c r="AA83" s="10">
        <f t="shared" ca="1" si="168"/>
        <v>1934.8018842568474</v>
      </c>
      <c r="AB83" s="10">
        <f t="shared" ca="1" si="168"/>
        <v>3321.2052911611891</v>
      </c>
      <c r="AD83" s="35">
        <f t="shared" ca="1" si="157"/>
        <v>351.10708974835597</v>
      </c>
      <c r="AE83" s="35">
        <f t="shared" ca="1" si="158"/>
        <v>1408.4740153220441</v>
      </c>
      <c r="AF83" s="35">
        <f t="shared" ca="1" si="159"/>
        <v>557.27909839571657</v>
      </c>
      <c r="AG83" s="35">
        <f t="shared" ca="1" si="160"/>
        <v>1604.3747933067968</v>
      </c>
      <c r="AH83" s="35">
        <f t="shared" ca="1" si="161"/>
        <v>217.97138640245521</v>
      </c>
      <c r="AJ83" s="37">
        <f t="shared" ca="1" si="162"/>
        <v>0.11013156396907942</v>
      </c>
      <c r="AK83" s="37">
        <f t="shared" ca="1" si="163"/>
        <v>0.66103733772044126</v>
      </c>
      <c r="AL83" s="37">
        <f t="shared" ca="1" si="164"/>
        <v>0.18688740427872785</v>
      </c>
      <c r="AM83" s="37">
        <f t="shared" ca="1" si="165"/>
        <v>0.82921916003975427</v>
      </c>
      <c r="AN83" s="37">
        <f t="shared" ca="1" si="166"/>
        <v>6.5630205691454391E-2</v>
      </c>
    </row>
    <row r="86" spans="1:40" hidden="1" outlineLevel="1" x14ac:dyDescent="0.25">
      <c r="A86" s="11" t="s">
        <v>76</v>
      </c>
      <c r="C86" s="2" t="s">
        <v>79</v>
      </c>
      <c r="D86" s="8" cm="1">
        <f t="array" aca="1" ref="D86" ca="1">_xlfn.XLOOKUP(1,
 (INDIRECT("'"&amp;$C$6&amp;"'!$6:$6")=D$6)*
 (INDIRECT("'"&amp;$C$6&amp;"'!$5:$5")=D$5),
 INDIRECT("'"&amp;$C$6&amp;"'!"&amp;ROW()&amp;":"&amp;ROW())
)</f>
        <v>-4774.8364029929999</v>
      </c>
      <c r="E86" s="8" cm="1">
        <f t="array" aca="1" ref="E86" ca="1">_xlfn.XLOOKUP(1,
 (INDIRECT("'"&amp;$C$6&amp;"'!$6:$6")=E$6)*
 (INDIRECT("'"&amp;$C$6&amp;"'!$5:$5")=E$5),
 INDIRECT("'"&amp;$C$6&amp;"'!"&amp;ROW()&amp;":"&amp;ROW())
)</f>
        <v>-4781.4027457804004</v>
      </c>
      <c r="F86" s="8" cm="1">
        <f t="array" aca="1" ref="F86" ca="1">_xlfn.XLOOKUP(1,
 (INDIRECT("'"&amp;$C$6&amp;"'!$6:$6")=F$6)*
 (INDIRECT("'"&amp;$C$6&amp;"'!$5:$5")=F$5),
 INDIRECT("'"&amp;$C$6&amp;"'!"&amp;ROW()&amp;":"&amp;ROW())
)</f>
        <v>-4301.1419468289996</v>
      </c>
      <c r="G86" s="8" cm="1">
        <f t="array" aca="1" ref="G86" ca="1">_xlfn.XLOOKUP(1,
 (INDIRECT("'"&amp;$C$6&amp;"'!$6:$6")=G$6)*
 (INDIRECT("'"&amp;$C$6&amp;"'!$5:$5")=G$5),
 INDIRECT("'"&amp;$C$6&amp;"'!"&amp;ROW()&amp;":"&amp;ROW())
)</f>
        <v>-4514.4541907785997</v>
      </c>
      <c r="H86" s="8" cm="1">
        <f t="array" aca="1" ref="H86" ca="1">_xlfn.XLOOKUP(1,
 (INDIRECT("'"&amp;$C$6&amp;"'!$6:$6")=H$6)*
 (INDIRECT("'"&amp;$C$6&amp;"'!$5:$5")=H$5),
 INDIRECT("'"&amp;$C$6&amp;"'!"&amp;ROW()&amp;":"&amp;ROW())
)</f>
        <v>-3717.2689307093005</v>
      </c>
      <c r="I86" s="8" cm="1">
        <f t="array" aca="1" ref="I86" ca="1">_xlfn.XLOOKUP(1,
 (INDIRECT("'"&amp;$C$6&amp;"'!$6:$6")=I$6)*
 (INDIRECT("'"&amp;$C$6&amp;"'!$5:$5")=I$5),
 INDIRECT("'"&amp;$C$6&amp;"'!"&amp;ROW()&amp;":"&amp;ROW())
)</f>
        <v>-3786.9534091284004</v>
      </c>
      <c r="K86" s="34">
        <f t="shared" ref="K86:K89" ca="1" si="169">$D86-E86</f>
        <v>6.566342787400572</v>
      </c>
      <c r="L86" s="34">
        <f t="shared" ref="L86:L89" ca="1" si="170">$D86-F86</f>
        <v>-473.69445616400026</v>
      </c>
      <c r="M86" s="34">
        <f t="shared" ref="M86:M89" ca="1" si="171">$D86-G86</f>
        <v>-260.38221221440017</v>
      </c>
      <c r="N86" s="34">
        <f t="shared" ref="N86:N89" ca="1" si="172">$D86-H86</f>
        <v>-1057.5674722836993</v>
      </c>
      <c r="O86" s="34">
        <f t="shared" ref="O86:O89" ca="1" si="173">$D86-I86</f>
        <v>-987.88299386459948</v>
      </c>
      <c r="Q86" s="36">
        <f t="shared" ref="Q86:Q89" ca="1" si="174">IFERROR($D86/E86-1,0)</f>
        <v>-1.3733088669837246E-3</v>
      </c>
      <c r="R86" s="36">
        <f t="shared" ref="R86:R89" ca="1" si="175">IFERROR($D86/F86-1,0)</f>
        <v>0.11013225371769697</v>
      </c>
      <c r="S86" s="36">
        <f t="shared" ref="S86:S89" ca="1" si="176">IFERROR($D86/G86-1,0)</f>
        <v>5.7677451406255686E-2</v>
      </c>
      <c r="T86" s="36">
        <f t="shared" ref="T86:T89" ca="1" si="177">IFERROR($D86/H86-1,0)</f>
        <v>0.28450120020826764</v>
      </c>
      <c r="U86" s="36">
        <f t="shared" ref="U86:U89" ca="1" si="178">IFERROR($D86/I86-1,0)</f>
        <v>0.26086483965800067</v>
      </c>
      <c r="W86" s="8" cm="1">
        <f t="array" aca="1" ref="W86" ca="1">INDIRECT("'"&amp;$C$6&amp;"'!"&amp;ADDRESS(ROW(),COLUMN()+44))</f>
        <v>-13513.000166881</v>
      </c>
      <c r="X86" s="8" cm="1">
        <f t="array" aca="1" ref="X86" ca="1">INDIRECT("'"&amp;$C$6&amp;"'!"&amp;ADDRESS(ROW(),COLUMN()+44))</f>
        <v>-14229.5229279676</v>
      </c>
      <c r="Y86" s="8" cm="1">
        <f t="array" aca="1" ref="Y86" ca="1">INDIRECT("'"&amp;$C$6&amp;"'!"&amp;ADDRESS(ROW(),COLUMN()+44))</f>
        <v>-8738.1637638880002</v>
      </c>
      <c r="Z86" s="8" cm="1">
        <f t="array" aca="1" ref="Z86" ca="1">INDIRECT("'"&amp;$C$6&amp;"'!"&amp;ADDRESS(ROW(),COLUMN()+44))</f>
        <v>-13221.309273442701</v>
      </c>
      <c r="AA86" s="8" cm="1">
        <f t="array" aca="1" ref="AA86" ca="1">INDIRECT("'"&amp;$C$6&amp;"'!"&amp;ADDRESS(ROW(),COLUMN()+44))</f>
        <v>-10681.847090977801</v>
      </c>
      <c r="AB86" s="8" cm="1">
        <f t="array" aca="1" ref="AB86" ca="1">INDIRECT("'"&amp;$C$6&amp;"'!"&amp;ADDRESS(ROW(),COLUMN()+44))</f>
        <v>-10651.254367220401</v>
      </c>
      <c r="AD86" s="34">
        <f t="shared" ref="AD86:AH89" ca="1" si="179">$W86-X86</f>
        <v>716.52276108660044</v>
      </c>
      <c r="AE86" s="34">
        <f t="shared" ca="1" si="179"/>
        <v>-4774.8364029929999</v>
      </c>
      <c r="AF86" s="34">
        <f t="shared" ca="1" si="179"/>
        <v>-291.6908934382991</v>
      </c>
      <c r="AG86" s="34">
        <f t="shared" ca="1" si="179"/>
        <v>-2831.1530759031994</v>
      </c>
      <c r="AH86" s="34">
        <f t="shared" ca="1" si="179"/>
        <v>-2861.745799660599</v>
      </c>
      <c r="AJ86" s="36">
        <f t="shared" ref="AJ86:AN89" ca="1" si="180">IFERROR($W86/X86-1,0)</f>
        <v>-5.0354658038345157E-2</v>
      </c>
      <c r="AK86" s="36">
        <f t="shared" ca="1" si="180"/>
        <v>0.5464347581497444</v>
      </c>
      <c r="AL86" s="36">
        <f t="shared" ca="1" si="180"/>
        <v>2.2062179123531367E-2</v>
      </c>
      <c r="AM86" s="36">
        <f t="shared" ca="1" si="180"/>
        <v>0.26504340043347696</v>
      </c>
      <c r="AN86" s="36">
        <f t="shared" ca="1" si="180"/>
        <v>0.26867688076887153</v>
      </c>
    </row>
    <row r="87" spans="1:40" hidden="1" outlineLevel="1" x14ac:dyDescent="0.25">
      <c r="A87" s="11" t="s">
        <v>76</v>
      </c>
      <c r="C87" s="2" t="s">
        <v>78</v>
      </c>
      <c r="D87" s="8" cm="1">
        <f t="array" aca="1" ref="D87" ca="1">_xlfn.XLOOKUP(1,
 (INDIRECT("'"&amp;$C$6&amp;"'!$6:$6")=D$6)*
 (INDIRECT("'"&amp;$C$6&amp;"'!$5:$5")=D$5),
 INDIRECT("'"&amp;$C$6&amp;"'!"&amp;ROW()&amp;":"&amp;ROW())
)</f>
        <v>-730.18464580509999</v>
      </c>
      <c r="E87" s="8" cm="1">
        <f t="array" aca="1" ref="E87" ca="1">_xlfn.XLOOKUP(1,
 (INDIRECT("'"&amp;$C$6&amp;"'!$6:$6")=E$6)*
 (INDIRECT("'"&amp;$C$6&amp;"'!$5:$5")=E$5),
 INDIRECT("'"&amp;$C$6&amp;"'!"&amp;ROW()&amp;":"&amp;ROW())
)</f>
        <v>-766.83167759090009</v>
      </c>
      <c r="F87" s="8" cm="1">
        <f t="array" aca="1" ref="F87" ca="1">_xlfn.XLOOKUP(1,
 (INDIRECT("'"&amp;$C$6&amp;"'!$6:$6")=F$6)*
 (INDIRECT("'"&amp;$C$6&amp;"'!$5:$5")=F$5),
 INDIRECT("'"&amp;$C$6&amp;"'!"&amp;ROW()&amp;":"&amp;ROW())
)</f>
        <v>-728.86034058090002</v>
      </c>
      <c r="G87" s="8" cm="1">
        <f t="array" aca="1" ref="G87" ca="1">_xlfn.XLOOKUP(1,
 (INDIRECT("'"&amp;$C$6&amp;"'!$6:$6")=G$6)*
 (INDIRECT("'"&amp;$C$6&amp;"'!$5:$5")=G$5),
 INDIRECT("'"&amp;$C$6&amp;"'!"&amp;ROW()&amp;":"&amp;ROW())
)</f>
        <v>-647.23175631150002</v>
      </c>
      <c r="H87" s="8" cm="1">
        <f t="array" aca="1" ref="H87" ca="1">_xlfn.XLOOKUP(1,
 (INDIRECT("'"&amp;$C$6&amp;"'!$6:$6")=H$6)*
 (INDIRECT("'"&amp;$C$6&amp;"'!$5:$5")=H$5),
 INDIRECT("'"&amp;$C$6&amp;"'!"&amp;ROW()&amp;":"&amp;ROW())
)</f>
        <v>-632.85735127930002</v>
      </c>
      <c r="I87" s="8" cm="1">
        <f t="array" aca="1" ref="I87" ca="1">_xlfn.XLOOKUP(1,
 (INDIRECT("'"&amp;$C$6&amp;"'!$6:$6")=I$6)*
 (INDIRECT("'"&amp;$C$6&amp;"'!$5:$5")=I$5),
 INDIRECT("'"&amp;$C$6&amp;"'!"&amp;ROW()&amp;":"&amp;ROW())
)</f>
        <v>-604.01875629810013</v>
      </c>
      <c r="K87" s="34">
        <f t="shared" ca="1" si="169"/>
        <v>36.647031785800095</v>
      </c>
      <c r="L87" s="34">
        <f t="shared" ca="1" si="170"/>
        <v>-1.3243052241999749</v>
      </c>
      <c r="M87" s="34">
        <f t="shared" ca="1" si="171"/>
        <v>-82.952889493599969</v>
      </c>
      <c r="N87" s="34">
        <f t="shared" ca="1" si="172"/>
        <v>-97.327294525799971</v>
      </c>
      <c r="O87" s="34">
        <f t="shared" ca="1" si="173"/>
        <v>-126.16588950699986</v>
      </c>
      <c r="Q87" s="36">
        <f t="shared" ca="1" si="174"/>
        <v>-4.7790190281303269E-2</v>
      </c>
      <c r="R87" s="36">
        <f t="shared" ca="1" si="175"/>
        <v>1.8169533317513586E-3</v>
      </c>
      <c r="S87" s="36">
        <f t="shared" ca="1" si="176"/>
        <v>0.12816566660192796</v>
      </c>
      <c r="T87" s="36">
        <f t="shared" ca="1" si="177"/>
        <v>0.15379025672855984</v>
      </c>
      <c r="U87" s="36">
        <f t="shared" ca="1" si="178"/>
        <v>0.20887743665485359</v>
      </c>
      <c r="W87" s="8" cm="1">
        <f t="array" aca="1" ref="W87" ca="1">INDIRECT("'"&amp;$C$6&amp;"'!"&amp;ADDRESS(ROW(),COLUMN()+44))</f>
        <v>-2083.8899076723001</v>
      </c>
      <c r="X87" s="8" cm="1">
        <f t="array" aca="1" ref="X87" ca="1">INDIRECT("'"&amp;$C$6&amp;"'!"&amp;ADDRESS(ROW(),COLUMN()+44))</f>
        <v>-2290.9508751621001</v>
      </c>
      <c r="Y87" s="8" cm="1">
        <f t="array" aca="1" ref="Y87" ca="1">INDIRECT("'"&amp;$C$6&amp;"'!"&amp;ADDRESS(ROW(),COLUMN()+44))</f>
        <v>-1353.7052618672001</v>
      </c>
      <c r="Z87" s="8" cm="1">
        <f t="array" aca="1" ref="Z87" ca="1">INDIRECT("'"&amp;$C$6&amp;"'!"&amp;ADDRESS(ROW(),COLUMN()+44))</f>
        <v>-1939.4394780423997</v>
      </c>
      <c r="AA87" s="8" cm="1">
        <f t="array" aca="1" ref="AA87" ca="1">INDIRECT("'"&amp;$C$6&amp;"'!"&amp;ADDRESS(ROW(),COLUMN()+44))</f>
        <v>-1818.9476008226002</v>
      </c>
      <c r="AB87" s="8" cm="1">
        <f t="array" aca="1" ref="AB87" ca="1">INDIRECT("'"&amp;$C$6&amp;"'!"&amp;ADDRESS(ROW(),COLUMN()+44))</f>
        <v>-1685.0290447682</v>
      </c>
      <c r="AD87" s="34">
        <f t="shared" ca="1" si="179"/>
        <v>207.06096748980008</v>
      </c>
      <c r="AE87" s="34">
        <f t="shared" ca="1" si="179"/>
        <v>-730.18464580509999</v>
      </c>
      <c r="AF87" s="34">
        <f t="shared" ca="1" si="179"/>
        <v>-144.45042962990033</v>
      </c>
      <c r="AG87" s="34">
        <f t="shared" ca="1" si="179"/>
        <v>-264.94230684969989</v>
      </c>
      <c r="AH87" s="34">
        <f t="shared" ca="1" si="179"/>
        <v>-398.86086290410003</v>
      </c>
      <c r="AJ87" s="36">
        <f t="shared" ca="1" si="180"/>
        <v>-9.0382107156771418E-2</v>
      </c>
      <c r="AK87" s="36">
        <f t="shared" ca="1" si="180"/>
        <v>0.53939706550149458</v>
      </c>
      <c r="AL87" s="36">
        <f t="shared" ca="1" si="180"/>
        <v>7.4480503911214191E-2</v>
      </c>
      <c r="AM87" s="36">
        <f t="shared" ca="1" si="180"/>
        <v>0.14565692091948246</v>
      </c>
      <c r="AN87" s="36">
        <f t="shared" ca="1" si="180"/>
        <v>0.2367085980758088</v>
      </c>
    </row>
    <row r="88" spans="1:40" hidden="1" outlineLevel="1" x14ac:dyDescent="0.25">
      <c r="A88" s="11" t="s">
        <v>76</v>
      </c>
      <c r="C88" s="2" t="s">
        <v>80</v>
      </c>
      <c r="D88" s="8" cm="1">
        <f t="array" aca="1" ref="D88" ca="1">_xlfn.XLOOKUP(1,
 (INDIRECT("'"&amp;$C$6&amp;"'!$6:$6")=D$6)*
 (INDIRECT("'"&amp;$C$6&amp;"'!$5:$5")=D$5),
 INDIRECT("'"&amp;$C$6&amp;"'!"&amp;ROW()&amp;":"&amp;ROW())
)</f>
        <v>-2492.0776162594002</v>
      </c>
      <c r="E88" s="8" cm="1">
        <f t="array" aca="1" ref="E88" ca="1">_xlfn.XLOOKUP(1,
 (INDIRECT("'"&amp;$C$6&amp;"'!$6:$6")=E$6)*
 (INDIRECT("'"&amp;$C$6&amp;"'!$5:$5")=E$5),
 INDIRECT("'"&amp;$C$6&amp;"'!"&amp;ROW()&amp;":"&amp;ROW())
)</f>
        <v>-2772.3460469721003</v>
      </c>
      <c r="F88" s="8" cm="1">
        <f t="array" aca="1" ref="F88" ca="1">_xlfn.XLOOKUP(1,
 (INDIRECT("'"&amp;$C$6&amp;"'!$6:$6")=F$6)*
 (INDIRECT("'"&amp;$C$6&amp;"'!$5:$5")=F$5),
 INDIRECT("'"&amp;$C$6&amp;"'!"&amp;ROW()&amp;":"&amp;ROW())
)</f>
        <v>-2714.7321724539006</v>
      </c>
      <c r="G88" s="8" cm="1">
        <f t="array" aca="1" ref="G88" ca="1">_xlfn.XLOOKUP(1,
 (INDIRECT("'"&amp;$C$6&amp;"'!$6:$6")=G$6)*
 (INDIRECT("'"&amp;$C$6&amp;"'!$5:$5")=G$5),
 INDIRECT("'"&amp;$C$6&amp;"'!"&amp;ROW()&amp;":"&amp;ROW())
)</f>
        <v>-2358.5741884184999</v>
      </c>
      <c r="H88" s="8" cm="1">
        <f t="array" aca="1" ref="H88" ca="1">_xlfn.XLOOKUP(1,
 (INDIRECT("'"&amp;$C$6&amp;"'!$6:$6")=H$6)*
 (INDIRECT("'"&amp;$C$6&amp;"'!$5:$5")=H$5),
 INDIRECT("'"&amp;$C$6&amp;"'!"&amp;ROW()&amp;":"&amp;ROW())
)</f>
        <v>-1919.7327987043998</v>
      </c>
      <c r="I88" s="8" cm="1">
        <f t="array" aca="1" ref="I88" ca="1">_xlfn.XLOOKUP(1,
 (INDIRECT("'"&amp;$C$6&amp;"'!$6:$6")=I$6)*
 (INDIRECT("'"&amp;$C$6&amp;"'!$5:$5")=I$5),
 INDIRECT("'"&amp;$C$6&amp;"'!"&amp;ROW()&amp;":"&amp;ROW())
)</f>
        <v>-2023.5050097221997</v>
      </c>
      <c r="K88" s="34">
        <f t="shared" ca="1" si="169"/>
        <v>280.26843071270014</v>
      </c>
      <c r="L88" s="34">
        <f t="shared" ca="1" si="170"/>
        <v>222.6545561945004</v>
      </c>
      <c r="M88" s="34">
        <f t="shared" ca="1" si="171"/>
        <v>-133.50342784090026</v>
      </c>
      <c r="N88" s="34">
        <f t="shared" ca="1" si="172"/>
        <v>-572.34481755500042</v>
      </c>
      <c r="O88" s="34">
        <f t="shared" ca="1" si="173"/>
        <v>-468.5726065372005</v>
      </c>
      <c r="Q88" s="36">
        <f t="shared" ca="1" si="174"/>
        <v>-0.10109431721873374</v>
      </c>
      <c r="R88" s="36">
        <f t="shared" ca="1" si="175"/>
        <v>-8.2017135411644904E-2</v>
      </c>
      <c r="S88" s="36">
        <f t="shared" ca="1" si="176"/>
        <v>5.6603446479001285E-2</v>
      </c>
      <c r="T88" s="36">
        <f t="shared" ca="1" si="177"/>
        <v>0.2981377501813105</v>
      </c>
      <c r="U88" s="36">
        <f t="shared" ca="1" si="178"/>
        <v>0.23156483640311287</v>
      </c>
      <c r="W88" s="8" cm="1">
        <f t="array" aca="1" ref="W88" ca="1">INDIRECT("'"&amp;$C$6&amp;"'!"&amp;ADDRESS(ROW(),COLUMN()+44))</f>
        <v>-8058.6295398258007</v>
      </c>
      <c r="X88" s="8" cm="1">
        <f t="array" aca="1" ref="X88" ca="1">INDIRECT("'"&amp;$C$6&amp;"'!"&amp;ADDRESS(ROW(),COLUMN()+44))</f>
        <v>-8093.3679760061996</v>
      </c>
      <c r="Y88" s="8" cm="1">
        <f t="array" aca="1" ref="Y88" ca="1">INDIRECT("'"&amp;$C$6&amp;"'!"&amp;ADDRESS(ROW(),COLUMN()+44))</f>
        <v>-5566.5519235664005</v>
      </c>
      <c r="Z88" s="8" cm="1">
        <f t="array" aca="1" ref="Z88" ca="1">INDIRECT("'"&amp;$C$6&amp;"'!"&amp;ADDRESS(ROW(),COLUMN()+44))</f>
        <v>-7400.2937900406996</v>
      </c>
      <c r="AA88" s="8" cm="1">
        <f t="array" aca="1" ref="AA88" ca="1">INDIRECT("'"&amp;$C$6&amp;"'!"&amp;ADDRESS(ROW(),COLUMN()+44))</f>
        <v>-5907.3542281345999</v>
      </c>
      <c r="AB88" s="8" cm="1">
        <f t="array" aca="1" ref="AB88" ca="1">INDIRECT("'"&amp;$C$6&amp;"'!"&amp;ADDRESS(ROW(),COLUMN()+44))</f>
        <v>-5917.1271220387989</v>
      </c>
      <c r="AD88" s="34">
        <f t="shared" ca="1" si="179"/>
        <v>34.738436180398821</v>
      </c>
      <c r="AE88" s="34">
        <f t="shared" ca="1" si="179"/>
        <v>-2492.0776162594002</v>
      </c>
      <c r="AF88" s="34">
        <f t="shared" ca="1" si="179"/>
        <v>-658.33574978510114</v>
      </c>
      <c r="AG88" s="34">
        <f t="shared" ca="1" si="179"/>
        <v>-2151.2753116912008</v>
      </c>
      <c r="AH88" s="34">
        <f t="shared" ca="1" si="179"/>
        <v>-2141.5024177870018</v>
      </c>
      <c r="AJ88" s="36">
        <f t="shared" ca="1" si="180"/>
        <v>-4.2922101507537613E-3</v>
      </c>
      <c r="AK88" s="36">
        <f t="shared" ca="1" si="180"/>
        <v>0.44768784167969566</v>
      </c>
      <c r="AL88" s="36">
        <f t="shared" ca="1" si="180"/>
        <v>8.8960758648675364E-2</v>
      </c>
      <c r="AM88" s="36">
        <f t="shared" ca="1" si="180"/>
        <v>0.36416900504213068</v>
      </c>
      <c r="AN88" s="36">
        <f t="shared" ca="1" si="180"/>
        <v>0.36191590507001448</v>
      </c>
    </row>
    <row r="89" spans="1:40" collapsed="1" x14ac:dyDescent="0.25">
      <c r="C89" s="3" t="s">
        <v>76</v>
      </c>
      <c r="D89" s="10">
        <f ca="1">SUM(D86:D88)</f>
        <v>-7997.0986650575005</v>
      </c>
      <c r="E89" s="10">
        <f t="shared" ref="E89:I89" ca="1" si="181">SUM(E86:E88)</f>
        <v>-8320.5804703434005</v>
      </c>
      <c r="F89" s="10">
        <f t="shared" ca="1" si="181"/>
        <v>-7744.7344598638001</v>
      </c>
      <c r="G89" s="10">
        <f t="shared" ca="1" si="181"/>
        <v>-7520.2601355085999</v>
      </c>
      <c r="H89" s="10">
        <f t="shared" ca="1" si="181"/>
        <v>-6269.8590806930006</v>
      </c>
      <c r="I89" s="10">
        <f t="shared" ca="1" si="181"/>
        <v>-6414.4771751487006</v>
      </c>
      <c r="K89" s="35">
        <f t="shared" ca="1" si="169"/>
        <v>323.48180528590001</v>
      </c>
      <c r="L89" s="35">
        <f t="shared" ca="1" si="170"/>
        <v>-252.3642051937004</v>
      </c>
      <c r="M89" s="35">
        <f t="shared" ca="1" si="171"/>
        <v>-476.83852954890062</v>
      </c>
      <c r="N89" s="35">
        <f t="shared" ca="1" si="172"/>
        <v>-1727.2395843644999</v>
      </c>
      <c r="O89" s="35">
        <f t="shared" ca="1" si="173"/>
        <v>-1582.6214899088</v>
      </c>
      <c r="Q89" s="37">
        <f t="shared" ca="1" si="174"/>
        <v>-3.887731227873692E-2</v>
      </c>
      <c r="R89" s="37">
        <f t="shared" ca="1" si="175"/>
        <v>3.2585262477564436E-2</v>
      </c>
      <c r="S89" s="37">
        <f t="shared" ca="1" si="176"/>
        <v>6.34071855170808E-2</v>
      </c>
      <c r="T89" s="37">
        <f t="shared" ca="1" si="177"/>
        <v>0.27548299924048525</v>
      </c>
      <c r="U89" s="37">
        <f t="shared" ca="1" si="178"/>
        <v>0.24672649799741664</v>
      </c>
      <c r="W89" s="10">
        <f ca="1">SUM(W86:W88)</f>
        <v>-23655.5196143791</v>
      </c>
      <c r="X89" s="10">
        <f t="shared" ref="X89:AB89" ca="1" si="182">SUM(X86:X88)</f>
        <v>-24613.841779135902</v>
      </c>
      <c r="Y89" s="10">
        <f t="shared" ca="1" si="182"/>
        <v>-15658.4209493216</v>
      </c>
      <c r="Z89" s="10">
        <f t="shared" ca="1" si="182"/>
        <v>-22561.0425415258</v>
      </c>
      <c r="AA89" s="10">
        <f t="shared" ca="1" si="182"/>
        <v>-18408.148919935004</v>
      </c>
      <c r="AB89" s="10">
        <f t="shared" ca="1" si="182"/>
        <v>-18253.4105340274</v>
      </c>
      <c r="AD89" s="35">
        <f t="shared" ca="1" si="179"/>
        <v>958.32216475680252</v>
      </c>
      <c r="AE89" s="35">
        <f t="shared" ca="1" si="179"/>
        <v>-7997.0986650574996</v>
      </c>
      <c r="AF89" s="35">
        <f t="shared" ca="1" si="179"/>
        <v>-1094.4770728533003</v>
      </c>
      <c r="AG89" s="35">
        <f t="shared" ca="1" si="179"/>
        <v>-5247.3706944440964</v>
      </c>
      <c r="AH89" s="35">
        <f t="shared" ca="1" si="179"/>
        <v>-5402.1090803517</v>
      </c>
      <c r="AJ89" s="37">
        <f t="shared" ca="1" si="180"/>
        <v>-3.89342782551374E-2</v>
      </c>
      <c r="AK89" s="37">
        <f t="shared" ca="1" si="180"/>
        <v>0.51072191065370309</v>
      </c>
      <c r="AL89" s="37">
        <f t="shared" ca="1" si="180"/>
        <v>4.8511812822426448E-2</v>
      </c>
      <c r="AM89" s="37">
        <f t="shared" ca="1" si="180"/>
        <v>0.28505694501208034</v>
      </c>
      <c r="AN89" s="37">
        <f t="shared" ca="1" si="180"/>
        <v>0.29595067016551613</v>
      </c>
    </row>
    <row r="91" spans="1:40" hidden="1" outlineLevel="1" x14ac:dyDescent="0.25">
      <c r="A91" s="11" t="s">
        <v>81</v>
      </c>
      <c r="C91" s="2" t="s">
        <v>85</v>
      </c>
      <c r="D91" s="8" cm="1">
        <f t="array" aca="1" ref="D91" ca="1">_xlfn.XLOOKUP(1,
 (INDIRECT("'"&amp;$C$6&amp;"'!$6:$6")=D$6)*
 (INDIRECT("'"&amp;$C$6&amp;"'!$5:$5")=D$5),
 INDIRECT("'"&amp;$C$6&amp;"'!"&amp;ROW()&amp;":"&amp;ROW())
)</f>
        <v>0</v>
      </c>
      <c r="E91" s="8" cm="1">
        <f t="array" aca="1" ref="E91" ca="1">_xlfn.XLOOKUP(1,
 (INDIRECT("'"&amp;$C$6&amp;"'!$6:$6")=E$6)*
 (INDIRECT("'"&amp;$C$6&amp;"'!$5:$5")=E$5),
 INDIRECT("'"&amp;$C$6&amp;"'!"&amp;ROW()&amp;":"&amp;ROW())
)</f>
        <v>0</v>
      </c>
      <c r="F91" s="8" cm="1">
        <f t="array" aca="1" ref="F91" ca="1">_xlfn.XLOOKUP(1,
 (INDIRECT("'"&amp;$C$6&amp;"'!$6:$6")=F$6)*
 (INDIRECT("'"&amp;$C$6&amp;"'!$5:$5")=F$5),
 INDIRECT("'"&amp;$C$6&amp;"'!"&amp;ROW()&amp;":"&amp;ROW())
)</f>
        <v>0</v>
      </c>
      <c r="G91" s="8" cm="1">
        <f t="array" aca="1" ref="G91" ca="1">_xlfn.XLOOKUP(1,
 (INDIRECT("'"&amp;$C$6&amp;"'!$6:$6")=G$6)*
 (INDIRECT("'"&amp;$C$6&amp;"'!$5:$5")=G$5),
 INDIRECT("'"&amp;$C$6&amp;"'!"&amp;ROW()&amp;":"&amp;ROW())
)</f>
        <v>0</v>
      </c>
      <c r="H91" s="8" cm="1">
        <f t="array" aca="1" ref="H91" ca="1">_xlfn.XLOOKUP(1,
 (INDIRECT("'"&amp;$C$6&amp;"'!$6:$6")=H$6)*
 (INDIRECT("'"&amp;$C$6&amp;"'!$5:$5")=H$5),
 INDIRECT("'"&amp;$C$6&amp;"'!"&amp;ROW()&amp;":"&amp;ROW())
)</f>
        <v>0</v>
      </c>
      <c r="I91" s="8" cm="1">
        <f t="array" aca="1" ref="I91" ca="1">_xlfn.XLOOKUP(1,
 (INDIRECT("'"&amp;$C$6&amp;"'!$6:$6")=I$6)*
 (INDIRECT("'"&amp;$C$6&amp;"'!$5:$5")=I$5),
 INDIRECT("'"&amp;$C$6&amp;"'!"&amp;ROW()&amp;":"&amp;ROW())
)</f>
        <v>0</v>
      </c>
      <c r="K91" s="34">
        <f t="shared" ref="K91:K93" ca="1" si="183">$D91-E91</f>
        <v>0</v>
      </c>
      <c r="L91" s="34">
        <f t="shared" ref="L91:L93" ca="1" si="184">$D91-F91</f>
        <v>0</v>
      </c>
      <c r="M91" s="34">
        <f t="shared" ref="M91:M93" ca="1" si="185">$D91-G91</f>
        <v>0</v>
      </c>
      <c r="N91" s="34">
        <f t="shared" ref="N91:N93" ca="1" si="186">$D91-H91</f>
        <v>0</v>
      </c>
      <c r="O91" s="34">
        <f t="shared" ref="O91:O93" ca="1" si="187">$D91-I91</f>
        <v>0</v>
      </c>
      <c r="Q91" s="36">
        <f t="shared" ref="Q91:Q93" ca="1" si="188">IFERROR($D91/E91-1,0)</f>
        <v>0</v>
      </c>
      <c r="R91" s="36">
        <f t="shared" ref="R91:R93" ca="1" si="189">IFERROR($D91/F91-1,0)</f>
        <v>0</v>
      </c>
      <c r="S91" s="36">
        <f t="shared" ref="S91:S93" ca="1" si="190">IFERROR($D91/G91-1,0)</f>
        <v>0</v>
      </c>
      <c r="T91" s="36">
        <f t="shared" ref="T91:T93" ca="1" si="191">IFERROR($D91/H91-1,0)</f>
        <v>0</v>
      </c>
      <c r="U91" s="36">
        <f t="shared" ref="U91:U93" ca="1" si="192">IFERROR($D91/I91-1,0)</f>
        <v>0</v>
      </c>
      <c r="W91" s="8" cm="1">
        <f t="array" aca="1" ref="W91" ca="1">INDIRECT("'"&amp;$C$6&amp;"'!"&amp;ADDRESS(ROW(),COLUMN()+44))</f>
        <v>0</v>
      </c>
      <c r="X91" s="8" cm="1">
        <f t="array" aca="1" ref="X91" ca="1">INDIRECT("'"&amp;$C$6&amp;"'!"&amp;ADDRESS(ROW(),COLUMN()+44))</f>
        <v>0</v>
      </c>
      <c r="Y91" s="8" cm="1">
        <f t="array" aca="1" ref="Y91" ca="1">INDIRECT("'"&amp;$C$6&amp;"'!"&amp;ADDRESS(ROW(),COLUMN()+44))</f>
        <v>0</v>
      </c>
      <c r="Z91" s="8" cm="1">
        <f t="array" aca="1" ref="Z91" ca="1">INDIRECT("'"&amp;$C$6&amp;"'!"&amp;ADDRESS(ROW(),COLUMN()+44))</f>
        <v>0</v>
      </c>
      <c r="AA91" s="8" cm="1">
        <f t="array" aca="1" ref="AA91" ca="1">INDIRECT("'"&amp;$C$6&amp;"'!"&amp;ADDRESS(ROW(),COLUMN()+44))</f>
        <v>0</v>
      </c>
      <c r="AB91" s="8" cm="1">
        <f t="array" aca="1" ref="AB91" ca="1">INDIRECT("'"&amp;$C$6&amp;"'!"&amp;ADDRESS(ROW(),COLUMN()+44))</f>
        <v>0</v>
      </c>
      <c r="AD91" s="34">
        <f t="shared" ref="AD91:AH93" ca="1" si="193">$W91-X91</f>
        <v>0</v>
      </c>
      <c r="AE91" s="34">
        <f t="shared" ca="1" si="193"/>
        <v>0</v>
      </c>
      <c r="AF91" s="34">
        <f t="shared" ca="1" si="193"/>
        <v>0</v>
      </c>
      <c r="AG91" s="34">
        <f t="shared" ca="1" si="193"/>
        <v>0</v>
      </c>
      <c r="AH91" s="34">
        <f t="shared" ca="1" si="193"/>
        <v>0</v>
      </c>
      <c r="AJ91" s="36">
        <f t="shared" ref="AJ91:AN93" ca="1" si="194">IFERROR($W91/X91-1,0)</f>
        <v>0</v>
      </c>
      <c r="AK91" s="36">
        <f t="shared" ca="1" si="194"/>
        <v>0</v>
      </c>
      <c r="AL91" s="36">
        <f t="shared" ca="1" si="194"/>
        <v>0</v>
      </c>
      <c r="AM91" s="36">
        <f t="shared" ca="1" si="194"/>
        <v>0</v>
      </c>
      <c r="AN91" s="36">
        <f t="shared" ca="1" si="194"/>
        <v>0</v>
      </c>
    </row>
    <row r="92" spans="1:40" hidden="1" outlineLevel="1" x14ac:dyDescent="0.25">
      <c r="A92" s="11" t="s">
        <v>81</v>
      </c>
      <c r="C92" s="2" t="s">
        <v>48</v>
      </c>
      <c r="D92" s="8" cm="1">
        <f t="array" aca="1" ref="D92" ca="1">_xlfn.XLOOKUP(1,
 (INDIRECT("'"&amp;$C$6&amp;"'!$6:$6")=D$6)*
 (INDIRECT("'"&amp;$C$6&amp;"'!$5:$5")=D$5),
 INDIRECT("'"&amp;$C$6&amp;"'!"&amp;ROW()&amp;":"&amp;ROW())
)</f>
        <v>-148.84950000000003</v>
      </c>
      <c r="E92" s="8" cm="1">
        <f t="array" aca="1" ref="E92" ca="1">_xlfn.XLOOKUP(1,
 (INDIRECT("'"&amp;$C$6&amp;"'!$6:$6")=E$6)*
 (INDIRECT("'"&amp;$C$6&amp;"'!$5:$5")=E$5),
 INDIRECT("'"&amp;$C$6&amp;"'!"&amp;ROW()&amp;":"&amp;ROW())
)</f>
        <v>-35.039594985849909</v>
      </c>
      <c r="F92" s="8" cm="1">
        <f t="array" aca="1" ref="F92" ca="1">_xlfn.XLOOKUP(1,
 (INDIRECT("'"&amp;$C$6&amp;"'!$6:$6")=F$6)*
 (INDIRECT("'"&amp;$C$6&amp;"'!$5:$5")=F$5),
 INDIRECT("'"&amp;$C$6&amp;"'!"&amp;ROW()&amp;":"&amp;ROW())
)</f>
        <v>70.527749396186039</v>
      </c>
      <c r="G92" s="8" cm="1">
        <f t="array" aca="1" ref="G92" ca="1">_xlfn.XLOOKUP(1,
 (INDIRECT("'"&amp;$C$6&amp;"'!$6:$6")=G$6)*
 (INDIRECT("'"&amp;$C$6&amp;"'!$5:$5")=G$5),
 INDIRECT("'"&amp;$C$6&amp;"'!"&amp;ROW()&amp;":"&amp;ROW())
)</f>
        <v>-217.94625000000002</v>
      </c>
      <c r="H92" s="8" cm="1">
        <f t="array" aca="1" ref="H92" ca="1">_xlfn.XLOOKUP(1,
 (INDIRECT("'"&amp;$C$6&amp;"'!$6:$6")=H$6)*
 (INDIRECT("'"&amp;$C$6&amp;"'!$5:$5")=H$5),
 INDIRECT("'"&amp;$C$6&amp;"'!"&amp;ROW()&amp;":"&amp;ROW())
)</f>
        <v>156.21771000000001</v>
      </c>
      <c r="I92" s="8" cm="1">
        <f t="array" aca="1" ref="I92" ca="1">_xlfn.XLOOKUP(1,
 (INDIRECT("'"&amp;$C$6&amp;"'!$6:$6")=I$6)*
 (INDIRECT("'"&amp;$C$6&amp;"'!$5:$5")=I$5),
 INDIRECT("'"&amp;$C$6&amp;"'!"&amp;ROW()&amp;":"&amp;ROW())
)</f>
        <v>21.187039999999993</v>
      </c>
      <c r="K92" s="34">
        <f t="shared" ca="1" si="183"/>
        <v>-113.80990501415013</v>
      </c>
      <c r="L92" s="34">
        <f t="shared" ca="1" si="184"/>
        <v>-219.37724939618607</v>
      </c>
      <c r="M92" s="34">
        <f t="shared" ca="1" si="185"/>
        <v>69.096749999999986</v>
      </c>
      <c r="N92" s="34">
        <f t="shared" ca="1" si="186"/>
        <v>-305.06721000000005</v>
      </c>
      <c r="O92" s="34">
        <f t="shared" ca="1" si="187"/>
        <v>-170.03654000000003</v>
      </c>
      <c r="Q92" s="36">
        <f t="shared" ca="1" si="188"/>
        <v>3.248037115158156</v>
      </c>
      <c r="R92" s="36">
        <f t="shared" ca="1" si="189"/>
        <v>-3.1105097110620323</v>
      </c>
      <c r="S92" s="36">
        <f t="shared" ca="1" si="190"/>
        <v>-0.31703573702231613</v>
      </c>
      <c r="T92" s="36">
        <f t="shared" ca="1" si="191"/>
        <v>-1.9528337088029266</v>
      </c>
      <c r="U92" s="36">
        <f t="shared" ca="1" si="192"/>
        <v>-8.0254976627221204</v>
      </c>
      <c r="W92" s="8" cm="1">
        <f t="array" aca="1" ref="W92" ca="1">INDIRECT("'"&amp;$C$6&amp;"'!"&amp;ADDRESS(ROW(),COLUMN()+44))</f>
        <v>-102.846920603814</v>
      </c>
      <c r="X92" s="8" cm="1">
        <f t="array" aca="1" ref="X92" ca="1">INDIRECT("'"&amp;$C$6&amp;"'!"&amp;ADDRESS(ROW(),COLUMN()+44))</f>
        <v>-203.04531515007798</v>
      </c>
      <c r="Y92" s="8" cm="1">
        <f t="array" aca="1" ref="Y92" ca="1">INDIRECT("'"&amp;$C$6&amp;"'!"&amp;ADDRESS(ROW(),COLUMN()+44))</f>
        <v>46.002579396186036</v>
      </c>
      <c r="Z92" s="8" cm="1">
        <f t="array" aca="1" ref="Z92" ca="1">INDIRECT("'"&amp;$C$6&amp;"'!"&amp;ADDRESS(ROW(),COLUMN()+44))</f>
        <v>-314.18419001830767</v>
      </c>
      <c r="AA92" s="8" cm="1">
        <f t="array" aca="1" ref="AA92" ca="1">INDIRECT("'"&amp;$C$6&amp;"'!"&amp;ADDRESS(ROW(),COLUMN()+44))</f>
        <v>122.01107987965767</v>
      </c>
      <c r="AB92" s="8" cm="1">
        <f t="array" aca="1" ref="AB92" ca="1">INDIRECT("'"&amp;$C$6&amp;"'!"&amp;ADDRESS(ROW(),COLUMN()+44))</f>
        <v>64.168499999999995</v>
      </c>
      <c r="AD92" s="34">
        <f t="shared" ca="1" si="193"/>
        <v>100.19839454626398</v>
      </c>
      <c r="AE92" s="34">
        <f t="shared" ca="1" si="193"/>
        <v>-148.84950000000003</v>
      </c>
      <c r="AF92" s="34">
        <f t="shared" ca="1" si="193"/>
        <v>211.33726941449368</v>
      </c>
      <c r="AG92" s="34">
        <f t="shared" ca="1" si="193"/>
        <v>-224.85800048347167</v>
      </c>
      <c r="AH92" s="34">
        <f t="shared" ca="1" si="193"/>
        <v>-167.01542060381399</v>
      </c>
      <c r="AJ92" s="36">
        <f t="shared" ca="1" si="194"/>
        <v>-0.49347799269440817</v>
      </c>
      <c r="AK92" s="36">
        <f t="shared" ca="1" si="194"/>
        <v>-3.2356772588352034</v>
      </c>
      <c r="AL92" s="36">
        <f t="shared" ca="1" si="194"/>
        <v>-0.67265405494203556</v>
      </c>
      <c r="AM92" s="36">
        <f t="shared" ca="1" si="194"/>
        <v>-1.8429309920480523</v>
      </c>
      <c r="AN92" s="36">
        <f t="shared" ca="1" si="194"/>
        <v>-2.6027633590284021</v>
      </c>
    </row>
    <row r="93" spans="1:40" collapsed="1" x14ac:dyDescent="0.25">
      <c r="C93" s="3" t="s">
        <v>81</v>
      </c>
      <c r="D93" s="10">
        <f ca="1">SUM(D91:D92)</f>
        <v>-148.84950000000003</v>
      </c>
      <c r="E93" s="10">
        <f t="shared" ref="E93:I93" ca="1" si="195">SUM(E91:E92)</f>
        <v>-35.039594985849909</v>
      </c>
      <c r="F93" s="10">
        <f t="shared" ca="1" si="195"/>
        <v>70.527749396186039</v>
      </c>
      <c r="G93" s="10">
        <f t="shared" ca="1" si="195"/>
        <v>-217.94625000000002</v>
      </c>
      <c r="H93" s="10">
        <f t="shared" ca="1" si="195"/>
        <v>156.21771000000001</v>
      </c>
      <c r="I93" s="10">
        <f t="shared" ca="1" si="195"/>
        <v>21.187039999999993</v>
      </c>
      <c r="K93" s="35">
        <f t="shared" ca="1" si="183"/>
        <v>-113.80990501415013</v>
      </c>
      <c r="L93" s="35">
        <f t="shared" ca="1" si="184"/>
        <v>-219.37724939618607</v>
      </c>
      <c r="M93" s="35">
        <f t="shared" ca="1" si="185"/>
        <v>69.096749999999986</v>
      </c>
      <c r="N93" s="35">
        <f t="shared" ca="1" si="186"/>
        <v>-305.06721000000005</v>
      </c>
      <c r="O93" s="35">
        <f t="shared" ca="1" si="187"/>
        <v>-170.03654000000003</v>
      </c>
      <c r="Q93" s="37">
        <f t="shared" ca="1" si="188"/>
        <v>3.248037115158156</v>
      </c>
      <c r="R93" s="37">
        <f t="shared" ca="1" si="189"/>
        <v>-3.1105097110620323</v>
      </c>
      <c r="S93" s="37">
        <f t="shared" ca="1" si="190"/>
        <v>-0.31703573702231613</v>
      </c>
      <c r="T93" s="37">
        <f t="shared" ca="1" si="191"/>
        <v>-1.9528337088029266</v>
      </c>
      <c r="U93" s="37">
        <f t="shared" ca="1" si="192"/>
        <v>-8.0254976627221204</v>
      </c>
      <c r="W93" s="10">
        <f ca="1">SUM(W91:W92)</f>
        <v>-102.846920603814</v>
      </c>
      <c r="X93" s="10">
        <f t="shared" ref="X93:AB93" ca="1" si="196">SUM(X91:X92)</f>
        <v>-203.04531515007798</v>
      </c>
      <c r="Y93" s="10">
        <f t="shared" ca="1" si="196"/>
        <v>46.002579396186036</v>
      </c>
      <c r="Z93" s="10">
        <f t="shared" ca="1" si="196"/>
        <v>-314.18419001830767</v>
      </c>
      <c r="AA93" s="10">
        <f t="shared" ca="1" si="196"/>
        <v>122.01107987965767</v>
      </c>
      <c r="AB93" s="10">
        <f t="shared" ca="1" si="196"/>
        <v>64.168499999999995</v>
      </c>
      <c r="AD93" s="35">
        <f t="shared" ca="1" si="193"/>
        <v>100.19839454626398</v>
      </c>
      <c r="AE93" s="35">
        <f t="shared" ca="1" si="193"/>
        <v>-148.84950000000003</v>
      </c>
      <c r="AF93" s="35">
        <f t="shared" ca="1" si="193"/>
        <v>211.33726941449368</v>
      </c>
      <c r="AG93" s="35">
        <f t="shared" ca="1" si="193"/>
        <v>-224.85800048347167</v>
      </c>
      <c r="AH93" s="35">
        <f t="shared" ca="1" si="193"/>
        <v>-167.01542060381399</v>
      </c>
      <c r="AJ93" s="37">
        <f t="shared" ca="1" si="194"/>
        <v>-0.49347799269440817</v>
      </c>
      <c r="AK93" s="37">
        <f t="shared" ca="1" si="194"/>
        <v>-3.2356772588352034</v>
      </c>
      <c r="AL93" s="37">
        <f t="shared" ca="1" si="194"/>
        <v>-0.67265405494203556</v>
      </c>
      <c r="AM93" s="37">
        <f t="shared" ca="1" si="194"/>
        <v>-1.8429309920480523</v>
      </c>
      <c r="AN93" s="37">
        <f t="shared" ca="1" si="194"/>
        <v>-2.6027633590284021</v>
      </c>
    </row>
    <row r="95" spans="1:40" hidden="1" outlineLevel="1" x14ac:dyDescent="0.25">
      <c r="A95" s="11" t="s">
        <v>82</v>
      </c>
      <c r="C95" s="2" t="s">
        <v>83</v>
      </c>
      <c r="D95" s="8" cm="1">
        <f t="array" aca="1" ref="D95" ca="1">_xlfn.XLOOKUP(1,
 (INDIRECT("'"&amp;$C$6&amp;"'!$6:$6")=D$6)*
 (INDIRECT("'"&amp;$C$6&amp;"'!$5:$5")=D$5),
 INDIRECT("'"&amp;$C$6&amp;"'!"&amp;ROW()&amp;":"&amp;ROW())
)</f>
        <v>1018.0437500000002</v>
      </c>
      <c r="E95" s="8" cm="1">
        <f t="array" aca="1" ref="E95" ca="1">_xlfn.XLOOKUP(1,
 (INDIRECT("'"&amp;$C$6&amp;"'!$6:$6")=E$6)*
 (INDIRECT("'"&amp;$C$6&amp;"'!$5:$5")=E$5),
 INDIRECT("'"&amp;$C$6&amp;"'!"&amp;ROW()&amp;":"&amp;ROW())
)</f>
        <v>0</v>
      </c>
      <c r="F95" s="8" cm="1">
        <f t="array" aca="1" ref="F95" ca="1">_xlfn.XLOOKUP(1,
 (INDIRECT("'"&amp;$C$6&amp;"'!$6:$6")=F$6)*
 (INDIRECT("'"&amp;$C$6&amp;"'!$5:$5")=F$5),
 INDIRECT("'"&amp;$C$6&amp;"'!"&amp;ROW()&amp;":"&amp;ROW())
)</f>
        <v>60.139999999999993</v>
      </c>
      <c r="G95" s="8" cm="1">
        <f t="array" aca="1" ref="G95" ca="1">_xlfn.XLOOKUP(1,
 (INDIRECT("'"&amp;$C$6&amp;"'!$6:$6")=G$6)*
 (INDIRECT("'"&amp;$C$6&amp;"'!$5:$5")=G$5),
 INDIRECT("'"&amp;$C$6&amp;"'!"&amp;ROW()&amp;":"&amp;ROW())
)</f>
        <v>317.56934999999999</v>
      </c>
      <c r="H95" s="8" cm="1">
        <f t="array" aca="1" ref="H95" ca="1">_xlfn.XLOOKUP(1,
 (INDIRECT("'"&amp;$C$6&amp;"'!$6:$6")=H$6)*
 (INDIRECT("'"&amp;$C$6&amp;"'!$5:$5")=H$5),
 INDIRECT("'"&amp;$C$6&amp;"'!"&amp;ROW()&amp;":"&amp;ROW())
)</f>
        <v>0</v>
      </c>
      <c r="I95" s="8" cm="1">
        <f t="array" aca="1" ref="I95" ca="1">_xlfn.XLOOKUP(1,
 (INDIRECT("'"&amp;$C$6&amp;"'!$6:$6")=I$6)*
 (INDIRECT("'"&amp;$C$6&amp;"'!$5:$5")=I$5),
 INDIRECT("'"&amp;$C$6&amp;"'!"&amp;ROW()&amp;":"&amp;ROW())
)</f>
        <v>0</v>
      </c>
      <c r="K95" s="34">
        <f t="shared" ref="K95:K96" ca="1" si="197">$D95-E95</f>
        <v>1018.0437500000002</v>
      </c>
      <c r="L95" s="34">
        <f t="shared" ref="L95:L96" ca="1" si="198">$D95-F95</f>
        <v>957.90375000000017</v>
      </c>
      <c r="M95" s="34">
        <f t="shared" ref="M95:M96" ca="1" si="199">$D95-G95</f>
        <v>700.47440000000017</v>
      </c>
      <c r="N95" s="34">
        <f t="shared" ref="N95:N96" ca="1" si="200">$D95-H95</f>
        <v>1018.0437500000002</v>
      </c>
      <c r="O95" s="34">
        <f t="shared" ref="O95:O96" ca="1" si="201">$D95-I95</f>
        <v>1018.0437500000002</v>
      </c>
      <c r="Q95" s="36">
        <f t="shared" ref="Q95:Q96" ca="1" si="202">IFERROR($D95/E95-1,0)</f>
        <v>0</v>
      </c>
      <c r="R95" s="36">
        <f t="shared" ref="R95:R96" ca="1" si="203">IFERROR($D95/F95-1,0)</f>
        <v>15.927897406052548</v>
      </c>
      <c r="S95" s="36">
        <f t="shared" ref="S95:S96" ca="1" si="204">IFERROR($D95/G95-1,0)</f>
        <v>2.2057367941836961</v>
      </c>
      <c r="T95" s="36">
        <f t="shared" ref="T95:T96" ca="1" si="205">IFERROR($D95/H95-1,0)</f>
        <v>0</v>
      </c>
      <c r="U95" s="36">
        <f t="shared" ref="U95:U96" ca="1" si="206">IFERROR($D95/I95-1,0)</f>
        <v>0</v>
      </c>
      <c r="W95" s="8" cm="1">
        <f t="array" aca="1" ref="W95" ca="1">INDIRECT("'"&amp;$C$6&amp;"'!"&amp;ADDRESS(ROW(),COLUMN()+44))</f>
        <v>1078.1837500000001</v>
      </c>
      <c r="X95" s="8" cm="1">
        <f t="array" aca="1" ref="X95" ca="1">INDIRECT("'"&amp;$C$6&amp;"'!"&amp;ADDRESS(ROW(),COLUMN()+44))</f>
        <v>0</v>
      </c>
      <c r="Y95" s="8" cm="1">
        <f t="array" aca="1" ref="Y95" ca="1">INDIRECT("'"&amp;$C$6&amp;"'!"&amp;ADDRESS(ROW(),COLUMN()+44))</f>
        <v>60.139999999999993</v>
      </c>
      <c r="Z95" s="8" cm="1">
        <f t="array" aca="1" ref="Z95" ca="1">INDIRECT("'"&amp;$C$6&amp;"'!"&amp;ADDRESS(ROW(),COLUMN()+44))</f>
        <v>317.56934999999999</v>
      </c>
      <c r="AA95" s="8" cm="1">
        <f t="array" aca="1" ref="AA95" ca="1">INDIRECT("'"&amp;$C$6&amp;"'!"&amp;ADDRESS(ROW(),COLUMN()+44))</f>
        <v>0</v>
      </c>
      <c r="AB95" s="8" cm="1">
        <f t="array" aca="1" ref="AB95" ca="1">INDIRECT("'"&amp;$C$6&amp;"'!"&amp;ADDRESS(ROW(),COLUMN()+44))</f>
        <v>0</v>
      </c>
      <c r="AD95" s="34">
        <f t="shared" ref="AD95:AH96" ca="1" si="207">$W95-X95</f>
        <v>1078.1837500000001</v>
      </c>
      <c r="AE95" s="34">
        <f t="shared" ca="1" si="207"/>
        <v>1018.0437500000002</v>
      </c>
      <c r="AF95" s="34">
        <f t="shared" ca="1" si="207"/>
        <v>760.61440000000016</v>
      </c>
      <c r="AG95" s="34">
        <f t="shared" ca="1" si="207"/>
        <v>1078.1837500000001</v>
      </c>
      <c r="AH95" s="34">
        <f t="shared" ca="1" si="207"/>
        <v>1078.1837500000001</v>
      </c>
      <c r="AJ95" s="36">
        <f t="shared" ref="AJ95:AN96" ca="1" si="208">IFERROR($W95/X95-1,0)</f>
        <v>0</v>
      </c>
      <c r="AK95" s="36">
        <f t="shared" ca="1" si="208"/>
        <v>16.927897406052548</v>
      </c>
      <c r="AL95" s="36">
        <f t="shared" ca="1" si="208"/>
        <v>2.3951127525373597</v>
      </c>
      <c r="AM95" s="36">
        <f t="shared" ca="1" si="208"/>
        <v>0</v>
      </c>
      <c r="AN95" s="36">
        <f t="shared" ca="1" si="208"/>
        <v>0</v>
      </c>
    </row>
    <row r="96" spans="1:40" collapsed="1" x14ac:dyDescent="0.25">
      <c r="C96" s="3" t="s">
        <v>82</v>
      </c>
      <c r="D96" s="10">
        <f ca="1">SUM(D95:D95)</f>
        <v>1018.0437500000002</v>
      </c>
      <c r="E96" s="10">
        <f t="shared" ref="E96:I96" ca="1" si="209">SUM(E95:E95)</f>
        <v>0</v>
      </c>
      <c r="F96" s="10">
        <f t="shared" ca="1" si="209"/>
        <v>60.139999999999993</v>
      </c>
      <c r="G96" s="10">
        <f t="shared" ca="1" si="209"/>
        <v>317.56934999999999</v>
      </c>
      <c r="H96" s="10">
        <f t="shared" ca="1" si="209"/>
        <v>0</v>
      </c>
      <c r="I96" s="10">
        <f t="shared" ca="1" si="209"/>
        <v>0</v>
      </c>
      <c r="K96" s="35">
        <f t="shared" ca="1" si="197"/>
        <v>1018.0437500000002</v>
      </c>
      <c r="L96" s="35">
        <f t="shared" ca="1" si="198"/>
        <v>957.90375000000017</v>
      </c>
      <c r="M96" s="35">
        <f t="shared" ca="1" si="199"/>
        <v>700.47440000000017</v>
      </c>
      <c r="N96" s="35">
        <f t="shared" ca="1" si="200"/>
        <v>1018.0437500000002</v>
      </c>
      <c r="O96" s="35">
        <f t="shared" ca="1" si="201"/>
        <v>1018.0437500000002</v>
      </c>
      <c r="Q96" s="37">
        <f t="shared" ca="1" si="202"/>
        <v>0</v>
      </c>
      <c r="R96" s="37">
        <f t="shared" ca="1" si="203"/>
        <v>15.927897406052548</v>
      </c>
      <c r="S96" s="37">
        <f t="shared" ca="1" si="204"/>
        <v>2.2057367941836961</v>
      </c>
      <c r="T96" s="37">
        <f t="shared" ca="1" si="205"/>
        <v>0</v>
      </c>
      <c r="U96" s="37">
        <f t="shared" ca="1" si="206"/>
        <v>0</v>
      </c>
      <c r="W96" s="10">
        <f ca="1">SUM(W95:W95)</f>
        <v>1078.1837500000001</v>
      </c>
      <c r="X96" s="10">
        <f t="shared" ref="X96:AB96" ca="1" si="210">SUM(X95:X95)</f>
        <v>0</v>
      </c>
      <c r="Y96" s="10">
        <f t="shared" ca="1" si="210"/>
        <v>60.139999999999993</v>
      </c>
      <c r="Z96" s="10">
        <f t="shared" ca="1" si="210"/>
        <v>317.56934999999999</v>
      </c>
      <c r="AA96" s="10">
        <f t="shared" ca="1" si="210"/>
        <v>0</v>
      </c>
      <c r="AB96" s="10">
        <f t="shared" ca="1" si="210"/>
        <v>0</v>
      </c>
      <c r="AD96" s="35">
        <f t="shared" ca="1" si="207"/>
        <v>1078.1837500000001</v>
      </c>
      <c r="AE96" s="35">
        <f t="shared" ca="1" si="207"/>
        <v>1018.0437500000002</v>
      </c>
      <c r="AF96" s="35">
        <f t="shared" ca="1" si="207"/>
        <v>760.61440000000016</v>
      </c>
      <c r="AG96" s="35">
        <f t="shared" ca="1" si="207"/>
        <v>1078.1837500000001</v>
      </c>
      <c r="AH96" s="35">
        <f t="shared" ca="1" si="207"/>
        <v>1078.1837500000001</v>
      </c>
      <c r="AJ96" s="37">
        <f t="shared" ca="1" si="208"/>
        <v>0</v>
      </c>
      <c r="AK96" s="37">
        <f t="shared" ca="1" si="208"/>
        <v>16.927897406052548</v>
      </c>
      <c r="AL96" s="37">
        <f t="shared" ca="1" si="208"/>
        <v>2.3951127525373597</v>
      </c>
      <c r="AM96" s="37">
        <f t="shared" ca="1" si="208"/>
        <v>0</v>
      </c>
      <c r="AN96" s="37">
        <f t="shared" ca="1" si="208"/>
        <v>0</v>
      </c>
    </row>
    <row r="98" spans="3:40" x14ac:dyDescent="0.25">
      <c r="C98" s="3" t="s">
        <v>84</v>
      </c>
      <c r="D98" s="10">
        <f t="shared" ref="D98:I98" ca="1" si="211">D60+D83+D89+D93+D96</f>
        <v>12052.727733154679</v>
      </c>
      <c r="E98" s="10">
        <f t="shared" ca="1" si="211"/>
        <v>6399.2068984462239</v>
      </c>
      <c r="F98" s="10">
        <f t="shared" ca="1" si="211"/>
        <v>7393.3416116967401</v>
      </c>
      <c r="G98" s="10">
        <f t="shared" ca="1" si="211"/>
        <v>10612.373564301242</v>
      </c>
      <c r="H98" s="10">
        <f t="shared" ca="1" si="211"/>
        <v>11963.02829937826</v>
      </c>
      <c r="I98" s="10">
        <f t="shared" ca="1" si="211"/>
        <v>11908.709186619601</v>
      </c>
      <c r="K98" s="35">
        <f t="shared" ref="K98" ca="1" si="212">$D98-E98</f>
        <v>5653.5208347084554</v>
      </c>
      <c r="L98" s="35">
        <f t="shared" ref="L98" ca="1" si="213">$D98-F98</f>
        <v>4659.3861214579392</v>
      </c>
      <c r="M98" s="35">
        <f t="shared" ref="M98" ca="1" si="214">$D98-G98</f>
        <v>1440.3541688534369</v>
      </c>
      <c r="N98" s="35">
        <f t="shared" ref="N98" ca="1" si="215">$D98-H98</f>
        <v>89.699433776419028</v>
      </c>
      <c r="O98" s="35">
        <f t="shared" ref="O98" ca="1" si="216">$D98-I98</f>
        <v>144.01854653507871</v>
      </c>
      <c r="Q98" s="37">
        <f t="shared" ref="Q98" ca="1" si="217">IFERROR($D98/E98-1,0)</f>
        <v>0.88347211215833221</v>
      </c>
      <c r="R98" s="37">
        <f t="shared" ref="R98" ca="1" si="218">IFERROR($D98/F98-1,0)</f>
        <v>0.63021382835692208</v>
      </c>
      <c r="S98" s="37">
        <f t="shared" ref="S98" ca="1" si="219">IFERROR($D98/G98-1,0)</f>
        <v>0.13572403573302538</v>
      </c>
      <c r="T98" s="37">
        <f t="shared" ref="T98" ca="1" si="220">IFERROR($D98/H98-1,0)</f>
        <v>7.4980541324207728E-3</v>
      </c>
      <c r="U98" s="37">
        <f t="shared" ref="U98" ca="1" si="221">IFERROR($D98/I98-1,0)</f>
        <v>1.2093548030956747E-2</v>
      </c>
      <c r="W98" s="10">
        <f t="shared" ref="W98:AB98" ca="1" si="222">W60+W83+W89+W93+W96</f>
        <v>32754.435361388627</v>
      </c>
      <c r="X98" s="10">
        <f t="shared" ca="1" si="222"/>
        <v>17058.562771665704</v>
      </c>
      <c r="Y98" s="10">
        <f t="shared" ca="1" si="222"/>
        <v>20701.707628233969</v>
      </c>
      <c r="Z98" s="10">
        <f t="shared" ca="1" si="222"/>
        <v>20986.281230683777</v>
      </c>
      <c r="AA98" s="10">
        <f t="shared" ca="1" si="222"/>
        <v>23605.104858771268</v>
      </c>
      <c r="AB98" s="10">
        <f t="shared" ca="1" si="222"/>
        <v>27762.781628621542</v>
      </c>
      <c r="AD98" s="35">
        <f ca="1">$W98-X98</f>
        <v>15695.872589722923</v>
      </c>
      <c r="AE98" s="35">
        <f ca="1">$W98-Y98</f>
        <v>12052.727733154657</v>
      </c>
      <c r="AF98" s="35">
        <f ca="1">$W98-Z98</f>
        <v>11768.15413070485</v>
      </c>
      <c r="AG98" s="35">
        <f ca="1">$W98-AA98</f>
        <v>9149.3305026173584</v>
      </c>
      <c r="AH98" s="35">
        <f ca="1">$W98-AB98</f>
        <v>4991.6537327670849</v>
      </c>
      <c r="AJ98" s="37">
        <f ca="1">IFERROR($W98/X98-1,0)</f>
        <v>0.92011694067180083</v>
      </c>
      <c r="AK98" s="37">
        <f ca="1">IFERROR($W98/Y98-1,0)</f>
        <v>0.58220934956672732</v>
      </c>
      <c r="AL98" s="37">
        <f ca="1">IFERROR($W98/Z98-1,0)</f>
        <v>0.56075461876012511</v>
      </c>
      <c r="AM98" s="37">
        <f ca="1">IFERROR($W98/AA98-1,0)</f>
        <v>0.38759965513212369</v>
      </c>
      <c r="AN98" s="37">
        <f ca="1">IFERROR($W98/AB98-1,0)</f>
        <v>0.17979659961813876</v>
      </c>
    </row>
    <row r="102" spans="3:40" s="48" customFormat="1" x14ac:dyDescent="0.25">
      <c r="C102" s="46" t="s">
        <v>110</v>
      </c>
      <c r="D102" s="47" cm="1">
        <f t="array" aca="1" ref="D102" ca="1">_xlfn.XLOOKUP(1,
 (INDIRECT("'"&amp;$C$6&amp;"'!$6:$6")=D$6)*
 (INDIRECT("'"&amp;$C$6&amp;"'!$5:$5")=D$5),
 INDIRECT("'"&amp;$C$6&amp;"'!"&amp;ROW()&amp;":"&amp;ROW())
)</f>
        <v>11878155.98</v>
      </c>
      <c r="E102" s="47" cm="1">
        <f t="array" aca="1" ref="E102" ca="1">_xlfn.XLOOKUP(1,
 (INDIRECT("'"&amp;$C$6&amp;"'!$6:$6")=E$6)*
 (INDIRECT("'"&amp;$C$6&amp;"'!$5:$5")=E$5),
 INDIRECT("'"&amp;$C$6&amp;"'!"&amp;ROW()&amp;":"&amp;ROW())
)</f>
        <v>11822679.520630529</v>
      </c>
      <c r="F102" s="47" cm="1">
        <f t="array" aca="1" ref="F102" ca="1">_xlfn.XLOOKUP(1,
 (INDIRECT("'"&amp;$C$6&amp;"'!$6:$6")=F$6)*
 (INDIRECT("'"&amp;$C$6&amp;"'!$5:$5")=F$5),
 INDIRECT("'"&amp;$C$6&amp;"'!"&amp;ROW()&amp;":"&amp;ROW())
)</f>
        <v>11810462.934999999</v>
      </c>
      <c r="G102" s="47" cm="1">
        <f t="array" aca="1" ref="G102" ca="1">_xlfn.XLOOKUP(1,
 (INDIRECT("'"&amp;$C$6&amp;"'!$6:$6")=G$6)*
 (INDIRECT("'"&amp;$C$6&amp;"'!$5:$5")=G$5),
 INDIRECT("'"&amp;$C$6&amp;"'!"&amp;ROW()&amp;":"&amp;ROW())
)</f>
        <v>10940801.528675139</v>
      </c>
      <c r="H102" s="47" cm="1">
        <f t="array" aca="1" ref="H102" ca="1">_xlfn.XLOOKUP(1,
 (INDIRECT("'"&amp;$C$6&amp;"'!$6:$6")=H$6)*
 (INDIRECT("'"&amp;$C$6&amp;"'!$5:$5")=H$5),
 INDIRECT("'"&amp;$C$6&amp;"'!"&amp;ROW()&amp;":"&amp;ROW())
)</f>
        <v>10217267.385610478</v>
      </c>
      <c r="I102" s="47" cm="1">
        <f t="array" aca="1" ref="I102" ca="1">_xlfn.XLOOKUP(1,
 (INDIRECT("'"&amp;$C$6&amp;"'!$6:$6")=I$6)*
 (INDIRECT("'"&amp;$C$6&amp;"'!$5:$5")=I$5),
 INDIRECT("'"&amp;$C$6&amp;"'!"&amp;ROW()&amp;":"&amp;ROW())
)</f>
        <v>9646118.4649334811</v>
      </c>
      <c r="W102" s="47" cm="1">
        <f t="array" aca="1" ref="W102" ca="1">INDIRECT("'"&amp;$C$6&amp;"'!"&amp;ADDRESS(ROW(),COLUMN()+44))</f>
        <v>11811181.977639221</v>
      </c>
      <c r="X102" s="47" cm="1">
        <f t="array" aca="1" ref="X102" ca="1">INDIRECT("'"&amp;$C$6&amp;"'!"&amp;ADDRESS(ROW(),COLUMN()+44))</f>
        <v>11791441.623766972</v>
      </c>
      <c r="Y102" s="47" cm="1">
        <f t="array" aca="1" ref="Y102" ca="1">INDIRECT("'"&amp;$C$6&amp;"'!"&amp;ADDRESS(ROW(),COLUMN()+44))</f>
        <v>11779255.533518961</v>
      </c>
      <c r="Z102" s="47" cm="1">
        <f t="array" aca="1" ref="Z102" ca="1">INDIRECT("'"&amp;$C$6&amp;"'!"&amp;ADDRESS(ROW(),COLUMN()+44))</f>
        <v>10891487.494302345</v>
      </c>
      <c r="AA102" s="47" cm="1">
        <f t="array" aca="1" ref="AA102" ca="1">INDIRECT("'"&amp;$C$6&amp;"'!"&amp;ADDRESS(ROW(),COLUMN()+44))</f>
        <v>10163457.870362271</v>
      </c>
      <c r="AB102" s="47" cm="1">
        <f t="array" aca="1" ref="AB102" ca="1">INDIRECT("'"&amp;$C$6&amp;"'!"&amp;ADDRESS(ROW(),COLUMN()+44))</f>
        <v>9626822.8995368332</v>
      </c>
    </row>
  </sheetData>
  <mergeCells count="6">
    <mergeCell ref="Q5:U5"/>
    <mergeCell ref="D1:U1"/>
    <mergeCell ref="W1:AN1"/>
    <mergeCell ref="AD5:AH5"/>
    <mergeCell ref="AJ5:AN5"/>
    <mergeCell ref="K5:O5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9ADF1F9-AAF1-4D33-A45A-BF0E1851906F}">
          <x14:formula1>
            <xm:f>Parametros!$C$6:$C$17</xm:f>
          </x14:formula1>
          <xm:sqref>B1</xm:sqref>
        </x14:dataValidation>
        <x14:dataValidation type="list" allowBlank="1" showInputMessage="1" showErrorMessage="1" xr:uid="{701C0967-4EBA-4540-93DA-39CE0B78DFDC}">
          <x14:formula1>
            <xm:f>Parametros!$F$6:$F$9</xm:f>
          </x14:formula1>
          <xm:sqref>C6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543CB-D986-45DD-B457-A054C33120EB}">
  <dimension ref="B1:AA19"/>
  <sheetViews>
    <sheetView showGridLines="0" zoomScale="80" zoomScaleNormal="80" workbookViewId="0">
      <pane xSplit="2" ySplit="3" topLeftCell="C4" activePane="bottomRight" state="frozen"/>
      <selection activeCell="AT11" sqref="AT11"/>
      <selection pane="topRight" activeCell="AT11" sqref="AT11"/>
      <selection pane="bottomLeft" activeCell="AT11" sqref="AT11"/>
      <selection pane="bottomRight" activeCell="AT11" sqref="AT11"/>
    </sheetView>
  </sheetViews>
  <sheetFormatPr baseColWidth="10" defaultRowHeight="15" x14ac:dyDescent="0.25"/>
  <cols>
    <col min="1" max="1" width="3.7109375" customWidth="1"/>
    <col min="2" max="2" width="28.140625" bestFit="1" customWidth="1"/>
    <col min="9" max="9" width="1.7109375" customWidth="1"/>
    <col min="10" max="10" width="11.28515625" bestFit="1" customWidth="1"/>
    <col min="15" max="15" width="3.42578125" customWidth="1"/>
    <col min="22" max="22" width="1.85546875" customWidth="1"/>
    <col min="23" max="23" width="11.28515625" bestFit="1" customWidth="1"/>
  </cols>
  <sheetData>
    <row r="1" spans="2:27" x14ac:dyDescent="0.25">
      <c r="C1" s="71" t="s">
        <v>94</v>
      </c>
      <c r="D1" s="71"/>
      <c r="E1" s="71"/>
      <c r="F1" s="71"/>
      <c r="G1" s="71"/>
      <c r="H1" s="71"/>
      <c r="I1" s="71"/>
      <c r="J1" s="71"/>
      <c r="K1" s="71"/>
      <c r="L1" s="71"/>
      <c r="M1" s="71"/>
      <c r="N1" s="71"/>
      <c r="P1" s="71" t="s">
        <v>90</v>
      </c>
      <c r="Q1" s="71"/>
      <c r="R1" s="71"/>
      <c r="S1" s="71"/>
      <c r="T1" s="71"/>
      <c r="U1" s="71"/>
      <c r="V1" s="71"/>
      <c r="W1" s="71"/>
      <c r="X1" s="71"/>
      <c r="Y1" s="71"/>
      <c r="Z1" s="71"/>
      <c r="AA1" s="71"/>
    </row>
    <row r="2" spans="2:27" ht="15.75" thickBot="1" x14ac:dyDescent="0.3">
      <c r="J2" s="69" t="s">
        <v>101</v>
      </c>
      <c r="K2" s="69"/>
      <c r="L2" s="69"/>
      <c r="M2" s="69"/>
      <c r="N2" s="69"/>
      <c r="W2" s="69" t="s">
        <v>101</v>
      </c>
      <c r="X2" s="69"/>
      <c r="Y2" s="69"/>
      <c r="Z2" s="69"/>
      <c r="AA2" s="69"/>
    </row>
    <row r="3" spans="2:27" ht="16.5" thickTop="1" thickBot="1" x14ac:dyDescent="0.3">
      <c r="B3" s="45" t="str">
        <f>Desempeño_Financiero!C6</f>
        <v>Total_Producto</v>
      </c>
      <c r="C3" s="1">
        <f>Desempeño_Financiero!D6</f>
        <v>46112</v>
      </c>
      <c r="D3" s="30">
        <f>Desempeño_Financiero!E6</f>
        <v>46112</v>
      </c>
      <c r="E3" s="1">
        <f>Desempeño_Financiero!F6</f>
        <v>46081</v>
      </c>
      <c r="F3" s="1">
        <f>Desempeño_Financiero!G6</f>
        <v>45747</v>
      </c>
      <c r="G3" s="1">
        <f>Desempeño_Financiero!H6</f>
        <v>45382</v>
      </c>
      <c r="H3" s="1">
        <f>Desempeño_Financiero!I6</f>
        <v>45016</v>
      </c>
      <c r="J3" s="32">
        <f>D3</f>
        <v>46112</v>
      </c>
      <c r="K3" s="33">
        <f>E3</f>
        <v>46081</v>
      </c>
      <c r="L3" s="33">
        <f t="shared" ref="L3:N3" si="0">F3</f>
        <v>45747</v>
      </c>
      <c r="M3" s="33">
        <f t="shared" si="0"/>
        <v>45382</v>
      </c>
      <c r="N3" s="33">
        <f t="shared" si="0"/>
        <v>45016</v>
      </c>
      <c r="P3" s="1">
        <f>C3</f>
        <v>46112</v>
      </c>
      <c r="Q3" s="1">
        <f t="shared" ref="Q3:U3" si="1">D3</f>
        <v>46112</v>
      </c>
      <c r="R3" s="1">
        <f t="shared" si="1"/>
        <v>46081</v>
      </c>
      <c r="S3" s="1">
        <f t="shared" si="1"/>
        <v>45747</v>
      </c>
      <c r="T3" s="1">
        <f t="shared" si="1"/>
        <v>45382</v>
      </c>
      <c r="U3" s="1">
        <f t="shared" si="1"/>
        <v>45016</v>
      </c>
      <c r="W3" s="32">
        <f>Q3</f>
        <v>46112</v>
      </c>
      <c r="X3" s="33">
        <f>R3</f>
        <v>46081</v>
      </c>
      <c r="Y3" s="33">
        <f t="shared" ref="Y3" si="2">S3</f>
        <v>45747</v>
      </c>
      <c r="Z3" s="33">
        <f t="shared" ref="Z3" si="3">T3</f>
        <v>45382</v>
      </c>
      <c r="AA3" s="33">
        <f t="shared" ref="AA3" si="4">U3</f>
        <v>45016</v>
      </c>
    </row>
    <row r="4" spans="2:27" ht="15.75" thickTop="1" x14ac:dyDescent="0.25"/>
    <row r="5" spans="2:27" x14ac:dyDescent="0.25">
      <c r="B5" s="3" t="s">
        <v>104</v>
      </c>
      <c r="C5" s="49">
        <f ca="1">IFERROR((-Desempeño_Financiero!D89)/(Desempeño_Financiero!D53+Desempeño_Financiero!D83+Desempeño_Financiero!D96),0)</f>
        <v>0.35447009747721081</v>
      </c>
      <c r="D5" s="49">
        <f ca="1">IFERROR((-Desempeño_Financiero!E89)/(Desempeño_Financiero!E53+Desempeño_Financiero!E83+Desempeño_Financiero!E96),0)</f>
        <v>0.41402436527960573</v>
      </c>
      <c r="E5" s="49">
        <f ca="1">IFERROR((-Desempeño_Financiero!F89)/(Desempeño_Financiero!F53+Desempeño_Financiero!F83+Desempeño_Financiero!F96),0)</f>
        <v>0.5601060944390871</v>
      </c>
      <c r="F5" s="49">
        <f ca="1">IFERROR((-Desempeño_Financiero!G89)/(Desempeño_Financiero!G53+Desempeño_Financiero!G83+Desempeño_Financiero!G96),0)</f>
        <v>0.37478259209909931</v>
      </c>
      <c r="G5" s="49">
        <f ca="1">IFERROR((-Desempeño_Financiero!H89)/(Desempeño_Financiero!H53+Desempeño_Financiero!H83+Desempeño_Financiero!H96),0)</f>
        <v>0.32584920636237158</v>
      </c>
      <c r="H5" s="49">
        <f ca="1">IFERROR((-Desempeño_Financiero!I89)/(Desempeño_Financiero!I53+Desempeño_Financiero!I83+Desempeño_Financiero!I96),0)</f>
        <v>0.33303207817717478</v>
      </c>
      <c r="J5" s="50">
        <f ca="1">IFERROR(($C5-D5)*10000,0)</f>
        <v>-595.54267802394918</v>
      </c>
      <c r="K5" s="50">
        <f t="shared" ref="K5:N5" ca="1" si="5">IFERROR(($C5-E5)*10000,0)</f>
        <v>-2056.359969618763</v>
      </c>
      <c r="L5" s="50">
        <f t="shared" ca="1" si="5"/>
        <v>-203.12494621888499</v>
      </c>
      <c r="M5" s="50">
        <f t="shared" ca="1" si="5"/>
        <v>286.2089111483923</v>
      </c>
      <c r="N5" s="50">
        <f t="shared" ca="1" si="5"/>
        <v>214.38019300036026</v>
      </c>
      <c r="P5" s="49">
        <f ca="1">IFERROR((-Desempeño_Financiero!W89)/(Desempeño_Financiero!W53+Desempeño_Financiero!W83+Desempeño_Financiero!W96),0)</f>
        <v>0.41424026243513307</v>
      </c>
      <c r="Q5" s="49">
        <f ca="1">IFERROR((-Desempeño_Financiero!X89)/(Desempeño_Financiero!X53+Desempeño_Financiero!X83+Desempeño_Financiero!X96),0)</f>
        <v>0.45741694223672963</v>
      </c>
      <c r="R5" s="49">
        <f ca="1">IFERROR((-Desempeño_Financiero!Y89)/(Desempeño_Financiero!Y53+Desempeño_Financiero!Y83+Desempeño_Financiero!Y96),0)</f>
        <v>0.45327498450902204</v>
      </c>
      <c r="S5" s="49">
        <f ca="1">IFERROR((-Desempeño_Financiero!Z89)/(Desempeño_Financiero!Z53+Desempeño_Financiero!Z83+Desempeño_Financiero!Z96),0)</f>
        <v>0.42713967716006812</v>
      </c>
      <c r="T5" s="49">
        <f ca="1">IFERROR((-Desempeño_Financiero!AA89)/(Desempeño_Financiero!AA53+Desempeño_Financiero!AA83+Desempeño_Financiero!AA96),0)</f>
        <v>0.34707040061678712</v>
      </c>
      <c r="U5" s="49">
        <f ca="1">IFERROR((-Desempeño_Financiero!AB89)/(Desempeño_Financiero!AB53+Desempeño_Financiero!AB83+Desempeño_Financiero!AB96),0)</f>
        <v>0.35480126119317845</v>
      </c>
      <c r="W5" s="50">
        <f ca="1">IFERROR(($P5-Q5)*10000,0)</f>
        <v>-431.76679801596561</v>
      </c>
      <c r="X5" s="50">
        <f ca="1">IFERROR(($P5-R5)*10000,0)</f>
        <v>-390.34722073888975</v>
      </c>
      <c r="Y5" s="50">
        <f ca="1">IFERROR(($P5-S5)*10000,0)</f>
        <v>-128.99414724935053</v>
      </c>
      <c r="Z5" s="50">
        <f ca="1">IFERROR(($P5-T5)*10000,0)</f>
        <v>671.69861818345942</v>
      </c>
      <c r="AA5" s="50">
        <f ca="1">IFERROR(($P5-U5)*10000,0)</f>
        <v>594.39001241954611</v>
      </c>
    </row>
    <row r="7" spans="2:27" x14ac:dyDescent="0.25">
      <c r="B7" s="3" t="s">
        <v>105</v>
      </c>
      <c r="C7" s="49">
        <f ca="1">Desempeño_Financiero!D23</f>
        <v>7.5242263150208766E-2</v>
      </c>
      <c r="D7" s="49">
        <f ca="1">Desempeño_Financiero!E23</f>
        <v>7.455107841005959E-2</v>
      </c>
      <c r="E7" s="49">
        <f ca="1">Desempeño_Financiero!F23</f>
        <v>7.5208869370058329E-2</v>
      </c>
      <c r="F7" s="49">
        <f ca="1">Desempeño_Financiero!G23</f>
        <v>7.4793645388227858E-2</v>
      </c>
      <c r="G7" s="49">
        <f ca="1">Desempeño_Financiero!H23</f>
        <v>7.4204037354676844E-2</v>
      </c>
      <c r="H7" s="49">
        <f ca="1">Desempeño_Financiero!I23</f>
        <v>7.186178619916439E-2</v>
      </c>
      <c r="J7" s="50">
        <f ca="1">IFERROR(($C7-D7)*10000,0)</f>
        <v>6.9118474014917552</v>
      </c>
      <c r="K7" s="50">
        <f t="shared" ref="K7" ca="1" si="6">IFERROR(($C7-E7)*10000,0)</f>
        <v>0.33393780150436925</v>
      </c>
      <c r="L7" s="50">
        <f t="shared" ref="L7" ca="1" si="7">IFERROR(($C7-F7)*10000,0)</f>
        <v>4.486177619809073</v>
      </c>
      <c r="M7" s="50">
        <f t="shared" ref="M7" ca="1" si="8">IFERROR(($C7-G7)*10000,0)</f>
        <v>10.382257955319218</v>
      </c>
      <c r="N7" s="50">
        <f t="shared" ref="N7" ca="1" si="9">IFERROR(($C7-H7)*10000,0)</f>
        <v>33.804769510443755</v>
      </c>
      <c r="P7" s="49">
        <f ca="1">Desempeño_Financiero!W23</f>
        <v>7.5108716254587371E-2</v>
      </c>
      <c r="Q7" s="49">
        <f ca="1">Desempeño_Financiero!X23</f>
        <v>7.4819950868336038E-2</v>
      </c>
      <c r="R7" s="49">
        <f ca="1">Desempeño_Financiero!Y23</f>
        <v>7.5025427623375718E-2</v>
      </c>
      <c r="S7" s="49">
        <f ca="1">Desempeño_Financiero!Z23</f>
        <v>7.4764361038663241E-2</v>
      </c>
      <c r="T7" s="49">
        <f ca="1">Desempeño_Financiero!AA23</f>
        <v>7.3844122248217348E-2</v>
      </c>
      <c r="U7" s="49">
        <f ca="1">Desempeño_Financiero!AB23</f>
        <v>7.1244807632643292E-2</v>
      </c>
      <c r="W7" s="50">
        <f ca="1">IFERROR(($P7-Q7)*10000,0)</f>
        <v>2.8876538625133286</v>
      </c>
      <c r="X7" s="50">
        <f ca="1">IFERROR(($P7-R7)*10000,0)</f>
        <v>0.83288631211653197</v>
      </c>
      <c r="Y7" s="50">
        <f ca="1">IFERROR(($P7-S7)*10000,0)</f>
        <v>3.4435521592413032</v>
      </c>
      <c r="Z7" s="50">
        <f ca="1">IFERROR(($P7-T7)*10000,0)</f>
        <v>12.645940063700234</v>
      </c>
      <c r="AA7" s="50">
        <f ca="1">IFERROR(($P7-U7)*10000,0)</f>
        <v>38.639086219440784</v>
      </c>
    </row>
    <row r="9" spans="2:27" x14ac:dyDescent="0.25">
      <c r="B9" s="3" t="s">
        <v>106</v>
      </c>
      <c r="C9" s="49">
        <f ca="1">IFERROR((Desempeño_Financiero!D83)/(Desempeño_Financiero!D53+Desempeño_Financiero!D83+Desempeño_Financiero!D96),0)</f>
        <v>6.2430381619123593E-2</v>
      </c>
      <c r="D9" s="49">
        <f ca="1">IFERROR((Desempeño_Financiero!E83)/(Desempeño_Financiero!E53+Desempeño_Financiero!E83+Desempeño_Financiero!E96),0)</f>
        <v>5.2969551001713293E-2</v>
      </c>
      <c r="E9" s="49">
        <f ca="1">IFERROR((Desempeño_Financiero!F83)/(Desempeño_Financiero!F53+Desempeño_Financiero!F83+Desempeño_Financiero!F96),0)</f>
        <v>6.5633269074372655E-2</v>
      </c>
      <c r="F9" s="49">
        <f ca="1">IFERROR((Desempeño_Financiero!G83)/(Desempeño_Financiero!G53+Desempeño_Financiero!G83+Desempeño_Financiero!G96),0)</f>
        <v>5.1938849479358208E-2</v>
      </c>
      <c r="G9" s="49">
        <f ca="1">IFERROR((Desempeño_Financiero!H83)/(Desempeño_Financiero!H53+Desempeño_Financiero!H83+Desempeño_Financiero!H96),0)</f>
        <v>3.5323264559891841E-2</v>
      </c>
      <c r="H9" s="49">
        <f ca="1">IFERROR((Desempeño_Financiero!I83)/(Desempeño_Financiero!I53+Desempeño_Financiero!I83+Desempeño_Financiero!I96),0)</f>
        <v>5.7619314624107382E-2</v>
      </c>
      <c r="J9" s="50">
        <f ca="1">IFERROR(($C9-D9)*10000,0)</f>
        <v>94.608306174102992</v>
      </c>
      <c r="K9" s="50">
        <f t="shared" ref="K9" ca="1" si="10">IFERROR(($C9-E9)*10000,0)</f>
        <v>-32.02887455249062</v>
      </c>
      <c r="L9" s="50">
        <f t="shared" ref="L9" ca="1" si="11">IFERROR(($C9-F9)*10000,0)</f>
        <v>104.91532139765384</v>
      </c>
      <c r="M9" s="50">
        <f t="shared" ref="M9" ca="1" si="12">IFERROR(($C9-G9)*10000,0)</f>
        <v>271.07117059231751</v>
      </c>
      <c r="N9" s="50">
        <f t="shared" ref="N9" ca="1" si="13">IFERROR(($C9-H9)*10000,0)</f>
        <v>48.110669950162112</v>
      </c>
      <c r="P9" s="49">
        <f ca="1">IFERROR((Desempeño_Financiero!W83)/(Desempeño_Financiero!W53+Desempeño_Financiero!W83+Desempeño_Financiero!W96),0)</f>
        <v>6.1975788298774474E-2</v>
      </c>
      <c r="Q9" s="49">
        <f ca="1">IFERROR((Desempeño_Financiero!X83)/(Desempeño_Financiero!X53+Desempeño_Financiero!X83+Desempeño_Financiero!X96),0)</f>
        <v>5.9246218269449473E-2</v>
      </c>
      <c r="R9" s="49">
        <f ca="1">IFERROR((Desempeño_Financiero!Y83)/(Desempeño_Financiero!Y53+Desempeño_Financiero!Y83+Desempeño_Financiero!Y96),0)</f>
        <v>6.167890232014335E-2</v>
      </c>
      <c r="S9" s="49">
        <f ca="1">IFERROR((Desempeño_Financiero!Z83)/(Desempeño_Financiero!Z53+Desempeño_Financiero!Z83+Desempeño_Financiero!Z96),0)</f>
        <v>5.6455137963852188E-2</v>
      </c>
      <c r="T9" s="49">
        <f ca="1">IFERROR((Desempeño_Financiero!AA83)/(Desempeño_Financiero!AA53+Desempeño_Financiero!AA83+Desempeño_Financiero!AA96),0)</f>
        <v>3.6479086952405516E-2</v>
      </c>
      <c r="U9" s="49">
        <f ca="1">IFERROR((Desempeño_Financiero!AB83)/(Desempeño_Financiero!AB53+Desempeño_Financiero!AB83+Desempeño_Financiero!AB96),0)</f>
        <v>6.4556035913878845E-2</v>
      </c>
      <c r="W9" s="50">
        <f ca="1">IFERROR(($P9-Q9)*10000,0)</f>
        <v>27.295700293250015</v>
      </c>
      <c r="X9" s="50">
        <f ca="1">IFERROR(($P9-R9)*10000,0)</f>
        <v>2.9688597863112425</v>
      </c>
      <c r="Y9" s="50">
        <f ca="1">IFERROR(($P9-S9)*10000,0)</f>
        <v>55.206503349222864</v>
      </c>
      <c r="Z9" s="50">
        <f ca="1">IFERROR(($P9-T9)*10000,0)</f>
        <v>254.96701346368957</v>
      </c>
      <c r="AA9" s="50">
        <f ca="1">IFERROR(($P9-U9)*10000,0)</f>
        <v>-25.80247615104371</v>
      </c>
    </row>
    <row r="11" spans="2:27" x14ac:dyDescent="0.25">
      <c r="B11" s="3" t="s">
        <v>107</v>
      </c>
      <c r="C11" s="49">
        <f ca="1">IFERROR((Desempeño_Financiero!D83/-Desempeño_Financiero!D89),0)</f>
        <v>0.1761231259376887</v>
      </c>
      <c r="D11" s="49">
        <f ca="1">IFERROR((Desempeño_Financiero!E83/-Desempeño_Financiero!E89),0)</f>
        <v>0.12793824577435442</v>
      </c>
      <c r="E11" s="49">
        <f ca="1">IFERROR((Desempeño_Financiero!F83/-Desempeño_Financiero!F89),0)</f>
        <v>0.11718006593036712</v>
      </c>
      <c r="F11" s="49">
        <f ca="1">IFERROR((Desempeño_Financiero!G83/-Desempeño_Financiero!G89),0)</f>
        <v>0.13858394326283072</v>
      </c>
      <c r="G11" s="49">
        <f ca="1">IFERROR((Desempeño_Financiero!H83/-Desempeño_Financiero!H89),0)</f>
        <v>0.10840371518538981</v>
      </c>
      <c r="H11" s="49">
        <f ca="1">IFERROR((Desempeño_Financiero!I83/-Desempeño_Financiero!I89),0)</f>
        <v>0.1730143082296523</v>
      </c>
      <c r="J11" s="50">
        <f ca="1">IFERROR(($C11-D11)*10000,0)</f>
        <v>481.84880163334276</v>
      </c>
      <c r="K11" s="50">
        <f t="shared" ref="K11" ca="1" si="14">IFERROR(($C11-E11)*10000,0)</f>
        <v>589.43060007321583</v>
      </c>
      <c r="L11" s="50">
        <f t="shared" ref="L11" ca="1" si="15">IFERROR(($C11-F11)*10000,0)</f>
        <v>375.39182674857977</v>
      </c>
      <c r="M11" s="50">
        <f t="shared" ref="M11" ca="1" si="16">IFERROR(($C11-G11)*10000,0)</f>
        <v>677.19410752298882</v>
      </c>
      <c r="N11" s="50">
        <f t="shared" ref="N11" ca="1" si="17">IFERROR(($C11-H11)*10000,0)</f>
        <v>31.088177080363934</v>
      </c>
      <c r="P11" s="49">
        <f ca="1">IFERROR((Desempeño_Financiero!W83/-Desempeño_Financiero!W89),0)</f>
        <v>0.14961314463844377</v>
      </c>
      <c r="Q11" s="49">
        <f ca="1">IFERROR((Desempeño_Financiero!X83/-Desempeño_Financiero!X89),0)</f>
        <v>0.12952344523956752</v>
      </c>
      <c r="R11" s="49">
        <f ca="1">IFERROR((Desempeño_Financiero!Y83/-Desempeño_Financiero!Y89),0)</f>
        <v>0.13607391633789948</v>
      </c>
      <c r="S11" s="49">
        <f ca="1">IFERROR((Desempeño_Financiero!Z83/-Desempeño_Financiero!Z89),0)</f>
        <v>0.13217020329089199</v>
      </c>
      <c r="T11" s="49">
        <f ca="1">IFERROR((Desempeño_Financiero!AA83/-Desempeño_Financiero!AA89),0)</f>
        <v>0.10510572750536391</v>
      </c>
      <c r="U11" s="49">
        <f ca="1">IFERROR((Desempeño_Financiero!AB83/-Desempeño_Financiero!AB89),0)</f>
        <v>0.18194984904163025</v>
      </c>
      <c r="W11" s="50">
        <f ca="1">IFERROR(($P11-Q11)*10000,0)</f>
        <v>200.89699398876255</v>
      </c>
      <c r="X11" s="50">
        <f ca="1">IFERROR(($P11-R11)*10000,0)</f>
        <v>135.39228300544298</v>
      </c>
      <c r="Y11" s="50">
        <f ca="1">IFERROR(($P11-S11)*10000,0)</f>
        <v>174.42941347551783</v>
      </c>
      <c r="Z11" s="50">
        <f ca="1">IFERROR(($P11-T11)*10000,0)</f>
        <v>445.07417133079861</v>
      </c>
      <c r="AA11" s="50">
        <f ca="1">IFERROR(($P11-U11)*10000,0)</f>
        <v>-323.36704403186479</v>
      </c>
    </row>
    <row r="13" spans="2:27" x14ac:dyDescent="0.25">
      <c r="B13" s="3" t="s">
        <v>108</v>
      </c>
      <c r="C13" s="49">
        <f ca="1">IFERROR(-Desempeño_Financiero!D89/Desempeño_Financiero!D17*12,0)</f>
        <v>8.106328770146734E-3</v>
      </c>
      <c r="D13" s="49">
        <f ca="1">IFERROR(-Desempeño_Financiero!E89/Desempeño_Financiero!E17*12,0)</f>
        <v>8.4998129095740678E-3</v>
      </c>
      <c r="E13" s="49">
        <f ca="1">IFERROR(-Desempeño_Financiero!F89/Desempeño_Financiero!F17*12,0)</f>
        <v>7.8994176168762486E-3</v>
      </c>
      <c r="F13" s="49">
        <f ca="1">IFERROR(-Desempeño_Financiero!G89/Desempeño_Financiero!G17*12,0)</f>
        <v>8.2752727073591489E-3</v>
      </c>
      <c r="G13" s="49">
        <f ca="1">IFERROR(-Desempeño_Financiero!H89/Desempeño_Financiero!H17*12,0)</f>
        <v>7.3842327521873793E-3</v>
      </c>
      <c r="H13" s="49">
        <f ca="1">IFERROR(-Desempeño_Financiero!I89/Desempeño_Financiero!I17*12,0)</f>
        <v>8.000637945076803E-3</v>
      </c>
      <c r="J13" s="50">
        <f ca="1">IFERROR(($C13-D13)*10000,0)</f>
        <v>-3.9348413942733376</v>
      </c>
      <c r="K13" s="50">
        <f t="shared" ref="K13" ca="1" si="18">IFERROR(($C13-E13)*10000,0)</f>
        <v>2.0691115327048544</v>
      </c>
      <c r="L13" s="50">
        <f t="shared" ref="L13" ca="1" si="19">IFERROR(($C13-F13)*10000,0)</f>
        <v>-1.6894393721241483</v>
      </c>
      <c r="M13" s="50">
        <f t="shared" ref="M13" ca="1" si="20">IFERROR(($C13-G13)*10000,0)</f>
        <v>7.220960179593547</v>
      </c>
      <c r="N13" s="50">
        <f t="shared" ref="N13" ca="1" si="21">IFERROR(($C13-H13)*10000,0)</f>
        <v>1.0569082506993108</v>
      </c>
      <c r="P13" s="49">
        <f ca="1">IFERROR(-Desempeño_Financiero!W89/Desempeño_Financiero!W17*12,0)</f>
        <v>2.4126583715696266E-2</v>
      </c>
      <c r="Q13" s="49">
        <f ca="1">IFERROR(-Desempeño_Financiero!X89/Desempeño_Financiero!X17*12,0)</f>
        <v>2.5254313441388693E-2</v>
      </c>
      <c r="R13" s="49">
        <f ca="1">IFERROR(-Desempeño_Financiero!Y89/Desempeño_Financiero!Y17*12,0)</f>
        <v>1.6019659498488967E-2</v>
      </c>
      <c r="S13" s="49">
        <f ca="1">IFERROR(-Desempeño_Financiero!Z89/Desempeño_Financiero!Z17*12,0)</f>
        <v>2.4949330753748552E-2</v>
      </c>
      <c r="T13" s="49">
        <f ca="1">IFERROR(-Desempeño_Financiero!AA89/Desempeño_Financiero!AA17*12,0)</f>
        <v>2.1795913276709922E-2</v>
      </c>
      <c r="U13" s="49">
        <f ca="1">IFERROR(-Desempeño_Financiero!AB89/Desempeño_Financiero!AB17*12,0)</f>
        <v>2.285872830127942E-2</v>
      </c>
      <c r="W13" s="50">
        <f ca="1">IFERROR(($P13-Q13)*10000,0)</f>
        <v>-11.277297256924273</v>
      </c>
      <c r="X13" s="50">
        <f ca="1">IFERROR(($P13-R13)*10000,0)</f>
        <v>81.06924217207299</v>
      </c>
      <c r="Y13" s="50">
        <f ca="1">IFERROR(($P13-S13)*10000,0)</f>
        <v>-8.2274703805228562</v>
      </c>
      <c r="Z13" s="50">
        <f ca="1">IFERROR(($P13-T13)*10000,0)</f>
        <v>23.306704389863437</v>
      </c>
      <c r="AA13" s="50">
        <f ca="1">IFERROR(($P13-U13)*10000,0)</f>
        <v>12.678554144168464</v>
      </c>
    </row>
    <row r="15" spans="2:27" x14ac:dyDescent="0.25">
      <c r="B15" s="3" t="s">
        <v>109</v>
      </c>
      <c r="C15" s="49">
        <f ca="1">IFERROR(-Desempeño_Financiero!D56/Desempeño_Financiero!D102,0)*12</f>
        <v>2.3867530827658186E-3</v>
      </c>
      <c r="D15" s="49">
        <f ca="1">IFERROR(-Desempeño_Financiero!E56/Desempeño_Financiero!E102,0)*12</f>
        <v>5.4221319836683041E-3</v>
      </c>
      <c r="E15" s="49">
        <f ca="1">IFERROR(-Desempeño_Financiero!F56/Desempeño_Financiero!F102,0)*12</f>
        <v>-1.2397718871137327E-3</v>
      </c>
      <c r="F15" s="49">
        <f ca="1">IFERROR(-Desempeño_Financiero!G56/Desempeño_Financiero!G102,0)*12</f>
        <v>1.9477008024177886E-3</v>
      </c>
      <c r="G15" s="49">
        <f ca="1">IFERROR(-Desempeño_Financiero!H56/Desempeño_Financiero!H102,0)*12</f>
        <v>1.368186452751955E-3</v>
      </c>
      <c r="H15" s="49">
        <f ca="1">IFERROR(-Desempeño_Financiero!I56/Desempeño_Financiero!I102,0)*12</f>
        <v>1.2477540370226395E-3</v>
      </c>
      <c r="J15" s="50">
        <f ca="1">IFERROR(($C15-D15)*10000,0)</f>
        <v>-30.353789009024855</v>
      </c>
      <c r="K15" s="50">
        <f t="shared" ref="K15" ca="1" si="22">IFERROR(($C15-E15)*10000,0)</f>
        <v>36.265249698795515</v>
      </c>
      <c r="L15" s="50">
        <f t="shared" ref="L15" ca="1" si="23">IFERROR(($C15-F15)*10000,0)</f>
        <v>4.3905228034803008</v>
      </c>
      <c r="M15" s="50">
        <f t="shared" ref="M15" ca="1" si="24">IFERROR(($C15-G15)*10000,0)</f>
        <v>10.185666300138637</v>
      </c>
      <c r="N15" s="50">
        <f t="shared" ref="N15" ca="1" si="25">IFERROR(($C15-H15)*10000,0)</f>
        <v>11.389990457431791</v>
      </c>
      <c r="P15" s="49">
        <f ca="1">IFERROR(-Desempeño_Financiero!W56/Desempeño_Financiero!W102,0)*12</f>
        <v>6.2337729089977979E-4</v>
      </c>
      <c r="Q15" s="49">
        <f ca="1">IFERROR(-Desempeño_Financiero!X56/Desempeño_Financiero!X102,0)*12</f>
        <v>1.2146165036102047E-2</v>
      </c>
      <c r="R15" s="49">
        <f ca="1">IFERROR(-Desempeño_Financiero!Y56/Desempeño_Financiero!Y102,0)*12</f>
        <v>-1.7817257397610238E-3</v>
      </c>
      <c r="S15" s="49">
        <f ca="1">IFERROR(-Desempeño_Financiero!Z56/Desempeño_Financiero!Z102,0)*12</f>
        <v>9.9396759845404928E-3</v>
      </c>
      <c r="T15" s="49">
        <f ca="1">IFERROR(-Desempeño_Financiero!AA56/Desempeño_Financiero!AA102,0)*12</f>
        <v>1.3165740187886778E-2</v>
      </c>
      <c r="U15" s="49">
        <f ca="1">IFERROR(-Desempeño_Financiero!AB56/Desempeño_Financiero!AB102,0)*12</f>
        <v>6.9053245048670449E-3</v>
      </c>
      <c r="W15" s="50">
        <f ca="1">IFERROR(($P15-Q15)*10000,0)</f>
        <v>-115.22787745202268</v>
      </c>
      <c r="X15" s="50">
        <f ca="1">IFERROR(($P15-R15)*10000,0)</f>
        <v>24.051030306608034</v>
      </c>
      <c r="Y15" s="50">
        <f ca="1">IFERROR(($P15-S15)*10000,0)</f>
        <v>-93.162986936407137</v>
      </c>
      <c r="Z15" s="50">
        <f ca="1">IFERROR(($P15-T15)*10000,0)</f>
        <v>-125.42362896986998</v>
      </c>
      <c r="AA15" s="50">
        <f ca="1">IFERROR(($P15-U15)*10000,0)</f>
        <v>-62.819472139672655</v>
      </c>
    </row>
    <row r="17" spans="2:21" x14ac:dyDescent="0.25">
      <c r="B17" s="3" t="s">
        <v>111</v>
      </c>
      <c r="C17" s="49"/>
      <c r="D17" s="49"/>
      <c r="E17" s="49"/>
      <c r="F17" s="49"/>
      <c r="G17" s="49"/>
      <c r="H17" s="49"/>
      <c r="P17" s="49"/>
      <c r="Q17" s="49"/>
      <c r="R17" s="49"/>
      <c r="S17" s="49"/>
      <c r="T17" s="49"/>
      <c r="U17" s="49"/>
    </row>
    <row r="19" spans="2:21" x14ac:dyDescent="0.25">
      <c r="B19" s="3" t="s">
        <v>112</v>
      </c>
      <c r="C19" s="49"/>
      <c r="D19" s="49"/>
      <c r="E19" s="49"/>
      <c r="F19" s="49"/>
      <c r="G19" s="49"/>
      <c r="H19" s="49"/>
      <c r="P19" s="49"/>
      <c r="Q19" s="49"/>
      <c r="R19" s="49"/>
      <c r="S19" s="49"/>
      <c r="T19" s="49"/>
      <c r="U19" s="49"/>
    </row>
  </sheetData>
  <mergeCells count="4">
    <mergeCell ref="J2:N2"/>
    <mergeCell ref="C1:N1"/>
    <mergeCell ref="P1:AA1"/>
    <mergeCell ref="W2:AA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F52D1-A054-4BAB-BE46-229707E2CF57}">
  <sheetPr>
    <tabColor theme="7" tint="0.79998168889431442"/>
  </sheetPr>
  <dimension ref="A1"/>
  <sheetViews>
    <sheetView workbookViewId="0">
      <selection activeCell="AT11" sqref="AT11"/>
    </sheetView>
  </sheetViews>
  <sheetFormatPr baseColWidth="10"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7B39E-65F7-428B-BC73-896E4F5C030C}">
  <dimension ref="A1:CC102"/>
  <sheetViews>
    <sheetView showGridLines="0" zoomScale="83" zoomScaleNormal="80" workbookViewId="0">
      <pane xSplit="3" ySplit="6" topLeftCell="AK83" activePane="bottomRight" state="frozen"/>
      <selection activeCell="AT11" sqref="AT11"/>
      <selection pane="topRight" activeCell="AT11" sqref="AT11"/>
      <selection pane="bottomLeft" activeCell="AT11" sqref="AT11"/>
      <selection pane="bottomRight" activeCell="D4" sqref="D4"/>
    </sheetView>
  </sheetViews>
  <sheetFormatPr baseColWidth="10" defaultRowHeight="15" outlineLevelRow="1" outlineLevelCol="1" x14ac:dyDescent="0.25"/>
  <cols>
    <col min="1" max="1" width="7.140625" customWidth="1"/>
    <col min="2" max="2" width="6.28515625" customWidth="1"/>
    <col min="3" max="3" width="22.85546875" bestFit="1" customWidth="1"/>
    <col min="4" max="14" width="11.28515625" customWidth="1" outlineLevel="1"/>
    <col min="15" max="15" width="11.28515625" bestFit="1" customWidth="1"/>
    <col min="16" max="26" width="11.28515625" customWidth="1" outlineLevel="1"/>
    <col min="27" max="27" width="11.28515625" bestFit="1" customWidth="1"/>
    <col min="28" max="38" width="11.28515625" customWidth="1" outlineLevel="1"/>
    <col min="39" max="40" width="11.28515625" bestFit="1" customWidth="1"/>
    <col min="41" max="41" width="12.28515625" bestFit="1" customWidth="1"/>
    <col min="42" max="45" width="11.85546875" bestFit="1" customWidth="1"/>
    <col min="46" max="51" width="10.5703125" customWidth="1"/>
    <col min="52" max="63" width="12.28515625" bestFit="1" customWidth="1"/>
  </cols>
  <sheetData>
    <row r="1" spans="1:81" ht="15.75" x14ac:dyDescent="0.25">
      <c r="D1" s="66" t="s">
        <v>92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7" t="s">
        <v>93</v>
      </c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O1" s="68" t="s">
        <v>90</v>
      </c>
      <c r="BP1" s="68"/>
      <c r="BQ1" s="68"/>
      <c r="BR1" s="68"/>
      <c r="BS1" s="68"/>
      <c r="BT1" s="68"/>
      <c r="BW1" s="68" t="s">
        <v>91</v>
      </c>
      <c r="BX1" s="68"/>
      <c r="BY1" s="68"/>
      <c r="BZ1" s="68"/>
      <c r="CA1" s="68"/>
      <c r="CB1" s="68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5">
        <f t="shared" ref="BO2:BT2" si="0">DATE(YEAR(BO6),1,1)</f>
        <v>46023</v>
      </c>
      <c r="BP2" s="25">
        <f t="shared" si="0"/>
        <v>46023</v>
      </c>
      <c r="BQ2" s="25">
        <f t="shared" si="0"/>
        <v>46023</v>
      </c>
      <c r="BR2" s="25">
        <f t="shared" si="0"/>
        <v>45658</v>
      </c>
      <c r="BS2" s="25">
        <f t="shared" si="0"/>
        <v>45292</v>
      </c>
      <c r="BT2" s="25">
        <f t="shared" si="0"/>
        <v>44927</v>
      </c>
    </row>
    <row r="3" spans="1:81" x14ac:dyDescent="0.25">
      <c r="C3" s="13" t="s">
        <v>61</v>
      </c>
      <c r="D3" s="12">
        <f>DAY(D6)</f>
        <v>31</v>
      </c>
      <c r="E3" s="12">
        <f t="shared" ref="E3:BK3" si="1">DAY(E6)</f>
        <v>28</v>
      </c>
      <c r="F3" s="12">
        <f t="shared" si="1"/>
        <v>31</v>
      </c>
      <c r="G3" s="12">
        <f t="shared" si="1"/>
        <v>30</v>
      </c>
      <c r="H3" s="12">
        <f t="shared" si="1"/>
        <v>31</v>
      </c>
      <c r="I3" s="12">
        <f t="shared" si="1"/>
        <v>30</v>
      </c>
      <c r="J3" s="12">
        <f t="shared" si="1"/>
        <v>31</v>
      </c>
      <c r="K3" s="12">
        <f t="shared" si="1"/>
        <v>31</v>
      </c>
      <c r="L3" s="12">
        <f t="shared" si="1"/>
        <v>30</v>
      </c>
      <c r="M3" s="12">
        <f t="shared" si="1"/>
        <v>31</v>
      </c>
      <c r="N3" s="12">
        <f t="shared" si="1"/>
        <v>30</v>
      </c>
      <c r="O3" s="12">
        <f t="shared" si="1"/>
        <v>31</v>
      </c>
      <c r="P3" s="12">
        <f t="shared" si="1"/>
        <v>31</v>
      </c>
      <c r="Q3" s="12">
        <f t="shared" si="1"/>
        <v>29</v>
      </c>
      <c r="R3" s="12">
        <f t="shared" si="1"/>
        <v>31</v>
      </c>
      <c r="S3" s="12">
        <f t="shared" si="1"/>
        <v>30</v>
      </c>
      <c r="T3" s="12">
        <f t="shared" si="1"/>
        <v>31</v>
      </c>
      <c r="U3" s="12">
        <f t="shared" si="1"/>
        <v>30</v>
      </c>
      <c r="V3" s="12">
        <f t="shared" si="1"/>
        <v>31</v>
      </c>
      <c r="W3" s="12">
        <f t="shared" si="1"/>
        <v>31</v>
      </c>
      <c r="X3" s="12">
        <f t="shared" si="1"/>
        <v>30</v>
      </c>
      <c r="Y3" s="12">
        <f t="shared" si="1"/>
        <v>31</v>
      </c>
      <c r="Z3" s="12">
        <f t="shared" si="1"/>
        <v>30</v>
      </c>
      <c r="AA3" s="12">
        <f t="shared" si="1"/>
        <v>31</v>
      </c>
      <c r="AB3" s="12">
        <f t="shared" si="1"/>
        <v>31</v>
      </c>
      <c r="AC3" s="12">
        <f t="shared" si="1"/>
        <v>28</v>
      </c>
      <c r="AD3" s="12">
        <f t="shared" si="1"/>
        <v>31</v>
      </c>
      <c r="AE3" s="12">
        <f t="shared" si="1"/>
        <v>30</v>
      </c>
      <c r="AF3" s="12">
        <f t="shared" si="1"/>
        <v>31</v>
      </c>
      <c r="AG3" s="12">
        <f t="shared" si="1"/>
        <v>30</v>
      </c>
      <c r="AH3" s="12">
        <f t="shared" si="1"/>
        <v>31</v>
      </c>
      <c r="AI3" s="12">
        <f t="shared" si="1"/>
        <v>31</v>
      </c>
      <c r="AJ3" s="12">
        <f t="shared" si="1"/>
        <v>30</v>
      </c>
      <c r="AK3" s="12">
        <f t="shared" si="1"/>
        <v>31</v>
      </c>
      <c r="AL3" s="12">
        <f t="shared" si="1"/>
        <v>30</v>
      </c>
      <c r="AM3" s="12">
        <f t="shared" si="1"/>
        <v>31</v>
      </c>
      <c r="AN3" s="12">
        <f t="shared" si="1"/>
        <v>31</v>
      </c>
      <c r="AO3" s="12">
        <f t="shared" si="1"/>
        <v>28</v>
      </c>
      <c r="AP3" s="12">
        <f t="shared" si="1"/>
        <v>31</v>
      </c>
      <c r="AQ3" s="12">
        <f t="shared" si="1"/>
        <v>30</v>
      </c>
      <c r="AR3" s="12">
        <f t="shared" si="1"/>
        <v>31</v>
      </c>
      <c r="AS3" s="12">
        <f t="shared" si="1"/>
        <v>30</v>
      </c>
      <c r="AT3" s="12">
        <f t="shared" si="1"/>
        <v>31</v>
      </c>
      <c r="AU3" s="12">
        <f t="shared" si="1"/>
        <v>31</v>
      </c>
      <c r="AV3" s="12">
        <f t="shared" si="1"/>
        <v>30</v>
      </c>
      <c r="AW3" s="12">
        <f t="shared" si="1"/>
        <v>31</v>
      </c>
      <c r="AX3" s="12">
        <f t="shared" si="1"/>
        <v>30</v>
      </c>
      <c r="AY3" s="12">
        <f t="shared" si="1"/>
        <v>31</v>
      </c>
      <c r="AZ3" s="12">
        <f t="shared" si="1"/>
        <v>31</v>
      </c>
      <c r="BA3" s="12">
        <f t="shared" si="1"/>
        <v>28</v>
      </c>
      <c r="BB3" s="12">
        <f t="shared" si="1"/>
        <v>31</v>
      </c>
      <c r="BC3" s="12">
        <f t="shared" si="1"/>
        <v>30</v>
      </c>
      <c r="BD3" s="12">
        <f t="shared" si="1"/>
        <v>31</v>
      </c>
      <c r="BE3" s="12">
        <f t="shared" si="1"/>
        <v>30</v>
      </c>
      <c r="BF3" s="12">
        <f t="shared" si="1"/>
        <v>31</v>
      </c>
      <c r="BG3" s="12">
        <f t="shared" si="1"/>
        <v>31</v>
      </c>
      <c r="BH3" s="12">
        <f t="shared" si="1"/>
        <v>30</v>
      </c>
      <c r="BI3" s="12">
        <f t="shared" si="1"/>
        <v>31</v>
      </c>
      <c r="BJ3" s="12">
        <f t="shared" si="1"/>
        <v>30</v>
      </c>
      <c r="BK3" s="12">
        <f t="shared" si="1"/>
        <v>31</v>
      </c>
      <c r="BO3" s="12">
        <f>AVERAGEIFS($D3:$BM3,$D$6:$BM$6,"&gt;="&amp;BO$2,$D$6:$BM$6,"&lt;="&amp;BO$6,$D$5:$BM$5,BO$5)</f>
        <v>30</v>
      </c>
      <c r="BP3" s="12">
        <f t="shared" ref="BP3:BT4" si="2">AVERAGEIFS($D3:$BM3,$D$6:$BM$6,"&gt;="&amp;BP$2,$D$6:$BM$6,"&lt;="&amp;BP$6,$D$5:$BM$5,BP$5)</f>
        <v>30</v>
      </c>
      <c r="BQ3" s="12">
        <f t="shared" si="2"/>
        <v>29.5</v>
      </c>
      <c r="BR3" s="12">
        <f t="shared" si="2"/>
        <v>30</v>
      </c>
      <c r="BS3" s="12">
        <f t="shared" si="2"/>
        <v>30.333333333333332</v>
      </c>
      <c r="BT3" s="12">
        <f t="shared" si="2"/>
        <v>30</v>
      </c>
    </row>
    <row r="4" spans="1:81" x14ac:dyDescent="0.25">
      <c r="C4" s="13" t="s">
        <v>62</v>
      </c>
      <c r="D4" s="12">
        <v>30</v>
      </c>
      <c r="E4" s="12">
        <v>30</v>
      </c>
      <c r="F4" s="12">
        <v>30</v>
      </c>
      <c r="G4" s="12">
        <v>30</v>
      </c>
      <c r="H4" s="12">
        <v>30</v>
      </c>
      <c r="I4" s="12">
        <v>30</v>
      </c>
      <c r="J4" s="12">
        <v>30</v>
      </c>
      <c r="K4" s="12">
        <v>30</v>
      </c>
      <c r="L4" s="12">
        <v>30</v>
      </c>
      <c r="M4" s="12">
        <v>30</v>
      </c>
      <c r="N4" s="12">
        <v>30</v>
      </c>
      <c r="O4" s="12">
        <v>30</v>
      </c>
      <c r="P4" s="12">
        <v>30</v>
      </c>
      <c r="Q4" s="12">
        <v>30</v>
      </c>
      <c r="R4" s="12">
        <v>30</v>
      </c>
      <c r="S4" s="12">
        <v>30</v>
      </c>
      <c r="T4" s="12">
        <v>30</v>
      </c>
      <c r="U4" s="12">
        <v>30</v>
      </c>
      <c r="V4" s="12">
        <v>30</v>
      </c>
      <c r="W4" s="12">
        <v>30</v>
      </c>
      <c r="X4" s="12">
        <v>30</v>
      </c>
      <c r="Y4" s="12">
        <v>30</v>
      </c>
      <c r="Z4" s="12">
        <v>30</v>
      </c>
      <c r="AA4" s="12">
        <v>30</v>
      </c>
      <c r="AB4" s="12">
        <v>30</v>
      </c>
      <c r="AC4" s="12">
        <v>30</v>
      </c>
      <c r="AD4" s="12">
        <v>30</v>
      </c>
      <c r="AE4" s="12">
        <v>30</v>
      </c>
      <c r="AF4" s="12">
        <v>30</v>
      </c>
      <c r="AG4" s="12">
        <v>30</v>
      </c>
      <c r="AH4" s="12">
        <v>30</v>
      </c>
      <c r="AI4" s="12">
        <v>30</v>
      </c>
      <c r="AJ4" s="12">
        <v>30</v>
      </c>
      <c r="AK4" s="12">
        <v>30</v>
      </c>
      <c r="AL4" s="12">
        <v>30</v>
      </c>
      <c r="AM4" s="12">
        <v>30</v>
      </c>
      <c r="AN4" s="12">
        <v>30</v>
      </c>
      <c r="AO4" s="12">
        <v>30</v>
      </c>
      <c r="AP4" s="12">
        <v>30</v>
      </c>
      <c r="AQ4" s="12">
        <v>30</v>
      </c>
      <c r="AR4" s="12">
        <v>30</v>
      </c>
      <c r="AS4" s="12">
        <v>30</v>
      </c>
      <c r="AT4" s="12">
        <v>30</v>
      </c>
      <c r="AU4" s="12">
        <v>30</v>
      </c>
      <c r="AV4" s="12">
        <v>30</v>
      </c>
      <c r="AW4" s="12">
        <v>30</v>
      </c>
      <c r="AX4" s="12">
        <v>30</v>
      </c>
      <c r="AY4" s="12">
        <v>30</v>
      </c>
      <c r="AZ4" s="12">
        <v>30</v>
      </c>
      <c r="BA4" s="12">
        <v>30</v>
      </c>
      <c r="BB4" s="12">
        <v>30</v>
      </c>
      <c r="BC4" s="12">
        <v>30</v>
      </c>
      <c r="BD4" s="12">
        <v>30</v>
      </c>
      <c r="BE4" s="12">
        <v>30</v>
      </c>
      <c r="BF4" s="12">
        <v>30</v>
      </c>
      <c r="BG4" s="12">
        <v>30</v>
      </c>
      <c r="BH4" s="12">
        <v>30</v>
      </c>
      <c r="BI4" s="12">
        <v>30</v>
      </c>
      <c r="BJ4" s="12">
        <v>30</v>
      </c>
      <c r="BK4" s="12">
        <v>30</v>
      </c>
      <c r="BO4" s="27">
        <f>AVERAGEIFS($D4:$BM4,$D$6:$BM$6,"&gt;="&amp;BO$2,$D$6:$BM$6,"&lt;="&amp;BO$6,$D$5:$BM$5,BO$5)</f>
        <v>30</v>
      </c>
      <c r="BP4" s="27">
        <f t="shared" si="2"/>
        <v>30</v>
      </c>
      <c r="BQ4" s="27">
        <f t="shared" si="2"/>
        <v>30</v>
      </c>
      <c r="BR4" s="27">
        <f t="shared" si="2"/>
        <v>30</v>
      </c>
      <c r="BS4" s="27">
        <f t="shared" si="2"/>
        <v>30</v>
      </c>
      <c r="BT4" s="27">
        <f t="shared" si="2"/>
        <v>30</v>
      </c>
    </row>
    <row r="5" spans="1:81" ht="15.75" thickBot="1" x14ac:dyDescent="0.3">
      <c r="C5" s="13" t="s">
        <v>86</v>
      </c>
      <c r="D5" s="12" t="s">
        <v>87</v>
      </c>
      <c r="E5" s="12" t="s">
        <v>87</v>
      </c>
      <c r="F5" s="12" t="s">
        <v>87</v>
      </c>
      <c r="G5" s="12" t="s">
        <v>87</v>
      </c>
      <c r="H5" s="12" t="s">
        <v>87</v>
      </c>
      <c r="I5" s="12" t="s">
        <v>87</v>
      </c>
      <c r="J5" s="12" t="s">
        <v>87</v>
      </c>
      <c r="K5" s="12" t="s">
        <v>87</v>
      </c>
      <c r="L5" s="12" t="s">
        <v>87</v>
      </c>
      <c r="M5" s="12" t="s">
        <v>87</v>
      </c>
      <c r="N5" s="12" t="s">
        <v>87</v>
      </c>
      <c r="O5" s="12" t="s">
        <v>87</v>
      </c>
      <c r="P5" s="12" t="s">
        <v>87</v>
      </c>
      <c r="Q5" s="12" t="s">
        <v>87</v>
      </c>
      <c r="R5" s="12" t="s">
        <v>87</v>
      </c>
      <c r="S5" s="12" t="s">
        <v>87</v>
      </c>
      <c r="T5" s="12" t="s">
        <v>87</v>
      </c>
      <c r="U5" s="12" t="s">
        <v>87</v>
      </c>
      <c r="V5" s="12" t="s">
        <v>87</v>
      </c>
      <c r="W5" s="12" t="s">
        <v>87</v>
      </c>
      <c r="X5" s="12" t="s">
        <v>87</v>
      </c>
      <c r="Y5" s="12" t="s">
        <v>87</v>
      </c>
      <c r="Z5" s="12" t="s">
        <v>87</v>
      </c>
      <c r="AA5" s="12" t="s">
        <v>87</v>
      </c>
      <c r="AB5" s="12" t="s">
        <v>87</v>
      </c>
      <c r="AC5" s="12" t="s">
        <v>87</v>
      </c>
      <c r="AD5" s="12" t="s">
        <v>87</v>
      </c>
      <c r="AE5" s="12" t="s">
        <v>87</v>
      </c>
      <c r="AF5" s="12" t="s">
        <v>87</v>
      </c>
      <c r="AG5" s="12" t="s">
        <v>87</v>
      </c>
      <c r="AH5" s="12" t="s">
        <v>87</v>
      </c>
      <c r="AI5" s="12" t="s">
        <v>87</v>
      </c>
      <c r="AJ5" s="12" t="s">
        <v>87</v>
      </c>
      <c r="AK5" s="12" t="s">
        <v>87</v>
      </c>
      <c r="AL5" s="12" t="s">
        <v>87</v>
      </c>
      <c r="AM5" s="12" t="s">
        <v>87</v>
      </c>
      <c r="AN5" s="12" t="s">
        <v>87</v>
      </c>
      <c r="AO5" s="12" t="s">
        <v>87</v>
      </c>
      <c r="AP5" s="12" t="s">
        <v>87</v>
      </c>
      <c r="AQ5" s="12" t="s">
        <v>87</v>
      </c>
      <c r="AR5" s="12" t="s">
        <v>87</v>
      </c>
      <c r="AS5" s="12" t="s">
        <v>87</v>
      </c>
      <c r="AT5" s="12" t="s">
        <v>87</v>
      </c>
      <c r="AU5" s="12" t="s">
        <v>87</v>
      </c>
      <c r="AV5" s="12" t="s">
        <v>87</v>
      </c>
      <c r="AW5" s="12" t="s">
        <v>87</v>
      </c>
      <c r="AX5" s="12" t="s">
        <v>87</v>
      </c>
      <c r="AY5" s="12" t="s">
        <v>87</v>
      </c>
      <c r="AZ5" s="12" t="s">
        <v>88</v>
      </c>
      <c r="BA5" s="12" t="s">
        <v>88</v>
      </c>
      <c r="BB5" s="12" t="s">
        <v>88</v>
      </c>
      <c r="BC5" s="12" t="s">
        <v>88</v>
      </c>
      <c r="BD5" s="12" t="s">
        <v>88</v>
      </c>
      <c r="BE5" s="12" t="s">
        <v>88</v>
      </c>
      <c r="BF5" s="12" t="s">
        <v>88</v>
      </c>
      <c r="BG5" s="12" t="s">
        <v>88</v>
      </c>
      <c r="BH5" s="12" t="s">
        <v>88</v>
      </c>
      <c r="BI5" s="12" t="s">
        <v>88</v>
      </c>
      <c r="BJ5" s="12" t="s">
        <v>88</v>
      </c>
      <c r="BK5" s="12" t="s">
        <v>88</v>
      </c>
      <c r="BO5" s="12" t="s">
        <v>87</v>
      </c>
      <c r="BP5" s="12" t="s">
        <v>88</v>
      </c>
      <c r="BQ5" s="12" t="s">
        <v>87</v>
      </c>
      <c r="BR5" s="12" t="s">
        <v>87</v>
      </c>
      <c r="BS5" s="12" t="s">
        <v>87</v>
      </c>
      <c r="BT5" s="12" t="s">
        <v>87</v>
      </c>
    </row>
    <row r="6" spans="1:81" ht="16.5" thickTop="1" thickBot="1" x14ac:dyDescent="0.3">
      <c r="C6" s="45" t="s">
        <v>126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30">
        <v>46053</v>
      </c>
      <c r="BA6" s="30">
        <v>46081</v>
      </c>
      <c r="BB6" s="30">
        <v>46112</v>
      </c>
      <c r="BC6" s="30">
        <v>46142</v>
      </c>
      <c r="BD6" s="30">
        <v>46173</v>
      </c>
      <c r="BE6" s="30">
        <v>46203</v>
      </c>
      <c r="BF6" s="30">
        <v>46234</v>
      </c>
      <c r="BG6" s="30">
        <v>46265</v>
      </c>
      <c r="BH6" s="30">
        <v>46295</v>
      </c>
      <c r="BI6" s="30">
        <v>46326</v>
      </c>
      <c r="BJ6" s="30">
        <v>46356</v>
      </c>
      <c r="BK6" s="30">
        <v>46387</v>
      </c>
      <c r="BO6" s="1">
        <f>Desempeño_Financiero!$B$1</f>
        <v>46112</v>
      </c>
      <c r="BP6" s="22">
        <f>BO6</f>
        <v>46112</v>
      </c>
      <c r="BQ6" s="1">
        <f>EOMONTH(BO6,-1)</f>
        <v>46081</v>
      </c>
      <c r="BR6" s="1">
        <f>EOMONTH(BO6,-12)</f>
        <v>45747</v>
      </c>
      <c r="BS6" s="1">
        <f>EOMONTH(BO6,-24)</f>
        <v>45382</v>
      </c>
      <c r="BT6" s="1">
        <f>EOMONTH(BO6,-36)</f>
        <v>45016</v>
      </c>
      <c r="BW6" s="1">
        <f>BO6</f>
        <v>46112</v>
      </c>
      <c r="BX6" s="22">
        <f t="shared" ref="BX6:CB6" si="3">BP6</f>
        <v>46112</v>
      </c>
      <c r="BY6" s="1">
        <f t="shared" si="3"/>
        <v>46081</v>
      </c>
      <c r="BZ6" s="1">
        <f t="shared" si="3"/>
        <v>45747</v>
      </c>
      <c r="CA6" s="1">
        <f t="shared" si="3"/>
        <v>45382</v>
      </c>
      <c r="CB6" s="1">
        <f t="shared" si="3"/>
        <v>45016</v>
      </c>
      <c r="CC6" s="26"/>
    </row>
    <row r="7" spans="1:81" ht="15.75" thickTop="1" x14ac:dyDescent="0.25"/>
    <row r="8" spans="1:81" hidden="1" outlineLevel="1" x14ac:dyDescent="0.25">
      <c r="A8" s="11" t="s">
        <v>51</v>
      </c>
      <c r="C8" s="2" t="s">
        <v>0</v>
      </c>
      <c r="D8" s="8">
        <f>Renta_Alta!D8+Masivo!D8+Consumo_Inicial!D8</f>
        <v>9306979.20256586</v>
      </c>
      <c r="E8" s="8">
        <f>Renta_Alta!E8+Masivo!E8+Consumo_Inicial!E8</f>
        <v>9343836.9649555404</v>
      </c>
      <c r="F8" s="8">
        <f>Renta_Alta!F8+Masivo!F8+Consumo_Inicial!F8</f>
        <v>9379816.8292940985</v>
      </c>
      <c r="G8" s="8">
        <f>Renta_Alta!G8+Masivo!G8+Consumo_Inicial!G8</f>
        <v>9428101.8146641497</v>
      </c>
      <c r="H8" s="8">
        <f>Renta_Alta!H8+Masivo!H8+Consumo_Inicial!H8</f>
        <v>9463606.6530272495</v>
      </c>
      <c r="I8" s="8">
        <f>Renta_Alta!I8+Masivo!I8+Consumo_Inicial!I8</f>
        <v>9512554.0850322396</v>
      </c>
      <c r="J8" s="8">
        <f>Renta_Alta!J8+Masivo!J8+Consumo_Inicial!J8</f>
        <v>9520520.3118865192</v>
      </c>
      <c r="K8" s="8">
        <f>Renta_Alta!K8+Masivo!K8+Consumo_Inicial!K8</f>
        <v>9581896.8196001481</v>
      </c>
      <c r="L8" s="8">
        <f>Renta_Alta!L8+Masivo!L8+Consumo_Inicial!L8</f>
        <v>9665488.3535388894</v>
      </c>
      <c r="M8" s="8">
        <f>Renta_Alta!M8+Masivo!M8+Consumo_Inicial!M8</f>
        <v>9724446.4444493596</v>
      </c>
      <c r="N8" s="8">
        <f>Renta_Alta!N8+Masivo!N8+Consumo_Inicial!N8</f>
        <v>9747352.0594903212</v>
      </c>
      <c r="O8" s="8">
        <f>Renta_Alta!O8+Masivo!O8+Consumo_Inicial!O8</f>
        <v>9778369.0517228823</v>
      </c>
      <c r="P8" s="8">
        <f>Renta_Alta!P8+Masivo!P8+Consumo_Inicial!P8</f>
        <v>9795528.2894484401</v>
      </c>
      <c r="Q8" s="8">
        <f>Renta_Alta!Q8+Masivo!Q8+Consumo_Inicial!Q8</f>
        <v>9855979.9539369978</v>
      </c>
      <c r="R8" s="8">
        <f>Renta_Alta!R8+Masivo!R8+Consumo_Inicial!R8</f>
        <v>9915549.8294023983</v>
      </c>
      <c r="S8" s="8">
        <f>Renta_Alta!S8+Masivo!S8+Consumo_Inicial!S8</f>
        <v>9955143.0965828411</v>
      </c>
      <c r="T8" s="8">
        <f>Renta_Alta!T8+Masivo!T8+Consumo_Inicial!T8</f>
        <v>9989621.7935403399</v>
      </c>
      <c r="U8" s="8">
        <f>Renta_Alta!U8+Masivo!U8+Consumo_Inicial!U8</f>
        <v>10052293.565488582</v>
      </c>
      <c r="V8" s="8">
        <f>Renta_Alta!V8+Masivo!V8+Consumo_Inicial!V8</f>
        <v>10112608.334497362</v>
      </c>
      <c r="W8" s="8">
        <f>Renta_Alta!W8+Masivo!W8+Consumo_Inicial!W8</f>
        <v>10194327.26511384</v>
      </c>
      <c r="X8" s="8">
        <f>Renta_Alta!X8+Masivo!X8+Consumo_Inicial!X8</f>
        <v>10269066.08543613</v>
      </c>
      <c r="Y8" s="8">
        <f>Renta_Alta!Y8+Masivo!Y8+Consumo_Inicial!Y8</f>
        <v>10347179.411973799</v>
      </c>
      <c r="Z8" s="8">
        <f>Renta_Alta!Z8+Masivo!Z8+Consumo_Inicial!Z8</f>
        <v>10397660.635751421</v>
      </c>
      <c r="AA8" s="8">
        <f>Renta_Alta!AA8+Masivo!AA8+Consumo_Inicial!AA8</f>
        <v>10460639.821451282</v>
      </c>
      <c r="AB8" s="8">
        <f>Renta_Alta!AB8+Masivo!AB8+Consumo_Inicial!AB8</f>
        <v>10496705.260229401</v>
      </c>
      <c r="AC8" s="8">
        <f>Renta_Alta!AC8+Masivo!AC8+Consumo_Inicial!AC8</f>
        <v>10564179.82824262</v>
      </c>
      <c r="AD8" s="8">
        <f>Renta_Alta!AD8+Masivo!AD8+Consumo_Inicial!AD8</f>
        <v>10587477.88690706</v>
      </c>
      <c r="AE8" s="8">
        <f>Renta_Alta!AE8+Masivo!AE8+Consumo_Inicial!AE8</f>
        <v>10654430.14977785</v>
      </c>
      <c r="AF8" s="8">
        <f>Renta_Alta!AF8+Masivo!AF8+Consumo_Inicial!AF8</f>
        <v>10701537.272349197</v>
      </c>
      <c r="AG8" s="8">
        <f>Renta_Alta!AG8+Masivo!AG8+Consumo_Inicial!AG8</f>
        <v>10788122.535599438</v>
      </c>
      <c r="AH8" s="8">
        <f>Renta_Alta!AH8+Masivo!AH8+Consumo_Inicial!AH8</f>
        <v>10846256.431109108</v>
      </c>
      <c r="AI8" s="8">
        <f>Renta_Alta!AI8+Masivo!AI8+Consumo_Inicial!AI8</f>
        <v>10944704.421983648</v>
      </c>
      <c r="AJ8" s="8">
        <f>Renta_Alta!AJ8+Masivo!AJ8+Consumo_Inicial!AJ8</f>
        <v>11060829.9395131</v>
      </c>
      <c r="AK8" s="8">
        <f>Renta_Alta!AK8+Masivo!AK8+Consumo_Inicial!AK8</f>
        <v>11158690.717399351</v>
      </c>
      <c r="AL8" s="8">
        <f>Renta_Alta!AL8+Masivo!AL8+Consumo_Inicial!AL8</f>
        <v>11266820.003209239</v>
      </c>
      <c r="AM8" s="8">
        <f>Renta_Alta!AM8+Masivo!AM8+Consumo_Inicial!AM8</f>
        <v>11329094.884160072</v>
      </c>
      <c r="AN8" s="8">
        <f>Renta_Alta!AN8+Masivo!AN8+Consumo_Inicial!AN8</f>
        <v>11386921.82</v>
      </c>
      <c r="AO8" s="8">
        <f>Renta_Alta!AO8+Masivo!AO8+Consumo_Inicial!AO8</f>
        <v>11478075.789999999</v>
      </c>
      <c r="AP8" s="8">
        <f>Renta_Alta!AP8+Masivo!AP8+Consumo_Inicial!AP8</f>
        <v>11525776.530000001</v>
      </c>
      <c r="AQ8" s="8">
        <f>Renta_Alta!AQ8+Masivo!AQ8+Consumo_Inicial!AQ8</f>
        <v>11574712.004450014</v>
      </c>
      <c r="AR8" s="8">
        <f>Renta_Alta!AR8+Masivo!AR8+Consumo_Inicial!AR8</f>
        <v>11648203.50428278</v>
      </c>
      <c r="AS8" s="8">
        <f>Renta_Alta!AS8+Masivo!AS8+Consumo_Inicial!AS8</f>
        <v>11717730.977596499</v>
      </c>
      <c r="AT8" s="8">
        <f>Renta_Alta!AT8+Masivo!AT8+Consumo_Inicial!AT8</f>
        <v>0</v>
      </c>
      <c r="AU8" s="8">
        <f>Renta_Alta!AU8+Masivo!AU8+Consumo_Inicial!AU8</f>
        <v>0</v>
      </c>
      <c r="AV8" s="8">
        <f>Renta_Alta!AV8+Masivo!AV8+Consumo_Inicial!AV8</f>
        <v>0</v>
      </c>
      <c r="AW8" s="8">
        <f>Renta_Alta!AW8+Masivo!AW8+Consumo_Inicial!AW8</f>
        <v>0</v>
      </c>
      <c r="AX8" s="8">
        <f>Renta_Alta!AX8+Masivo!AX8+Consumo_Inicial!AX8</f>
        <v>0</v>
      </c>
      <c r="AY8" s="8">
        <f>Renta_Alta!AY8+Masivo!AY8+Consumo_Inicial!AY8</f>
        <v>0</v>
      </c>
      <c r="AZ8" s="8">
        <f>Renta_Alta!AZ8+Masivo!AZ8+Consumo_Inicial!AZ8</f>
        <v>11326290.652440311</v>
      </c>
      <c r="BA8" s="8">
        <f>Renta_Alta!BA8+Masivo!BA8+Consumo_Inicial!BA8</f>
        <v>11402292.087759869</v>
      </c>
      <c r="BB8" s="8">
        <f>Renta_Alta!BB8+Masivo!BB8+Consumo_Inicial!BB8</f>
        <v>11438228.994629497</v>
      </c>
      <c r="BC8" s="8">
        <f>Renta_Alta!BC8+Masivo!BC8+Consumo_Inicial!BC8</f>
        <v>11491820.508612284</v>
      </c>
      <c r="BD8" s="8">
        <f>Renta_Alta!BD8+Masivo!BD8+Consumo_Inicial!BD8</f>
        <v>11567080.850775456</v>
      </c>
      <c r="BE8" s="8">
        <f>Renta_Alta!BE8+Masivo!BE8+Consumo_Inicial!BE8</f>
        <v>11649751.017134342</v>
      </c>
      <c r="BF8" s="8">
        <f>Renta_Alta!BF8+Masivo!BF8+Consumo_Inicial!BF8</f>
        <v>11724801.900114397</v>
      </c>
      <c r="BG8" s="8">
        <f>Renta_Alta!BG8+Masivo!BG8+Consumo_Inicial!BG8</f>
        <v>11830711.923617369</v>
      </c>
      <c r="BH8" s="8">
        <f>Renta_Alta!BH8+Masivo!BH8+Consumo_Inicial!BH8</f>
        <v>11929438.907553593</v>
      </c>
      <c r="BI8" s="8">
        <f>Renta_Alta!BI8+Masivo!BI8+Consumo_Inicial!BI8</f>
        <v>12042319.653254448</v>
      </c>
      <c r="BJ8" s="8">
        <f>Renta_Alta!BJ8+Masivo!BJ8+Consumo_Inicial!BJ8</f>
        <v>12137248.20291579</v>
      </c>
      <c r="BK8" s="8">
        <f>Renta_Alta!BK8+Masivo!BK8+Consumo_Inicial!BK8</f>
        <v>12221962.84451507</v>
      </c>
      <c r="BO8" s="24">
        <f t="shared" ref="BO8:BO10" si="4">_xlfn.XLOOKUP(BO$6,$D$6:$BM$6,$D8:$BM8,,0,1)</f>
        <v>11525776.530000001</v>
      </c>
      <c r="BP8" s="24">
        <f>_xlfn.XLOOKUP(BP$6,$D$6:$BM$6,$D8:$BM8,,0,-1)</f>
        <v>11438228.994629497</v>
      </c>
      <c r="BQ8" s="24">
        <f t="shared" ref="BQ8:BT10" si="5">_xlfn.XLOOKUP(BQ$6,$D$6:$BM$6,$D8:$BM8,,0,1)</f>
        <v>11478075.789999999</v>
      </c>
      <c r="BR8" s="24">
        <f t="shared" si="5"/>
        <v>10587477.88690706</v>
      </c>
      <c r="BS8" s="24">
        <f t="shared" si="5"/>
        <v>9915549.8294023983</v>
      </c>
      <c r="BT8" s="24">
        <f t="shared" si="5"/>
        <v>9379816.8292940985</v>
      </c>
    </row>
    <row r="9" spans="1:81" hidden="1" outlineLevel="1" x14ac:dyDescent="0.25">
      <c r="A9" s="11" t="s">
        <v>51</v>
      </c>
      <c r="C9" s="2" t="s">
        <v>1</v>
      </c>
      <c r="D9" s="8">
        <f>Renta_Alta!D9+Masivo!D9+Consumo_Inicial!D9</f>
        <v>34450.125868520001</v>
      </c>
      <c r="E9" s="8">
        <f>Renta_Alta!E9+Masivo!E9+Consumo_Inicial!E9</f>
        <v>33830.323116</v>
      </c>
      <c r="F9" s="8">
        <f>Renta_Alta!F9+Masivo!F9+Consumo_Inicial!F9</f>
        <v>36652.880119999994</v>
      </c>
      <c r="G9" s="8">
        <f>Renta_Alta!G9+Masivo!G9+Consumo_Inicial!G9</f>
        <v>33483.419361999993</v>
      </c>
      <c r="H9" s="8">
        <f>Renta_Alta!H9+Masivo!H9+Consumo_Inicial!H9</f>
        <v>32226.635731000006</v>
      </c>
      <c r="I9" s="8">
        <f>Renta_Alta!I9+Masivo!I9+Consumo_Inicial!I9</f>
        <v>32526.53512</v>
      </c>
      <c r="J9" s="8">
        <f>Renta_Alta!J9+Masivo!J9+Consumo_Inicial!J9</f>
        <v>32175.432251999995</v>
      </c>
      <c r="K9" s="8">
        <f>Renta_Alta!K9+Masivo!K9+Consumo_Inicial!K9</f>
        <v>31298.089395999999</v>
      </c>
      <c r="L9" s="8">
        <f>Renta_Alta!L9+Masivo!L9+Consumo_Inicial!L9</f>
        <v>30645.879686</v>
      </c>
      <c r="M9" s="8">
        <f>Renta_Alta!M9+Masivo!M9+Consumo_Inicial!M9</f>
        <v>33372.025003000002</v>
      </c>
      <c r="N9" s="8">
        <f>Renta_Alta!N9+Masivo!N9+Consumo_Inicial!N9</f>
        <v>33028.707488</v>
      </c>
      <c r="O9" s="8">
        <f>Renta_Alta!O9+Masivo!O9+Consumo_Inicial!O9</f>
        <v>32231.232969000001</v>
      </c>
      <c r="P9" s="8">
        <f>Renta_Alta!P9+Masivo!P9+Consumo_Inicial!P9</f>
        <v>31774.103919000001</v>
      </c>
      <c r="Q9" s="8">
        <f>Renta_Alta!Q9+Masivo!Q9+Consumo_Inicial!Q9</f>
        <v>32094.112188000006</v>
      </c>
      <c r="R9" s="8">
        <f>Renta_Alta!R9+Masivo!R9+Consumo_Inicial!R9</f>
        <v>31857.706951999997</v>
      </c>
      <c r="S9" s="8">
        <f>Renta_Alta!S9+Masivo!S9+Consumo_Inicial!S9</f>
        <v>31416.072474000001</v>
      </c>
      <c r="T9" s="8">
        <f>Renta_Alta!T9+Masivo!T9+Consumo_Inicial!T9</f>
        <v>30206.264951999998</v>
      </c>
      <c r="U9" s="8">
        <f>Renta_Alta!U9+Masivo!U9+Consumo_Inicial!U9</f>
        <v>30052.226316999993</v>
      </c>
      <c r="V9" s="8">
        <f>Renta_Alta!V9+Masivo!V9+Consumo_Inicial!V9</f>
        <v>29685.245795999999</v>
      </c>
      <c r="W9" s="8">
        <f>Renta_Alta!W9+Masivo!W9+Consumo_Inicial!W9</f>
        <v>29273.4143</v>
      </c>
      <c r="X9" s="8">
        <f>Renta_Alta!X9+Masivo!X9+Consumo_Inicial!X9</f>
        <v>29192.855127000003</v>
      </c>
      <c r="Y9" s="8">
        <f>Renta_Alta!Y9+Masivo!Y9+Consumo_Inicial!Y9</f>
        <v>29735.308626999999</v>
      </c>
      <c r="Z9" s="8">
        <f>Renta_Alta!Z9+Masivo!Z9+Consumo_Inicial!Z9</f>
        <v>30027.398087999994</v>
      </c>
      <c r="AA9" s="8">
        <f>Renta_Alta!AA9+Masivo!AA9+Consumo_Inicial!AA9</f>
        <v>30087.711743</v>
      </c>
      <c r="AB9" s="8">
        <f>Renta_Alta!AB9+Masivo!AB9+Consumo_Inicial!AB9</f>
        <v>30240.217034000008</v>
      </c>
      <c r="AC9" s="8">
        <f>Renta_Alta!AC9+Masivo!AC9+Consumo_Inicial!AC9</f>
        <v>29164.129860000005</v>
      </c>
      <c r="AD9" s="8">
        <f>Renta_Alta!AD9+Masivo!AD9+Consumo_Inicial!AD9</f>
        <v>29921.002739999996</v>
      </c>
      <c r="AE9" s="8">
        <f>Renta_Alta!AE9+Masivo!AE9+Consumo_Inicial!AE9</f>
        <v>30095.128513999996</v>
      </c>
      <c r="AF9" s="8">
        <f>Renta_Alta!AF9+Masivo!AF9+Consumo_Inicial!AF9</f>
        <v>29454.603180999999</v>
      </c>
      <c r="AG9" s="8">
        <f>Renta_Alta!AG9+Masivo!AG9+Consumo_Inicial!AG9</f>
        <v>29478.265428999999</v>
      </c>
      <c r="AH9" s="8">
        <f>Renta_Alta!AH9+Masivo!AH9+Consumo_Inicial!AH9</f>
        <v>30110.267646</v>
      </c>
      <c r="AI9" s="8">
        <f>Renta_Alta!AI9+Masivo!AI9+Consumo_Inicial!AI9</f>
        <v>29985.694528</v>
      </c>
      <c r="AJ9" s="8">
        <f>Renta_Alta!AJ9+Masivo!AJ9+Consumo_Inicial!AJ9</f>
        <v>30697.0516412</v>
      </c>
      <c r="AK9" s="8">
        <f>Renta_Alta!AK9+Masivo!AK9+Consumo_Inicial!AK9</f>
        <v>30351.896158799998</v>
      </c>
      <c r="AL9" s="8">
        <f>Renta_Alta!AL9+Masivo!AL9+Consumo_Inicial!AL9</f>
        <v>30784.124582999997</v>
      </c>
      <c r="AM9" s="8">
        <f>Renta_Alta!AM9+Masivo!AM9+Consumo_Inicial!AM9</f>
        <v>31571.498171500003</v>
      </c>
      <c r="AN9" s="8">
        <f>Renta_Alta!AN9+Masivo!AN9+Consumo_Inicial!AN9</f>
        <v>32759.91</v>
      </c>
      <c r="AO9" s="8">
        <f>Renta_Alta!AO9+Masivo!AO9+Consumo_Inicial!AO9</f>
        <v>32640.44</v>
      </c>
      <c r="AP9" s="8">
        <f>Renta_Alta!AP9+Masivo!AP9+Consumo_Inicial!AP9</f>
        <v>34203.919999999998</v>
      </c>
      <c r="AQ9" s="8">
        <f>Renta_Alta!AQ9+Masivo!AQ9+Consumo_Inicial!AQ9</f>
        <v>33818.533268719999</v>
      </c>
      <c r="AR9" s="8">
        <f>Renta_Alta!AR9+Masivo!AR9+Consumo_Inicial!AR9</f>
        <v>33725.610509039994</v>
      </c>
      <c r="AS9" s="8">
        <f>Renta_Alta!AS9+Masivo!AS9+Consumo_Inicial!AS9</f>
        <v>33873.9252653</v>
      </c>
      <c r="AT9" s="8">
        <f>Renta_Alta!AT9+Masivo!AT9+Consumo_Inicial!AT9</f>
        <v>0</v>
      </c>
      <c r="AU9" s="8">
        <f>Renta_Alta!AU9+Masivo!AU9+Consumo_Inicial!AU9</f>
        <v>0</v>
      </c>
      <c r="AV9" s="8">
        <f>Renta_Alta!AV9+Masivo!AV9+Consumo_Inicial!AV9</f>
        <v>0</v>
      </c>
      <c r="AW9" s="8">
        <f>Renta_Alta!AW9+Masivo!AW9+Consumo_Inicial!AW9</f>
        <v>0</v>
      </c>
      <c r="AX9" s="8">
        <f>Renta_Alta!AX9+Masivo!AX9+Consumo_Inicial!AX9</f>
        <v>0</v>
      </c>
      <c r="AY9" s="8">
        <f>Renta_Alta!AY9+Masivo!AY9+Consumo_Inicial!AY9</f>
        <v>0</v>
      </c>
      <c r="AZ9" s="8">
        <f>Renta_Alta!AZ9+Masivo!AZ9+Consumo_Inicial!AZ9</f>
        <v>29843.214847640818</v>
      </c>
      <c r="BA9" s="8">
        <f>Renta_Alta!BA9+Masivo!BA9+Consumo_Inicial!BA9</f>
        <v>29366.411886960803</v>
      </c>
      <c r="BB9" s="8">
        <f>Renta_Alta!BB9+Masivo!BB9+Consumo_Inicial!BB9</f>
        <v>29770.1866803265</v>
      </c>
      <c r="BC9" s="8">
        <f>Renta_Alta!BC9+Masivo!BC9+Consumo_Inicial!BC9</f>
        <v>28471.148011978112</v>
      </c>
      <c r="BD9" s="8">
        <f>Renta_Alta!BD9+Masivo!BD9+Consumo_Inicial!BD9</f>
        <v>28147.913441121833</v>
      </c>
      <c r="BE9" s="8">
        <f>Renta_Alta!BE9+Masivo!BE9+Consumo_Inicial!BE9</f>
        <v>28196.896985181331</v>
      </c>
      <c r="BF9" s="8">
        <f>Renta_Alta!BF9+Masivo!BF9+Consumo_Inicial!BF9</f>
        <v>28569.696004275873</v>
      </c>
      <c r="BG9" s="8">
        <f>Renta_Alta!BG9+Masivo!BG9+Consumo_Inicial!BG9</f>
        <v>28531.251527113993</v>
      </c>
      <c r="BH9" s="8">
        <f>Renta_Alta!BH9+Masivo!BH9+Consumo_Inicial!BH9</f>
        <v>28531.540674741424</v>
      </c>
      <c r="BI9" s="8">
        <f>Renta_Alta!BI9+Masivo!BI9+Consumo_Inicial!BI9</f>
        <v>25782.361859033394</v>
      </c>
      <c r="BJ9" s="8">
        <f>Renta_Alta!BJ9+Masivo!BJ9+Consumo_Inicial!BJ9</f>
        <v>25861.325857001139</v>
      </c>
      <c r="BK9" s="8">
        <f>Renta_Alta!BK9+Masivo!BK9+Consumo_Inicial!BK9</f>
        <v>25869.388221444075</v>
      </c>
      <c r="BO9" s="24">
        <f t="shared" si="4"/>
        <v>34203.919999999998</v>
      </c>
      <c r="BP9" s="24">
        <f t="shared" ref="BP9:BP10" si="6">_xlfn.XLOOKUP(BP$6,$D$6:$BM$6,$D9:$BM9,,0,-1)</f>
        <v>29770.1866803265</v>
      </c>
      <c r="BQ9" s="24">
        <f t="shared" si="5"/>
        <v>32640.44</v>
      </c>
      <c r="BR9" s="24">
        <f t="shared" si="5"/>
        <v>29921.002739999996</v>
      </c>
      <c r="BS9" s="24">
        <f t="shared" si="5"/>
        <v>31857.706951999997</v>
      </c>
      <c r="BT9" s="24">
        <f t="shared" si="5"/>
        <v>36652.880119999994</v>
      </c>
    </row>
    <row r="10" spans="1:81" ht="14.45" hidden="1" customHeight="1" outlineLevel="1" x14ac:dyDescent="0.25">
      <c r="A10" s="11" t="s">
        <v>51</v>
      </c>
      <c r="C10" s="2" t="s">
        <v>45</v>
      </c>
      <c r="D10" s="8">
        <f>Renta_Alta!D10+Masivo!D10+Consumo_Inicial!D10</f>
        <v>246802.44030916001</v>
      </c>
      <c r="E10" s="8">
        <f>Renta_Alta!E10+Masivo!E10+Consumo_Inicial!E10</f>
        <v>248460.61715339994</v>
      </c>
      <c r="F10" s="8">
        <f>Renta_Alta!F10+Masivo!F10+Consumo_Inicial!F10</f>
        <v>249639.31522792004</v>
      </c>
      <c r="G10" s="8">
        <f>Renta_Alta!G10+Masivo!G10+Consumo_Inicial!G10</f>
        <v>253224.16627000005</v>
      </c>
      <c r="H10" s="8">
        <f>Renta_Alta!H10+Masivo!H10+Consumo_Inicial!H10</f>
        <v>265429.47500121995</v>
      </c>
      <c r="I10" s="8">
        <f>Renta_Alta!I10+Masivo!I10+Consumo_Inicial!I10</f>
        <v>265953.29825117998</v>
      </c>
      <c r="J10" s="8">
        <f>Renta_Alta!J10+Masivo!J10+Consumo_Inicial!J10</f>
        <v>266312.89606197993</v>
      </c>
      <c r="K10" s="8">
        <f>Renta_Alta!K10+Masivo!K10+Consumo_Inicial!K10</f>
        <v>270309.72931610001</v>
      </c>
      <c r="L10" s="8">
        <f>Renta_Alta!L10+Masivo!L10+Consumo_Inicial!L10</f>
        <v>276136.75153904001</v>
      </c>
      <c r="M10" s="8">
        <f>Renta_Alta!M10+Masivo!M10+Consumo_Inicial!M10</f>
        <v>281044.93882041995</v>
      </c>
      <c r="N10" s="8">
        <f>Renta_Alta!N10+Masivo!N10+Consumo_Inicial!N10</f>
        <v>287185.04264078004</v>
      </c>
      <c r="O10" s="8">
        <f>Renta_Alta!O10+Masivo!O10+Consumo_Inicial!O10</f>
        <v>280748.95076198992</v>
      </c>
      <c r="P10" s="8">
        <f>Renta_Alta!P10+Masivo!P10+Consumo_Inicial!P10</f>
        <v>300645.08140681998</v>
      </c>
      <c r="Q10" s="8">
        <f>Renta_Alta!Q10+Masivo!Q10+Consumo_Inicial!Q10</f>
        <v>304848.05906199996</v>
      </c>
      <c r="R10" s="8">
        <f>Renta_Alta!R10+Masivo!R10+Consumo_Inicial!R10</f>
        <v>294205.10967955994</v>
      </c>
      <c r="S10" s="8">
        <f>Renta_Alta!S10+Masivo!S10+Consumo_Inicial!S10</f>
        <v>319415.66029124003</v>
      </c>
      <c r="T10" s="8">
        <f>Renta_Alta!T10+Masivo!T10+Consumo_Inicial!T10</f>
        <v>325896.94322763995</v>
      </c>
      <c r="U10" s="8">
        <f>Renta_Alta!U10+Masivo!U10+Consumo_Inicial!U10</f>
        <v>320436.33307557</v>
      </c>
      <c r="V10" s="8">
        <f>Renta_Alta!V10+Masivo!V10+Consumo_Inicial!V10</f>
        <v>317632.39333055005</v>
      </c>
      <c r="W10" s="8">
        <f>Renta_Alta!W10+Masivo!W10+Consumo_Inicial!W10</f>
        <v>311996.68835935998</v>
      </c>
      <c r="X10" s="8">
        <f>Renta_Alta!X10+Masivo!X10+Consumo_Inicial!X10</f>
        <v>314328.63721889007</v>
      </c>
      <c r="Y10" s="8">
        <f>Renta_Alta!Y10+Masivo!Y10+Consumo_Inicial!Y10</f>
        <v>324877.92415064003</v>
      </c>
      <c r="Z10" s="8">
        <f>Renta_Alta!Z10+Masivo!Z10+Consumo_Inicial!Z10</f>
        <v>327927.74879833998</v>
      </c>
      <c r="AA10" s="8">
        <f>Renta_Alta!AA10+Masivo!AA10+Consumo_Inicial!AA10</f>
        <v>334327.05478553998</v>
      </c>
      <c r="AB10" s="8">
        <f>Renta_Alta!AB10+Masivo!AB10+Consumo_Inicial!AB10</f>
        <v>332346.85461588</v>
      </c>
      <c r="AC10" s="8">
        <f>Renta_Alta!AC10+Masivo!AC10+Consumo_Inicial!AC10</f>
        <v>327090.66541134001</v>
      </c>
      <c r="AD10" s="8">
        <f>Renta_Alta!AD10+Masivo!AD10+Consumo_Inicial!AD10</f>
        <v>343769.54418926011</v>
      </c>
      <c r="AE10" s="8">
        <f>Renta_Alta!AE10+Masivo!AE10+Consumo_Inicial!AE10</f>
        <v>339146.41785379994</v>
      </c>
      <c r="AF10" s="8">
        <f>Renta_Alta!AF10+Masivo!AF10+Consumo_Inicial!AF10</f>
        <v>363047.04521406</v>
      </c>
      <c r="AG10" s="8">
        <f>Renta_Alta!AG10+Masivo!AG10+Consumo_Inicial!AG10</f>
        <v>361147.48124876001</v>
      </c>
      <c r="AH10" s="8">
        <f>Renta_Alta!AH10+Masivo!AH10+Consumo_Inicial!AH10</f>
        <v>366484.77543250995</v>
      </c>
      <c r="AI10" s="8">
        <f>Renta_Alta!AI10+Masivo!AI10+Consumo_Inicial!AI10</f>
        <v>367718.15003080002</v>
      </c>
      <c r="AJ10" s="8">
        <f>Renta_Alta!AJ10+Masivo!AJ10+Consumo_Inicial!AJ10</f>
        <v>355552.74137850001</v>
      </c>
      <c r="AK10" s="8">
        <f>Renta_Alta!AK10+Masivo!AK10+Consumo_Inicial!AK10</f>
        <v>363297.54422039998</v>
      </c>
      <c r="AL10" s="8">
        <f>Renta_Alta!AL10+Masivo!AL10+Consumo_Inicial!AL10</f>
        <v>354850.86990722001</v>
      </c>
      <c r="AM10" s="8">
        <f>Renta_Alta!AM10+Masivo!AM10+Consumo_Inicial!AM10</f>
        <v>356174.34822531004</v>
      </c>
      <c r="AN10" s="8">
        <f>Renta_Alta!AN10+Masivo!AN10+Consumo_Inicial!AN10</f>
        <v>351893.49000000005</v>
      </c>
      <c r="AO10" s="8">
        <f>Renta_Alta!AO10+Masivo!AO10+Consumo_Inicial!AO10</f>
        <v>338634.42</v>
      </c>
      <c r="AP10" s="8">
        <f>Renta_Alta!AP10+Masivo!AP10+Consumo_Inicial!AP10</f>
        <v>346980.86</v>
      </c>
      <c r="AQ10" s="8">
        <f>Renta_Alta!AQ10+Masivo!AQ10+Consumo_Inicial!AQ10</f>
        <v>342919.32348556997</v>
      </c>
      <c r="AR10" s="8">
        <f>Renta_Alta!AR10+Masivo!AR10+Consumo_Inicial!AR10</f>
        <v>337485.0124363199</v>
      </c>
      <c r="AS10" s="8">
        <f>Renta_Alta!AS10+Masivo!AS10+Consumo_Inicial!AS10</f>
        <v>353784.62845079997</v>
      </c>
      <c r="AT10" s="8">
        <f>Renta_Alta!AT10+Masivo!AT10+Consumo_Inicial!AT10</f>
        <v>0</v>
      </c>
      <c r="AU10" s="8">
        <f>Renta_Alta!AU10+Masivo!AU10+Consumo_Inicial!AU10</f>
        <v>0</v>
      </c>
      <c r="AV10" s="8">
        <f>Renta_Alta!AV10+Masivo!AV10+Consumo_Inicial!AV10</f>
        <v>0</v>
      </c>
      <c r="AW10" s="8">
        <f>Renta_Alta!AW10+Masivo!AW10+Consumo_Inicial!AW10</f>
        <v>0</v>
      </c>
      <c r="AX10" s="8">
        <f>Renta_Alta!AX10+Masivo!AX10+Consumo_Inicial!AX10</f>
        <v>0</v>
      </c>
      <c r="AY10" s="8">
        <f>Renta_Alta!AY10+Masivo!AY10+Consumo_Inicial!AY10</f>
        <v>0</v>
      </c>
      <c r="AZ10" s="8">
        <f>Renta_Alta!AZ10+Masivo!AZ10+Consumo_Inicial!AZ10</f>
        <v>372831.96275189857</v>
      </c>
      <c r="BA10" s="8">
        <f>Renta_Alta!BA10+Masivo!BA10+Consumo_Inicial!BA10</f>
        <v>369890.05412182515</v>
      </c>
      <c r="BB10" s="8">
        <f>Renta_Alta!BB10+Masivo!BB10+Consumo_Inicial!BB10</f>
        <v>375811.30618258036</v>
      </c>
      <c r="BC10" s="8">
        <f>Renta_Alta!BC10+Masivo!BC10+Consumo_Inicial!BC10</f>
        <v>384054.73018436879</v>
      </c>
      <c r="BD10" s="8">
        <f>Renta_Alta!BD10+Masivo!BD10+Consumo_Inicial!BD10</f>
        <v>378906.22706856299</v>
      </c>
      <c r="BE10" s="8">
        <f>Renta_Alta!BE10+Masivo!BE10+Consumo_Inicial!BE10</f>
        <v>385178.30872103764</v>
      </c>
      <c r="BF10" s="8">
        <f>Renta_Alta!BF10+Masivo!BF10+Consumo_Inicial!BF10</f>
        <v>380551.00111814146</v>
      </c>
      <c r="BG10" s="8">
        <f>Renta_Alta!BG10+Masivo!BG10+Consumo_Inicial!BG10</f>
        <v>383508.78307273018</v>
      </c>
      <c r="BH10" s="8">
        <f>Renta_Alta!BH10+Masivo!BH10+Consumo_Inicial!BH10</f>
        <v>383744.28113190306</v>
      </c>
      <c r="BI10" s="8">
        <f>Renta_Alta!BI10+Masivo!BI10+Consumo_Inicial!BI10</f>
        <v>388773.72830815188</v>
      </c>
      <c r="BJ10" s="8">
        <f>Renta_Alta!BJ10+Masivo!BJ10+Consumo_Inicial!BJ10</f>
        <v>393177.81844519137</v>
      </c>
      <c r="BK10" s="8">
        <f>Renta_Alta!BK10+Masivo!BK10+Consumo_Inicial!BK10</f>
        <v>391039.78600064578</v>
      </c>
      <c r="BO10" s="24">
        <f t="shared" si="4"/>
        <v>346980.86</v>
      </c>
      <c r="BP10" s="24">
        <f t="shared" si="6"/>
        <v>375811.30618258036</v>
      </c>
      <c r="BQ10" s="24">
        <f t="shared" si="5"/>
        <v>338634.42</v>
      </c>
      <c r="BR10" s="24">
        <f t="shared" si="5"/>
        <v>343769.54418926011</v>
      </c>
      <c r="BS10" s="24">
        <f t="shared" si="5"/>
        <v>294205.10967955994</v>
      </c>
      <c r="BT10" s="24">
        <f t="shared" si="5"/>
        <v>249639.31522792004</v>
      </c>
    </row>
    <row r="11" spans="1:81" collapsed="1" x14ac:dyDescent="0.25">
      <c r="C11" s="3" t="s">
        <v>2</v>
      </c>
      <c r="D11" s="10">
        <f>SUM(D8:D10)</f>
        <v>9588231.7687435392</v>
      </c>
      <c r="E11" s="10">
        <f t="shared" ref="E11:AY11" si="7">SUM(E8:E10)</f>
        <v>9626127.9052249417</v>
      </c>
      <c r="F11" s="10">
        <f t="shared" si="7"/>
        <v>9666109.0246420186</v>
      </c>
      <c r="G11" s="10">
        <f t="shared" si="7"/>
        <v>9714809.4002961498</v>
      </c>
      <c r="H11" s="10">
        <f t="shared" si="7"/>
        <v>9761262.7637594696</v>
      </c>
      <c r="I11" s="10">
        <f t="shared" si="7"/>
        <v>9811033.9184034187</v>
      </c>
      <c r="J11" s="10">
        <f t="shared" si="7"/>
        <v>9819008.6402004976</v>
      </c>
      <c r="K11" s="10">
        <f t="shared" si="7"/>
        <v>9883504.6383122485</v>
      </c>
      <c r="L11" s="10">
        <f t="shared" si="7"/>
        <v>9972270.9847639296</v>
      </c>
      <c r="M11" s="10">
        <f t="shared" si="7"/>
        <v>10038863.408272779</v>
      </c>
      <c r="N11" s="10">
        <f t="shared" si="7"/>
        <v>10067565.809619101</v>
      </c>
      <c r="O11" s="10">
        <f t="shared" si="7"/>
        <v>10091349.235453872</v>
      </c>
      <c r="P11" s="10">
        <f t="shared" si="7"/>
        <v>10127947.47477426</v>
      </c>
      <c r="Q11" s="10">
        <f t="shared" si="7"/>
        <v>10192922.125186998</v>
      </c>
      <c r="R11" s="10">
        <f t="shared" si="7"/>
        <v>10241612.646033958</v>
      </c>
      <c r="S11" s="10">
        <f t="shared" si="7"/>
        <v>10305974.82934808</v>
      </c>
      <c r="T11" s="10">
        <f t="shared" si="7"/>
        <v>10345725.00171998</v>
      </c>
      <c r="U11" s="10">
        <f t="shared" si="7"/>
        <v>10402782.124881152</v>
      </c>
      <c r="V11" s="10">
        <f t="shared" si="7"/>
        <v>10459925.973623913</v>
      </c>
      <c r="W11" s="10">
        <f t="shared" si="7"/>
        <v>10535597.367773199</v>
      </c>
      <c r="X11" s="10">
        <f t="shared" si="7"/>
        <v>10612587.57778202</v>
      </c>
      <c r="Y11" s="10">
        <f t="shared" si="7"/>
        <v>10701792.644751439</v>
      </c>
      <c r="Z11" s="10">
        <f t="shared" si="7"/>
        <v>10755615.782637762</v>
      </c>
      <c r="AA11" s="10">
        <f t="shared" si="7"/>
        <v>10825054.587979823</v>
      </c>
      <c r="AB11" s="10">
        <f t="shared" si="7"/>
        <v>10859292.331879282</v>
      </c>
      <c r="AC11" s="10">
        <f t="shared" si="7"/>
        <v>10920434.623513961</v>
      </c>
      <c r="AD11" s="10">
        <f t="shared" si="7"/>
        <v>10961168.433836319</v>
      </c>
      <c r="AE11" s="10">
        <f t="shared" si="7"/>
        <v>11023671.69614565</v>
      </c>
      <c r="AF11" s="10">
        <f t="shared" si="7"/>
        <v>11094038.920744259</v>
      </c>
      <c r="AG11" s="10">
        <f t="shared" si="7"/>
        <v>11178748.282277199</v>
      </c>
      <c r="AH11" s="10">
        <f t="shared" si="7"/>
        <v>11242851.474187618</v>
      </c>
      <c r="AI11" s="10">
        <f t="shared" si="7"/>
        <v>11342408.266542448</v>
      </c>
      <c r="AJ11" s="10">
        <f t="shared" si="7"/>
        <v>11447079.732532799</v>
      </c>
      <c r="AK11" s="10">
        <f t="shared" si="7"/>
        <v>11552340.15777855</v>
      </c>
      <c r="AL11" s="10">
        <f t="shared" si="7"/>
        <v>11652454.99769946</v>
      </c>
      <c r="AM11" s="10">
        <f t="shared" si="7"/>
        <v>11716840.730556883</v>
      </c>
      <c r="AN11" s="10">
        <f t="shared" si="7"/>
        <v>11771575.220000001</v>
      </c>
      <c r="AO11" s="10">
        <f t="shared" si="7"/>
        <v>11849350.649999999</v>
      </c>
      <c r="AP11" s="10">
        <f t="shared" si="7"/>
        <v>11906961.310000001</v>
      </c>
      <c r="AQ11" s="10">
        <f t="shared" si="7"/>
        <v>11951449.861204304</v>
      </c>
      <c r="AR11" s="10">
        <f t="shared" si="7"/>
        <v>12019414.127228139</v>
      </c>
      <c r="AS11" s="10">
        <f t="shared" si="7"/>
        <v>12105389.531312598</v>
      </c>
      <c r="AT11" s="10">
        <f t="shared" si="7"/>
        <v>0</v>
      </c>
      <c r="AU11" s="10">
        <f t="shared" si="7"/>
        <v>0</v>
      </c>
      <c r="AV11" s="10">
        <f t="shared" si="7"/>
        <v>0</v>
      </c>
      <c r="AW11" s="10">
        <f t="shared" si="7"/>
        <v>0</v>
      </c>
      <c r="AX11" s="10">
        <f t="shared" si="7"/>
        <v>0</v>
      </c>
      <c r="AY11" s="10">
        <f t="shared" si="7"/>
        <v>0</v>
      </c>
      <c r="AZ11" s="10">
        <f t="shared" ref="AZ11" si="8">SUM(AZ8:AZ10)</f>
        <v>11728965.830039851</v>
      </c>
      <c r="BA11" s="10">
        <f t="shared" ref="BA11" si="9">SUM(BA8:BA10)</f>
        <v>11801548.553768655</v>
      </c>
      <c r="BB11" s="10">
        <f t="shared" ref="BB11" si="10">SUM(BB8:BB10)</f>
        <v>11843810.487492403</v>
      </c>
      <c r="BC11" s="10">
        <f t="shared" ref="BC11" si="11">SUM(BC8:BC10)</f>
        <v>11904346.386808632</v>
      </c>
      <c r="BD11" s="10">
        <f t="shared" ref="BD11" si="12">SUM(BD8:BD10)</f>
        <v>11974134.991285142</v>
      </c>
      <c r="BE11" s="10">
        <f t="shared" ref="BE11" si="13">SUM(BE8:BE10)</f>
        <v>12063126.222840561</v>
      </c>
      <c r="BF11" s="10">
        <f t="shared" ref="BF11" si="14">SUM(BF8:BF10)</f>
        <v>12133922.597236814</v>
      </c>
      <c r="BG11" s="10">
        <f t="shared" ref="BG11" si="15">SUM(BG8:BG10)</f>
        <v>12242751.958217213</v>
      </c>
      <c r="BH11" s="10">
        <f t="shared" ref="BH11" si="16">SUM(BH8:BH10)</f>
        <v>12341714.729360238</v>
      </c>
      <c r="BI11" s="10">
        <f t="shared" ref="BI11" si="17">SUM(BI8:BI10)</f>
        <v>12456875.743421633</v>
      </c>
      <c r="BJ11" s="10">
        <f t="shared" ref="BJ11" si="18">SUM(BJ8:BJ10)</f>
        <v>12556287.347217981</v>
      </c>
      <c r="BK11" s="10">
        <f t="shared" ref="BK11" si="19">SUM(BK8:BK10)</f>
        <v>12638872.018737162</v>
      </c>
      <c r="BO11" s="23">
        <f>SUM(BO8:BO10)</f>
        <v>11906961.310000001</v>
      </c>
      <c r="BP11" s="23">
        <f>SUM(BP8:BP10)</f>
        <v>11843810.487492403</v>
      </c>
      <c r="BQ11" s="23">
        <f t="shared" ref="BQ11:BT11" si="20">SUM(BQ8:BQ10)</f>
        <v>11849350.649999999</v>
      </c>
      <c r="BR11" s="23">
        <f t="shared" si="20"/>
        <v>10961168.433836319</v>
      </c>
      <c r="BS11" s="23">
        <f t="shared" si="20"/>
        <v>10241612.646033958</v>
      </c>
      <c r="BT11" s="23">
        <f t="shared" si="20"/>
        <v>9666109.0246420186</v>
      </c>
    </row>
    <row r="12" spans="1:81" x14ac:dyDescent="0.25">
      <c r="D12" s="9"/>
    </row>
    <row r="14" spans="1:81" hidden="1" outlineLevel="1" x14ac:dyDescent="0.25">
      <c r="A14" s="11" t="s">
        <v>52</v>
      </c>
      <c r="C14" s="2" t="s">
        <v>0</v>
      </c>
      <c r="D14" s="8">
        <f>Renta_Alta!D14+Masivo!D14+Consumo_Inicial!D14</f>
        <v>9257226.0599262193</v>
      </c>
      <c r="E14" s="8">
        <f>Renta_Alta!E14+Masivo!E14+Consumo_Inicial!E14</f>
        <v>9300808.0004779492</v>
      </c>
      <c r="F14" s="8">
        <f>Renta_Alta!F14+Masivo!F14+Consumo_Inicial!F14</f>
        <v>9331212.7951529995</v>
      </c>
      <c r="G14" s="8">
        <f>Renta_Alta!G14+Masivo!G14+Consumo_Inicial!G14</f>
        <v>9371473.2039145995</v>
      </c>
      <c r="H14" s="8">
        <f>Renta_Alta!H14+Masivo!H14+Consumo_Inicial!H14</f>
        <v>9412260.8619280998</v>
      </c>
      <c r="I14" s="8">
        <f>Renta_Alta!I14+Masivo!I14+Consumo_Inicial!I14</f>
        <v>9461220.7277274989</v>
      </c>
      <c r="J14" s="8">
        <f>Renta_Alta!J14+Masivo!J14+Consumo_Inicial!J14</f>
        <v>9506413.5743523091</v>
      </c>
      <c r="K14" s="8">
        <f>Renta_Alta!K14+Masivo!K14+Consumo_Inicial!K14</f>
        <v>9526935.6340961996</v>
      </c>
      <c r="L14" s="8">
        <f>Renta_Alta!L14+Masivo!L14+Consumo_Inicial!L14</f>
        <v>9592630.8490344305</v>
      </c>
      <c r="M14" s="8">
        <f>Renta_Alta!M14+Masivo!M14+Consumo_Inicial!M14</f>
        <v>9669507.7116371002</v>
      </c>
      <c r="N14" s="8">
        <f>Renta_Alta!N14+Masivo!N14+Consumo_Inicial!N14</f>
        <v>9702552.1762100812</v>
      </c>
      <c r="O14" s="8">
        <f>Renta_Alta!O14+Masivo!O14+Consumo_Inicial!O14</f>
        <v>9739162.9613283724</v>
      </c>
      <c r="P14" s="8">
        <f>Renta_Alta!P14+Masivo!P14+Consumo_Inicial!P14</f>
        <v>9747695.4353680797</v>
      </c>
      <c r="Q14" s="8">
        <f>Renta_Alta!Q14+Masivo!Q14+Consumo_Inicial!Q14</f>
        <v>9799686.0989566613</v>
      </c>
      <c r="R14" s="8">
        <f>Renta_Alta!R14+Masivo!R14+Consumo_Inicial!R14</f>
        <v>9850997.1308992617</v>
      </c>
      <c r="S14" s="8">
        <f>Renta_Alta!S14+Masivo!S14+Consumo_Inicial!S14</f>
        <v>9886753.7703361996</v>
      </c>
      <c r="T14" s="8">
        <f>Renta_Alta!T14+Masivo!T14+Consumo_Inicial!T14</f>
        <v>9929376.2210489996</v>
      </c>
      <c r="U14" s="8">
        <f>Renta_Alta!U14+Masivo!U14+Consumo_Inicial!U14</f>
        <v>9977507.8512796219</v>
      </c>
      <c r="V14" s="8">
        <f>Renta_Alta!V14+Masivo!V14+Consumo_Inicial!V14</f>
        <v>10052929.584745342</v>
      </c>
      <c r="W14" s="8">
        <f>Renta_Alta!W14+Masivo!W14+Consumo_Inicial!W14</f>
        <v>10107129.939942988</v>
      </c>
      <c r="X14" s="8">
        <f>Renta_Alta!X14+Masivo!X14+Consumo_Inicial!X14</f>
        <v>10199955.090073062</v>
      </c>
      <c r="Y14" s="8">
        <f>Renta_Alta!Y14+Masivo!Y14+Consumo_Inicial!Y14</f>
        <v>10270733.4478918</v>
      </c>
      <c r="Z14" s="8">
        <f>Renta_Alta!Z14+Masivo!Z14+Consumo_Inicial!Z14</f>
        <v>10330535.161615919</v>
      </c>
      <c r="AA14" s="8">
        <f>Renta_Alta!AA14+Masivo!AA14+Consumo_Inicial!AA14</f>
        <v>10383537.15198105</v>
      </c>
      <c r="AB14" s="8">
        <f>Renta_Alta!AB14+Masivo!AB14+Consumo_Inicial!AB14</f>
        <v>10432588.92905288</v>
      </c>
      <c r="AC14" s="8">
        <f>Renta_Alta!AC14+Masivo!AC14+Consumo_Inicial!AC14</f>
        <v>10481241.961297</v>
      </c>
      <c r="AD14" s="8">
        <f>Renta_Alta!AD14+Masivo!AD14+Consumo_Inicial!AD14</f>
        <v>10528771.344747979</v>
      </c>
      <c r="AE14" s="8">
        <f>Renta_Alta!AE14+Masivo!AE14+Consumo_Inicial!AE14</f>
        <v>10574549.954997713</v>
      </c>
      <c r="AF14" s="8">
        <f>Renta_Alta!AF14+Masivo!AF14+Consumo_Inicial!AF14</f>
        <v>10623446.366065003</v>
      </c>
      <c r="AG14" s="8">
        <f>Renta_Alta!AG14+Masivo!AG14+Consumo_Inicial!AG14</f>
        <v>10695915.6870653</v>
      </c>
      <c r="AH14" s="8">
        <f>Renta_Alta!AH14+Masivo!AH14+Consumo_Inicial!AH14</f>
        <v>10778106.46800624</v>
      </c>
      <c r="AI14" s="8">
        <f>Renta_Alta!AI14+Masivo!AI14+Consumo_Inicial!AI14</f>
        <v>10845038.777288852</v>
      </c>
      <c r="AJ14" s="8">
        <f>Renta_Alta!AJ14+Masivo!AJ14+Consumo_Inicial!AJ14</f>
        <v>10952915.951011669</v>
      </c>
      <c r="AK14" s="8">
        <f>Renta_Alta!AK14+Masivo!AK14+Consumo_Inicial!AK14</f>
        <v>11044829.9881327</v>
      </c>
      <c r="AL14" s="8">
        <f>Renta_Alta!AL14+Masivo!AL14+Consumo_Inicial!AL14</f>
        <v>11151643.981318271</v>
      </c>
      <c r="AM14" s="8">
        <f>Renta_Alta!AM14+Masivo!AM14+Consumo_Inicial!AM14</f>
        <v>11241529.555046061</v>
      </c>
      <c r="AN14" s="8">
        <f>Renta_Alta!AN14+Masivo!AN14+Consumo_Inicial!AN14</f>
        <v>11298411.280000001</v>
      </c>
      <c r="AO14" s="8">
        <f>Renta_Alta!AO14+Masivo!AO14+Consumo_Inicial!AO14</f>
        <v>11375328.35</v>
      </c>
      <c r="AP14" s="8">
        <f>Renta_Alta!AP14+Masivo!AP14+Consumo_Inicial!AP14</f>
        <v>11451669.57</v>
      </c>
      <c r="AQ14" s="8">
        <f>Renta_Alta!AQ14+Masivo!AQ14+Consumo_Inicial!AQ14</f>
        <v>11484136.814052707</v>
      </c>
      <c r="AR14" s="8">
        <f>Renta_Alta!AR14+Masivo!AR14+Consumo_Inicial!AR14</f>
        <v>11551324.845299371</v>
      </c>
      <c r="AS14" s="8">
        <f>Renta_Alta!AS14+Masivo!AS14+Consumo_Inicial!AS14</f>
        <v>11623774.813821055</v>
      </c>
      <c r="AT14" s="8">
        <f>Renta_Alta!AT14+Masivo!AT14+Consumo_Inicial!AT14</f>
        <v>0</v>
      </c>
      <c r="AU14" s="8">
        <f>Renta_Alta!AU14+Masivo!AU14+Consumo_Inicial!AU14</f>
        <v>0</v>
      </c>
      <c r="AV14" s="8">
        <f>Renta_Alta!AV14+Masivo!AV14+Consumo_Inicial!AV14</f>
        <v>0</v>
      </c>
      <c r="AW14" s="8">
        <f>Renta_Alta!AW14+Masivo!AW14+Consumo_Inicial!AW14</f>
        <v>0</v>
      </c>
      <c r="AX14" s="8">
        <f>Renta_Alta!AX14+Masivo!AX14+Consumo_Inicial!AX14</f>
        <v>0</v>
      </c>
      <c r="AY14" s="8">
        <f>Renta_Alta!AY14+Masivo!AY14+Consumo_Inicial!AY14</f>
        <v>0</v>
      </c>
      <c r="AZ14" s="8">
        <f>Renta_Alta!AZ14+Masivo!AZ14+Consumo_Inicial!AZ14</f>
        <v>11236598.211234367</v>
      </c>
      <c r="BA14" s="8">
        <f>Renta_Alta!BA14+Masivo!BA14+Consumo_Inicial!BA14</f>
        <v>11308144.365209246</v>
      </c>
      <c r="BB14" s="8">
        <f>Renta_Alta!BB14+Masivo!BB14+Consumo_Inicial!BB14</f>
        <v>11344716.353114665</v>
      </c>
      <c r="BC14" s="8">
        <f>Renta_Alta!BC14+Masivo!BC14+Consumo_Inicial!BC14</f>
        <v>11400120.542960124</v>
      </c>
      <c r="BD14" s="8">
        <f>Renta_Alta!BD14+Masivo!BD14+Consumo_Inicial!BD14</f>
        <v>11474111.907668257</v>
      </c>
      <c r="BE14" s="8">
        <f>Renta_Alta!BE14+Masivo!BE14+Consumo_Inicial!BE14</f>
        <v>11555757.941081723</v>
      </c>
      <c r="BF14" s="8">
        <f>Renta_Alta!BF14+Masivo!BF14+Consumo_Inicial!BF14</f>
        <v>11629965.81201704</v>
      </c>
      <c r="BG14" s="8">
        <f>Renta_Alta!BG14+Masivo!BG14+Consumo_Inicial!BG14</f>
        <v>11734623.124391818</v>
      </c>
      <c r="BH14" s="8">
        <f>Renta_Alta!BH14+Masivo!BH14+Consumo_Inicial!BH14</f>
        <v>11832785.067605842</v>
      </c>
      <c r="BI14" s="8">
        <f>Renta_Alta!BI14+Masivo!BI14+Consumo_Inicial!BI14</f>
        <v>11944852.399387859</v>
      </c>
      <c r="BJ14" s="8">
        <f>Renta_Alta!BJ14+Masivo!BJ14+Consumo_Inicial!BJ14</f>
        <v>12038775.869250963</v>
      </c>
      <c r="BK14" s="8">
        <f>Renta_Alta!BK14+Masivo!BK14+Consumo_Inicial!BK14</f>
        <v>12122644.542318741</v>
      </c>
      <c r="BO14" s="24">
        <f t="shared" ref="BO14:BT16" si="21">IFERROR(AVERAGEIFS($D14:$BM14,$D$6:$BM$6,"&gt;="&amp;BO$2,$D$6:$BM$6,"&lt;="&amp;BO$6,$D$5:$BM$5,BO$5,$D14:$BM14,"&lt;&gt;0"),0)</f>
        <v>11375136.4</v>
      </c>
      <c r="BP14" s="24">
        <f t="shared" si="21"/>
        <v>11296486.309852758</v>
      </c>
      <c r="BQ14" s="24">
        <f t="shared" si="21"/>
        <v>11336869.815000001</v>
      </c>
      <c r="BR14" s="24">
        <f t="shared" si="21"/>
        <v>10480867.411699286</v>
      </c>
      <c r="BS14" s="24">
        <f t="shared" si="21"/>
        <v>9799459.5550746676</v>
      </c>
      <c r="BT14" s="24">
        <f t="shared" si="21"/>
        <v>9296415.6185190547</v>
      </c>
      <c r="BW14" s="24">
        <f t="shared" ref="BW14:CB16" si="22">SUMIFS($D14:$BM14,$D$6:$BM$6,"&gt;="&amp;BO$2,$D$6:$BM$6,"&lt;="&amp;BO$6,$D$5:$BM$5,BO$5)</f>
        <v>34125409.200000003</v>
      </c>
      <c r="BX14" s="24">
        <f t="shared" si="22"/>
        <v>33889458.929558277</v>
      </c>
      <c r="BY14" s="24">
        <f t="shared" si="22"/>
        <v>22673739.630000003</v>
      </c>
      <c r="BZ14" s="24">
        <f t="shared" si="22"/>
        <v>31442602.235097859</v>
      </c>
      <c r="CA14" s="24">
        <f t="shared" si="22"/>
        <v>29398378.665224005</v>
      </c>
      <c r="CB14" s="24">
        <f t="shared" si="22"/>
        <v>27889246.855557166</v>
      </c>
    </row>
    <row r="15" spans="1:81" hidden="1" outlineLevel="1" x14ac:dyDescent="0.25">
      <c r="A15" s="11" t="s">
        <v>52</v>
      </c>
      <c r="C15" s="2" t="s">
        <v>1</v>
      </c>
      <c r="D15" s="8">
        <f>Renta_Alta!D15+Masivo!D15+Consumo_Inicial!D15</f>
        <v>33664.68750493</v>
      </c>
      <c r="E15" s="8">
        <f>Renta_Alta!E15+Masivo!E15+Consumo_Inicial!E15</f>
        <v>33016.353656699997</v>
      </c>
      <c r="F15" s="8">
        <f>Renta_Alta!F15+Masivo!F15+Consumo_Inicial!F15</f>
        <v>33680.967703000002</v>
      </c>
      <c r="G15" s="8">
        <f>Renta_Alta!G15+Masivo!G15+Consumo_Inicial!G15</f>
        <v>35462.042327679999</v>
      </c>
      <c r="H15" s="8">
        <f>Renta_Alta!H15+Masivo!H15+Consumo_Inicial!H15</f>
        <v>32168.941914999999</v>
      </c>
      <c r="I15" s="8">
        <f>Renta_Alta!I15+Masivo!I15+Consumo_Inicial!I15</f>
        <v>31816.475266999998</v>
      </c>
      <c r="J15" s="8">
        <f>Renta_Alta!J15+Masivo!J15+Consumo_Inicial!J15</f>
        <v>31950.150091999996</v>
      </c>
      <c r="K15" s="8">
        <f>Renta_Alta!K15+Masivo!K15+Consumo_Inicial!K15</f>
        <v>31049.96227</v>
      </c>
      <c r="L15" s="8">
        <f>Renta_Alta!L15+Masivo!L15+Consumo_Inicial!L15</f>
        <v>30140.273293000002</v>
      </c>
      <c r="M15" s="8">
        <f>Renta_Alta!M15+Masivo!M15+Consumo_Inicial!M15</f>
        <v>31185.569309999999</v>
      </c>
      <c r="N15" s="8">
        <f>Renta_Alta!N15+Masivo!N15+Consumo_Inicial!N15</f>
        <v>32287.885033999999</v>
      </c>
      <c r="O15" s="8">
        <f>Renta_Alta!O15+Masivo!O15+Consumo_Inicial!O15</f>
        <v>32022.883992000003</v>
      </c>
      <c r="P15" s="8">
        <f>Renta_Alta!P15+Masivo!P15+Consumo_Inicial!P15</f>
        <v>31388.609351000003</v>
      </c>
      <c r="Q15" s="8">
        <f>Renta_Alta!Q15+Masivo!Q15+Consumo_Inicial!Q15</f>
        <v>31114.788418999997</v>
      </c>
      <c r="R15" s="8">
        <f>Renta_Alta!R15+Masivo!R15+Consumo_Inicial!R15</f>
        <v>31397.627214</v>
      </c>
      <c r="S15" s="8">
        <f>Renta_Alta!S15+Masivo!S15+Consumo_Inicial!S15</f>
        <v>31076.223066999999</v>
      </c>
      <c r="T15" s="8">
        <f>Renta_Alta!T15+Masivo!T15+Consumo_Inicial!T15</f>
        <v>29863.766595999998</v>
      </c>
      <c r="U15" s="8">
        <f>Renta_Alta!U15+Masivo!U15+Consumo_Inicial!U15</f>
        <v>29615.935447000003</v>
      </c>
      <c r="V15" s="8">
        <f>Renta_Alta!V15+Masivo!V15+Consumo_Inicial!V15</f>
        <v>29302.929525</v>
      </c>
      <c r="W15" s="8">
        <f>Renta_Alta!W15+Masivo!W15+Consumo_Inicial!W15</f>
        <v>28825.368410999999</v>
      </c>
      <c r="X15" s="8">
        <f>Renta_Alta!X15+Masivo!X15+Consumo_Inicial!X15</f>
        <v>28553.898128000001</v>
      </c>
      <c r="Y15" s="8">
        <f>Renta_Alta!Y15+Masivo!Y15+Consumo_Inicial!Y15</f>
        <v>28960.984007999999</v>
      </c>
      <c r="Z15" s="8">
        <f>Renta_Alta!Z15+Masivo!Z15+Consumo_Inicial!Z15</f>
        <v>29059.660706999999</v>
      </c>
      <c r="AA15" s="8">
        <f>Renta_Alta!AA15+Masivo!AA15+Consumo_Inicial!AA15</f>
        <v>29033.65149</v>
      </c>
      <c r="AB15" s="8">
        <f>Renta_Alta!AB15+Masivo!AB15+Consumo_Inicial!AB15</f>
        <v>30006.003107000004</v>
      </c>
      <c r="AC15" s="8">
        <f>Renta_Alta!AC15+Masivo!AC15+Consumo_Inicial!AC15</f>
        <v>29209.503111999999</v>
      </c>
      <c r="AD15" s="8">
        <f>Renta_Alta!AD15+Masivo!AD15+Consumo_Inicial!AD15</f>
        <v>29133.808720000001</v>
      </c>
      <c r="AE15" s="8">
        <f>Renta_Alta!AE15+Masivo!AE15+Consumo_Inicial!AE15</f>
        <v>30124.895724000002</v>
      </c>
      <c r="AF15" s="8">
        <f>Renta_Alta!AF15+Masivo!AF15+Consumo_Inicial!AF15</f>
        <v>29582.486515999997</v>
      </c>
      <c r="AG15" s="8">
        <f>Renta_Alta!AG15+Masivo!AG15+Consumo_Inicial!AG15</f>
        <v>29337.699035000001</v>
      </c>
      <c r="AH15" s="8">
        <f>Renta_Alta!AH15+Masivo!AH15+Consumo_Inicial!AH15</f>
        <v>30072.738721000002</v>
      </c>
      <c r="AI15" s="8">
        <f>Renta_Alta!AI15+Masivo!AI15+Consumo_Inicial!AI15</f>
        <v>29860.630967999998</v>
      </c>
      <c r="AJ15" s="8">
        <f>Renta_Alta!AJ15+Masivo!AJ15+Consumo_Inicial!AJ15</f>
        <v>30097.715786000001</v>
      </c>
      <c r="AK15" s="8">
        <f>Renta_Alta!AK15+Masivo!AK15+Consumo_Inicial!AK15</f>
        <v>30328.433640900003</v>
      </c>
      <c r="AL15" s="8">
        <f>Renta_Alta!AL15+Masivo!AL15+Consumo_Inicial!AL15</f>
        <v>30392.644781000003</v>
      </c>
      <c r="AM15" s="8">
        <f>Renta_Alta!AM15+Masivo!AM15+Consumo_Inicial!AM15</f>
        <v>30539.203081</v>
      </c>
      <c r="AN15" s="8">
        <f>Renta_Alta!AN15+Masivo!AN15+Consumo_Inicial!AN15</f>
        <v>32199.99</v>
      </c>
      <c r="AO15" s="8">
        <f>Renta_Alta!AO15+Masivo!AO15+Consumo_Inicial!AO15</f>
        <v>31737.910000000003</v>
      </c>
      <c r="AP15" s="8">
        <f>Renta_Alta!AP15+Masivo!AP15+Consumo_Inicial!AP15</f>
        <v>33692.729999999996</v>
      </c>
      <c r="AQ15" s="8">
        <f>Renta_Alta!AQ15+Masivo!AQ15+Consumo_Inicial!AQ15</f>
        <v>33479.589350540002</v>
      </c>
      <c r="AR15" s="8">
        <f>Renta_Alta!AR15+Masivo!AR15+Consumo_Inicial!AR15</f>
        <v>33631.278909660003</v>
      </c>
      <c r="AS15" s="8">
        <f>Renta_Alta!AS15+Masivo!AS15+Consumo_Inicial!AS15</f>
        <v>32715.558494850015</v>
      </c>
      <c r="AT15" s="8">
        <f>Renta_Alta!AT15+Masivo!AT15+Consumo_Inicial!AT15</f>
        <v>0</v>
      </c>
      <c r="AU15" s="8">
        <f>Renta_Alta!AU15+Masivo!AU15+Consumo_Inicial!AU15</f>
        <v>0</v>
      </c>
      <c r="AV15" s="8">
        <f>Renta_Alta!AV15+Masivo!AV15+Consumo_Inicial!AV15</f>
        <v>0</v>
      </c>
      <c r="AW15" s="8">
        <f>Renta_Alta!AW15+Masivo!AW15+Consumo_Inicial!AW15</f>
        <v>0</v>
      </c>
      <c r="AX15" s="8">
        <f>Renta_Alta!AX15+Masivo!AX15+Consumo_Inicial!AX15</f>
        <v>0</v>
      </c>
      <c r="AY15" s="8">
        <f>Renta_Alta!AY15+Masivo!AY15+Consumo_Inicial!AY15</f>
        <v>0</v>
      </c>
      <c r="AZ15" s="8">
        <f>Renta_Alta!AZ15+Masivo!AZ15+Consumo_Inicial!AZ15</f>
        <v>29611.859202446081</v>
      </c>
      <c r="BA15" s="8">
        <f>Renta_Alta!BA15+Masivo!BA15+Consumo_Inicial!BA15</f>
        <v>29125.214466432881</v>
      </c>
      <c r="BB15" s="8">
        <f>Renta_Alta!BB15+Masivo!BB15+Consumo_Inicial!BB15</f>
        <v>29533.240684444303</v>
      </c>
      <c r="BC15" s="8">
        <f>Renta_Alta!BC15+Masivo!BC15+Consumo_Inicial!BC15</f>
        <v>28235.574414945193</v>
      </c>
      <c r="BD15" s="8">
        <f>Renta_Alta!BD15+Masivo!BD15+Consumo_Inicial!BD15</f>
        <v>27915.117670654916</v>
      </c>
      <c r="BE15" s="8">
        <f>Renta_Alta!BE15+Masivo!BE15+Consumo_Inicial!BE15</f>
        <v>27963.531966441951</v>
      </c>
      <c r="BF15" s="8">
        <f>Renta_Alta!BF15+Masivo!BF15+Consumo_Inicial!BF15</f>
        <v>28334.826046468585</v>
      </c>
      <c r="BG15" s="8">
        <f>Renta_Alta!BG15+Masivo!BG15+Consumo_Inicial!BG15</f>
        <v>28295.464917469675</v>
      </c>
      <c r="BH15" s="8">
        <f>Renta_Alta!BH15+Masivo!BH15+Consumo_Inicial!BH15</f>
        <v>28297.303926844354</v>
      </c>
      <c r="BI15" s="8">
        <f>Renta_Alta!BI15+Masivo!BI15+Consumo_Inicial!BI15</f>
        <v>25557.814102962555</v>
      </c>
      <c r="BJ15" s="8">
        <f>Renta_Alta!BJ15+Masivo!BJ15+Consumo_Inicial!BJ15</f>
        <v>25636.429821796533</v>
      </c>
      <c r="BK15" s="8">
        <f>Renta_Alta!BK15+Masivo!BK15+Consumo_Inicial!BK15</f>
        <v>25645.237967554924</v>
      </c>
      <c r="BO15" s="24">
        <f t="shared" si="21"/>
        <v>32543.543333333335</v>
      </c>
      <c r="BP15" s="24">
        <f t="shared" si="21"/>
        <v>29423.438117774422</v>
      </c>
      <c r="BQ15" s="24">
        <f t="shared" si="21"/>
        <v>31968.950000000004</v>
      </c>
      <c r="BR15" s="24">
        <f t="shared" si="21"/>
        <v>29449.771646333335</v>
      </c>
      <c r="BS15" s="24">
        <f t="shared" si="21"/>
        <v>31300.341661333328</v>
      </c>
      <c r="BT15" s="24">
        <f t="shared" si="21"/>
        <v>33454.002954876669</v>
      </c>
      <c r="BW15" s="24">
        <f t="shared" si="22"/>
        <v>97630.63</v>
      </c>
      <c r="BX15" s="24">
        <f t="shared" si="22"/>
        <v>88270.314353323265</v>
      </c>
      <c r="BY15" s="24">
        <f t="shared" si="22"/>
        <v>63937.900000000009</v>
      </c>
      <c r="BZ15" s="24">
        <f t="shared" si="22"/>
        <v>88349.314939000004</v>
      </c>
      <c r="CA15" s="24">
        <f t="shared" si="22"/>
        <v>93901.024983999989</v>
      </c>
      <c r="CB15" s="24">
        <f t="shared" si="22"/>
        <v>100362.00886463</v>
      </c>
    </row>
    <row r="16" spans="1:81" hidden="1" outlineLevel="1" x14ac:dyDescent="0.25">
      <c r="A16" s="11" t="s">
        <v>52</v>
      </c>
      <c r="C16" s="2" t="s">
        <v>45</v>
      </c>
      <c r="D16" s="8">
        <f>Renta_Alta!D16+Masivo!D16+Consumo_Inicial!D16</f>
        <v>250475.73108632999</v>
      </c>
      <c r="E16" s="8">
        <f>Renta_Alta!E16+Masivo!E16+Consumo_Inicial!E16</f>
        <v>250988.20809968995</v>
      </c>
      <c r="F16" s="8">
        <f>Renta_Alta!F16+Masivo!F16+Consumo_Inicial!F16</f>
        <v>256054.79527120004</v>
      </c>
      <c r="G16" s="8">
        <f>Renta_Alta!G16+Masivo!G16+Consumo_Inicial!G16</f>
        <v>258747.31587515995</v>
      </c>
      <c r="H16" s="8">
        <f>Renta_Alta!H16+Masivo!H16+Consumo_Inicial!H16</f>
        <v>266957.02190186008</v>
      </c>
      <c r="I16" s="8">
        <f>Renta_Alta!I16+Masivo!I16+Consumo_Inicial!I16</f>
        <v>269070.21948700002</v>
      </c>
      <c r="J16" s="8">
        <f>Renta_Alta!J16+Masivo!J16+Consumo_Inicial!J16</f>
        <v>264874.70050917001</v>
      </c>
      <c r="K16" s="8">
        <f>Renta_Alta!K16+Masivo!K16+Consumo_Inicial!K16</f>
        <v>270189.02802590007</v>
      </c>
      <c r="L16" s="8">
        <f>Renta_Alta!L16+Masivo!L16+Consumo_Inicial!L16</f>
        <v>277017.93273902999</v>
      </c>
      <c r="M16" s="8">
        <f>Renta_Alta!M16+Masivo!M16+Consumo_Inicial!M16</f>
        <v>282404.04114064993</v>
      </c>
      <c r="N16" s="8">
        <f>Renta_Alta!N16+Masivo!N16+Consumo_Inicial!N16</f>
        <v>290615.26805705996</v>
      </c>
      <c r="O16" s="8">
        <f>Renta_Alta!O16+Masivo!O16+Consumo_Inicial!O16</f>
        <v>288114.40040431003</v>
      </c>
      <c r="P16" s="8">
        <f>Renta_Alta!P16+Masivo!P16+Consumo_Inicial!P16</f>
        <v>299603.89699944004</v>
      </c>
      <c r="Q16" s="8">
        <f>Renta_Alta!Q16+Masivo!Q16+Consumo_Inicial!Q16</f>
        <v>305940.01039277989</v>
      </c>
      <c r="R16" s="8">
        <f>Renta_Alta!R16+Masivo!R16+Consumo_Inicial!R16</f>
        <v>306654.19162747997</v>
      </c>
      <c r="S16" s="8">
        <f>Renta_Alta!S16+Masivo!S16+Consumo_Inicial!S16</f>
        <v>319837.71864367992</v>
      </c>
      <c r="T16" s="8">
        <f>Renta_Alta!T16+Masivo!T16+Consumo_Inicial!T16</f>
        <v>329146.90274989995</v>
      </c>
      <c r="U16" s="8">
        <f>Renta_Alta!U16+Masivo!U16+Consumo_Inicial!U16</f>
        <v>335915.58679579996</v>
      </c>
      <c r="V16" s="8">
        <f>Renta_Alta!V16+Masivo!V16+Consumo_Inicial!V16</f>
        <v>327420.235659</v>
      </c>
      <c r="W16" s="8">
        <f>Renta_Alta!W16+Masivo!W16+Consumo_Inicial!W16</f>
        <v>322384.69294405996</v>
      </c>
      <c r="X16" s="8">
        <f>Renta_Alta!X16+Masivo!X16+Consumo_Inicial!X16</f>
        <v>319941.02421054</v>
      </c>
      <c r="Y16" s="8">
        <f>Renta_Alta!Y16+Masivo!Y16+Consumo_Inicial!Y16</f>
        <v>314961.81859668001</v>
      </c>
      <c r="Z16" s="8">
        <f>Renta_Alta!Z16+Masivo!Z16+Consumo_Inicial!Z16</f>
        <v>330968.16151728004</v>
      </c>
      <c r="AA16" s="8">
        <f>Renta_Alta!AA16+Masivo!AA16+Consumo_Inicial!AA16</f>
        <v>334881.68431749992</v>
      </c>
      <c r="AB16" s="8">
        <f>Renta_Alta!AB16+Masivo!AB16+Consumo_Inicial!AB16</f>
        <v>336830.26982804999</v>
      </c>
      <c r="AC16" s="8">
        <f>Renta_Alta!AC16+Masivo!AC16+Consumo_Inicial!AC16</f>
        <v>338850.01500399999</v>
      </c>
      <c r="AD16" s="8">
        <f>Renta_Alta!AD16+Masivo!AD16+Consumo_Inicial!AD16</f>
        <v>347248.64839410997</v>
      </c>
      <c r="AE16" s="8">
        <f>Renta_Alta!AE16+Masivo!AE16+Consumo_Inicial!AE16</f>
        <v>351935.24420632998</v>
      </c>
      <c r="AF16" s="8">
        <f>Renta_Alta!AF16+Masivo!AF16+Consumo_Inicial!AF16</f>
        <v>365999.8628327999</v>
      </c>
      <c r="AG16" s="8">
        <f>Renta_Alta!AG16+Masivo!AG16+Consumo_Inicial!AG16</f>
        <v>371695.33138821996</v>
      </c>
      <c r="AH16" s="8">
        <f>Renta_Alta!AH16+Masivo!AH16+Consumo_Inicial!AH16</f>
        <v>365640.32965312008</v>
      </c>
      <c r="AI16" s="8">
        <f>Renta_Alta!AI16+Masivo!AI16+Consumo_Inicial!AI16</f>
        <v>370426.73745900003</v>
      </c>
      <c r="AJ16" s="8">
        <f>Renta_Alta!AJ16+Masivo!AJ16+Consumo_Inicial!AJ16</f>
        <v>363089.31727121008</v>
      </c>
      <c r="AK16" s="8">
        <f>Renta_Alta!AK16+Masivo!AK16+Consumo_Inicial!AK16</f>
        <v>368332.69970861997</v>
      </c>
      <c r="AL16" s="8">
        <f>Renta_Alta!AL16+Masivo!AL16+Consumo_Inicial!AL16</f>
        <v>372344.92970203009</v>
      </c>
      <c r="AM16" s="8">
        <f>Renta_Alta!AM16+Masivo!AM16+Consumo_Inicial!AM16</f>
        <v>369181.59966645989</v>
      </c>
      <c r="AN16" s="8">
        <f>Renta_Alta!AN16+Masivo!AN16+Consumo_Inicial!AN16</f>
        <v>363174.95999999996</v>
      </c>
      <c r="AO16" s="8">
        <f>Renta_Alta!AO16+Masivo!AO16+Consumo_Inicial!AO16</f>
        <v>357954.66</v>
      </c>
      <c r="AP16" s="8">
        <f>Renta_Alta!AP16+Masivo!AP16+Consumo_Inicial!AP16</f>
        <v>352941.66</v>
      </c>
      <c r="AQ16" s="8">
        <f>Renta_Alta!AQ16+Masivo!AQ16+Consumo_Inicial!AQ16</f>
        <v>356737.77392857982</v>
      </c>
      <c r="AR16" s="8">
        <f>Renta_Alta!AR16+Masivo!AR16+Consumo_Inicial!AR16</f>
        <v>355084.09884455998</v>
      </c>
      <c r="AS16" s="8">
        <f>Renta_Alta!AS16+Masivo!AS16+Consumo_Inicial!AS16</f>
        <v>357221.57208399998</v>
      </c>
      <c r="AT16" s="8">
        <f>Renta_Alta!AT16+Masivo!AT16+Consumo_Inicial!AT16</f>
        <v>0</v>
      </c>
      <c r="AU16" s="8">
        <f>Renta_Alta!AU16+Masivo!AU16+Consumo_Inicial!AU16</f>
        <v>0</v>
      </c>
      <c r="AV16" s="8">
        <f>Renta_Alta!AV16+Masivo!AV16+Consumo_Inicial!AV16</f>
        <v>0</v>
      </c>
      <c r="AW16" s="8">
        <f>Renta_Alta!AW16+Masivo!AW16+Consumo_Inicial!AW16</f>
        <v>0</v>
      </c>
      <c r="AX16" s="8">
        <f>Renta_Alta!AX16+Masivo!AX16+Consumo_Inicial!AX16</f>
        <v>0</v>
      </c>
      <c r="AY16" s="8">
        <f>Renta_Alta!AY16+Masivo!AY16+Consumo_Inicial!AY16</f>
        <v>0</v>
      </c>
      <c r="AZ16" s="8">
        <f>Renta_Alta!AZ16+Masivo!AZ16+Consumo_Inicial!AZ16</f>
        <v>369804.1004393847</v>
      </c>
      <c r="BA16" s="8">
        <f>Renta_Alta!BA16+Masivo!BA16+Consumo_Inicial!BA16</f>
        <v>366764.10018532863</v>
      </c>
      <c r="BB16" s="8">
        <f>Renta_Alta!BB16+Masivo!BB16+Consumo_Inicial!BB16</f>
        <v>372710.8047826768</v>
      </c>
      <c r="BC16" s="8">
        <f>Renta_Alta!BC16+Masivo!BC16+Consumo_Inicial!BC16</f>
        <v>380900.59002540505</v>
      </c>
      <c r="BD16" s="8">
        <f>Renta_Alta!BD16+Masivo!BD16+Consumo_Inicial!BD16</f>
        <v>375788.28794791573</v>
      </c>
      <c r="BE16" s="8">
        <f>Renta_Alta!BE16+Masivo!BE16+Consumo_Inicial!BE16</f>
        <v>382016.57836275682</v>
      </c>
      <c r="BF16" s="8">
        <f>Renta_Alta!BF16+Masivo!BF16+Consumo_Inicial!BF16</f>
        <v>377421.58365435986</v>
      </c>
      <c r="BG16" s="8">
        <f>Renta_Alta!BG16+Masivo!BG16+Consumo_Inicial!BG16</f>
        <v>380354.35398655041</v>
      </c>
      <c r="BH16" s="8">
        <f>Renta_Alta!BH16+Masivo!BH16+Consumo_Inicial!BH16</f>
        <v>380602.42959857691</v>
      </c>
      <c r="BI16" s="8">
        <f>Renta_Alta!BI16+Masivo!BI16+Consumo_Inicial!BI16</f>
        <v>385590.57756554225</v>
      </c>
      <c r="BJ16" s="8">
        <f>Renta_Alta!BJ16+Masivo!BJ16+Consumo_Inicial!BJ16</f>
        <v>389965.03467270167</v>
      </c>
      <c r="BK16" s="8">
        <f>Renta_Alta!BK16+Masivo!BK16+Consumo_Inicial!BK16</f>
        <v>387844.30456611735</v>
      </c>
      <c r="BO16" s="24">
        <f t="shared" si="21"/>
        <v>358023.75999999995</v>
      </c>
      <c r="BP16" s="24">
        <f t="shared" si="21"/>
        <v>369759.66846913006</v>
      </c>
      <c r="BQ16" s="24">
        <f t="shared" si="21"/>
        <v>360564.80999999994</v>
      </c>
      <c r="BR16" s="24">
        <f t="shared" si="21"/>
        <v>340976.31107538665</v>
      </c>
      <c r="BS16" s="24">
        <f t="shared" si="21"/>
        <v>304066.03300656663</v>
      </c>
      <c r="BT16" s="24">
        <f t="shared" si="21"/>
        <v>252506.24481907333</v>
      </c>
      <c r="BW16" s="24">
        <f t="shared" si="22"/>
        <v>1074071.2799999998</v>
      </c>
      <c r="BX16" s="24">
        <f t="shared" si="22"/>
        <v>1109279.0054073902</v>
      </c>
      <c r="BY16" s="24">
        <f t="shared" si="22"/>
        <v>721129.61999999988</v>
      </c>
      <c r="BZ16" s="24">
        <f t="shared" si="22"/>
        <v>1022928.93322616</v>
      </c>
      <c r="CA16" s="24">
        <f t="shared" si="22"/>
        <v>912198.09901969985</v>
      </c>
      <c r="CB16" s="24">
        <f t="shared" si="22"/>
        <v>757518.73445721995</v>
      </c>
    </row>
    <row r="17" spans="1:80" collapsed="1" x14ac:dyDescent="0.25">
      <c r="C17" s="3" t="s">
        <v>56</v>
      </c>
      <c r="D17" s="10">
        <f>SUM(D14:D16)</f>
        <v>9541366.4785174802</v>
      </c>
      <c r="E17" s="10">
        <f t="shared" ref="E17" si="23">SUM(E14:E16)</f>
        <v>9584812.5622343384</v>
      </c>
      <c r="F17" s="10">
        <f t="shared" ref="F17" si="24">SUM(F14:F16)</f>
        <v>9620948.5581271984</v>
      </c>
      <c r="G17" s="10">
        <f t="shared" ref="G17" si="25">SUM(G14:G16)</f>
        <v>9665682.5621174388</v>
      </c>
      <c r="H17" s="10">
        <f t="shared" ref="H17" si="26">SUM(H14:H16)</f>
        <v>9711386.8257449605</v>
      </c>
      <c r="I17" s="10">
        <f t="shared" ref="I17" si="27">SUM(I14:I16)</f>
        <v>9762107.4224814996</v>
      </c>
      <c r="J17" s="10">
        <f t="shared" ref="J17" si="28">SUM(J14:J16)</f>
        <v>9803238.4249534793</v>
      </c>
      <c r="K17" s="10">
        <f t="shared" ref="K17" si="29">SUM(K14:K16)</f>
        <v>9828174.6243920997</v>
      </c>
      <c r="L17" s="10">
        <f t="shared" ref="L17" si="30">SUM(L14:L16)</f>
        <v>9899789.0550664607</v>
      </c>
      <c r="M17" s="10">
        <f t="shared" ref="M17" si="31">SUM(M14:M16)</f>
        <v>9983097.3220877498</v>
      </c>
      <c r="N17" s="10">
        <f t="shared" ref="N17" si="32">SUM(N14:N16)</f>
        <v>10025455.329301141</v>
      </c>
      <c r="O17" s="10">
        <f t="shared" ref="O17" si="33">SUM(O14:O16)</f>
        <v>10059300.245724682</v>
      </c>
      <c r="P17" s="10">
        <f t="shared" ref="P17" si="34">SUM(P14:P16)</f>
        <v>10078687.941718519</v>
      </c>
      <c r="Q17" s="10">
        <f t="shared" ref="Q17" si="35">SUM(Q14:Q16)</f>
        <v>10136740.897768442</v>
      </c>
      <c r="R17" s="10">
        <f t="shared" ref="R17" si="36">SUM(R14:R16)</f>
        <v>10189048.949740741</v>
      </c>
      <c r="S17" s="10">
        <f t="shared" ref="S17" si="37">SUM(S14:S16)</f>
        <v>10237667.71204688</v>
      </c>
      <c r="T17" s="10">
        <f t="shared" ref="T17" si="38">SUM(T14:T16)</f>
        <v>10288386.8903949</v>
      </c>
      <c r="U17" s="10">
        <f t="shared" ref="U17" si="39">SUM(U14:U16)</f>
        <v>10343039.373522421</v>
      </c>
      <c r="V17" s="10">
        <f t="shared" ref="V17" si="40">SUM(V14:V16)</f>
        <v>10409652.749929341</v>
      </c>
      <c r="W17" s="10">
        <f t="shared" ref="W17" si="41">SUM(W14:W16)</f>
        <v>10458340.001298048</v>
      </c>
      <c r="X17" s="10">
        <f t="shared" ref="X17" si="42">SUM(X14:X16)</f>
        <v>10548450.012411602</v>
      </c>
      <c r="Y17" s="10">
        <f t="shared" ref="Y17" si="43">SUM(Y14:Y16)</f>
        <v>10614656.250496479</v>
      </c>
      <c r="Z17" s="10">
        <f t="shared" ref="Z17" si="44">SUM(Z14:Z16)</f>
        <v>10690562.983840199</v>
      </c>
      <c r="AA17" s="10">
        <f t="shared" ref="AA17" si="45">SUM(AA14:AA16)</f>
        <v>10747452.487788549</v>
      </c>
      <c r="AB17" s="10">
        <f t="shared" ref="AB17" si="46">SUM(AB14:AB16)</f>
        <v>10799425.20198793</v>
      </c>
      <c r="AC17" s="10">
        <f t="shared" ref="AC17" si="47">SUM(AC14:AC16)</f>
        <v>10849301.479412999</v>
      </c>
      <c r="AD17" s="10">
        <f t="shared" ref="AD17" si="48">SUM(AD14:AD16)</f>
        <v>10905153.801862089</v>
      </c>
      <c r="AE17" s="10">
        <f t="shared" ref="AE17" si="49">SUM(AE14:AE16)</f>
        <v>10956610.094928043</v>
      </c>
      <c r="AF17" s="10">
        <f t="shared" ref="AF17" si="50">SUM(AF14:AF16)</f>
        <v>11019028.715413803</v>
      </c>
      <c r="AG17" s="10">
        <f t="shared" ref="AG17" si="51">SUM(AG14:AG16)</f>
        <v>11096948.71748852</v>
      </c>
      <c r="AH17" s="10">
        <f t="shared" ref="AH17" si="52">SUM(AH14:AH16)</f>
        <v>11173819.53638036</v>
      </c>
      <c r="AI17" s="10">
        <f t="shared" ref="AI17" si="53">SUM(AI14:AI16)</f>
        <v>11245326.145715853</v>
      </c>
      <c r="AJ17" s="10">
        <f t="shared" ref="AJ17" si="54">SUM(AJ14:AJ16)</f>
        <v>11346102.98406888</v>
      </c>
      <c r="AK17" s="10">
        <f t="shared" ref="AK17" si="55">SUM(AK14:AK16)</f>
        <v>11443491.12148222</v>
      </c>
      <c r="AL17" s="10">
        <f t="shared" ref="AL17" si="56">SUM(AL14:AL16)</f>
        <v>11554381.555801302</v>
      </c>
      <c r="AM17" s="10">
        <f t="shared" ref="AM17" si="57">SUM(AM14:AM16)</f>
        <v>11641250.357793521</v>
      </c>
      <c r="AN17" s="10">
        <f t="shared" ref="AN17" si="58">SUM(AN14:AN16)</f>
        <v>11693786.23</v>
      </c>
      <c r="AO17" s="10">
        <f t="shared" ref="AO17" si="59">SUM(AO14:AO16)</f>
        <v>11765020.92</v>
      </c>
      <c r="AP17" s="10">
        <f t="shared" ref="AP17" si="60">SUM(AP14:AP16)</f>
        <v>11838303.960000001</v>
      </c>
      <c r="AQ17" s="10">
        <f t="shared" ref="AQ17" si="61">SUM(AQ14:AQ16)</f>
        <v>11874354.177331826</v>
      </c>
      <c r="AR17" s="10">
        <f t="shared" ref="AR17" si="62">SUM(AR14:AR16)</f>
        <v>11940040.223053591</v>
      </c>
      <c r="AS17" s="10">
        <f t="shared" ref="AS17" si="63">SUM(AS14:AS16)</f>
        <v>12013711.944399904</v>
      </c>
      <c r="AT17" s="10">
        <f t="shared" ref="AT17" si="64">SUM(AT14:AT16)</f>
        <v>0</v>
      </c>
      <c r="AU17" s="10">
        <f t="shared" ref="AU17" si="65">SUM(AU14:AU16)</f>
        <v>0</v>
      </c>
      <c r="AV17" s="10">
        <f t="shared" ref="AV17" si="66">SUM(AV14:AV16)</f>
        <v>0</v>
      </c>
      <c r="AW17" s="10">
        <f t="shared" ref="AW17" si="67">SUM(AW14:AW16)</f>
        <v>0</v>
      </c>
      <c r="AX17" s="10">
        <f t="shared" ref="AX17" si="68">SUM(AX14:AX16)</f>
        <v>0</v>
      </c>
      <c r="AY17" s="10">
        <f t="shared" ref="AY17" si="69">SUM(AY14:AY16)</f>
        <v>0</v>
      </c>
      <c r="AZ17" s="10">
        <f t="shared" ref="AZ17" si="70">SUM(AZ14:AZ16)</f>
        <v>11636014.170876198</v>
      </c>
      <c r="BA17" s="10">
        <f t="shared" ref="BA17" si="71">SUM(BA14:BA16)</f>
        <v>11704033.679861007</v>
      </c>
      <c r="BB17" s="10">
        <f t="shared" ref="BB17" si="72">SUM(BB14:BB16)</f>
        <v>11746960.398581786</v>
      </c>
      <c r="BC17" s="10">
        <f t="shared" ref="BC17" si="73">SUM(BC14:BC16)</f>
        <v>11809256.707400473</v>
      </c>
      <c r="BD17" s="10">
        <f t="shared" ref="BD17" si="74">SUM(BD14:BD16)</f>
        <v>11877815.313286828</v>
      </c>
      <c r="BE17" s="10">
        <f t="shared" ref="BE17" si="75">SUM(BE14:BE16)</f>
        <v>11965738.051410923</v>
      </c>
      <c r="BF17" s="10">
        <f t="shared" ref="BF17" si="76">SUM(BF14:BF16)</f>
        <v>12035722.221717868</v>
      </c>
      <c r="BG17" s="10">
        <f t="shared" ref="BG17" si="77">SUM(BG14:BG16)</f>
        <v>12143272.943295838</v>
      </c>
      <c r="BH17" s="10">
        <f t="shared" ref="BH17" si="78">SUM(BH14:BH16)</f>
        <v>12241684.801131263</v>
      </c>
      <c r="BI17" s="10">
        <f t="shared" ref="BI17" si="79">SUM(BI14:BI16)</f>
        <v>12356000.791056363</v>
      </c>
      <c r="BJ17" s="10">
        <f t="shared" ref="BJ17" si="80">SUM(BJ14:BJ16)</f>
        <v>12454377.333745461</v>
      </c>
      <c r="BK17" s="10">
        <f t="shared" ref="BK17" si="81">SUM(BK14:BK16)</f>
        <v>12536134.084852412</v>
      </c>
      <c r="BO17" s="23">
        <f>SUM(BO14:BO16)</f>
        <v>11765703.703333333</v>
      </c>
      <c r="BP17" s="23">
        <f t="shared" ref="BP17:BT17" si="82">SUM(BP14:BP16)</f>
        <v>11695669.416439664</v>
      </c>
      <c r="BQ17" s="23">
        <f t="shared" si="82"/>
        <v>11729403.575000001</v>
      </c>
      <c r="BR17" s="23">
        <f t="shared" si="82"/>
        <v>10851293.494421007</v>
      </c>
      <c r="BS17" s="23">
        <f t="shared" si="82"/>
        <v>10134825.929742569</v>
      </c>
      <c r="BT17" s="23">
        <f t="shared" si="82"/>
        <v>9582375.8662930038</v>
      </c>
      <c r="BW17" s="23">
        <f>SUM(BW14:BW16)</f>
        <v>35297111.110000007</v>
      </c>
      <c r="BX17" s="23">
        <f t="shared" ref="BX17:CB17" si="83">SUM(BX14:BX16)</f>
        <v>35087008.249318995</v>
      </c>
      <c r="BY17" s="23">
        <f t="shared" si="83"/>
        <v>23458807.150000002</v>
      </c>
      <c r="BZ17" s="23">
        <f t="shared" si="83"/>
        <v>32553880.483263019</v>
      </c>
      <c r="CA17" s="23">
        <f t="shared" si="83"/>
        <v>30404477.789227702</v>
      </c>
      <c r="CB17" s="23">
        <f t="shared" si="83"/>
        <v>28747127.598879017</v>
      </c>
    </row>
    <row r="18" spans="1:80" x14ac:dyDescent="0.25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80" x14ac:dyDescent="0.25"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spans="1:80" hidden="1" outlineLevel="1" x14ac:dyDescent="0.25">
      <c r="A20" s="11"/>
      <c r="C20" s="2" t="s">
        <v>0</v>
      </c>
      <c r="D20" s="14">
        <f>IFERROR(((1+D38/D14)^(360/D$3))-1,0)</f>
        <v>7.0556702821075845E-2</v>
      </c>
      <c r="E20" s="14">
        <f t="shared" ref="E20:AY23" si="84">IFERROR(((1+E38/E14)^(360/E$3))-1,0)</f>
        <v>7.0993743956029753E-2</v>
      </c>
      <c r="F20" s="14">
        <f t="shared" si="84"/>
        <v>7.1198037564876415E-2</v>
      </c>
      <c r="G20" s="14">
        <f t="shared" si="84"/>
        <v>7.163316108028317E-2</v>
      </c>
      <c r="H20" s="14">
        <f t="shared" si="84"/>
        <v>7.185346178081442E-2</v>
      </c>
      <c r="I20" s="14">
        <f t="shared" si="84"/>
        <v>7.1854220230040955E-2</v>
      </c>
      <c r="J20" s="14">
        <f t="shared" si="84"/>
        <v>7.22688292192597E-2</v>
      </c>
      <c r="K20" s="14">
        <f t="shared" si="84"/>
        <v>7.2101272941020422E-2</v>
      </c>
      <c r="L20" s="14">
        <f t="shared" si="84"/>
        <v>7.2291957271796381E-2</v>
      </c>
      <c r="M20" s="14">
        <f t="shared" si="84"/>
        <v>7.2411634086571475E-2</v>
      </c>
      <c r="N20" s="14">
        <f t="shared" si="84"/>
        <v>7.2772985911174759E-2</v>
      </c>
      <c r="O20" s="14">
        <f t="shared" si="84"/>
        <v>7.3406302358749009E-2</v>
      </c>
      <c r="P20" s="14">
        <f t="shared" si="84"/>
        <v>7.2897555619083398E-2</v>
      </c>
      <c r="Q20" s="14">
        <f t="shared" si="84"/>
        <v>7.3101491138733765E-2</v>
      </c>
      <c r="R20" s="14">
        <f t="shared" si="84"/>
        <v>7.3558083913045635E-2</v>
      </c>
      <c r="S20" s="14">
        <f t="shared" si="84"/>
        <v>7.296981756772225E-2</v>
      </c>
      <c r="T20" s="14">
        <f t="shared" si="84"/>
        <v>7.3825600022310534E-2</v>
      </c>
      <c r="U20" s="14">
        <f t="shared" si="84"/>
        <v>7.4272943378065559E-2</v>
      </c>
      <c r="V20" s="14">
        <f t="shared" si="84"/>
        <v>7.4286890091799451E-2</v>
      </c>
      <c r="W20" s="14">
        <f t="shared" si="84"/>
        <v>7.4624888468957096E-2</v>
      </c>
      <c r="X20" s="14">
        <f t="shared" si="84"/>
        <v>7.4112172637704088E-2</v>
      </c>
      <c r="Y20" s="14">
        <f t="shared" si="84"/>
        <v>7.424297528694912E-2</v>
      </c>
      <c r="Z20" s="14">
        <f t="shared" si="84"/>
        <v>7.469219939631766E-2</v>
      </c>
      <c r="AA20" s="14">
        <f t="shared" si="84"/>
        <v>7.4508786484658751E-2</v>
      </c>
      <c r="AB20" s="14">
        <f t="shared" si="84"/>
        <v>7.3954181312164469E-2</v>
      </c>
      <c r="AC20" s="14">
        <f t="shared" si="84"/>
        <v>7.4361776612118735E-2</v>
      </c>
      <c r="AD20" s="14">
        <f t="shared" si="84"/>
        <v>7.3833101800927725E-2</v>
      </c>
      <c r="AE20" s="14">
        <f t="shared" si="84"/>
        <v>7.3971650243551013E-2</v>
      </c>
      <c r="AF20" s="14">
        <f t="shared" si="84"/>
        <v>7.4703342247192328E-2</v>
      </c>
      <c r="AG20" s="14">
        <f t="shared" si="84"/>
        <v>7.394110084517691E-2</v>
      </c>
      <c r="AH20" s="14">
        <f t="shared" si="84"/>
        <v>7.4635756790532914E-2</v>
      </c>
      <c r="AI20" s="14">
        <f t="shared" si="84"/>
        <v>7.4375340983255045E-2</v>
      </c>
      <c r="AJ20" s="14">
        <f t="shared" si="84"/>
        <v>7.3823722691916505E-2</v>
      </c>
      <c r="AK20" s="14">
        <f t="shared" si="84"/>
        <v>7.4171595817052349E-2</v>
      </c>
      <c r="AL20" s="14">
        <f t="shared" si="84"/>
        <v>7.4603723118717546E-2</v>
      </c>
      <c r="AM20" s="14">
        <f t="shared" si="84"/>
        <v>7.4551365292933269E-2</v>
      </c>
      <c r="AN20" s="14">
        <f t="shared" si="84"/>
        <v>7.4473077707260416E-2</v>
      </c>
      <c r="AO20" s="14">
        <f t="shared" si="84"/>
        <v>7.4713591424133474E-2</v>
      </c>
      <c r="AP20" s="14">
        <f t="shared" si="84"/>
        <v>7.4352368339906549E-2</v>
      </c>
      <c r="AQ20" s="14">
        <f t="shared" si="84"/>
        <v>7.4269283821021048E-2</v>
      </c>
      <c r="AR20" s="14">
        <f t="shared" si="84"/>
        <v>7.4571546802975286E-2</v>
      </c>
      <c r="AS20" s="14">
        <f t="shared" si="84"/>
        <v>7.3724199373010224E-2</v>
      </c>
      <c r="AT20" s="14">
        <f t="shared" si="84"/>
        <v>0</v>
      </c>
      <c r="AU20" s="14">
        <f t="shared" si="84"/>
        <v>0</v>
      </c>
      <c r="AV20" s="14">
        <f t="shared" si="84"/>
        <v>0</v>
      </c>
      <c r="AW20" s="14">
        <f t="shared" si="84"/>
        <v>0</v>
      </c>
      <c r="AX20" s="14">
        <f t="shared" si="84"/>
        <v>0</v>
      </c>
      <c r="AY20" s="14">
        <f t="shared" si="84"/>
        <v>0</v>
      </c>
      <c r="AZ20" s="14">
        <f t="shared" ref="AZ20:BK20" si="85">IFERROR(((1+AZ38/AZ14)^(360/AZ$3))-1,0)</f>
        <v>7.3464064388713446E-2</v>
      </c>
      <c r="BA20" s="14">
        <f t="shared" si="85"/>
        <v>7.4002164641483237E-2</v>
      </c>
      <c r="BB20" s="14">
        <f t="shared" si="85"/>
        <v>7.331778266855471E-2</v>
      </c>
      <c r="BC20" s="14">
        <f t="shared" si="85"/>
        <v>7.3894926234169711E-2</v>
      </c>
      <c r="BD20" s="14">
        <f t="shared" si="85"/>
        <v>7.4385476598472833E-2</v>
      </c>
      <c r="BE20" s="14">
        <f t="shared" si="85"/>
        <v>7.3845953524301011E-2</v>
      </c>
      <c r="BF20" s="14">
        <f t="shared" si="85"/>
        <v>7.4404555785267501E-2</v>
      </c>
      <c r="BG20" s="14">
        <f t="shared" si="85"/>
        <v>7.4420189594576636E-2</v>
      </c>
      <c r="BH20" s="14">
        <f t="shared" si="85"/>
        <v>7.3870920368012571E-2</v>
      </c>
      <c r="BI20" s="14">
        <f t="shared" si="85"/>
        <v>7.4081179316442425E-2</v>
      </c>
      <c r="BJ20" s="14">
        <f t="shared" si="85"/>
        <v>7.4572727384585535E-2</v>
      </c>
      <c r="BK20" s="14">
        <f t="shared" si="85"/>
        <v>7.4236708829655385E-2</v>
      </c>
      <c r="BO20" s="28">
        <f>IFERROR(((1+BO38/BW14)^(360/BO$3))-1,0)</f>
        <v>7.4506470327017071E-2</v>
      </c>
      <c r="BP20" s="28">
        <f t="shared" ref="BP20:BT23" si="86">IFERROR(((1+BP38/BX14)^(360/BP$3))-1,0)</f>
        <v>7.35788148045049E-2</v>
      </c>
      <c r="BQ20" s="28">
        <f t="shared" si="86"/>
        <v>7.4574839731003983E-2</v>
      </c>
      <c r="BR20" s="28">
        <f t="shared" si="86"/>
        <v>7.4039432587309495E-2</v>
      </c>
      <c r="BS20" s="28">
        <f t="shared" si="86"/>
        <v>7.3188903395655647E-2</v>
      </c>
      <c r="BT20" s="28">
        <f t="shared" si="86"/>
        <v>7.0913736550247242E-2</v>
      </c>
    </row>
    <row r="21" spans="1:80" hidden="1" outlineLevel="1" x14ac:dyDescent="0.25">
      <c r="A21" s="11"/>
      <c r="C21" s="2" t="s">
        <v>1</v>
      </c>
      <c r="D21" s="14">
        <f t="shared" ref="D21:S23" si="87">IFERROR(((1+D39/D15)^(360/D$3))-1,0)</f>
        <v>0</v>
      </c>
      <c r="E21" s="14">
        <f t="shared" si="87"/>
        <v>0</v>
      </c>
      <c r="F21" s="14">
        <f t="shared" si="87"/>
        <v>0</v>
      </c>
      <c r="G21" s="14">
        <f t="shared" si="87"/>
        <v>0</v>
      </c>
      <c r="H21" s="14">
        <f t="shared" si="87"/>
        <v>0</v>
      </c>
      <c r="I21" s="14">
        <f t="shared" si="87"/>
        <v>0</v>
      </c>
      <c r="J21" s="14">
        <f t="shared" si="87"/>
        <v>0</v>
      </c>
      <c r="K21" s="14">
        <f t="shared" si="87"/>
        <v>0</v>
      </c>
      <c r="L21" s="14">
        <f t="shared" si="87"/>
        <v>0</v>
      </c>
      <c r="M21" s="14">
        <f t="shared" si="87"/>
        <v>0</v>
      </c>
      <c r="N21" s="14">
        <f t="shared" si="87"/>
        <v>0</v>
      </c>
      <c r="O21" s="14">
        <f t="shared" si="87"/>
        <v>0</v>
      </c>
      <c r="P21" s="14">
        <f t="shared" si="87"/>
        <v>0</v>
      </c>
      <c r="Q21" s="14">
        <f t="shared" si="87"/>
        <v>0</v>
      </c>
      <c r="R21" s="14">
        <f t="shared" si="87"/>
        <v>0</v>
      </c>
      <c r="S21" s="14">
        <f t="shared" si="87"/>
        <v>0</v>
      </c>
      <c r="T21" s="14">
        <f t="shared" si="84"/>
        <v>0</v>
      </c>
      <c r="U21" s="14">
        <f t="shared" si="84"/>
        <v>0</v>
      </c>
      <c r="V21" s="14">
        <f t="shared" si="84"/>
        <v>0</v>
      </c>
      <c r="W21" s="14">
        <f t="shared" si="84"/>
        <v>0</v>
      </c>
      <c r="X21" s="14">
        <f t="shared" si="84"/>
        <v>0</v>
      </c>
      <c r="Y21" s="14">
        <f t="shared" si="84"/>
        <v>0</v>
      </c>
      <c r="Z21" s="14">
        <f t="shared" si="84"/>
        <v>0</v>
      </c>
      <c r="AA21" s="14">
        <f t="shared" si="84"/>
        <v>0</v>
      </c>
      <c r="AB21" s="14">
        <f t="shared" si="84"/>
        <v>0</v>
      </c>
      <c r="AC21" s="14">
        <f t="shared" si="84"/>
        <v>0</v>
      </c>
      <c r="AD21" s="14">
        <f t="shared" si="84"/>
        <v>0</v>
      </c>
      <c r="AE21" s="14">
        <f t="shared" si="84"/>
        <v>0</v>
      </c>
      <c r="AF21" s="14">
        <f t="shared" si="84"/>
        <v>0</v>
      </c>
      <c r="AG21" s="14">
        <f t="shared" si="84"/>
        <v>0</v>
      </c>
      <c r="AH21" s="14">
        <f t="shared" si="84"/>
        <v>0</v>
      </c>
      <c r="AI21" s="14">
        <f t="shared" si="84"/>
        <v>0</v>
      </c>
      <c r="AJ21" s="14">
        <f t="shared" si="84"/>
        <v>0</v>
      </c>
      <c r="AK21" s="14">
        <f t="shared" si="84"/>
        <v>0</v>
      </c>
      <c r="AL21" s="14">
        <f t="shared" si="84"/>
        <v>0</v>
      </c>
      <c r="AM21" s="14">
        <f t="shared" si="84"/>
        <v>0</v>
      </c>
      <c r="AN21" s="14">
        <f t="shared" si="84"/>
        <v>0</v>
      </c>
      <c r="AO21" s="14">
        <f t="shared" si="84"/>
        <v>0</v>
      </c>
      <c r="AP21" s="14">
        <f t="shared" si="84"/>
        <v>0</v>
      </c>
      <c r="AQ21" s="14">
        <f t="shared" si="84"/>
        <v>0</v>
      </c>
      <c r="AR21" s="14">
        <f t="shared" si="84"/>
        <v>0</v>
      </c>
      <c r="AS21" s="14">
        <f t="shared" si="84"/>
        <v>0</v>
      </c>
      <c r="AT21" s="14">
        <f t="shared" si="84"/>
        <v>0</v>
      </c>
      <c r="AU21" s="14">
        <f t="shared" si="84"/>
        <v>0</v>
      </c>
      <c r="AV21" s="14">
        <f t="shared" si="84"/>
        <v>0</v>
      </c>
      <c r="AW21" s="14">
        <f t="shared" si="84"/>
        <v>0</v>
      </c>
      <c r="AX21" s="14">
        <f t="shared" si="84"/>
        <v>0</v>
      </c>
      <c r="AY21" s="14">
        <f t="shared" si="84"/>
        <v>0</v>
      </c>
      <c r="AZ21" s="14">
        <f t="shared" ref="AZ21:BK21" si="88">IFERROR(((1+AZ39/AZ15)^(360/AZ$3))-1,0)</f>
        <v>0</v>
      </c>
      <c r="BA21" s="14">
        <f t="shared" si="88"/>
        <v>0</v>
      </c>
      <c r="BB21" s="14">
        <f t="shared" si="88"/>
        <v>0</v>
      </c>
      <c r="BC21" s="14">
        <f t="shared" si="88"/>
        <v>0</v>
      </c>
      <c r="BD21" s="14">
        <f t="shared" si="88"/>
        <v>0</v>
      </c>
      <c r="BE21" s="14">
        <f t="shared" si="88"/>
        <v>0</v>
      </c>
      <c r="BF21" s="14">
        <f t="shared" si="88"/>
        <v>0</v>
      </c>
      <c r="BG21" s="14">
        <f t="shared" si="88"/>
        <v>0</v>
      </c>
      <c r="BH21" s="14">
        <f t="shared" si="88"/>
        <v>0</v>
      </c>
      <c r="BI21" s="14">
        <f t="shared" si="88"/>
        <v>0</v>
      </c>
      <c r="BJ21" s="14">
        <f t="shared" si="88"/>
        <v>0</v>
      </c>
      <c r="BK21" s="14">
        <f t="shared" si="88"/>
        <v>0</v>
      </c>
      <c r="BO21" s="28">
        <f t="shared" ref="BO21:BO23" si="89">IFERROR(((1+BO39/BW15)^(360/BO$3))-1,0)</f>
        <v>0</v>
      </c>
      <c r="BP21" s="28">
        <f t="shared" si="86"/>
        <v>0</v>
      </c>
      <c r="BQ21" s="28">
        <f t="shared" si="86"/>
        <v>0</v>
      </c>
      <c r="BR21" s="28">
        <f t="shared" si="86"/>
        <v>0</v>
      </c>
      <c r="BS21" s="28">
        <f t="shared" si="86"/>
        <v>0</v>
      </c>
      <c r="BT21" s="28">
        <f t="shared" si="86"/>
        <v>0</v>
      </c>
    </row>
    <row r="22" spans="1:80" hidden="1" outlineLevel="1" x14ac:dyDescent="0.25">
      <c r="A22" s="11"/>
      <c r="C22" s="2" t="s">
        <v>45</v>
      </c>
      <c r="D22" s="14">
        <f t="shared" si="87"/>
        <v>8.8464748115934189E-2</v>
      </c>
      <c r="E22" s="14">
        <f t="shared" si="84"/>
        <v>8.4267310608516999E-2</v>
      </c>
      <c r="F22" s="14">
        <f t="shared" si="84"/>
        <v>0.10630799796760737</v>
      </c>
      <c r="G22" s="14">
        <f t="shared" si="84"/>
        <v>8.2116297168939978E-2</v>
      </c>
      <c r="H22" s="14">
        <f t="shared" si="84"/>
        <v>9.7043007871886688E-2</v>
      </c>
      <c r="I22" s="14">
        <f t="shared" si="84"/>
        <v>0.10549496257553925</v>
      </c>
      <c r="J22" s="14">
        <f t="shared" si="84"/>
        <v>0.10728553153875708</v>
      </c>
      <c r="K22" s="14">
        <f t="shared" si="84"/>
        <v>9.6635794477456072E-2</v>
      </c>
      <c r="L22" s="14">
        <f t="shared" si="84"/>
        <v>0.1009851016025396</v>
      </c>
      <c r="M22" s="14">
        <f t="shared" si="84"/>
        <v>0.12148481537610278</v>
      </c>
      <c r="N22" s="14">
        <f t="shared" si="84"/>
        <v>9.990389115829279E-2</v>
      </c>
      <c r="O22" s="14">
        <f t="shared" si="84"/>
        <v>9.3866446837489681E-2</v>
      </c>
      <c r="P22" s="14">
        <f t="shared" si="84"/>
        <v>0.11179213842872815</v>
      </c>
      <c r="Q22" s="14">
        <f t="shared" si="84"/>
        <v>9.4287885457941423E-2</v>
      </c>
      <c r="R22" s="14">
        <f t="shared" si="84"/>
        <v>0.10315959361253291</v>
      </c>
      <c r="S22" s="14">
        <f t="shared" si="84"/>
        <v>0.10520744488646727</v>
      </c>
      <c r="T22" s="14">
        <f t="shared" si="84"/>
        <v>0.10196484920771454</v>
      </c>
      <c r="U22" s="14">
        <f t="shared" si="84"/>
        <v>9.8592440251836111E-2</v>
      </c>
      <c r="V22" s="14">
        <f t="shared" si="84"/>
        <v>0.12056862226203613</v>
      </c>
      <c r="W22" s="14">
        <f t="shared" si="84"/>
        <v>0.11243730808014485</v>
      </c>
      <c r="X22" s="14">
        <f t="shared" si="84"/>
        <v>0.10527797026255858</v>
      </c>
      <c r="Y22" s="14">
        <f t="shared" si="84"/>
        <v>9.6639900303990389E-2</v>
      </c>
      <c r="Z22" s="14">
        <f t="shared" si="84"/>
        <v>0.10000768340304322</v>
      </c>
      <c r="AA22" s="14">
        <f t="shared" si="84"/>
        <v>0.11328152213481069</v>
      </c>
      <c r="AB22" s="14">
        <f t="shared" si="84"/>
        <v>0.10759120847343628</v>
      </c>
      <c r="AC22" s="14">
        <f t="shared" si="84"/>
        <v>9.2433700869728019E-2</v>
      </c>
      <c r="AD22" s="14">
        <f t="shared" si="84"/>
        <v>0.11095812601709909</v>
      </c>
      <c r="AE22" s="14">
        <f t="shared" si="84"/>
        <v>0.10281191962439418</v>
      </c>
      <c r="AF22" s="14">
        <f t="shared" si="84"/>
        <v>0.11347313476909227</v>
      </c>
      <c r="AG22" s="14">
        <f t="shared" si="84"/>
        <v>9.7958786467151615E-2</v>
      </c>
      <c r="AH22" s="14">
        <f t="shared" si="84"/>
        <v>9.3902234844024157E-2</v>
      </c>
      <c r="AI22" s="14">
        <f t="shared" si="84"/>
        <v>8.7572593224441109E-2</v>
      </c>
      <c r="AJ22" s="14">
        <f t="shared" si="84"/>
        <v>0.122183895446073</v>
      </c>
      <c r="AK22" s="14">
        <f t="shared" si="84"/>
        <v>9.4979872366455664E-2</v>
      </c>
      <c r="AL22" s="14">
        <f t="shared" si="84"/>
        <v>0.10322607195845346</v>
      </c>
      <c r="AM22" s="14">
        <f t="shared" si="84"/>
        <v>0.1137335065864391</v>
      </c>
      <c r="AN22" s="14">
        <f t="shared" si="84"/>
        <v>9.4585349673850017E-2</v>
      </c>
      <c r="AO22" s="14">
        <f t="shared" si="84"/>
        <v>9.8066155187935378E-2</v>
      </c>
      <c r="AP22" s="14">
        <f t="shared" si="84"/>
        <v>0.11211581194826059</v>
      </c>
      <c r="AQ22" s="14">
        <f t="shared" si="84"/>
        <v>9.2393385330026723E-2</v>
      </c>
      <c r="AR22" s="14">
        <f t="shared" si="84"/>
        <v>0.1016600511132375</v>
      </c>
      <c r="AS22" s="14">
        <f t="shared" si="84"/>
        <v>9.424921907809436E-2</v>
      </c>
      <c r="AT22" s="14">
        <f t="shared" si="84"/>
        <v>0</v>
      </c>
      <c r="AU22" s="14">
        <f t="shared" si="84"/>
        <v>0</v>
      </c>
      <c r="AV22" s="14">
        <f t="shared" si="84"/>
        <v>0</v>
      </c>
      <c r="AW22" s="14">
        <f t="shared" si="84"/>
        <v>0</v>
      </c>
      <c r="AX22" s="14">
        <f t="shared" si="84"/>
        <v>0</v>
      </c>
      <c r="AY22" s="14">
        <f t="shared" si="84"/>
        <v>0</v>
      </c>
      <c r="AZ22" s="14">
        <f t="shared" ref="AZ22:BK22" si="90">IFERROR(((1+AZ40/AZ16)^(360/AZ$3))-1,0)</f>
        <v>0.11854088735581092</v>
      </c>
      <c r="BA22" s="14">
        <f t="shared" si="90"/>
        <v>0.12179189946859159</v>
      </c>
      <c r="BB22" s="14">
        <f t="shared" si="90"/>
        <v>0.11903352847949278</v>
      </c>
      <c r="BC22" s="14">
        <f t="shared" si="90"/>
        <v>0.11843366679077283</v>
      </c>
      <c r="BD22" s="14">
        <f t="shared" si="90"/>
        <v>0.12189672827441056</v>
      </c>
      <c r="BE22" s="14">
        <f t="shared" si="90"/>
        <v>0.11987930955222348</v>
      </c>
      <c r="BF22" s="14">
        <f t="shared" si="90"/>
        <v>0.12350907187309423</v>
      </c>
      <c r="BG22" s="14">
        <f t="shared" si="90"/>
        <v>0.12391863852721907</v>
      </c>
      <c r="BH22" s="14">
        <f t="shared" si="90"/>
        <v>0.12361821070046419</v>
      </c>
      <c r="BI22" s="14">
        <f t="shared" si="90"/>
        <v>0.12390467166510422</v>
      </c>
      <c r="BJ22" s="14">
        <f t="shared" si="90"/>
        <v>0.1246988826906279</v>
      </c>
      <c r="BK22" s="14">
        <f t="shared" si="90"/>
        <v>0.12575293053105696</v>
      </c>
      <c r="BO22" s="28">
        <f t="shared" si="89"/>
        <v>0.10159882702963419</v>
      </c>
      <c r="BP22" s="28">
        <f t="shared" si="86"/>
        <v>0.11974894462577512</v>
      </c>
      <c r="BQ22" s="28">
        <f t="shared" si="86"/>
        <v>9.6260818545675697E-2</v>
      </c>
      <c r="BR22" s="28">
        <f t="shared" si="86"/>
        <v>0.10408722028716144</v>
      </c>
      <c r="BS22" s="28">
        <f t="shared" si="86"/>
        <v>0.10317896901963652</v>
      </c>
      <c r="BT22" s="28">
        <f t="shared" si="86"/>
        <v>9.3382026489696734E-2</v>
      </c>
    </row>
    <row r="23" spans="1:80" collapsed="1" x14ac:dyDescent="0.25">
      <c r="C23" s="3" t="s">
        <v>59</v>
      </c>
      <c r="D23" s="15">
        <f t="shared" si="87"/>
        <v>7.0766507520017008E-2</v>
      </c>
      <c r="E23" s="15">
        <f t="shared" si="84"/>
        <v>7.1087001588394649E-2</v>
      </c>
      <c r="F23" s="15">
        <f t="shared" si="84"/>
        <v>7.186178619916439E-2</v>
      </c>
      <c r="G23" s="15">
        <f t="shared" si="84"/>
        <v>7.1641315504274772E-2</v>
      </c>
      <c r="H23" s="15">
        <f t="shared" si="84"/>
        <v>7.229302205670618E-2</v>
      </c>
      <c r="I23" s="15">
        <f t="shared" si="84"/>
        <v>7.252686171393341E-2</v>
      </c>
      <c r="J23" s="15">
        <f t="shared" si="84"/>
        <v>7.2958204308336994E-2</v>
      </c>
      <c r="K23" s="15">
        <f t="shared" si="84"/>
        <v>7.2533782009102765E-2</v>
      </c>
      <c r="L23" s="15">
        <f t="shared" si="84"/>
        <v>7.2858105133236872E-2</v>
      </c>
      <c r="M23" s="15">
        <f t="shared" si="84"/>
        <v>7.3538663724565634E-2</v>
      </c>
      <c r="N23" s="15">
        <f t="shared" si="84"/>
        <v>7.3308609074848041E-2</v>
      </c>
      <c r="O23" s="15">
        <f t="shared" si="84"/>
        <v>7.374599977125551E-2</v>
      </c>
      <c r="P23" s="15">
        <f t="shared" si="84"/>
        <v>7.3800982133690685E-2</v>
      </c>
      <c r="Q23" s="15">
        <f t="shared" si="84"/>
        <v>7.3503526886099735E-2</v>
      </c>
      <c r="R23" s="15">
        <f t="shared" si="84"/>
        <v>7.4204037354676844E-2</v>
      </c>
      <c r="S23" s="15">
        <f t="shared" si="84"/>
        <v>7.3734885111378823E-2</v>
      </c>
      <c r="T23" s="15">
        <f t="shared" si="84"/>
        <v>7.449408658860901E-2</v>
      </c>
      <c r="U23" s="15">
        <f t="shared" si="84"/>
        <v>7.4835111424309986E-2</v>
      </c>
      <c r="V23" s="15">
        <f t="shared" si="84"/>
        <v>7.5499314532148531E-2</v>
      </c>
      <c r="W23" s="15">
        <f t="shared" si="84"/>
        <v>7.556000739771096E-2</v>
      </c>
      <c r="X23" s="15">
        <f t="shared" si="84"/>
        <v>7.4838077314607343E-2</v>
      </c>
      <c r="Y23" s="15">
        <f t="shared" si="84"/>
        <v>7.4692123892377005E-2</v>
      </c>
      <c r="Z23" s="15">
        <f t="shared" si="84"/>
        <v>7.5257936712086693E-2</v>
      </c>
      <c r="AA23" s="15">
        <f t="shared" si="84"/>
        <v>7.5489892209114062E-2</v>
      </c>
      <c r="AB23" s="15">
        <f t="shared" si="84"/>
        <v>7.4776629360284064E-2</v>
      </c>
      <c r="AC23" s="15">
        <f t="shared" si="84"/>
        <v>7.471503699171711E-2</v>
      </c>
      <c r="AD23" s="15">
        <f t="shared" si="84"/>
        <v>7.4793645388227858E-2</v>
      </c>
      <c r="AE23" s="15">
        <f t="shared" si="84"/>
        <v>7.467692441019036E-2</v>
      </c>
      <c r="AF23" s="15">
        <f t="shared" si="84"/>
        <v>7.5763595289441099E-2</v>
      </c>
      <c r="AG23" s="15">
        <f t="shared" si="84"/>
        <v>7.4535663276763531E-2</v>
      </c>
      <c r="AH23" s="15">
        <f t="shared" si="84"/>
        <v>7.5053636597242068E-2</v>
      </c>
      <c r="AI23" s="15">
        <f t="shared" si="84"/>
        <v>7.460363336538256E-2</v>
      </c>
      <c r="AJ23" s="15">
        <f t="shared" si="84"/>
        <v>7.5138703725472711E-2</v>
      </c>
      <c r="AK23" s="15">
        <f t="shared" si="84"/>
        <v>7.4632522379948663E-2</v>
      </c>
      <c r="AL23" s="15">
        <f t="shared" si="84"/>
        <v>7.5312459067391035E-2</v>
      </c>
      <c r="AM23" s="15">
        <f t="shared" si="84"/>
        <v>7.5572100977792322E-2</v>
      </c>
      <c r="AN23" s="15">
        <f t="shared" si="84"/>
        <v>7.4880631029555556E-2</v>
      </c>
      <c r="AO23" s="15">
        <f t="shared" si="84"/>
        <v>7.5208869370058329E-2</v>
      </c>
      <c r="AP23" s="15">
        <f t="shared" si="84"/>
        <v>7.5242263150208766E-2</v>
      </c>
      <c r="AQ23" s="15">
        <f t="shared" si="84"/>
        <v>7.4593314952991596E-2</v>
      </c>
      <c r="AR23" s="15">
        <f t="shared" si="84"/>
        <v>7.51511245255434E-2</v>
      </c>
      <c r="AS23" s="15">
        <f t="shared" si="84"/>
        <v>7.4121910613909492E-2</v>
      </c>
      <c r="AT23" s="15">
        <f t="shared" si="84"/>
        <v>0</v>
      </c>
      <c r="AU23" s="15">
        <f t="shared" si="84"/>
        <v>0</v>
      </c>
      <c r="AV23" s="15">
        <f t="shared" si="84"/>
        <v>0</v>
      </c>
      <c r="AW23" s="15">
        <f t="shared" si="84"/>
        <v>0</v>
      </c>
      <c r="AX23" s="15">
        <f t="shared" si="84"/>
        <v>0</v>
      </c>
      <c r="AY23" s="15">
        <f t="shared" si="84"/>
        <v>0</v>
      </c>
      <c r="AZ23" s="15">
        <f t="shared" ref="AZ23:BK23" si="91">IFERROR(((1+AZ41/AZ17)^(360/AZ$3))-1,0)</f>
        <v>7.4677433266139515E-2</v>
      </c>
      <c r="BA23" s="15">
        <f t="shared" si="91"/>
        <v>7.528027700126394E-2</v>
      </c>
      <c r="BB23" s="15">
        <f t="shared" si="91"/>
        <v>7.455107841005959E-2</v>
      </c>
      <c r="BC23" s="15">
        <f t="shared" si="91"/>
        <v>7.5123024283023643E-2</v>
      </c>
      <c r="BD23" s="15">
        <f t="shared" si="91"/>
        <v>7.5679188877716186E-2</v>
      </c>
      <c r="BE23" s="15">
        <f t="shared" si="91"/>
        <v>7.5109914795287391E-2</v>
      </c>
      <c r="BF23" s="15">
        <f t="shared" si="91"/>
        <v>7.5732930190686165E-2</v>
      </c>
      <c r="BG23" s="15">
        <f t="shared" si="91"/>
        <v>7.576049169375132E-2</v>
      </c>
      <c r="BH23" s="15">
        <f t="shared" si="91"/>
        <v>7.521007396257029E-2</v>
      </c>
      <c r="BI23" s="15">
        <f t="shared" si="91"/>
        <v>7.5446501013290312E-2</v>
      </c>
      <c r="BJ23" s="15">
        <f t="shared" si="91"/>
        <v>7.5951859837427582E-2</v>
      </c>
      <c r="BK23" s="15">
        <f t="shared" si="91"/>
        <v>7.5640583148733453E-2</v>
      </c>
      <c r="BO23" s="29">
        <f t="shared" si="89"/>
        <v>7.5108716254587371E-2</v>
      </c>
      <c r="BP23" s="29">
        <f t="shared" si="86"/>
        <v>7.4819950868336038E-2</v>
      </c>
      <c r="BQ23" s="29">
        <f t="shared" si="86"/>
        <v>7.5025427623375718E-2</v>
      </c>
      <c r="BR23" s="29">
        <f t="shared" si="86"/>
        <v>7.4764361038663241E-2</v>
      </c>
      <c r="BS23" s="29">
        <f t="shared" si="86"/>
        <v>7.3844122248217348E-2</v>
      </c>
      <c r="BT23" s="29">
        <f t="shared" si="86"/>
        <v>7.1244807632643292E-2</v>
      </c>
    </row>
    <row r="26" spans="1:80" hidden="1" outlineLevel="1" x14ac:dyDescent="0.25">
      <c r="A26" s="11"/>
      <c r="C26" s="2" t="s">
        <v>0</v>
      </c>
      <c r="D26" s="14">
        <f>-IFERROR(((1-D44/D14)^(360/D$4))-1,0)</f>
        <v>-4.9635423919124566E-2</v>
      </c>
      <c r="E26" s="14">
        <f t="shared" ref="E26:AY29" si="92">-IFERROR(((1-E44/E14)^(360/E$4))-1,0)</f>
        <v>-4.9978926091030829E-2</v>
      </c>
      <c r="F26" s="14">
        <f t="shared" si="92"/>
        <v>-5.0379356606933046E-2</v>
      </c>
      <c r="G26" s="14">
        <f t="shared" si="92"/>
        <v>-5.0860042172308217E-2</v>
      </c>
      <c r="H26" s="14">
        <f t="shared" si="92"/>
        <v>-5.1126729194270748E-2</v>
      </c>
      <c r="I26" s="14">
        <f t="shared" si="92"/>
        <v>-5.1459915681329349E-2</v>
      </c>
      <c r="J26" s="14">
        <f t="shared" si="92"/>
        <v>-5.1756525740916715E-2</v>
      </c>
      <c r="K26" s="14">
        <f t="shared" si="92"/>
        <v>-5.195289142292614E-2</v>
      </c>
      <c r="L26" s="14">
        <f t="shared" si="92"/>
        <v>-5.2130284334287458E-2</v>
      </c>
      <c r="M26" s="14">
        <f t="shared" si="92"/>
        <v>-5.2359502264607283E-2</v>
      </c>
      <c r="N26" s="14">
        <f t="shared" si="92"/>
        <v>-5.2602053780623992E-2</v>
      </c>
      <c r="O26" s="14">
        <f t="shared" si="92"/>
        <v>-5.2863551471757031E-2</v>
      </c>
      <c r="P26" s="14">
        <f t="shared" si="92"/>
        <v>-5.3227353319708293E-2</v>
      </c>
      <c r="Q26" s="14">
        <f t="shared" si="92"/>
        <v>-5.3247678939099874E-2</v>
      </c>
      <c r="R26" s="14">
        <f t="shared" si="92"/>
        <v>-5.362560885520784E-2</v>
      </c>
      <c r="S26" s="14">
        <f t="shared" si="92"/>
        <v>-5.3677377591211606E-2</v>
      </c>
      <c r="T26" s="14">
        <f t="shared" si="92"/>
        <v>-5.4057332868603147E-2</v>
      </c>
      <c r="U26" s="14">
        <f t="shared" si="92"/>
        <v>-5.4119089843216894E-2</v>
      </c>
      <c r="V26" s="14">
        <f t="shared" si="92"/>
        <v>-5.4511110295673459E-2</v>
      </c>
      <c r="W26" s="14">
        <f t="shared" si="92"/>
        <v>-5.5005495922390901E-2</v>
      </c>
      <c r="X26" s="14">
        <f t="shared" si="92"/>
        <v>-5.489434053817055E-2</v>
      </c>
      <c r="Y26" s="14">
        <f t="shared" si="92"/>
        <v>-5.4925304053850432E-2</v>
      </c>
      <c r="Z26" s="14">
        <f t="shared" si="92"/>
        <v>-5.5115283833656381E-2</v>
      </c>
      <c r="AA26" s="14">
        <f t="shared" si="92"/>
        <v>-5.5181683742884235E-2</v>
      </c>
      <c r="AB26" s="14">
        <f t="shared" si="92"/>
        <v>-5.5396800953330994E-2</v>
      </c>
      <c r="AC26" s="14">
        <f t="shared" si="92"/>
        <v>-5.5455061391538552E-2</v>
      </c>
      <c r="AD26" s="14">
        <f t="shared" si="92"/>
        <v>-5.5674096187105171E-2</v>
      </c>
      <c r="AE26" s="14">
        <f t="shared" si="92"/>
        <v>-5.5670696965296029E-2</v>
      </c>
      <c r="AF26" s="14">
        <f t="shared" si="92"/>
        <v>-5.5841866433151699E-2</v>
      </c>
      <c r="AG26" s="14">
        <f t="shared" si="92"/>
        <v>-5.5927981470862642E-2</v>
      </c>
      <c r="AH26" s="14">
        <f t="shared" si="92"/>
        <v>-5.6115816698065757E-2</v>
      </c>
      <c r="AI26" s="14">
        <f t="shared" si="92"/>
        <v>-5.6203428937029454E-2</v>
      </c>
      <c r="AJ26" s="14">
        <f t="shared" si="92"/>
        <v>-5.626306784769719E-2</v>
      </c>
      <c r="AK26" s="14">
        <f t="shared" si="92"/>
        <v>-5.6232989305920356E-2</v>
      </c>
      <c r="AL26" s="14">
        <f t="shared" si="92"/>
        <v>-5.6269080243357861E-2</v>
      </c>
      <c r="AM26" s="14">
        <f t="shared" si="92"/>
        <v>-5.6218499978779146E-2</v>
      </c>
      <c r="AN26" s="14">
        <f t="shared" si="92"/>
        <v>-5.6287787522760091E-2</v>
      </c>
      <c r="AO26" s="14">
        <f t="shared" si="92"/>
        <v>-5.6201188779835487E-2</v>
      </c>
      <c r="AP26" s="14">
        <f t="shared" si="92"/>
        <v>-5.6230462835789918E-2</v>
      </c>
      <c r="AQ26" s="14">
        <f t="shared" si="92"/>
        <v>-5.6120076532588659E-2</v>
      </c>
      <c r="AR26" s="14">
        <f t="shared" si="92"/>
        <v>-5.6256517927662175E-2</v>
      </c>
      <c r="AS26" s="14">
        <f t="shared" si="92"/>
        <v>-5.6242519110928368E-2</v>
      </c>
      <c r="AT26" s="14">
        <f t="shared" si="92"/>
        <v>0</v>
      </c>
      <c r="AU26" s="14">
        <f t="shared" si="92"/>
        <v>0</v>
      </c>
      <c r="AV26" s="14">
        <f t="shared" si="92"/>
        <v>0</v>
      </c>
      <c r="AW26" s="14">
        <f t="shared" si="92"/>
        <v>0</v>
      </c>
      <c r="AX26" s="14">
        <f t="shared" si="92"/>
        <v>0</v>
      </c>
      <c r="AY26" s="14">
        <f t="shared" si="92"/>
        <v>0</v>
      </c>
      <c r="AZ26" s="14">
        <f t="shared" ref="AZ26:BK26" si="93">-IFERROR(((1-AZ44/AZ14)^(360/AZ$4))-1,0)</f>
        <v>-5.6466907438849301E-2</v>
      </c>
      <c r="BA26" s="14">
        <f t="shared" si="93"/>
        <v>-5.6462853134799706E-2</v>
      </c>
      <c r="BB26" s="14">
        <f t="shared" si="93"/>
        <v>-5.6516786275854658E-2</v>
      </c>
      <c r="BC26" s="14">
        <f t="shared" si="93"/>
        <v>-5.6568165609052201E-2</v>
      </c>
      <c r="BD26" s="14">
        <f t="shared" si="93"/>
        <v>-5.6559262038199165E-2</v>
      </c>
      <c r="BE26" s="14">
        <f t="shared" si="93"/>
        <v>-5.660173476687258E-2</v>
      </c>
      <c r="BF26" s="14">
        <f t="shared" si="93"/>
        <v>-5.6591959413076598E-2</v>
      </c>
      <c r="BG26" s="14">
        <f t="shared" si="93"/>
        <v>-5.660633810958049E-2</v>
      </c>
      <c r="BH26" s="14">
        <f t="shared" si="93"/>
        <v>-5.6607459957021655E-2</v>
      </c>
      <c r="BI26" s="14">
        <f t="shared" si="93"/>
        <v>-5.6616892802251684E-2</v>
      </c>
      <c r="BJ26" s="14">
        <f t="shared" si="93"/>
        <v>-5.6637583067214337E-2</v>
      </c>
      <c r="BK26" s="14">
        <f t="shared" si="93"/>
        <v>-5.6630360842882199E-2</v>
      </c>
      <c r="BO26" s="28">
        <f>-IFERROR(((1-BO44/BW14)^(360/BO$4))-1,0)</f>
        <v>-5.6239683437592003E-2</v>
      </c>
      <c r="BP26" s="28">
        <f t="shared" ref="BP26:BT29" si="94">-IFERROR(((1-BP44/BX14)^(360/BP$4))-1,0)</f>
        <v>-5.6482251612386625E-2</v>
      </c>
      <c r="BQ26" s="28">
        <f t="shared" si="94"/>
        <v>-5.624434045150517E-2</v>
      </c>
      <c r="BR26" s="28">
        <f t="shared" si="94"/>
        <v>-5.5509069809386968E-2</v>
      </c>
      <c r="BS26" s="28">
        <f t="shared" si="94"/>
        <v>-5.3367564071846951E-2</v>
      </c>
      <c r="BT26" s="28">
        <f t="shared" si="94"/>
        <v>-4.9998844164216294E-2</v>
      </c>
    </row>
    <row r="27" spans="1:80" hidden="1" outlineLevel="1" x14ac:dyDescent="0.25">
      <c r="A27" s="11"/>
      <c r="C27" s="2" t="s">
        <v>1</v>
      </c>
      <c r="D27" s="14">
        <f t="shared" ref="D27:S29" si="95">-IFERROR(((1-D45/D15)^(360/D$4))-1,0)</f>
        <v>-4.9774856299973358E-2</v>
      </c>
      <c r="E27" s="14">
        <f t="shared" si="95"/>
        <v>-4.9151990351060437E-2</v>
      </c>
      <c r="F27" s="14">
        <f t="shared" si="95"/>
        <v>-4.9487574120109734E-2</v>
      </c>
      <c r="G27" s="14">
        <f t="shared" si="95"/>
        <v>-4.9914999192132381E-2</v>
      </c>
      <c r="H27" s="14">
        <f t="shared" si="95"/>
        <v>-5.0471536759125968E-2</v>
      </c>
      <c r="I27" s="14">
        <f t="shared" si="95"/>
        <v>-5.0609898060786751E-2</v>
      </c>
      <c r="J27" s="14">
        <f t="shared" si="95"/>
        <v>-5.0602731443375015E-2</v>
      </c>
      <c r="K27" s="14">
        <f t="shared" si="95"/>
        <v>-5.0042799260097803E-2</v>
      </c>
      <c r="L27" s="14">
        <f t="shared" si="95"/>
        <v>-4.941310463393922E-2</v>
      </c>
      <c r="M27" s="14">
        <f t="shared" si="95"/>
        <v>-4.8837568132209741E-2</v>
      </c>
      <c r="N27" s="14">
        <f t="shared" si="95"/>
        <v>-4.910033125097879E-2</v>
      </c>
      <c r="O27" s="14">
        <f t="shared" si="95"/>
        <v>-4.959334885607003E-2</v>
      </c>
      <c r="P27" s="14">
        <f t="shared" si="95"/>
        <v>-4.9797677088000425E-2</v>
      </c>
      <c r="Q27" s="14">
        <f t="shared" si="95"/>
        <v>-4.9689645924105408E-2</v>
      </c>
      <c r="R27" s="14">
        <f t="shared" si="95"/>
        <v>-5.0464696270325682E-2</v>
      </c>
      <c r="S27" s="14">
        <f t="shared" si="95"/>
        <v>-5.0473102757740307E-2</v>
      </c>
      <c r="T27" s="14">
        <f t="shared" si="92"/>
        <v>-5.1121987112751954E-2</v>
      </c>
      <c r="U27" s="14">
        <f t="shared" si="92"/>
        <v>-5.0756947491213289E-2</v>
      </c>
      <c r="V27" s="14">
        <f t="shared" si="92"/>
        <v>-5.117857111009072E-2</v>
      </c>
      <c r="W27" s="14">
        <f t="shared" si="92"/>
        <v>-5.0923523857198116E-2</v>
      </c>
      <c r="X27" s="14">
        <f t="shared" si="92"/>
        <v>-5.1468458443976184E-2</v>
      </c>
      <c r="Y27" s="14">
        <f t="shared" si="92"/>
        <v>-5.1250662030251082E-2</v>
      </c>
      <c r="Z27" s="14">
        <f t="shared" si="92"/>
        <v>-5.1678821701254707E-2</v>
      </c>
      <c r="AA27" s="14">
        <f t="shared" si="92"/>
        <v>-5.1582317568384051E-2</v>
      </c>
      <c r="AB27" s="14">
        <f t="shared" si="92"/>
        <v>-5.215326603007564E-2</v>
      </c>
      <c r="AC27" s="14">
        <f t="shared" si="92"/>
        <v>-5.1643196430799954E-2</v>
      </c>
      <c r="AD27" s="14">
        <f t="shared" si="92"/>
        <v>-5.243571434333183E-2</v>
      </c>
      <c r="AE27" s="14">
        <f t="shared" si="92"/>
        <v>-5.2601084035242218E-2</v>
      </c>
      <c r="AF27" s="14">
        <f t="shared" si="92"/>
        <v>-5.3086409004751367E-2</v>
      </c>
      <c r="AG27" s="14">
        <f t="shared" si="92"/>
        <v>-5.2992154202449848E-2</v>
      </c>
      <c r="AH27" s="14">
        <f t="shared" si="92"/>
        <v>-5.3876476389345562E-2</v>
      </c>
      <c r="AI27" s="14">
        <f t="shared" si="92"/>
        <v>-5.3950239810600875E-2</v>
      </c>
      <c r="AJ27" s="14">
        <f t="shared" si="92"/>
        <v>-5.4125331120697506E-2</v>
      </c>
      <c r="AK27" s="14">
        <f t="shared" si="92"/>
        <v>-5.4156840099705894E-2</v>
      </c>
      <c r="AL27" s="14">
        <f t="shared" si="92"/>
        <v>-5.4389267169492106E-2</v>
      </c>
      <c r="AM27" s="14">
        <f t="shared" si="92"/>
        <v>-5.4144712724792043E-2</v>
      </c>
      <c r="AN27" s="14">
        <f t="shared" si="92"/>
        <v>-5.4902728753346786E-2</v>
      </c>
      <c r="AO27" s="14">
        <f t="shared" si="92"/>
        <v>-5.4233227799195927E-2</v>
      </c>
      <c r="AP27" s="14">
        <f t="shared" si="92"/>
        <v>-5.5115095365981581E-2</v>
      </c>
      <c r="AQ27" s="14">
        <f t="shared" si="92"/>
        <v>-5.5261908837203277E-2</v>
      </c>
      <c r="AR27" s="14">
        <f t="shared" si="92"/>
        <v>-5.5745340551476286E-2</v>
      </c>
      <c r="AS27" s="14">
        <f t="shared" si="92"/>
        <v>-5.5229667588616804E-2</v>
      </c>
      <c r="AT27" s="14">
        <f t="shared" si="92"/>
        <v>0</v>
      </c>
      <c r="AU27" s="14">
        <f t="shared" si="92"/>
        <v>0</v>
      </c>
      <c r="AV27" s="14">
        <f t="shared" si="92"/>
        <v>0</v>
      </c>
      <c r="AW27" s="14">
        <f t="shared" si="92"/>
        <v>0</v>
      </c>
      <c r="AX27" s="14">
        <f t="shared" si="92"/>
        <v>0</v>
      </c>
      <c r="AY27" s="14">
        <f t="shared" si="92"/>
        <v>0</v>
      </c>
      <c r="AZ27" s="14">
        <f t="shared" ref="AZ27:BK27" si="96">-IFERROR(((1-AZ45/AZ15)^(360/AZ$4))-1,0)</f>
        <v>-5.6288469384282891E-2</v>
      </c>
      <c r="BA27" s="14">
        <f t="shared" si="96"/>
        <v>-5.777195065028029E-2</v>
      </c>
      <c r="BB27" s="14">
        <f t="shared" si="96"/>
        <v>-5.7351467035919423E-2</v>
      </c>
      <c r="BC27" s="14">
        <f t="shared" si="96"/>
        <v>-6.0545248913136396E-2</v>
      </c>
      <c r="BD27" s="14">
        <f t="shared" si="96"/>
        <v>-6.1720878945685342E-2</v>
      </c>
      <c r="BE27" s="14">
        <f t="shared" si="96"/>
        <v>-6.2224164865651188E-2</v>
      </c>
      <c r="BF27" s="14">
        <f t="shared" si="96"/>
        <v>-6.1888994884377491E-2</v>
      </c>
      <c r="BG27" s="14">
        <f t="shared" si="96"/>
        <v>-6.2694316256457272E-2</v>
      </c>
      <c r="BH27" s="14">
        <f t="shared" si="96"/>
        <v>-6.3367554674801596E-2</v>
      </c>
      <c r="BI27" s="14">
        <f t="shared" si="96"/>
        <v>-7.1202196980813648E-2</v>
      </c>
      <c r="BJ27" s="14">
        <f t="shared" si="96"/>
        <v>-7.1706932949383573E-2</v>
      </c>
      <c r="BK27" s="14">
        <f t="shared" si="96"/>
        <v>-7.2265953504549785E-2</v>
      </c>
      <c r="BO27" s="28">
        <f t="shared" ref="BO27:BO29" si="97">-IFERROR(((1-BO45/BW15)^(360/BO$4))-1,0)</f>
        <v>-5.4758313943739534E-2</v>
      </c>
      <c r="BP27" s="28">
        <f t="shared" si="94"/>
        <v>-5.7133436915243196E-2</v>
      </c>
      <c r="BQ27" s="28">
        <f t="shared" si="94"/>
        <v>-5.457034882237477E-2</v>
      </c>
      <c r="BR27" s="28">
        <f t="shared" si="94"/>
        <v>-5.2077722846431085E-2</v>
      </c>
      <c r="BS27" s="28">
        <f t="shared" si="94"/>
        <v>-4.9984859646687418E-2</v>
      </c>
      <c r="BT27" s="28">
        <f t="shared" si="94"/>
        <v>-4.9473511864425612E-2</v>
      </c>
    </row>
    <row r="28" spans="1:80" hidden="1" outlineLevel="1" x14ac:dyDescent="0.25">
      <c r="A28" s="11"/>
      <c r="C28" s="2" t="s">
        <v>45</v>
      </c>
      <c r="D28" s="14">
        <f t="shared" si="95"/>
        <v>-5.162153666347713E-2</v>
      </c>
      <c r="E28" s="14">
        <f t="shared" si="92"/>
        <v>-5.1707902579163134E-2</v>
      </c>
      <c r="F28" s="14">
        <f t="shared" si="92"/>
        <v>-5.1812921362664799E-2</v>
      </c>
      <c r="G28" s="14">
        <f t="shared" si="92"/>
        <v>-5.1979733728171551E-2</v>
      </c>
      <c r="H28" s="14">
        <f t="shared" si="92"/>
        <v>-5.1971154481135429E-2</v>
      </c>
      <c r="I28" s="14">
        <f t="shared" si="92"/>
        <v>-5.1615817463681379E-2</v>
      </c>
      <c r="J28" s="14">
        <f t="shared" si="92"/>
        <v>-5.1380331661361911E-2</v>
      </c>
      <c r="K28" s="14">
        <f t="shared" si="92"/>
        <v>-5.1678708914593141E-2</v>
      </c>
      <c r="L28" s="14">
        <f t="shared" si="92"/>
        <v>-5.1472898567759051E-2</v>
      </c>
      <c r="M28" s="14">
        <f t="shared" si="92"/>
        <v>-5.2036976053675188E-2</v>
      </c>
      <c r="N28" s="14">
        <f t="shared" si="92"/>
        <v>-5.2814999268444573E-2</v>
      </c>
      <c r="O28" s="14">
        <f t="shared" si="92"/>
        <v>-5.2956692093760083E-2</v>
      </c>
      <c r="P28" s="14">
        <f t="shared" si="92"/>
        <v>-5.2907987895054021E-2</v>
      </c>
      <c r="Q28" s="14">
        <f t="shared" si="92"/>
        <v>-5.264818179938624E-2</v>
      </c>
      <c r="R28" s="14">
        <f t="shared" si="92"/>
        <v>-5.3333386999306676E-2</v>
      </c>
      <c r="S28" s="14">
        <f t="shared" si="92"/>
        <v>-5.2995396155672614E-2</v>
      </c>
      <c r="T28" s="14">
        <f t="shared" si="92"/>
        <v>-5.3361134587314618E-2</v>
      </c>
      <c r="U28" s="14">
        <f t="shared" si="92"/>
        <v>-5.3256508182530471E-2</v>
      </c>
      <c r="V28" s="14">
        <f t="shared" si="92"/>
        <v>-5.3686496535608308E-2</v>
      </c>
      <c r="W28" s="14">
        <f t="shared" si="92"/>
        <v>-5.3311977558458512E-2</v>
      </c>
      <c r="X28" s="14">
        <f t="shared" si="92"/>
        <v>-5.3424976058572549E-2</v>
      </c>
      <c r="Y28" s="14">
        <f t="shared" si="92"/>
        <v>-5.324403642844433E-2</v>
      </c>
      <c r="Z28" s="14">
        <f t="shared" si="92"/>
        <v>-5.3913185912796813E-2</v>
      </c>
      <c r="AA28" s="14">
        <f t="shared" si="92"/>
        <v>-5.3721430018049965E-2</v>
      </c>
      <c r="AB28" s="14">
        <f t="shared" si="92"/>
        <v>-5.4067129707526584E-2</v>
      </c>
      <c r="AC28" s="14">
        <f t="shared" si="92"/>
        <v>-5.3377671025733875E-2</v>
      </c>
      <c r="AD28" s="14">
        <f t="shared" si="92"/>
        <v>-5.1958339114523078E-2</v>
      </c>
      <c r="AE28" s="14">
        <f t="shared" si="92"/>
        <v>-5.4236682698293626E-2</v>
      </c>
      <c r="AF28" s="14">
        <f t="shared" si="92"/>
        <v>-5.5652712457292086E-2</v>
      </c>
      <c r="AG28" s="14">
        <f t="shared" si="92"/>
        <v>-5.4304335858901931E-2</v>
      </c>
      <c r="AH28" s="14">
        <f t="shared" si="92"/>
        <v>-5.4625554018915556E-2</v>
      </c>
      <c r="AI28" s="14">
        <f t="shared" si="92"/>
        <v>-5.6069915619229027E-2</v>
      </c>
      <c r="AJ28" s="14">
        <f t="shared" si="92"/>
        <v>-5.4795241519611571E-2</v>
      </c>
      <c r="AK28" s="14">
        <f t="shared" si="92"/>
        <v>-5.4729341119108099E-2</v>
      </c>
      <c r="AL28" s="14">
        <f t="shared" si="92"/>
        <v>-5.4955558503291257E-2</v>
      </c>
      <c r="AM28" s="14">
        <f t="shared" si="92"/>
        <v>-5.487592577117506E-2</v>
      </c>
      <c r="AN28" s="14">
        <f t="shared" si="92"/>
        <v>-5.4993692609804246E-2</v>
      </c>
      <c r="AO28" s="14">
        <f t="shared" si="92"/>
        <v>-5.471618995074401E-2</v>
      </c>
      <c r="AP28" s="14">
        <f t="shared" si="92"/>
        <v>-5.4868606890827065E-2</v>
      </c>
      <c r="AQ28" s="14">
        <f t="shared" si="92"/>
        <v>-5.4613080379974477E-2</v>
      </c>
      <c r="AR28" s="14">
        <f t="shared" si="92"/>
        <v>-5.6011923979136125E-2</v>
      </c>
      <c r="AS28" s="14">
        <f t="shared" si="92"/>
        <v>-5.4762202589671016E-2</v>
      </c>
      <c r="AT28" s="14">
        <f t="shared" si="92"/>
        <v>0</v>
      </c>
      <c r="AU28" s="14">
        <f t="shared" si="92"/>
        <v>0</v>
      </c>
      <c r="AV28" s="14">
        <f t="shared" si="92"/>
        <v>0</v>
      </c>
      <c r="AW28" s="14">
        <f t="shared" si="92"/>
        <v>0</v>
      </c>
      <c r="AX28" s="14">
        <f t="shared" si="92"/>
        <v>0</v>
      </c>
      <c r="AY28" s="14">
        <f t="shared" si="92"/>
        <v>0</v>
      </c>
      <c r="AZ28" s="14">
        <f t="shared" ref="AZ28:BK28" si="98">-IFERROR(((1-AZ46/AZ16)^(360/AZ$4))-1,0)</f>
        <v>-5.5532305356374767E-2</v>
      </c>
      <c r="BA28" s="14">
        <f t="shared" si="98"/>
        <v>-5.6489129051812137E-2</v>
      </c>
      <c r="BB28" s="14">
        <f t="shared" si="98"/>
        <v>-5.5932599120812831E-2</v>
      </c>
      <c r="BC28" s="14">
        <f t="shared" si="98"/>
        <v>-5.5131709060069367E-2</v>
      </c>
      <c r="BD28" s="14">
        <f t="shared" si="98"/>
        <v>-5.6333978829797182E-2</v>
      </c>
      <c r="BE28" s="14">
        <f t="shared" si="98"/>
        <v>-5.5907461104449663E-2</v>
      </c>
      <c r="BF28" s="14">
        <f t="shared" si="98"/>
        <v>-5.7043219608893914E-2</v>
      </c>
      <c r="BG28" s="14">
        <f t="shared" si="98"/>
        <v>-5.7191809657831882E-2</v>
      </c>
      <c r="BH28" s="14">
        <f t="shared" si="98"/>
        <v>-5.773002112947756E-2</v>
      </c>
      <c r="BI28" s="14">
        <f t="shared" si="98"/>
        <v>-5.7590179634288141E-2</v>
      </c>
      <c r="BJ28" s="14">
        <f t="shared" si="98"/>
        <v>-5.7475461906082215E-2</v>
      </c>
      <c r="BK28" s="14">
        <f t="shared" si="98"/>
        <v>-5.8254451389053719E-2</v>
      </c>
      <c r="BO28" s="28">
        <f t="shared" si="97"/>
        <v>-5.4860100563947301E-2</v>
      </c>
      <c r="BP28" s="28">
        <f t="shared" si="94"/>
        <v>-5.5983092400021972E-2</v>
      </c>
      <c r="BQ28" s="28">
        <f t="shared" si="94"/>
        <v>-5.4855937344853611E-2</v>
      </c>
      <c r="BR28" s="28">
        <f t="shared" si="94"/>
        <v>-5.3122544962380447E-2</v>
      </c>
      <c r="BS28" s="28">
        <f t="shared" si="94"/>
        <v>-5.2963823832300916E-2</v>
      </c>
      <c r="BT28" s="28">
        <f t="shared" si="94"/>
        <v>-5.1714840979512511E-2</v>
      </c>
    </row>
    <row r="29" spans="1:80" collapsed="1" x14ac:dyDescent="0.25">
      <c r="C29" s="3" t="s">
        <v>60</v>
      </c>
      <c r="D29" s="15">
        <f t="shared" si="95"/>
        <v>-4.9688010444370434E-2</v>
      </c>
      <c r="E29" s="15">
        <f t="shared" si="92"/>
        <v>-5.0021318239210633E-2</v>
      </c>
      <c r="F29" s="15">
        <f t="shared" si="92"/>
        <v>-5.0414363453173294E-2</v>
      </c>
      <c r="G29" s="15">
        <f t="shared" si="92"/>
        <v>-5.088653298425605E-2</v>
      </c>
      <c r="H29" s="15">
        <f t="shared" si="92"/>
        <v>-5.1147762369637251E-2</v>
      </c>
      <c r="I29" s="15">
        <f t="shared" si="92"/>
        <v>-5.1461441078986647E-2</v>
      </c>
      <c r="J29" s="15">
        <f t="shared" si="92"/>
        <v>-5.1742597460510797E-2</v>
      </c>
      <c r="K29" s="15">
        <f t="shared" si="92"/>
        <v>-5.1939313431393241E-2</v>
      </c>
      <c r="L29" s="15">
        <f t="shared" si="92"/>
        <v>-5.2103601908718211E-2</v>
      </c>
      <c r="M29" s="15">
        <f t="shared" si="92"/>
        <v>-5.233935860700778E-2</v>
      </c>
      <c r="N29" s="15">
        <f t="shared" si="92"/>
        <v>-5.2596931181582818E-2</v>
      </c>
      <c r="O29" s="15">
        <f t="shared" si="92"/>
        <v>-5.2855793838174181E-2</v>
      </c>
      <c r="P29" s="15">
        <f t="shared" si="92"/>
        <v>-5.3207161364886568E-2</v>
      </c>
      <c r="Q29" s="15">
        <f t="shared" si="92"/>
        <v>-5.3218642630873392E-2</v>
      </c>
      <c r="R29" s="15">
        <f t="shared" si="92"/>
        <v>-5.3607059252904543E-2</v>
      </c>
      <c r="S29" s="15">
        <f t="shared" si="92"/>
        <v>-5.364632563136662E-2</v>
      </c>
      <c r="T29" s="15">
        <f t="shared" si="92"/>
        <v>-5.4026522477121475E-2</v>
      </c>
      <c r="U29" s="15">
        <f t="shared" si="92"/>
        <v>-5.4081424335908235E-2</v>
      </c>
      <c r="V29" s="15">
        <f t="shared" si="92"/>
        <v>-5.4475769895694803E-2</v>
      </c>
      <c r="W29" s="15">
        <f t="shared" si="92"/>
        <v>-5.4941984725564774E-2</v>
      </c>
      <c r="X29" s="15">
        <f t="shared" si="92"/>
        <v>-5.4840459137595943E-2</v>
      </c>
      <c r="Y29" s="15">
        <f t="shared" si="92"/>
        <v>-5.4865340053015244E-2</v>
      </c>
      <c r="Z29" s="15">
        <f t="shared" si="92"/>
        <v>-5.5068694540829632E-2</v>
      </c>
      <c r="AA29" s="15">
        <f t="shared" si="92"/>
        <v>-5.5126417167109754E-2</v>
      </c>
      <c r="AB29" s="15">
        <f t="shared" si="92"/>
        <v>-5.5346281295584276E-2</v>
      </c>
      <c r="AC29" s="15">
        <f t="shared" si="92"/>
        <v>-5.5379843615279922E-2</v>
      </c>
      <c r="AD29" s="15">
        <f t="shared" si="92"/>
        <v>-5.5546928737267853E-2</v>
      </c>
      <c r="AE29" s="15">
        <f t="shared" si="92"/>
        <v>-5.5616156762854141E-2</v>
      </c>
      <c r="AF29" s="15">
        <f t="shared" si="92"/>
        <v>-5.5828176836090648E-2</v>
      </c>
      <c r="AG29" s="15">
        <f t="shared" si="92"/>
        <v>-5.5865788791700677E-2</v>
      </c>
      <c r="AH29" s="15">
        <f t="shared" si="92"/>
        <v>-5.6060987915741434E-2</v>
      </c>
      <c r="AI29" s="15">
        <f t="shared" si="92"/>
        <v>-5.6193041798024979E-2</v>
      </c>
      <c r="AJ29" s="15">
        <f t="shared" si="92"/>
        <v>-5.6210390827238221E-2</v>
      </c>
      <c r="AK29" s="15">
        <f t="shared" si="92"/>
        <v>-5.6179053562348535E-2</v>
      </c>
      <c r="AL29" s="15">
        <f t="shared" si="92"/>
        <v>-5.6221779566541175E-2</v>
      </c>
      <c r="AM29" s="15">
        <f t="shared" si="92"/>
        <v>-5.617045360162809E-2</v>
      </c>
      <c r="AN29" s="15">
        <f t="shared" si="92"/>
        <v>-5.6243758767851482E-2</v>
      </c>
      <c r="AO29" s="15">
        <f t="shared" si="92"/>
        <v>-5.6150665755273277E-2</v>
      </c>
      <c r="AP29" s="15">
        <f t="shared" si="92"/>
        <v>-5.6186661958623318E-2</v>
      </c>
      <c r="AQ29" s="15">
        <f t="shared" si="92"/>
        <v>-5.6072353142317954E-2</v>
      </c>
      <c r="AR29" s="15">
        <f t="shared" si="92"/>
        <v>-5.6247803081727943E-2</v>
      </c>
      <c r="AS29" s="15">
        <f t="shared" si="92"/>
        <v>-5.6195715913583744E-2</v>
      </c>
      <c r="AT29" s="15">
        <f t="shared" si="92"/>
        <v>0</v>
      </c>
      <c r="AU29" s="15">
        <f t="shared" si="92"/>
        <v>0</v>
      </c>
      <c r="AV29" s="15">
        <f t="shared" si="92"/>
        <v>0</v>
      </c>
      <c r="AW29" s="15">
        <f t="shared" si="92"/>
        <v>0</v>
      </c>
      <c r="AX29" s="15">
        <f t="shared" si="92"/>
        <v>0</v>
      </c>
      <c r="AY29" s="15">
        <f t="shared" si="92"/>
        <v>0</v>
      </c>
      <c r="AZ29" s="15">
        <f t="shared" ref="AZ29:BK29" si="99">-IFERROR(((1-AZ47/AZ17)^(360/AZ$4))-1,0)</f>
        <v>-5.6436739067625918E-2</v>
      </c>
      <c r="BA29" s="15">
        <f t="shared" si="99"/>
        <v>-5.6466932339276799E-2</v>
      </c>
      <c r="BB29" s="15">
        <f t="shared" si="99"/>
        <v>-5.6500344168825878E-2</v>
      </c>
      <c r="BC29" s="15">
        <f t="shared" si="99"/>
        <v>-5.6531297965917382E-2</v>
      </c>
      <c r="BD29" s="15">
        <f t="shared" si="99"/>
        <v>-5.6564237581387067E-2</v>
      </c>
      <c r="BE29" s="15">
        <f t="shared" si="99"/>
        <v>-5.6592670329723038E-2</v>
      </c>
      <c r="BF29" s="15">
        <f t="shared" si="99"/>
        <v>-5.6618549633283832E-2</v>
      </c>
      <c r="BG29" s="15">
        <f t="shared" si="99"/>
        <v>-5.6638820670180001E-2</v>
      </c>
      <c r="BH29" s="15">
        <f t="shared" si="99"/>
        <v>-5.6657925961734135E-2</v>
      </c>
      <c r="BI29" s="15">
        <f t="shared" si="99"/>
        <v>-5.6677234500846385E-2</v>
      </c>
      <c r="BJ29" s="15">
        <f t="shared" si="99"/>
        <v>-5.6694628408397119E-2</v>
      </c>
      <c r="BK29" s="15">
        <f t="shared" si="99"/>
        <v>-5.6712345599781999E-2</v>
      </c>
      <c r="BO29" s="29">
        <f t="shared" si="97"/>
        <v>-5.6193579220781942E-2</v>
      </c>
      <c r="BP29" s="29">
        <f t="shared" si="94"/>
        <v>-5.6468105076239006E-2</v>
      </c>
      <c r="BQ29" s="29">
        <f t="shared" si="94"/>
        <v>-5.6197069978914937E-2</v>
      </c>
      <c r="BR29" s="29">
        <f t="shared" si="94"/>
        <v>-5.5424677782611509E-2</v>
      </c>
      <c r="BS29" s="29">
        <f t="shared" si="94"/>
        <v>-5.3344986576897568E-2</v>
      </c>
      <c r="BT29" s="29">
        <f t="shared" si="94"/>
        <v>-5.0042195109231136E-2</v>
      </c>
    </row>
    <row r="32" spans="1:80" hidden="1" outlineLevel="1" x14ac:dyDescent="0.25">
      <c r="A32" s="11"/>
      <c r="C32" s="2" t="s">
        <v>0</v>
      </c>
      <c r="D32" s="14">
        <f>D20+D26</f>
        <v>2.0921278901951279E-2</v>
      </c>
      <c r="E32" s="14">
        <f t="shared" ref="E32:AY32" si="100">E20+E26</f>
        <v>2.1014817864998925E-2</v>
      </c>
      <c r="F32" s="14">
        <f t="shared" si="100"/>
        <v>2.081868095794337E-2</v>
      </c>
      <c r="G32" s="14">
        <f t="shared" si="100"/>
        <v>2.0773118907974952E-2</v>
      </c>
      <c r="H32" s="14">
        <f t="shared" si="100"/>
        <v>2.0726732586543672E-2</v>
      </c>
      <c r="I32" s="14">
        <f t="shared" si="100"/>
        <v>2.0394304548711606E-2</v>
      </c>
      <c r="J32" s="14">
        <f t="shared" si="100"/>
        <v>2.0512303478342986E-2</v>
      </c>
      <c r="K32" s="14">
        <f t="shared" si="100"/>
        <v>2.0148381518094283E-2</v>
      </c>
      <c r="L32" s="14">
        <f t="shared" si="100"/>
        <v>2.0161672937508923E-2</v>
      </c>
      <c r="M32" s="14">
        <f t="shared" si="100"/>
        <v>2.0052131821964192E-2</v>
      </c>
      <c r="N32" s="14">
        <f t="shared" si="100"/>
        <v>2.0170932130550767E-2</v>
      </c>
      <c r="O32" s="14">
        <f t="shared" si="100"/>
        <v>2.0542750886991978E-2</v>
      </c>
      <c r="P32" s="14">
        <f t="shared" si="100"/>
        <v>1.9670202299375106E-2</v>
      </c>
      <c r="Q32" s="14">
        <f t="shared" si="100"/>
        <v>1.9853812199633891E-2</v>
      </c>
      <c r="R32" s="14">
        <f t="shared" si="100"/>
        <v>1.9932475057837795E-2</v>
      </c>
      <c r="S32" s="14">
        <f t="shared" si="100"/>
        <v>1.9292439976510645E-2</v>
      </c>
      <c r="T32" s="14">
        <f t="shared" si="100"/>
        <v>1.9768267153707386E-2</v>
      </c>
      <c r="U32" s="14">
        <f t="shared" si="100"/>
        <v>2.0153853534848665E-2</v>
      </c>
      <c r="V32" s="14">
        <f t="shared" si="100"/>
        <v>1.9775779796125992E-2</v>
      </c>
      <c r="W32" s="14">
        <f t="shared" si="100"/>
        <v>1.9619392546566194E-2</v>
      </c>
      <c r="X32" s="14">
        <f t="shared" si="100"/>
        <v>1.9217832099533538E-2</v>
      </c>
      <c r="Y32" s="14">
        <f t="shared" si="100"/>
        <v>1.9317671233098688E-2</v>
      </c>
      <c r="Z32" s="14">
        <f t="shared" si="100"/>
        <v>1.9576915562661279E-2</v>
      </c>
      <c r="AA32" s="14">
        <f t="shared" si="100"/>
        <v>1.9327102741774516E-2</v>
      </c>
      <c r="AB32" s="14">
        <f t="shared" si="100"/>
        <v>1.8557380358833475E-2</v>
      </c>
      <c r="AC32" s="14">
        <f t="shared" si="100"/>
        <v>1.8906715220580184E-2</v>
      </c>
      <c r="AD32" s="14">
        <f t="shared" si="100"/>
        <v>1.8159005613822554E-2</v>
      </c>
      <c r="AE32" s="14">
        <f t="shared" si="100"/>
        <v>1.8300953278254983E-2</v>
      </c>
      <c r="AF32" s="14">
        <f t="shared" si="100"/>
        <v>1.8861475814040629E-2</v>
      </c>
      <c r="AG32" s="14">
        <f t="shared" si="100"/>
        <v>1.8013119374314268E-2</v>
      </c>
      <c r="AH32" s="14">
        <f t="shared" si="100"/>
        <v>1.8519940092467158E-2</v>
      </c>
      <c r="AI32" s="14">
        <f t="shared" si="100"/>
        <v>1.8171912046225591E-2</v>
      </c>
      <c r="AJ32" s="14">
        <f t="shared" si="100"/>
        <v>1.7560654844219314E-2</v>
      </c>
      <c r="AK32" s="14">
        <f t="shared" si="100"/>
        <v>1.7938606511131994E-2</v>
      </c>
      <c r="AL32" s="14">
        <f t="shared" si="100"/>
        <v>1.8334642875359686E-2</v>
      </c>
      <c r="AM32" s="14">
        <f t="shared" si="100"/>
        <v>1.8332865314154123E-2</v>
      </c>
      <c r="AN32" s="14">
        <f t="shared" si="100"/>
        <v>1.8185290184500325E-2</v>
      </c>
      <c r="AO32" s="14">
        <f t="shared" si="100"/>
        <v>1.8512402644297987E-2</v>
      </c>
      <c r="AP32" s="14">
        <f t="shared" si="100"/>
        <v>1.8121905504116631E-2</v>
      </c>
      <c r="AQ32" s="14">
        <f t="shared" si="100"/>
        <v>1.814920728843239E-2</v>
      </c>
      <c r="AR32" s="14">
        <f t="shared" si="100"/>
        <v>1.8315028875313111E-2</v>
      </c>
      <c r="AS32" s="14">
        <f t="shared" si="100"/>
        <v>1.7481680262081856E-2</v>
      </c>
      <c r="AT32" s="14">
        <f t="shared" si="100"/>
        <v>0</v>
      </c>
      <c r="AU32" s="14">
        <f t="shared" si="100"/>
        <v>0</v>
      </c>
      <c r="AV32" s="14">
        <f t="shared" si="100"/>
        <v>0</v>
      </c>
      <c r="AW32" s="14">
        <f t="shared" si="100"/>
        <v>0</v>
      </c>
      <c r="AX32" s="14">
        <f t="shared" si="100"/>
        <v>0</v>
      </c>
      <c r="AY32" s="14">
        <f t="shared" si="100"/>
        <v>0</v>
      </c>
      <c r="AZ32" s="14">
        <f t="shared" ref="AZ32:BK32" si="101">AZ20+AZ26</f>
        <v>1.6997156949864145E-2</v>
      </c>
      <c r="BA32" s="14">
        <f t="shared" si="101"/>
        <v>1.753931150668353E-2</v>
      </c>
      <c r="BB32" s="14">
        <f t="shared" si="101"/>
        <v>1.6800996392700052E-2</v>
      </c>
      <c r="BC32" s="14">
        <f t="shared" si="101"/>
        <v>1.732676062511751E-2</v>
      </c>
      <c r="BD32" s="14">
        <f t="shared" si="101"/>
        <v>1.7826214560273668E-2</v>
      </c>
      <c r="BE32" s="14">
        <f t="shared" si="101"/>
        <v>1.7244218757428431E-2</v>
      </c>
      <c r="BF32" s="14">
        <f t="shared" si="101"/>
        <v>1.7812596372190903E-2</v>
      </c>
      <c r="BG32" s="14">
        <f t="shared" si="101"/>
        <v>1.7813851484996146E-2</v>
      </c>
      <c r="BH32" s="14">
        <f t="shared" si="101"/>
        <v>1.7263460410990916E-2</v>
      </c>
      <c r="BI32" s="14">
        <f t="shared" si="101"/>
        <v>1.7464286514190741E-2</v>
      </c>
      <c r="BJ32" s="14">
        <f t="shared" si="101"/>
        <v>1.7935144317371199E-2</v>
      </c>
      <c r="BK32" s="14">
        <f t="shared" si="101"/>
        <v>1.7606347986773185E-2</v>
      </c>
      <c r="BO32" s="28">
        <f>BO20+BO26</f>
        <v>1.8266786889425068E-2</v>
      </c>
      <c r="BP32" s="28">
        <f t="shared" ref="BP32:BT32" si="102">BP20+BP26</f>
        <v>1.7096563192118275E-2</v>
      </c>
      <c r="BQ32" s="28">
        <f t="shared" si="102"/>
        <v>1.8330499279498813E-2</v>
      </c>
      <c r="BR32" s="28">
        <f t="shared" si="102"/>
        <v>1.8530362777922527E-2</v>
      </c>
      <c r="BS32" s="28">
        <f t="shared" si="102"/>
        <v>1.9821339323808695E-2</v>
      </c>
      <c r="BT32" s="28">
        <f t="shared" si="102"/>
        <v>2.0914892386030948E-2</v>
      </c>
    </row>
    <row r="33" spans="1:72" hidden="1" outlineLevel="1" x14ac:dyDescent="0.25">
      <c r="A33" s="11"/>
      <c r="C33" s="2" t="s">
        <v>1</v>
      </c>
      <c r="D33" s="14">
        <f t="shared" ref="D33:AY35" si="103">D21+D27</f>
        <v>-4.9774856299973358E-2</v>
      </c>
      <c r="E33" s="14">
        <f t="shared" si="103"/>
        <v>-4.9151990351060437E-2</v>
      </c>
      <c r="F33" s="14">
        <f t="shared" si="103"/>
        <v>-4.9487574120109734E-2</v>
      </c>
      <c r="G33" s="14">
        <f t="shared" si="103"/>
        <v>-4.9914999192132381E-2</v>
      </c>
      <c r="H33" s="14">
        <f t="shared" si="103"/>
        <v>-5.0471536759125968E-2</v>
      </c>
      <c r="I33" s="14">
        <f t="shared" si="103"/>
        <v>-5.0609898060786751E-2</v>
      </c>
      <c r="J33" s="14">
        <f t="shared" si="103"/>
        <v>-5.0602731443375015E-2</v>
      </c>
      <c r="K33" s="14">
        <f t="shared" si="103"/>
        <v>-5.0042799260097803E-2</v>
      </c>
      <c r="L33" s="14">
        <f t="shared" si="103"/>
        <v>-4.941310463393922E-2</v>
      </c>
      <c r="M33" s="14">
        <f t="shared" si="103"/>
        <v>-4.8837568132209741E-2</v>
      </c>
      <c r="N33" s="14">
        <f t="shared" si="103"/>
        <v>-4.910033125097879E-2</v>
      </c>
      <c r="O33" s="14">
        <f t="shared" si="103"/>
        <v>-4.959334885607003E-2</v>
      </c>
      <c r="P33" s="14">
        <f t="shared" si="103"/>
        <v>-4.9797677088000425E-2</v>
      </c>
      <c r="Q33" s="14">
        <f t="shared" si="103"/>
        <v>-4.9689645924105408E-2</v>
      </c>
      <c r="R33" s="14">
        <f t="shared" si="103"/>
        <v>-5.0464696270325682E-2</v>
      </c>
      <c r="S33" s="14">
        <f t="shared" si="103"/>
        <v>-5.0473102757740307E-2</v>
      </c>
      <c r="T33" s="14">
        <f t="shared" si="103"/>
        <v>-5.1121987112751954E-2</v>
      </c>
      <c r="U33" s="14">
        <f t="shared" si="103"/>
        <v>-5.0756947491213289E-2</v>
      </c>
      <c r="V33" s="14">
        <f t="shared" si="103"/>
        <v>-5.117857111009072E-2</v>
      </c>
      <c r="W33" s="14">
        <f t="shared" si="103"/>
        <v>-5.0923523857198116E-2</v>
      </c>
      <c r="X33" s="14">
        <f t="shared" si="103"/>
        <v>-5.1468458443976184E-2</v>
      </c>
      <c r="Y33" s="14">
        <f t="shared" si="103"/>
        <v>-5.1250662030251082E-2</v>
      </c>
      <c r="Z33" s="14">
        <f t="shared" si="103"/>
        <v>-5.1678821701254707E-2</v>
      </c>
      <c r="AA33" s="14">
        <f t="shared" si="103"/>
        <v>-5.1582317568384051E-2</v>
      </c>
      <c r="AB33" s="14">
        <f t="shared" si="103"/>
        <v>-5.215326603007564E-2</v>
      </c>
      <c r="AC33" s="14">
        <f t="shared" si="103"/>
        <v>-5.1643196430799954E-2</v>
      </c>
      <c r="AD33" s="14">
        <f t="shared" si="103"/>
        <v>-5.243571434333183E-2</v>
      </c>
      <c r="AE33" s="14">
        <f t="shared" si="103"/>
        <v>-5.2601084035242218E-2</v>
      </c>
      <c r="AF33" s="14">
        <f t="shared" si="103"/>
        <v>-5.3086409004751367E-2</v>
      </c>
      <c r="AG33" s="14">
        <f t="shared" si="103"/>
        <v>-5.2992154202449848E-2</v>
      </c>
      <c r="AH33" s="14">
        <f t="shared" si="103"/>
        <v>-5.3876476389345562E-2</v>
      </c>
      <c r="AI33" s="14">
        <f t="shared" si="103"/>
        <v>-5.3950239810600875E-2</v>
      </c>
      <c r="AJ33" s="14">
        <f t="shared" si="103"/>
        <v>-5.4125331120697506E-2</v>
      </c>
      <c r="AK33" s="14">
        <f t="shared" si="103"/>
        <v>-5.4156840099705894E-2</v>
      </c>
      <c r="AL33" s="14">
        <f t="shared" si="103"/>
        <v>-5.4389267169492106E-2</v>
      </c>
      <c r="AM33" s="14">
        <f t="shared" si="103"/>
        <v>-5.4144712724792043E-2</v>
      </c>
      <c r="AN33" s="14">
        <f t="shared" si="103"/>
        <v>-5.4902728753346786E-2</v>
      </c>
      <c r="AO33" s="14">
        <f t="shared" si="103"/>
        <v>-5.4233227799195927E-2</v>
      </c>
      <c r="AP33" s="14">
        <f t="shared" si="103"/>
        <v>-5.5115095365981581E-2</v>
      </c>
      <c r="AQ33" s="14">
        <f t="shared" si="103"/>
        <v>-5.5261908837203277E-2</v>
      </c>
      <c r="AR33" s="14">
        <f t="shared" si="103"/>
        <v>-5.5745340551476286E-2</v>
      </c>
      <c r="AS33" s="14">
        <f t="shared" si="103"/>
        <v>-5.5229667588616804E-2</v>
      </c>
      <c r="AT33" s="14">
        <f t="shared" si="103"/>
        <v>0</v>
      </c>
      <c r="AU33" s="14">
        <f t="shared" si="103"/>
        <v>0</v>
      </c>
      <c r="AV33" s="14">
        <f t="shared" si="103"/>
        <v>0</v>
      </c>
      <c r="AW33" s="14">
        <f t="shared" si="103"/>
        <v>0</v>
      </c>
      <c r="AX33" s="14">
        <f t="shared" si="103"/>
        <v>0</v>
      </c>
      <c r="AY33" s="14">
        <f t="shared" si="103"/>
        <v>0</v>
      </c>
      <c r="AZ33" s="14">
        <f t="shared" ref="AZ33:BK33" si="104">AZ21+AZ27</f>
        <v>-5.6288469384282891E-2</v>
      </c>
      <c r="BA33" s="14">
        <f t="shared" si="104"/>
        <v>-5.777195065028029E-2</v>
      </c>
      <c r="BB33" s="14">
        <f t="shared" si="104"/>
        <v>-5.7351467035919423E-2</v>
      </c>
      <c r="BC33" s="14">
        <f t="shared" si="104"/>
        <v>-6.0545248913136396E-2</v>
      </c>
      <c r="BD33" s="14">
        <f t="shared" si="104"/>
        <v>-6.1720878945685342E-2</v>
      </c>
      <c r="BE33" s="14">
        <f t="shared" si="104"/>
        <v>-6.2224164865651188E-2</v>
      </c>
      <c r="BF33" s="14">
        <f t="shared" si="104"/>
        <v>-6.1888994884377491E-2</v>
      </c>
      <c r="BG33" s="14">
        <f t="shared" si="104"/>
        <v>-6.2694316256457272E-2</v>
      </c>
      <c r="BH33" s="14">
        <f t="shared" si="104"/>
        <v>-6.3367554674801596E-2</v>
      </c>
      <c r="BI33" s="14">
        <f t="shared" si="104"/>
        <v>-7.1202196980813648E-2</v>
      </c>
      <c r="BJ33" s="14">
        <f t="shared" si="104"/>
        <v>-7.1706932949383573E-2</v>
      </c>
      <c r="BK33" s="14">
        <f t="shared" si="104"/>
        <v>-7.2265953504549785E-2</v>
      </c>
      <c r="BO33" s="28">
        <f t="shared" ref="BO33:BT35" si="105">BO21+BO27</f>
        <v>-5.4758313943739534E-2</v>
      </c>
      <c r="BP33" s="28">
        <f t="shared" si="105"/>
        <v>-5.7133436915243196E-2</v>
      </c>
      <c r="BQ33" s="28">
        <f t="shared" si="105"/>
        <v>-5.457034882237477E-2</v>
      </c>
      <c r="BR33" s="28">
        <f t="shared" si="105"/>
        <v>-5.2077722846431085E-2</v>
      </c>
      <c r="BS33" s="28">
        <f t="shared" si="105"/>
        <v>-4.9984859646687418E-2</v>
      </c>
      <c r="BT33" s="28">
        <f t="shared" si="105"/>
        <v>-4.9473511864425612E-2</v>
      </c>
    </row>
    <row r="34" spans="1:72" hidden="1" outlineLevel="1" x14ac:dyDescent="0.25">
      <c r="A34" s="11"/>
      <c r="C34" s="2" t="s">
        <v>45</v>
      </c>
      <c r="D34" s="14">
        <f t="shared" si="103"/>
        <v>3.6843211452457059E-2</v>
      </c>
      <c r="E34" s="14">
        <f t="shared" si="103"/>
        <v>3.2559408029353865E-2</v>
      </c>
      <c r="F34" s="14">
        <f t="shared" si="103"/>
        <v>5.4495076604942572E-2</v>
      </c>
      <c r="G34" s="14">
        <f t="shared" si="103"/>
        <v>3.0136563440768427E-2</v>
      </c>
      <c r="H34" s="14">
        <f t="shared" si="103"/>
        <v>4.507185339075126E-2</v>
      </c>
      <c r="I34" s="14">
        <f t="shared" si="103"/>
        <v>5.3879145111857873E-2</v>
      </c>
      <c r="J34" s="14">
        <f t="shared" si="103"/>
        <v>5.5905199877395173E-2</v>
      </c>
      <c r="K34" s="14">
        <f t="shared" si="103"/>
        <v>4.4957085562862931E-2</v>
      </c>
      <c r="L34" s="14">
        <f t="shared" si="103"/>
        <v>4.9512203034780544E-2</v>
      </c>
      <c r="M34" s="14">
        <f t="shared" si="103"/>
        <v>6.9447839322427596E-2</v>
      </c>
      <c r="N34" s="14">
        <f t="shared" si="103"/>
        <v>4.7088891889848217E-2</v>
      </c>
      <c r="O34" s="14">
        <f t="shared" si="103"/>
        <v>4.0909754743729598E-2</v>
      </c>
      <c r="P34" s="14">
        <f t="shared" si="103"/>
        <v>5.8884150533674129E-2</v>
      </c>
      <c r="Q34" s="14">
        <f t="shared" si="103"/>
        <v>4.1639703658555183E-2</v>
      </c>
      <c r="R34" s="14">
        <f t="shared" si="103"/>
        <v>4.9826206613226232E-2</v>
      </c>
      <c r="S34" s="14">
        <f t="shared" si="103"/>
        <v>5.2212048730794658E-2</v>
      </c>
      <c r="T34" s="14">
        <f t="shared" si="103"/>
        <v>4.8603714620399918E-2</v>
      </c>
      <c r="U34" s="14">
        <f t="shared" si="103"/>
        <v>4.533593206930564E-2</v>
      </c>
      <c r="V34" s="14">
        <f t="shared" si="103"/>
        <v>6.6882125726427821E-2</v>
      </c>
      <c r="W34" s="14">
        <f t="shared" si="103"/>
        <v>5.9125330521686337E-2</v>
      </c>
      <c r="X34" s="14">
        <f t="shared" si="103"/>
        <v>5.1852994203986036E-2</v>
      </c>
      <c r="Y34" s="14">
        <f t="shared" si="103"/>
        <v>4.3395863875546059E-2</v>
      </c>
      <c r="Z34" s="14">
        <f t="shared" si="103"/>
        <v>4.6094497490246411E-2</v>
      </c>
      <c r="AA34" s="14">
        <f t="shared" si="103"/>
        <v>5.9560092116760721E-2</v>
      </c>
      <c r="AB34" s="14">
        <f t="shared" si="103"/>
        <v>5.3524078765909699E-2</v>
      </c>
      <c r="AC34" s="14">
        <f t="shared" si="103"/>
        <v>3.9056029843994144E-2</v>
      </c>
      <c r="AD34" s="14">
        <f t="shared" si="103"/>
        <v>5.8999786902576012E-2</v>
      </c>
      <c r="AE34" s="14">
        <f t="shared" si="103"/>
        <v>4.8575236926100551E-2</v>
      </c>
      <c r="AF34" s="14">
        <f t="shared" si="103"/>
        <v>5.7820422311800179E-2</v>
      </c>
      <c r="AG34" s="14">
        <f t="shared" si="103"/>
        <v>4.3654450608249684E-2</v>
      </c>
      <c r="AH34" s="14">
        <f t="shared" si="103"/>
        <v>3.9276680825108601E-2</v>
      </c>
      <c r="AI34" s="14">
        <f t="shared" si="103"/>
        <v>3.1502677605212082E-2</v>
      </c>
      <c r="AJ34" s="14">
        <f t="shared" si="103"/>
        <v>6.7388653926461428E-2</v>
      </c>
      <c r="AK34" s="14">
        <f t="shared" si="103"/>
        <v>4.0250531247347565E-2</v>
      </c>
      <c r="AL34" s="14">
        <f t="shared" si="103"/>
        <v>4.8270513455162201E-2</v>
      </c>
      <c r="AM34" s="14">
        <f t="shared" si="103"/>
        <v>5.8857580815264043E-2</v>
      </c>
      <c r="AN34" s="14">
        <f t="shared" si="103"/>
        <v>3.9591657064045771E-2</v>
      </c>
      <c r="AO34" s="14">
        <f t="shared" si="103"/>
        <v>4.3349965237191368E-2</v>
      </c>
      <c r="AP34" s="14">
        <f t="shared" si="103"/>
        <v>5.7247205057433526E-2</v>
      </c>
      <c r="AQ34" s="14">
        <f t="shared" si="103"/>
        <v>3.7780304950052246E-2</v>
      </c>
      <c r="AR34" s="14">
        <f t="shared" si="103"/>
        <v>4.5648127134101379E-2</v>
      </c>
      <c r="AS34" s="14">
        <f t="shared" si="103"/>
        <v>3.9487016488423343E-2</v>
      </c>
      <c r="AT34" s="14">
        <f t="shared" si="103"/>
        <v>0</v>
      </c>
      <c r="AU34" s="14">
        <f t="shared" si="103"/>
        <v>0</v>
      </c>
      <c r="AV34" s="14">
        <f t="shared" si="103"/>
        <v>0</v>
      </c>
      <c r="AW34" s="14">
        <f t="shared" si="103"/>
        <v>0</v>
      </c>
      <c r="AX34" s="14">
        <f t="shared" si="103"/>
        <v>0</v>
      </c>
      <c r="AY34" s="14">
        <f t="shared" si="103"/>
        <v>0</v>
      </c>
      <c r="AZ34" s="14">
        <f t="shared" ref="AZ34:BK34" si="106">AZ22+AZ28</f>
        <v>6.3008581999436153E-2</v>
      </c>
      <c r="BA34" s="14">
        <f t="shared" si="106"/>
        <v>6.5302770416779454E-2</v>
      </c>
      <c r="BB34" s="14">
        <f t="shared" si="106"/>
        <v>6.3100929358679947E-2</v>
      </c>
      <c r="BC34" s="14">
        <f t="shared" si="106"/>
        <v>6.3301957730703462E-2</v>
      </c>
      <c r="BD34" s="14">
        <f t="shared" si="106"/>
        <v>6.5562749444613377E-2</v>
      </c>
      <c r="BE34" s="14">
        <f t="shared" si="106"/>
        <v>6.3971848447773816E-2</v>
      </c>
      <c r="BF34" s="14">
        <f t="shared" si="106"/>
        <v>6.646585226420032E-2</v>
      </c>
      <c r="BG34" s="14">
        <f t="shared" si="106"/>
        <v>6.6726828869387189E-2</v>
      </c>
      <c r="BH34" s="14">
        <f t="shared" si="106"/>
        <v>6.5888189570986633E-2</v>
      </c>
      <c r="BI34" s="14">
        <f t="shared" si="106"/>
        <v>6.6314492030816075E-2</v>
      </c>
      <c r="BJ34" s="14">
        <f t="shared" si="106"/>
        <v>6.7223420784545684E-2</v>
      </c>
      <c r="BK34" s="14">
        <f t="shared" si="106"/>
        <v>6.7498479142003243E-2</v>
      </c>
      <c r="BO34" s="28">
        <f t="shared" si="105"/>
        <v>4.6738726465686886E-2</v>
      </c>
      <c r="BP34" s="28">
        <f t="shared" si="105"/>
        <v>6.376585222575315E-2</v>
      </c>
      <c r="BQ34" s="28">
        <f t="shared" si="105"/>
        <v>4.1404881200822086E-2</v>
      </c>
      <c r="BR34" s="28">
        <f t="shared" si="105"/>
        <v>5.0964675324780995E-2</v>
      </c>
      <c r="BS34" s="28">
        <f t="shared" si="105"/>
        <v>5.0215145187335608E-2</v>
      </c>
      <c r="BT34" s="28">
        <f t="shared" si="105"/>
        <v>4.1667185510184224E-2</v>
      </c>
    </row>
    <row r="35" spans="1:72" collapsed="1" x14ac:dyDescent="0.25">
      <c r="C35" s="3" t="s">
        <v>63</v>
      </c>
      <c r="D35" s="15">
        <f t="shared" si="103"/>
        <v>2.1078497075646574E-2</v>
      </c>
      <c r="E35" s="15">
        <f t="shared" si="103"/>
        <v>2.1065683349184017E-2</v>
      </c>
      <c r="F35" s="15">
        <f t="shared" si="103"/>
        <v>2.1447422745991096E-2</v>
      </c>
      <c r="G35" s="15">
        <f t="shared" si="103"/>
        <v>2.0754782520018722E-2</v>
      </c>
      <c r="H35" s="15">
        <f t="shared" si="103"/>
        <v>2.1145259687068929E-2</v>
      </c>
      <c r="I35" s="15">
        <f t="shared" si="103"/>
        <v>2.1065420634946763E-2</v>
      </c>
      <c r="J35" s="15">
        <f t="shared" si="103"/>
        <v>2.1215606847826196E-2</v>
      </c>
      <c r="K35" s="15">
        <f t="shared" si="103"/>
        <v>2.0594468577709524E-2</v>
      </c>
      <c r="L35" s="15">
        <f t="shared" si="103"/>
        <v>2.0754503224518661E-2</v>
      </c>
      <c r="M35" s="15">
        <f t="shared" si="103"/>
        <v>2.1199305117557854E-2</v>
      </c>
      <c r="N35" s="15">
        <f t="shared" si="103"/>
        <v>2.0711677893265223E-2</v>
      </c>
      <c r="O35" s="15">
        <f t="shared" si="103"/>
        <v>2.0890205933081329E-2</v>
      </c>
      <c r="P35" s="15">
        <f t="shared" si="103"/>
        <v>2.0593820768804116E-2</v>
      </c>
      <c r="Q35" s="15">
        <f t="shared" si="103"/>
        <v>2.0284884255226343E-2</v>
      </c>
      <c r="R35" s="15">
        <f t="shared" si="103"/>
        <v>2.0596978101772301E-2</v>
      </c>
      <c r="S35" s="15">
        <f t="shared" si="103"/>
        <v>2.0088559480012202E-2</v>
      </c>
      <c r="T35" s="15">
        <f t="shared" si="103"/>
        <v>2.0467564111487535E-2</v>
      </c>
      <c r="U35" s="15">
        <f t="shared" si="103"/>
        <v>2.0753687088401751E-2</v>
      </c>
      <c r="V35" s="15">
        <f t="shared" si="103"/>
        <v>2.1023544636453728E-2</v>
      </c>
      <c r="W35" s="15">
        <f t="shared" si="103"/>
        <v>2.0618022672146186E-2</v>
      </c>
      <c r="X35" s="15">
        <f t="shared" si="103"/>
        <v>1.99976181770114E-2</v>
      </c>
      <c r="Y35" s="15">
        <f t="shared" si="103"/>
        <v>1.9826783839361761E-2</v>
      </c>
      <c r="Z35" s="15">
        <f t="shared" si="103"/>
        <v>2.018924217125706E-2</v>
      </c>
      <c r="AA35" s="15">
        <f t="shared" si="103"/>
        <v>2.0363475042004309E-2</v>
      </c>
      <c r="AB35" s="15">
        <f t="shared" si="103"/>
        <v>1.9430348064699787E-2</v>
      </c>
      <c r="AC35" s="15">
        <f t="shared" si="103"/>
        <v>1.9335193376437187E-2</v>
      </c>
      <c r="AD35" s="15">
        <f t="shared" si="103"/>
        <v>1.9246716650960005E-2</v>
      </c>
      <c r="AE35" s="15">
        <f t="shared" si="103"/>
        <v>1.9060767647336219E-2</v>
      </c>
      <c r="AF35" s="15">
        <f t="shared" si="103"/>
        <v>1.9935418453350451E-2</v>
      </c>
      <c r="AG35" s="15">
        <f t="shared" si="103"/>
        <v>1.8669874485062854E-2</v>
      </c>
      <c r="AH35" s="15">
        <f t="shared" si="103"/>
        <v>1.8992648681500635E-2</v>
      </c>
      <c r="AI35" s="15">
        <f t="shared" si="103"/>
        <v>1.8410591567357582E-2</v>
      </c>
      <c r="AJ35" s="15">
        <f t="shared" si="103"/>
        <v>1.8928312898234489E-2</v>
      </c>
      <c r="AK35" s="15">
        <f t="shared" si="103"/>
        <v>1.8453468817600127E-2</v>
      </c>
      <c r="AL35" s="15">
        <f t="shared" si="103"/>
        <v>1.9090679500849861E-2</v>
      </c>
      <c r="AM35" s="15">
        <f t="shared" si="103"/>
        <v>1.9401647376164233E-2</v>
      </c>
      <c r="AN35" s="15">
        <f t="shared" si="103"/>
        <v>1.8636872261704074E-2</v>
      </c>
      <c r="AO35" s="15">
        <f t="shared" si="103"/>
        <v>1.9058203614785052E-2</v>
      </c>
      <c r="AP35" s="15">
        <f t="shared" si="103"/>
        <v>1.9055601191585447E-2</v>
      </c>
      <c r="AQ35" s="15">
        <f t="shared" si="103"/>
        <v>1.8520961810673642E-2</v>
      </c>
      <c r="AR35" s="15">
        <f t="shared" si="103"/>
        <v>1.8903321443815457E-2</v>
      </c>
      <c r="AS35" s="15">
        <f t="shared" si="103"/>
        <v>1.7926194700325748E-2</v>
      </c>
      <c r="AT35" s="15">
        <f t="shared" si="103"/>
        <v>0</v>
      </c>
      <c r="AU35" s="15">
        <f t="shared" si="103"/>
        <v>0</v>
      </c>
      <c r="AV35" s="15">
        <f t="shared" si="103"/>
        <v>0</v>
      </c>
      <c r="AW35" s="15">
        <f t="shared" si="103"/>
        <v>0</v>
      </c>
      <c r="AX35" s="15">
        <f t="shared" si="103"/>
        <v>0</v>
      </c>
      <c r="AY35" s="15">
        <f t="shared" si="103"/>
        <v>0</v>
      </c>
      <c r="AZ35" s="15">
        <f t="shared" ref="AZ35:BK35" si="107">AZ23+AZ29</f>
        <v>1.8240694198513596E-2</v>
      </c>
      <c r="BA35" s="15">
        <f t="shared" si="107"/>
        <v>1.8813344661987141E-2</v>
      </c>
      <c r="BB35" s="15">
        <f t="shared" si="107"/>
        <v>1.8050734241233712E-2</v>
      </c>
      <c r="BC35" s="15">
        <f t="shared" si="107"/>
        <v>1.8591726317106261E-2</v>
      </c>
      <c r="BD35" s="15">
        <f t="shared" si="107"/>
        <v>1.9114951296329119E-2</v>
      </c>
      <c r="BE35" s="15">
        <f t="shared" si="107"/>
        <v>1.8517244465564353E-2</v>
      </c>
      <c r="BF35" s="15">
        <f t="shared" si="107"/>
        <v>1.9114380557402333E-2</v>
      </c>
      <c r="BG35" s="15">
        <f t="shared" si="107"/>
        <v>1.9121671023571318E-2</v>
      </c>
      <c r="BH35" s="15">
        <f t="shared" si="107"/>
        <v>1.8552148000836155E-2</v>
      </c>
      <c r="BI35" s="15">
        <f t="shared" si="107"/>
        <v>1.8769266512443927E-2</v>
      </c>
      <c r="BJ35" s="15">
        <f t="shared" si="107"/>
        <v>1.9257231429030464E-2</v>
      </c>
      <c r="BK35" s="15">
        <f t="shared" si="107"/>
        <v>1.8928237548951454E-2</v>
      </c>
      <c r="BO35" s="29">
        <f t="shared" si="105"/>
        <v>1.8915137033805429E-2</v>
      </c>
      <c r="BP35" s="29">
        <f t="shared" si="105"/>
        <v>1.8351845792097032E-2</v>
      </c>
      <c r="BQ35" s="29">
        <f t="shared" si="105"/>
        <v>1.882835764446078E-2</v>
      </c>
      <c r="BR35" s="29">
        <f t="shared" si="105"/>
        <v>1.9339683256051732E-2</v>
      </c>
      <c r="BS35" s="29">
        <f t="shared" si="105"/>
        <v>2.0499135671319779E-2</v>
      </c>
      <c r="BT35" s="29">
        <f t="shared" si="105"/>
        <v>2.1202612523412157E-2</v>
      </c>
    </row>
    <row r="38" spans="1:72" hidden="1" outlineLevel="1" x14ac:dyDescent="0.25">
      <c r="A38" s="11" t="s">
        <v>55</v>
      </c>
      <c r="C38" s="2" t="s">
        <v>0</v>
      </c>
      <c r="D38" s="8">
        <f>Renta_Alta!D38+Masivo!D38+Consumo_Inicial!D38</f>
        <v>54508.580927259994</v>
      </c>
      <c r="E38" s="8">
        <f>Renta_Alta!E38+Masivo!E38+Consumo_Inicial!E38</f>
        <v>49748.111261589998</v>
      </c>
      <c r="F38" s="8">
        <f>Renta_Alta!F38+Masivo!F38+Consumo_Inicial!F38</f>
        <v>55428.295594479998</v>
      </c>
      <c r="G38" s="8">
        <f>Renta_Alta!G38+Masivo!G38+Consumo_Inicial!G38</f>
        <v>54185.561845739983</v>
      </c>
      <c r="H38" s="8">
        <f>Renta_Alta!H38+Masivo!H38+Consumo_Inicial!H38</f>
        <v>56408.448630899999</v>
      </c>
      <c r="I38" s="8">
        <f>Renta_Alta!I38+Masivo!I38+Consumo_Inicial!I38</f>
        <v>54868.044451369999</v>
      </c>
      <c r="J38" s="8">
        <f>Renta_Alta!J38+Masivo!J38+Consumo_Inicial!J38</f>
        <v>57291.787250259986</v>
      </c>
      <c r="K38" s="8">
        <f>Renta_Alta!K38+Masivo!K38+Consumo_Inicial!K38</f>
        <v>57286.490126109988</v>
      </c>
      <c r="L38" s="8">
        <f>Renta_Alta!L38+Masivo!L38+Consumo_Inicial!L38</f>
        <v>55958.420301590006</v>
      </c>
      <c r="M38" s="8">
        <f>Renta_Alta!M38+Masivo!M38+Consumo_Inicial!M38</f>
        <v>58386.252048469993</v>
      </c>
      <c r="N38" s="8">
        <f>Renta_Alta!N38+Masivo!N38+Consumo_Inicial!N38</f>
        <v>56964.397639439994</v>
      </c>
      <c r="O38" s="8">
        <f>Renta_Alta!O38+Masivo!O38+Consumo_Inicial!O38</f>
        <v>59589.061589569996</v>
      </c>
      <c r="P38" s="8">
        <f>Renta_Alta!P38+Masivo!P38+Consumo_Inicial!P38</f>
        <v>59240.915665559987</v>
      </c>
      <c r="Q38" s="8">
        <f>Renta_Alta!Q38+Masivo!Q38+Consumo_Inicial!Q38</f>
        <v>55854.498270279997</v>
      </c>
      <c r="R38" s="8">
        <f>Renta_Alta!R38+Masivo!R38+Consumo_Inicial!R38</f>
        <v>60393.993322369999</v>
      </c>
      <c r="S38" s="8">
        <f>Renta_Alta!S38+Masivo!S38+Consumo_Inicial!S38</f>
        <v>58197.901386330006</v>
      </c>
      <c r="T38" s="8">
        <f>Renta_Alta!T38+Masivo!T38+Consumo_Inicial!T38</f>
        <v>61088.85947493001</v>
      </c>
      <c r="U38" s="8">
        <f>Renta_Alta!U38+Masivo!U38+Consumo_Inicial!U38</f>
        <v>59747.310160410008</v>
      </c>
      <c r="V38" s="8">
        <f>Renta_Alta!V38+Masivo!V38+Consumo_Inicial!V38</f>
        <v>62223.086633309984</v>
      </c>
      <c r="W38" s="8">
        <f>Renta_Alta!W38+Masivo!W38+Consumo_Inicial!W38</f>
        <v>62834.047819859996</v>
      </c>
      <c r="X38" s="8">
        <f>Renta_Alta!X38+Masivo!X38+Consumo_Inicial!X38</f>
        <v>60951.391622110001</v>
      </c>
      <c r="Y38" s="8">
        <f>Renta_Alta!Y38+Masivo!Y38+Consumo_Inicial!Y38</f>
        <v>63534.815985609996</v>
      </c>
      <c r="Z38" s="8">
        <f>Renta_Alta!Z38+Masivo!Z38+Consumo_Inicial!Z38</f>
        <v>62199.234099639987</v>
      </c>
      <c r="AA38" s="8">
        <f>Renta_Alta!AA38+Masivo!AA38+Consumo_Inicial!AA38</f>
        <v>64455.20972466001</v>
      </c>
      <c r="AB38" s="8">
        <f>Renta_Alta!AB38+Masivo!AB38+Consumo_Inicial!AB38</f>
        <v>64293.020087290002</v>
      </c>
      <c r="AC38" s="8">
        <f>Renta_Alta!AC38+Masivo!AC38+Consumo_Inicial!AC38</f>
        <v>58635.636060989993</v>
      </c>
      <c r="AD38" s="8">
        <f>Renta_Alta!AD38+Masivo!AD38+Consumo_Inicial!AD38</f>
        <v>64782.91250631</v>
      </c>
      <c r="AE38" s="8">
        <f>Renta_Alta!AE38+Masivo!AE38+Consumo_Inicial!AE38</f>
        <v>63073.858670009991</v>
      </c>
      <c r="AF38" s="8">
        <f>Renta_Alta!AF38+Masivo!AF38+Consumo_Inicial!AF38</f>
        <v>66111.084303600015</v>
      </c>
      <c r="AG38" s="8">
        <f>Renta_Alta!AG38+Masivo!AG38+Consumo_Inicial!AG38</f>
        <v>63772.261456040003</v>
      </c>
      <c r="AH38" s="8">
        <f>Renta_Alta!AH38+Masivo!AH38+Consumo_Inicial!AH38</f>
        <v>67014.822402800011</v>
      </c>
      <c r="AI38" s="8">
        <f>Renta_Alta!AI38+Masivo!AI38+Consumo_Inicial!AI38</f>
        <v>67203.247648050004</v>
      </c>
      <c r="AJ38" s="8">
        <f>Renta_Alta!AJ38+Masivo!AJ38+Consumo_Inicial!AJ38</f>
        <v>65204.214643189996</v>
      </c>
      <c r="AK38" s="8">
        <f>Renta_Alta!AK38+Masivo!AK38+Consumo_Inicial!AK38</f>
        <v>68259.792842409981</v>
      </c>
      <c r="AL38" s="8">
        <f>Renta_Alta!AL38+Masivo!AL38+Consumo_Inicial!AL38</f>
        <v>67066.086919859983</v>
      </c>
      <c r="AM38" s="8">
        <f>Renta_Alta!AM38+Masivo!AM38+Consumo_Inicial!AM38</f>
        <v>69819.744712739994</v>
      </c>
      <c r="AN38" s="8">
        <f>Renta_Alta!AN38+Masivo!AN38+Consumo_Inicial!AN38</f>
        <v>70101.704392689993</v>
      </c>
      <c r="AO38" s="8">
        <f>Renta_Alta!AO38+Masivo!AO38+Consumo_Inicial!AO38</f>
        <v>63928.75960042001</v>
      </c>
      <c r="AP38" s="8">
        <f>Renta_Alta!AP38+Masivo!AP38+Consumo_Inicial!AP38</f>
        <v>70941.128941929986</v>
      </c>
      <c r="AQ38" s="8">
        <f>Renta_Alta!AQ38+Masivo!AQ38+Consumo_Inicial!AQ38</f>
        <v>68766.02573193</v>
      </c>
      <c r="AR38" s="8">
        <f>Renta_Alta!AR38+Masivo!AR38+Consumo_Inicial!AR38</f>
        <v>71762.642422110017</v>
      </c>
      <c r="AS38" s="8">
        <f>Renta_Alta!AS38+Masivo!AS38+Consumo_Inicial!AS38</f>
        <v>69107.61591896</v>
      </c>
      <c r="AT38" s="8">
        <f>Renta_Alta!AT38+Masivo!AT38+Consumo_Inicial!AT38</f>
        <v>0</v>
      </c>
      <c r="AU38" s="8">
        <f>Renta_Alta!AU38+Masivo!AU38+Consumo_Inicial!AU38</f>
        <v>0</v>
      </c>
      <c r="AV38" s="8">
        <f>Renta_Alta!AV38+Masivo!AV38+Consumo_Inicial!AV38</f>
        <v>0</v>
      </c>
      <c r="AW38" s="8">
        <f>Renta_Alta!AW38+Masivo!AW38+Consumo_Inicial!AW38</f>
        <v>0</v>
      </c>
      <c r="AX38" s="8">
        <f>Renta_Alta!AX38+Masivo!AX38+Consumo_Inicial!AX38</f>
        <v>0</v>
      </c>
      <c r="AY38" s="8">
        <f>Renta_Alta!AY38+Masivo!AY38+Consumo_Inicial!AY38</f>
        <v>0</v>
      </c>
      <c r="AZ38" s="8">
        <f>Renta_Alta!AZ38+Masivo!AZ38+Consumo_Inicial!AZ38</f>
        <v>68803.503556982978</v>
      </c>
      <c r="BA38" s="8">
        <f>Renta_Alta!BA38+Masivo!BA38+Consumo_Inicial!BA38</f>
        <v>62965.521969726164</v>
      </c>
      <c r="BB38" s="8">
        <f>Renta_Alta!BB38+Masivo!BB38+Consumo_Inicial!BB38</f>
        <v>69331.581201752662</v>
      </c>
      <c r="BC38" s="8">
        <f>Renta_Alta!BC38+Masivo!BC38+Consumo_Inicial!BC38</f>
        <v>67929.851806531267</v>
      </c>
      <c r="BD38" s="8">
        <f>Renta_Alta!BD38+Masivo!BD38+Consumo_Inicial!BD38</f>
        <v>71110.792205162521</v>
      </c>
      <c r="BE38" s="8">
        <f>Renta_Alta!BE38+Masivo!BE38+Consumo_Inicial!BE38</f>
        <v>68813.070477672649</v>
      </c>
      <c r="BF38" s="8">
        <f>Renta_Alta!BF38+Masivo!BF38+Consumo_Inicial!BF38</f>
        <v>72094.590952509519</v>
      </c>
      <c r="BG38" s="8">
        <f>Renta_Alta!BG38+Masivo!BG38+Consumo_Inicial!BG38</f>
        <v>72758.160232696668</v>
      </c>
      <c r="BH38" s="8">
        <f>Renta_Alta!BH38+Masivo!BH38+Consumo_Inicial!BH38</f>
        <v>70485.794050012235</v>
      </c>
      <c r="BI38" s="8">
        <f>Renta_Alta!BI38+Masivo!BI38+Consumo_Inicial!BI38</f>
        <v>73735.037187378461</v>
      </c>
      <c r="BJ38" s="8">
        <f>Renta_Alta!BJ38+Masivo!BJ38+Consumo_Inicial!BJ38</f>
        <v>72372.194560023752</v>
      </c>
      <c r="BK38" s="8">
        <f>Renta_Alta!BK38+Masivo!BK38+Consumo_Inicial!BK38</f>
        <v>74984.621523515802</v>
      </c>
      <c r="BO38" s="24">
        <f t="shared" ref="BO38:BT40" si="108">SUMIFS($D38:$BM38,$D$6:$BM$6,"&gt;="&amp;BO$2,$D$6:$BM$6,"&lt;="&amp;BO$6,$D$5:$BM$5,BO$5)</f>
        <v>204971.59293503998</v>
      </c>
      <c r="BP38" s="24">
        <f t="shared" si="108"/>
        <v>201100.6067284618</v>
      </c>
      <c r="BQ38" s="24">
        <f t="shared" si="108"/>
        <v>134030.46399311</v>
      </c>
      <c r="BR38" s="24">
        <f t="shared" si="108"/>
        <v>187711.56865459</v>
      </c>
      <c r="BS38" s="24">
        <f t="shared" si="108"/>
        <v>175489.40725820998</v>
      </c>
      <c r="BT38" s="24">
        <f t="shared" si="108"/>
        <v>159684.98778333</v>
      </c>
    </row>
    <row r="39" spans="1:72" hidden="1" outlineLevel="1" x14ac:dyDescent="0.25">
      <c r="A39" s="11" t="s">
        <v>55</v>
      </c>
      <c r="C39" s="2" t="s">
        <v>1</v>
      </c>
      <c r="D39" s="8">
        <f>Renta_Alta!D39+Masivo!D39+Consumo_Inicial!D39</f>
        <v>0</v>
      </c>
      <c r="E39" s="8">
        <f>Renta_Alta!E39+Masivo!E39+Consumo_Inicial!E39</f>
        <v>0</v>
      </c>
      <c r="F39" s="8">
        <f>Renta_Alta!F39+Masivo!F39+Consumo_Inicial!F39</f>
        <v>0</v>
      </c>
      <c r="G39" s="8">
        <f>Renta_Alta!G39+Masivo!G39+Consumo_Inicial!G39</f>
        <v>0</v>
      </c>
      <c r="H39" s="8">
        <f>Renta_Alta!H39+Masivo!H39+Consumo_Inicial!H39</f>
        <v>0</v>
      </c>
      <c r="I39" s="8">
        <f>Renta_Alta!I39+Masivo!I39+Consumo_Inicial!I39</f>
        <v>0</v>
      </c>
      <c r="J39" s="8">
        <f>Renta_Alta!J39+Masivo!J39+Consumo_Inicial!J39</f>
        <v>0</v>
      </c>
      <c r="K39" s="8">
        <f>Renta_Alta!K39+Masivo!K39+Consumo_Inicial!K39</f>
        <v>0</v>
      </c>
      <c r="L39" s="8">
        <f>Renta_Alta!L39+Masivo!L39+Consumo_Inicial!L39</f>
        <v>0</v>
      </c>
      <c r="M39" s="8">
        <f>Renta_Alta!M39+Masivo!M39+Consumo_Inicial!M39</f>
        <v>0</v>
      </c>
      <c r="N39" s="8">
        <f>Renta_Alta!N39+Masivo!N39+Consumo_Inicial!N39</f>
        <v>0</v>
      </c>
      <c r="O39" s="8">
        <f>Renta_Alta!O39+Masivo!O39+Consumo_Inicial!O39</f>
        <v>0</v>
      </c>
      <c r="P39" s="8">
        <f>Renta_Alta!P39+Masivo!P39+Consumo_Inicial!P39</f>
        <v>0</v>
      </c>
      <c r="Q39" s="8">
        <f>Renta_Alta!Q39+Masivo!Q39+Consumo_Inicial!Q39</f>
        <v>0</v>
      </c>
      <c r="R39" s="8">
        <f>Renta_Alta!R39+Masivo!R39+Consumo_Inicial!R39</f>
        <v>0</v>
      </c>
      <c r="S39" s="8">
        <f>Renta_Alta!S39+Masivo!S39+Consumo_Inicial!S39</f>
        <v>0</v>
      </c>
      <c r="T39" s="8">
        <f>Renta_Alta!T39+Masivo!T39+Consumo_Inicial!T39</f>
        <v>0</v>
      </c>
      <c r="U39" s="8">
        <f>Renta_Alta!U39+Masivo!U39+Consumo_Inicial!U39</f>
        <v>0</v>
      </c>
      <c r="V39" s="8">
        <f>Renta_Alta!V39+Masivo!V39+Consumo_Inicial!V39</f>
        <v>0</v>
      </c>
      <c r="W39" s="8">
        <f>Renta_Alta!W39+Masivo!W39+Consumo_Inicial!W39</f>
        <v>0</v>
      </c>
      <c r="X39" s="8">
        <f>Renta_Alta!X39+Masivo!X39+Consumo_Inicial!X39</f>
        <v>0</v>
      </c>
      <c r="Y39" s="8">
        <f>Renta_Alta!Y39+Masivo!Y39+Consumo_Inicial!Y39</f>
        <v>0</v>
      </c>
      <c r="Z39" s="8">
        <f>Renta_Alta!Z39+Masivo!Z39+Consumo_Inicial!Z39</f>
        <v>0</v>
      </c>
      <c r="AA39" s="8">
        <f>Renta_Alta!AA39+Masivo!AA39+Consumo_Inicial!AA39</f>
        <v>0</v>
      </c>
      <c r="AB39" s="8">
        <f>Renta_Alta!AB39+Masivo!AB39+Consumo_Inicial!AB39</f>
        <v>0</v>
      </c>
      <c r="AC39" s="8">
        <f>Renta_Alta!AC39+Masivo!AC39+Consumo_Inicial!AC39</f>
        <v>0</v>
      </c>
      <c r="AD39" s="8">
        <f>Renta_Alta!AD39+Masivo!AD39+Consumo_Inicial!AD39</f>
        <v>0</v>
      </c>
      <c r="AE39" s="8">
        <f>Renta_Alta!AE39+Masivo!AE39+Consumo_Inicial!AE39</f>
        <v>0</v>
      </c>
      <c r="AF39" s="8">
        <f>Renta_Alta!AF39+Masivo!AF39+Consumo_Inicial!AF39</f>
        <v>0</v>
      </c>
      <c r="AG39" s="8">
        <f>Renta_Alta!AG39+Masivo!AG39+Consumo_Inicial!AG39</f>
        <v>0</v>
      </c>
      <c r="AH39" s="8">
        <f>Renta_Alta!AH39+Masivo!AH39+Consumo_Inicial!AH39</f>
        <v>0</v>
      </c>
      <c r="AI39" s="8">
        <f>Renta_Alta!AI39+Masivo!AI39+Consumo_Inicial!AI39</f>
        <v>0</v>
      </c>
      <c r="AJ39" s="8">
        <f>Renta_Alta!AJ39+Masivo!AJ39+Consumo_Inicial!AJ39</f>
        <v>0</v>
      </c>
      <c r="AK39" s="8">
        <f>Renta_Alta!AK39+Masivo!AK39+Consumo_Inicial!AK39</f>
        <v>0</v>
      </c>
      <c r="AL39" s="8">
        <f>Renta_Alta!AL39+Masivo!AL39+Consumo_Inicial!AL39</f>
        <v>0</v>
      </c>
      <c r="AM39" s="8">
        <f>Renta_Alta!AM39+Masivo!AM39+Consumo_Inicial!AM39</f>
        <v>0</v>
      </c>
      <c r="AN39" s="8">
        <f>Renta_Alta!AN39+Masivo!AN39+Consumo_Inicial!AN39</f>
        <v>0</v>
      </c>
      <c r="AO39" s="8">
        <f>Renta_Alta!AO39+Masivo!AO39+Consumo_Inicial!AO39</f>
        <v>0</v>
      </c>
      <c r="AP39" s="8">
        <f>Renta_Alta!AP39+Masivo!AP39+Consumo_Inicial!AP39</f>
        <v>0</v>
      </c>
      <c r="AQ39" s="8">
        <f>Renta_Alta!AQ39+Masivo!AQ39+Consumo_Inicial!AQ39</f>
        <v>0</v>
      </c>
      <c r="AR39" s="8">
        <f>Renta_Alta!AR39+Masivo!AR39+Consumo_Inicial!AR39</f>
        <v>0</v>
      </c>
      <c r="AS39" s="8">
        <f>Renta_Alta!AS39+Masivo!AS39+Consumo_Inicial!AS39</f>
        <v>0</v>
      </c>
      <c r="AT39" s="8">
        <f>Renta_Alta!AT39+Masivo!AT39+Consumo_Inicial!AT39</f>
        <v>0</v>
      </c>
      <c r="AU39" s="8">
        <f>Renta_Alta!AU39+Masivo!AU39+Consumo_Inicial!AU39</f>
        <v>0</v>
      </c>
      <c r="AV39" s="8">
        <f>Renta_Alta!AV39+Masivo!AV39+Consumo_Inicial!AV39</f>
        <v>0</v>
      </c>
      <c r="AW39" s="8">
        <f>Renta_Alta!AW39+Masivo!AW39+Consumo_Inicial!AW39</f>
        <v>0</v>
      </c>
      <c r="AX39" s="8">
        <f>Renta_Alta!AX39+Masivo!AX39+Consumo_Inicial!AX39</f>
        <v>0</v>
      </c>
      <c r="AY39" s="8">
        <f>Renta_Alta!AY39+Masivo!AY39+Consumo_Inicial!AY39</f>
        <v>0</v>
      </c>
      <c r="AZ39" s="8">
        <f>Renta_Alta!AZ39+Masivo!AZ39+Consumo_Inicial!AZ39</f>
        <v>0</v>
      </c>
      <c r="BA39" s="8">
        <f>Renta_Alta!BA39+Masivo!BA39+Consumo_Inicial!BA39</f>
        <v>0</v>
      </c>
      <c r="BB39" s="8">
        <f>Renta_Alta!BB39+Masivo!BB39+Consumo_Inicial!BB39</f>
        <v>0</v>
      </c>
      <c r="BC39" s="8">
        <f>Renta_Alta!BC39+Masivo!BC39+Consumo_Inicial!BC39</f>
        <v>0</v>
      </c>
      <c r="BD39" s="8">
        <f>Renta_Alta!BD39+Masivo!BD39+Consumo_Inicial!BD39</f>
        <v>0</v>
      </c>
      <c r="BE39" s="8">
        <f>Renta_Alta!BE39+Masivo!BE39+Consumo_Inicial!BE39</f>
        <v>0</v>
      </c>
      <c r="BF39" s="8">
        <f>Renta_Alta!BF39+Masivo!BF39+Consumo_Inicial!BF39</f>
        <v>0</v>
      </c>
      <c r="BG39" s="8">
        <f>Renta_Alta!BG39+Masivo!BG39+Consumo_Inicial!BG39</f>
        <v>0</v>
      </c>
      <c r="BH39" s="8">
        <f>Renta_Alta!BH39+Masivo!BH39+Consumo_Inicial!BH39</f>
        <v>0</v>
      </c>
      <c r="BI39" s="8">
        <f>Renta_Alta!BI39+Masivo!BI39+Consumo_Inicial!BI39</f>
        <v>0</v>
      </c>
      <c r="BJ39" s="8">
        <f>Renta_Alta!BJ39+Masivo!BJ39+Consumo_Inicial!BJ39</f>
        <v>0</v>
      </c>
      <c r="BK39" s="8">
        <f>Renta_Alta!BK39+Masivo!BK39+Consumo_Inicial!BK39</f>
        <v>0</v>
      </c>
      <c r="BO39" s="24">
        <f t="shared" si="108"/>
        <v>0</v>
      </c>
      <c r="BP39" s="24">
        <f t="shared" si="108"/>
        <v>0</v>
      </c>
      <c r="BQ39" s="24">
        <f t="shared" si="108"/>
        <v>0</v>
      </c>
      <c r="BR39" s="24">
        <f t="shared" si="108"/>
        <v>0</v>
      </c>
      <c r="BS39" s="24">
        <f t="shared" si="108"/>
        <v>0</v>
      </c>
      <c r="BT39" s="24">
        <f t="shared" si="108"/>
        <v>0</v>
      </c>
    </row>
    <row r="40" spans="1:72" hidden="1" outlineLevel="1" x14ac:dyDescent="0.25">
      <c r="A40" s="11" t="s">
        <v>55</v>
      </c>
      <c r="C40" s="2" t="s">
        <v>45</v>
      </c>
      <c r="D40" s="8">
        <f>Renta_Alta!D40+Masivo!D40+Consumo_Inicial!D40</f>
        <v>1835.03314701</v>
      </c>
      <c r="E40" s="8">
        <f>Renta_Alta!E40+Masivo!E40+Consumo_Inicial!E40</f>
        <v>1584.3403819599996</v>
      </c>
      <c r="F40" s="8">
        <f>Renta_Alta!F40+Masivo!F40+Consumo_Inicial!F40</f>
        <v>2237.3082090600005</v>
      </c>
      <c r="G40" s="8">
        <f>Renta_Alta!G40+Masivo!G40+Consumo_Inicial!G40</f>
        <v>1707.2737507500001</v>
      </c>
      <c r="H40" s="8">
        <f>Renta_Alta!H40+Masivo!H40+Consumo_Inicial!H40</f>
        <v>2137.62121462</v>
      </c>
      <c r="I40" s="8">
        <f>Renta_Alta!I40+Masivo!I40+Consumo_Inicial!I40</f>
        <v>2258.2491289500003</v>
      </c>
      <c r="J40" s="8">
        <f>Renta_Alta!J40+Masivo!J40+Consumo_Inicial!J40</f>
        <v>2334.6947605299997</v>
      </c>
      <c r="K40" s="8">
        <f>Renta_Alta!K40+Masivo!K40+Consumo_Inicial!K40</f>
        <v>2154.7941716</v>
      </c>
      <c r="L40" s="8">
        <f>Renta_Alta!L40+Masivo!L40+Consumo_Inicial!L40</f>
        <v>2229.8097485000003</v>
      </c>
      <c r="M40" s="8">
        <f>Renta_Alta!M40+Masivo!M40+Consumo_Inicial!M40</f>
        <v>2801.9681676299997</v>
      </c>
      <c r="N40" s="8">
        <f>Renta_Alta!N40+Masivo!N40+Consumo_Inicial!N40</f>
        <v>2315.274038</v>
      </c>
      <c r="O40" s="8">
        <f>Renta_Alta!O40+Masivo!O40+Consumo_Inicial!O40</f>
        <v>2234.5261781899999</v>
      </c>
      <c r="P40" s="8">
        <f>Renta_Alta!P40+Masivo!P40+Consumo_Inicial!P40</f>
        <v>2746.5404105600001</v>
      </c>
      <c r="Q40" s="8">
        <f>Renta_Alta!Q40+Masivo!Q40+Consumo_Inicial!Q40</f>
        <v>2228.7022875499997</v>
      </c>
      <c r="R40" s="8">
        <f>Renta_Alta!R40+Masivo!R40+Consumo_Inicial!R40</f>
        <v>2603.5219857699999</v>
      </c>
      <c r="S40" s="8">
        <f>Renta_Alta!S40+Masivo!S40+Consumo_Inicial!S40</f>
        <v>2677.3389777900011</v>
      </c>
      <c r="T40" s="8">
        <f>Renta_Alta!T40+Masivo!T40+Consumo_Inicial!T40</f>
        <v>2763.5149335399997</v>
      </c>
      <c r="U40" s="8">
        <f>Renta_Alta!U40+Masivo!U40+Consumo_Inicial!U40</f>
        <v>2642.5114444299998</v>
      </c>
      <c r="V40" s="8">
        <f>Renta_Alta!V40+Masivo!V40+Consumo_Inicial!V40</f>
        <v>3225.3410825000001</v>
      </c>
      <c r="W40" s="8">
        <f>Renta_Alta!W40+Masivo!W40+Consumo_Inicial!W40</f>
        <v>2971.6303432100008</v>
      </c>
      <c r="X40" s="8">
        <f>Renta_Alta!X40+Masivo!X40+Consumo_Inicial!X40</f>
        <v>2679.9192697900003</v>
      </c>
      <c r="Y40" s="8">
        <f>Renta_Alta!Y40+Masivo!Y40+Consumo_Inicial!Y40</f>
        <v>2511.9656073599999</v>
      </c>
      <c r="Z40" s="8">
        <f>Renta_Alta!Z40+Masivo!Z40+Consumo_Inicial!Z40</f>
        <v>2639.3807816399999</v>
      </c>
      <c r="AA40" s="8">
        <f>Renta_Alta!AA40+Masivo!AA40+Consumo_Inicial!AA40</f>
        <v>3108.9013882400004</v>
      </c>
      <c r="AB40" s="8">
        <f>Renta_Alta!AB40+Masivo!AB40+Consumo_Inicial!AB40</f>
        <v>2977.0119900999998</v>
      </c>
      <c r="AC40" s="8">
        <f>Renta_Alta!AC40+Masivo!AC40+Consumo_Inicial!AC40</f>
        <v>2338.0210089699999</v>
      </c>
      <c r="AD40" s="8">
        <f>Renta_Alta!AD40+Masivo!AD40+Consumo_Inicial!AD40</f>
        <v>3160.6668195500001</v>
      </c>
      <c r="AE40" s="8">
        <f>Renta_Alta!AE40+Masivo!AE40+Consumo_Inicial!AE40</f>
        <v>2881.8612207699998</v>
      </c>
      <c r="AF40" s="8">
        <f>Renta_Alta!AF40+Masivo!AF40+Consumo_Inicial!AF40</f>
        <v>3403.26395516</v>
      </c>
      <c r="AG40" s="8">
        <f>Renta_Alta!AG40+Masivo!AG40+Consumo_Inicial!AG40</f>
        <v>2905.96510248</v>
      </c>
      <c r="AH40" s="8">
        <f>Renta_Alta!AH40+Masivo!AH40+Consumo_Inicial!AH40</f>
        <v>2836.8313979300001</v>
      </c>
      <c r="AI40" s="8">
        <f>Renta_Alta!AI40+Masivo!AI40+Consumo_Inicial!AI40</f>
        <v>2687.4708408499996</v>
      </c>
      <c r="AJ40" s="8">
        <f>Renta_Alta!AJ40+Masivo!AJ40+Consumo_Inicial!AJ40</f>
        <v>3504.7852068000007</v>
      </c>
      <c r="AK40" s="8">
        <f>Renta_Alta!AK40+Masivo!AK40+Consumo_Inicial!AK40</f>
        <v>2889.1944333000001</v>
      </c>
      <c r="AL40" s="8">
        <f>Renta_Alta!AL40+Masivo!AL40+Consumo_Inicial!AL40</f>
        <v>3060.7342172099998</v>
      </c>
      <c r="AM40" s="8">
        <f>Renta_Alta!AM40+Masivo!AM40+Consumo_Inicial!AM40</f>
        <v>3440.35162562</v>
      </c>
      <c r="AN40" s="8">
        <f>Renta_Alta!AN40+Masivo!AN40+Consumo_Inicial!AN40</f>
        <v>2837.3791228299997</v>
      </c>
      <c r="AO40" s="8">
        <f>Renta_Alta!AO40+Masivo!AO40+Consumo_Inicial!AO40</f>
        <v>2614.032882160001</v>
      </c>
      <c r="AP40" s="8">
        <f>Renta_Alta!AP40+Masivo!AP40+Consumo_Inicial!AP40</f>
        <v>3244.4283465299995</v>
      </c>
      <c r="AQ40" s="8">
        <f>Renta_Alta!AQ40+Masivo!AQ40+Consumo_Inicial!AQ40</f>
        <v>2636.8049342100003</v>
      </c>
      <c r="AR40" s="8">
        <f>Renta_Alta!AR40+Masivo!AR40+Consumo_Inicial!AR40</f>
        <v>2972.7539898500004</v>
      </c>
      <c r="AS40" s="8">
        <f>Renta_Alta!AS40+Masivo!AS40+Consumo_Inicial!AS40</f>
        <v>2691.2878113600004</v>
      </c>
      <c r="AT40" s="8">
        <f>Renta_Alta!AT40+Masivo!AT40+Consumo_Inicial!AT40</f>
        <v>0</v>
      </c>
      <c r="AU40" s="8">
        <f>Renta_Alta!AU40+Masivo!AU40+Consumo_Inicial!AU40</f>
        <v>0</v>
      </c>
      <c r="AV40" s="8">
        <f>Renta_Alta!AV40+Masivo!AV40+Consumo_Inicial!AV40</f>
        <v>0</v>
      </c>
      <c r="AW40" s="8">
        <f>Renta_Alta!AW40+Masivo!AW40+Consumo_Inicial!AW40</f>
        <v>0</v>
      </c>
      <c r="AX40" s="8">
        <f>Renta_Alta!AX40+Masivo!AX40+Consumo_Inicial!AX40</f>
        <v>0</v>
      </c>
      <c r="AY40" s="8">
        <f>Renta_Alta!AY40+Masivo!AY40+Consumo_Inicial!AY40</f>
        <v>0</v>
      </c>
      <c r="AZ40" s="8">
        <f>Renta_Alta!AZ40+Masivo!AZ40+Consumo_Inicial!AZ40</f>
        <v>3584.6148960934565</v>
      </c>
      <c r="BA40" s="8">
        <f>Renta_Alta!BA40+Masivo!BA40+Consumo_Inicial!BA40</f>
        <v>3293.1241049346827</v>
      </c>
      <c r="BB40" s="8">
        <f>Renta_Alta!BB40+Masivo!BB40+Consumo_Inicial!BB40</f>
        <v>3627.0600051209385</v>
      </c>
      <c r="BC40" s="8">
        <f>Renta_Alta!BC40+Masivo!BC40+Consumo_Inicial!BC40</f>
        <v>3569.4456951556626</v>
      </c>
      <c r="BD40" s="8">
        <f>Renta_Alta!BD40+Masivo!BD40+Consumo_Inicial!BD40</f>
        <v>3740.5132020348606</v>
      </c>
      <c r="BE40" s="8">
        <f>Renta_Alta!BE40+Masivo!BE40+Consumo_Inicial!BE40</f>
        <v>3621.412999933867</v>
      </c>
      <c r="BF40" s="8">
        <f>Renta_Alta!BF40+Masivo!BF40+Consumo_Inicial!BF40</f>
        <v>3803.9125674937177</v>
      </c>
      <c r="BG40" s="8">
        <f>Renta_Alta!BG40+Masivo!BG40+Consumo_Inicial!BG40</f>
        <v>3845.5291189761965</v>
      </c>
      <c r="BH40" s="8">
        <f>Renta_Alta!BH40+Masivo!BH40+Consumo_Inicial!BH40</f>
        <v>3714.7398370467317</v>
      </c>
      <c r="BI40" s="8">
        <f>Renta_Alta!BI40+Masivo!BI40+Consumo_Inicial!BI40</f>
        <v>3898.0525641146755</v>
      </c>
      <c r="BJ40" s="8">
        <f>Renta_Alta!BJ40+Masivo!BJ40+Consumo_Inicial!BJ40</f>
        <v>3837.6664950133681</v>
      </c>
      <c r="BK40" s="8">
        <f>Renta_Alta!BK40+Masivo!BK40+Consumo_Inicial!BK40</f>
        <v>3976.2722136657762</v>
      </c>
      <c r="BO40" s="24">
        <f t="shared" si="108"/>
        <v>8695.8403515200007</v>
      </c>
      <c r="BP40" s="24">
        <f t="shared" si="108"/>
        <v>10504.799006149078</v>
      </c>
      <c r="BQ40" s="24">
        <f t="shared" si="108"/>
        <v>5451.4120049900012</v>
      </c>
      <c r="BR40" s="24">
        <f t="shared" si="108"/>
        <v>8475.6998186199999</v>
      </c>
      <c r="BS40" s="24">
        <f t="shared" si="108"/>
        <v>7578.7646838799992</v>
      </c>
      <c r="BT40" s="24">
        <f t="shared" si="108"/>
        <v>5656.6817380299999</v>
      </c>
    </row>
    <row r="41" spans="1:72" collapsed="1" x14ac:dyDescent="0.25">
      <c r="C41" s="3" t="s">
        <v>57</v>
      </c>
      <c r="D41" s="10">
        <f>SUM(D38:D40)</f>
        <v>56343.614074269994</v>
      </c>
      <c r="E41" s="10">
        <f t="shared" ref="E41" si="109">SUM(E38:E40)</f>
        <v>51332.451643549997</v>
      </c>
      <c r="F41" s="10">
        <f t="shared" ref="F41" si="110">SUM(F38:F40)</f>
        <v>57665.603803539998</v>
      </c>
      <c r="G41" s="10">
        <f t="shared" ref="G41" si="111">SUM(G38:G40)</f>
        <v>55892.835596489982</v>
      </c>
      <c r="H41" s="10">
        <f t="shared" ref="H41" si="112">SUM(H38:H40)</f>
        <v>58546.069845519996</v>
      </c>
      <c r="I41" s="10">
        <f t="shared" ref="I41" si="113">SUM(I38:I40)</f>
        <v>57126.293580320002</v>
      </c>
      <c r="J41" s="10">
        <f t="shared" ref="J41" si="114">SUM(J38:J40)</f>
        <v>59626.482010789987</v>
      </c>
      <c r="K41" s="10">
        <f t="shared" ref="K41" si="115">SUM(K38:K40)</f>
        <v>59441.284297709986</v>
      </c>
      <c r="L41" s="10">
        <f t="shared" ref="L41" si="116">SUM(L38:L40)</f>
        <v>58188.230050090009</v>
      </c>
      <c r="M41" s="10">
        <f t="shared" ref="M41" si="117">SUM(M38:M40)</f>
        <v>61188.220216099995</v>
      </c>
      <c r="N41" s="10">
        <f t="shared" ref="N41" si="118">SUM(N38:N40)</f>
        <v>59279.671677439997</v>
      </c>
      <c r="O41" s="10">
        <f t="shared" ref="O41" si="119">SUM(O38:O40)</f>
        <v>61823.587767759993</v>
      </c>
      <c r="P41" s="10">
        <f t="shared" ref="P41" si="120">SUM(P38:P40)</f>
        <v>61987.45607611999</v>
      </c>
      <c r="Q41" s="10">
        <f t="shared" ref="Q41" si="121">SUM(Q38:Q40)</f>
        <v>58083.200557829994</v>
      </c>
      <c r="R41" s="10">
        <f t="shared" ref="R41" si="122">SUM(R38:R40)</f>
        <v>62997.515308139999</v>
      </c>
      <c r="S41" s="10">
        <f t="shared" ref="S41" si="123">SUM(S38:S40)</f>
        <v>60875.240364120007</v>
      </c>
      <c r="T41" s="10">
        <f t="shared" ref="T41" si="124">SUM(T38:T40)</f>
        <v>63852.374408470008</v>
      </c>
      <c r="U41" s="10">
        <f t="shared" ref="U41" si="125">SUM(U38:U40)</f>
        <v>62389.821604840006</v>
      </c>
      <c r="V41" s="10">
        <f t="shared" ref="V41" si="126">SUM(V38:V40)</f>
        <v>65448.427715809987</v>
      </c>
      <c r="W41" s="10">
        <f t="shared" ref="W41" si="127">SUM(W38:W40)</f>
        <v>65805.678163069999</v>
      </c>
      <c r="X41" s="10">
        <f t="shared" ref="X41" si="128">SUM(X38:X40)</f>
        <v>63631.310891900001</v>
      </c>
      <c r="Y41" s="10">
        <f t="shared" ref="Y41" si="129">SUM(Y38:Y40)</f>
        <v>66046.781592970001</v>
      </c>
      <c r="Z41" s="10">
        <f t="shared" ref="Z41" si="130">SUM(Z38:Z40)</f>
        <v>64838.614881279987</v>
      </c>
      <c r="AA41" s="10">
        <f t="shared" ref="AA41" si="131">SUM(AA38:AA40)</f>
        <v>67564.111112900006</v>
      </c>
      <c r="AB41" s="10">
        <f t="shared" ref="AB41" si="132">SUM(AB38:AB40)</f>
        <v>67270.032077390002</v>
      </c>
      <c r="AC41" s="10">
        <f t="shared" ref="AC41" si="133">SUM(AC38:AC40)</f>
        <v>60973.657069959991</v>
      </c>
      <c r="AD41" s="10">
        <f t="shared" ref="AD41" si="134">SUM(AD38:AD40)</f>
        <v>67943.579325860002</v>
      </c>
      <c r="AE41" s="10">
        <f t="shared" ref="AE41" si="135">SUM(AE38:AE40)</f>
        <v>65955.71989077999</v>
      </c>
      <c r="AF41" s="10">
        <f t="shared" ref="AF41" si="136">SUM(AF38:AF40)</f>
        <v>69514.348258760016</v>
      </c>
      <c r="AG41" s="10">
        <f t="shared" ref="AG41" si="137">SUM(AG38:AG40)</f>
        <v>66678.226558520008</v>
      </c>
      <c r="AH41" s="10">
        <f t="shared" ref="AH41" si="138">SUM(AH38:AH40)</f>
        <v>69851.653800730011</v>
      </c>
      <c r="AI41" s="10">
        <f t="shared" ref="AI41" si="139">SUM(AI38:AI40)</f>
        <v>69890.718488900005</v>
      </c>
      <c r="AJ41" s="10">
        <f t="shared" ref="AJ41" si="140">SUM(AJ38:AJ40)</f>
        <v>68708.999849989996</v>
      </c>
      <c r="AK41" s="10">
        <f t="shared" ref="AK41" si="141">SUM(AK38:AK40)</f>
        <v>71148.98727570998</v>
      </c>
      <c r="AL41" s="10">
        <f t="shared" ref="AL41" si="142">SUM(AL38:AL40)</f>
        <v>70126.821137069986</v>
      </c>
      <c r="AM41" s="10">
        <f t="shared" ref="AM41" si="143">SUM(AM38:AM40)</f>
        <v>73260.096338359988</v>
      </c>
      <c r="AN41" s="10">
        <f t="shared" ref="AN41" si="144">SUM(AN38:AN40)</f>
        <v>72939.083515519989</v>
      </c>
      <c r="AO41" s="10">
        <f t="shared" ref="AO41" si="145">SUM(AO38:AO40)</f>
        <v>66542.792482580015</v>
      </c>
      <c r="AP41" s="10">
        <f t="shared" ref="AP41" si="146">SUM(AP38:AP40)</f>
        <v>74185.557288459982</v>
      </c>
      <c r="AQ41" s="10">
        <f t="shared" ref="AQ41" si="147">SUM(AQ38:AQ40)</f>
        <v>71402.830666139998</v>
      </c>
      <c r="AR41" s="10">
        <f t="shared" ref="AR41" si="148">SUM(AR38:AR40)</f>
        <v>74735.396411960013</v>
      </c>
      <c r="AS41" s="10">
        <f t="shared" ref="AS41" si="149">SUM(AS38:AS40)</f>
        <v>71798.903730320002</v>
      </c>
      <c r="AT41" s="10">
        <f t="shared" ref="AT41" si="150">SUM(AT38:AT40)</f>
        <v>0</v>
      </c>
      <c r="AU41" s="10">
        <f t="shared" ref="AU41" si="151">SUM(AU38:AU40)</f>
        <v>0</v>
      </c>
      <c r="AV41" s="10">
        <f t="shared" ref="AV41" si="152">SUM(AV38:AV40)</f>
        <v>0</v>
      </c>
      <c r="AW41" s="10">
        <f t="shared" ref="AW41" si="153">SUM(AW38:AW40)</f>
        <v>0</v>
      </c>
      <c r="AX41" s="10">
        <f t="shared" ref="AX41" si="154">SUM(AX38:AX40)</f>
        <v>0</v>
      </c>
      <c r="AY41" s="10">
        <f t="shared" ref="AY41" si="155">SUM(AY38:AY40)</f>
        <v>0</v>
      </c>
      <c r="AZ41" s="10">
        <f t="shared" ref="AZ41" si="156">SUM(AZ38:AZ40)</f>
        <v>72388.118453076429</v>
      </c>
      <c r="BA41" s="10">
        <f t="shared" ref="BA41" si="157">SUM(BA38:BA40)</f>
        <v>66258.64607466085</v>
      </c>
      <c r="BB41" s="10">
        <f t="shared" ref="BB41" si="158">SUM(BB38:BB40)</f>
        <v>72958.641206873595</v>
      </c>
      <c r="BC41" s="10">
        <f t="shared" ref="BC41" si="159">SUM(BC38:BC40)</f>
        <v>71499.297501686931</v>
      </c>
      <c r="BD41" s="10">
        <f t="shared" ref="BD41" si="160">SUM(BD38:BD40)</f>
        <v>74851.305407197375</v>
      </c>
      <c r="BE41" s="10">
        <f t="shared" ref="BE41" si="161">SUM(BE38:BE40)</f>
        <v>72434.483477606511</v>
      </c>
      <c r="BF41" s="10">
        <f t="shared" ref="BF41" si="162">SUM(BF38:BF40)</f>
        <v>75898.503520003243</v>
      </c>
      <c r="BG41" s="10">
        <f t="shared" ref="BG41" si="163">SUM(BG38:BG40)</f>
        <v>76603.68935167286</v>
      </c>
      <c r="BH41" s="10">
        <f t="shared" ref="BH41" si="164">SUM(BH38:BH40)</f>
        <v>74200.533887058962</v>
      </c>
      <c r="BI41" s="10">
        <f t="shared" ref="BI41" si="165">SUM(BI38:BI40)</f>
        <v>77633.089751493142</v>
      </c>
      <c r="BJ41" s="10">
        <f t="shared" ref="BJ41" si="166">SUM(BJ38:BJ40)</f>
        <v>76209.861055037123</v>
      </c>
      <c r="BK41" s="10">
        <f t="shared" ref="BK41" si="167">SUM(BK38:BK40)</f>
        <v>78960.893737181585</v>
      </c>
      <c r="BO41" s="23">
        <f>SUM(BO38:BO40)</f>
        <v>213667.43328655997</v>
      </c>
      <c r="BP41" s="23">
        <f t="shared" ref="BP41:BT41" si="168">SUM(BP38:BP40)</f>
        <v>211605.40573461089</v>
      </c>
      <c r="BQ41" s="23">
        <f t="shared" si="168"/>
        <v>139481.8759981</v>
      </c>
      <c r="BR41" s="23">
        <f t="shared" si="168"/>
        <v>196187.26847320999</v>
      </c>
      <c r="BS41" s="23">
        <f t="shared" si="168"/>
        <v>183068.17194208998</v>
      </c>
      <c r="BT41" s="23">
        <f t="shared" si="168"/>
        <v>165341.66952135999</v>
      </c>
    </row>
    <row r="44" spans="1:72" hidden="1" outlineLevel="1" x14ac:dyDescent="0.25">
      <c r="A44" s="11" t="s">
        <v>50</v>
      </c>
      <c r="C44" s="2" t="s">
        <v>0</v>
      </c>
      <c r="D44" s="8">
        <f>Renta_Alta!D44+Masivo!D44+Consumo_Inicial!D44</f>
        <v>-37446.096558559999</v>
      </c>
      <c r="E44" s="8">
        <f>Renta_Alta!E44+Masivo!E44+Consumo_Inicial!E44</f>
        <v>-37877.023658270009</v>
      </c>
      <c r="F44" s="8">
        <f>Renta_Alta!F44+Masivo!F44+Consumo_Inicial!F44</f>
        <v>-38298.554916799992</v>
      </c>
      <c r="G44" s="8">
        <f>Renta_Alta!G44+Masivo!G44+Consumo_Inicial!G44</f>
        <v>-38822.578575400003</v>
      </c>
      <c r="H44" s="8">
        <f>Renta_Alta!H44+Masivo!H44+Consumo_Inicial!H44</f>
        <v>-39191.401704359982</v>
      </c>
      <c r="I44" s="8">
        <f>Renta_Alta!I44+Masivo!I44+Consumo_Inicial!I44</f>
        <v>-39646.186642500004</v>
      </c>
      <c r="J44" s="8">
        <f>Renta_Alta!J44+Masivo!J44+Consumo_Inicial!J44</f>
        <v>-40059.944474280004</v>
      </c>
      <c r="K44" s="8">
        <f>Renta_Alta!K44+Masivo!K44+Consumo_Inicial!K44</f>
        <v>-40295.261448099998</v>
      </c>
      <c r="L44" s="8">
        <f>Renta_Alta!L44+Masivo!L44+Consumo_Inicial!L44</f>
        <v>-40708.488592689988</v>
      </c>
      <c r="M44" s="8">
        <f>Renta_Alta!M44+Masivo!M44+Consumo_Inicial!M44</f>
        <v>-41211.010799050004</v>
      </c>
      <c r="N44" s="8">
        <f>Renta_Alta!N44+Masivo!N44+Consumo_Inicial!N44</f>
        <v>-41538.975836420002</v>
      </c>
      <c r="O44" s="8">
        <f>Renta_Alta!O44+Masivo!O44+Consumo_Inicial!O44</f>
        <v>-41898.18046548999</v>
      </c>
      <c r="P44" s="8">
        <f>Renta_Alta!P44+Masivo!P44+Consumo_Inicial!P44</f>
        <v>-42216.731622419997</v>
      </c>
      <c r="Q44" s="8">
        <f>Renta_Alta!Q44+Masivo!Q44+Consumo_Inicial!Q44</f>
        <v>-42457.728303819997</v>
      </c>
      <c r="R44" s="8">
        <f>Renta_Alta!R44+Masivo!R44+Consumo_Inicial!R44</f>
        <v>-42975.828029239987</v>
      </c>
      <c r="S44" s="8">
        <f>Renta_Alta!S44+Masivo!S44+Consumo_Inicial!S44</f>
        <v>-43172.476383900008</v>
      </c>
      <c r="T44" s="8">
        <f>Renta_Alta!T44+Masivo!T44+Consumo_Inicial!T44</f>
        <v>-43658.226334700019</v>
      </c>
      <c r="U44" s="8">
        <f>Renta_Alta!U44+Masivo!U44+Consumo_Inicial!U44</f>
        <v>-43918.782966689992</v>
      </c>
      <c r="V44" s="8">
        <f>Renta_Alta!V44+Masivo!V44+Consumo_Inicial!V44</f>
        <v>-44563.642741479998</v>
      </c>
      <c r="W44" s="8">
        <f>Renta_Alta!W44+Masivo!W44+Consumo_Inicial!W44</f>
        <v>-45200.449294569997</v>
      </c>
      <c r="X44" s="8">
        <f>Renta_Alta!X44+Masivo!X44+Consumo_Inicial!X44</f>
        <v>-45525.615436060005</v>
      </c>
      <c r="Y44" s="8">
        <f>Renta_Alta!Y44+Masivo!Y44+Consumo_Inicial!Y44</f>
        <v>-45866.75577453999</v>
      </c>
      <c r="Z44" s="8">
        <f>Renta_Alta!Z44+Masivo!Z44+Consumo_Inicial!Z44</f>
        <v>-46289.530203460003</v>
      </c>
      <c r="AA44" s="8">
        <f>Renta_Alta!AA44+Masivo!AA44+Consumo_Inicial!AA44</f>
        <v>-46581.72058085</v>
      </c>
      <c r="AB44" s="8">
        <f>Renta_Alta!AB44+Masivo!AB44+Consumo_Inicial!AB44</f>
        <v>-46979.789658130001</v>
      </c>
      <c r="AC44" s="8">
        <f>Renta_Alta!AC44+Masivo!AC44+Consumo_Inicial!AC44</f>
        <v>-47247.314560999999</v>
      </c>
      <c r="AD44" s="8">
        <f>Renta_Alta!AD44+Masivo!AD44+Consumo_Inicial!AD44</f>
        <v>-47644.453961220017</v>
      </c>
      <c r="AE44" s="8">
        <f>Renta_Alta!AE44+Masivo!AE44+Consumo_Inicial!AE44</f>
        <v>-47848.759533039993</v>
      </c>
      <c r="AF44" s="8">
        <f>Renta_Alta!AF44+Masivo!AF44+Consumo_Inicial!AF44</f>
        <v>-48214.192606200013</v>
      </c>
      <c r="AG44" s="8">
        <f>Renta_Alta!AG44+Masivo!AG44+Consumo_Inicial!AG44</f>
        <v>-48616.116708100009</v>
      </c>
      <c r="AH44" s="8">
        <f>Renta_Alta!AH44+Masivo!AH44+Consumo_Inicial!AH44</f>
        <v>-49150.184588559998</v>
      </c>
      <c r="AI44" s="8">
        <f>Renta_Alta!AI44+Masivo!AI44+Consumo_Inicial!AI44</f>
        <v>-49530.720173900008</v>
      </c>
      <c r="AJ44" s="8">
        <f>Renta_Alta!AJ44+Masivo!AJ44+Consumo_Inicial!AJ44</f>
        <v>-50075.181839389996</v>
      </c>
      <c r="AK44" s="8">
        <f>Renta_Alta!AK44+Masivo!AK44+Consumo_Inicial!AK44</f>
        <v>-50469.06991458001</v>
      </c>
      <c r="AL44" s="8">
        <f>Renta_Alta!AL44+Masivo!AL44+Consumo_Inicial!AL44</f>
        <v>-50989.052168180002</v>
      </c>
      <c r="AM44" s="8">
        <f>Renta_Alta!AM44+Masivo!AM44+Consumo_Inicial!AM44</f>
        <v>-51354.973909779997</v>
      </c>
      <c r="AN44" s="8">
        <f>Renta_Alta!AN44+Masivo!AN44+Consumo_Inicial!AN44</f>
        <v>-51676.872778809993</v>
      </c>
      <c r="AO44" s="8">
        <f>Renta_Alta!AO44+Masivo!AO44+Consumo_Inicial!AO44</f>
        <v>-51950.602752619998</v>
      </c>
      <c r="AP44" s="8">
        <f>Renta_Alta!AP44+Masivo!AP44+Consumo_Inicial!AP44</f>
        <v>-52325.8199465</v>
      </c>
      <c r="AQ44" s="8">
        <f>Renta_Alta!AQ44+Masivo!AQ44+Consumo_Inicial!AQ44</f>
        <v>-52373.692922549999</v>
      </c>
      <c r="AR44" s="8">
        <f>Renta_Alta!AR44+Masivo!AR44+Consumo_Inicial!AR44</f>
        <v>-52805.026142189992</v>
      </c>
      <c r="AS44" s="8">
        <f>Renta_Alta!AS44+Masivo!AS44+Consumo_Inicial!AS44</f>
        <v>-53123.323053300002</v>
      </c>
      <c r="AT44" s="8">
        <f>Renta_Alta!AT44+Masivo!AT44+Consumo_Inicial!AT44</f>
        <v>0</v>
      </c>
      <c r="AU44" s="8">
        <f>Renta_Alta!AU44+Masivo!AU44+Consumo_Inicial!AU44</f>
        <v>0</v>
      </c>
      <c r="AV44" s="8">
        <f>Renta_Alta!AV44+Masivo!AV44+Consumo_Inicial!AV44</f>
        <v>0</v>
      </c>
      <c r="AW44" s="8">
        <f>Renta_Alta!AW44+Masivo!AW44+Consumo_Inicial!AW44</f>
        <v>0</v>
      </c>
      <c r="AX44" s="8">
        <f>Renta_Alta!AX44+Masivo!AX44+Consumo_Inicial!AX44</f>
        <v>0</v>
      </c>
      <c r="AY44" s="8">
        <f>Renta_Alta!AY44+Masivo!AY44+Consumo_Inicial!AY44</f>
        <v>0</v>
      </c>
      <c r="AZ44" s="8">
        <f>Renta_Alta!AZ44+Masivo!AZ44+Consumo_Inicial!AZ44</f>
        <v>-51553.652044331808</v>
      </c>
      <c r="BA44" s="8">
        <f>Renta_Alta!BA44+Masivo!BA44+Consumo_Inicial!BA44</f>
        <v>-51878.273737939067</v>
      </c>
      <c r="BB44" s="8">
        <f>Renta_Alta!BB44+Masivo!BB44+Consumo_Inicial!BB44</f>
        <v>-52094.537955665888</v>
      </c>
      <c r="BC44" s="8">
        <f>Renta_Alta!BC44+Masivo!BC44+Consumo_Inicial!BC44</f>
        <v>-52395.362975143129</v>
      </c>
      <c r="BD44" s="8">
        <f>Renta_Alta!BD44+Masivo!BD44+Consumo_Inicial!BD44</f>
        <v>-52727.335299197388</v>
      </c>
      <c r="BE44" s="8">
        <f>Renta_Alta!BE44+Masivo!BE44+Consumo_Inicial!BE44</f>
        <v>-53141.41389172963</v>
      </c>
      <c r="BF44" s="8">
        <f>Renta_Alta!BF44+Masivo!BF44+Consumo_Inicial!BF44</f>
        <v>-53473.665628652154</v>
      </c>
      <c r="BG44" s="8">
        <f>Renta_Alta!BG44+Masivo!BG44+Consumo_Inicial!BG44</f>
        <v>-53968.240412877909</v>
      </c>
      <c r="BH44" s="8">
        <f>Renta_Alta!BH44+Masivo!BH44+Consumo_Inicial!BH44</f>
        <v>-54420.744883196217</v>
      </c>
      <c r="BI44" s="8">
        <f>Renta_Alta!BI44+Masivo!BI44+Consumo_Inicial!BI44</f>
        <v>-54945.086560343494</v>
      </c>
      <c r="BJ44" s="8">
        <f>Renta_Alta!BJ44+Masivo!BJ44+Consumo_Inicial!BJ44</f>
        <v>-55396.859891536755</v>
      </c>
      <c r="BK44" s="8">
        <f>Renta_Alta!BK44+Masivo!BK44+Consumo_Inicial!BK44</f>
        <v>-55775.847852080973</v>
      </c>
      <c r="BO44" s="24">
        <f t="shared" ref="BO44:BT46" si="169">SUMIFS($D44:$BM44,$D$6:$BM$6,"&gt;="&amp;BO$2,$D$6:$BM$6,"&lt;="&amp;BO$6,$D$5:$BM$5,BO$5)</f>
        <v>-155953.29547792999</v>
      </c>
      <c r="BP44" s="24">
        <f t="shared" si="169"/>
        <v>-155526.46373793675</v>
      </c>
      <c r="BQ44" s="24">
        <f t="shared" si="169"/>
        <v>-103627.47553142998</v>
      </c>
      <c r="BR44" s="24">
        <f t="shared" si="169"/>
        <v>-141871.55818035002</v>
      </c>
      <c r="BS44" s="24">
        <f t="shared" si="169"/>
        <v>-127650.28795547999</v>
      </c>
      <c r="BT44" s="24">
        <f t="shared" si="169"/>
        <v>-113621.67513362999</v>
      </c>
    </row>
    <row r="45" spans="1:72" hidden="1" outlineLevel="1" x14ac:dyDescent="0.25">
      <c r="A45" s="11" t="s">
        <v>50</v>
      </c>
      <c r="C45" s="2" t="s">
        <v>1</v>
      </c>
      <c r="D45" s="8">
        <f>Renta_Alta!D45+Masivo!D45+Consumo_Inicial!D45</f>
        <v>-136.55005484999998</v>
      </c>
      <c r="E45" s="8">
        <f>Renta_Alta!E45+Masivo!E45+Consumo_Inicial!E45</f>
        <v>-132.28075405999999</v>
      </c>
      <c r="F45" s="8">
        <f>Renta_Alta!F45+Masivo!F45+Consumo_Inicial!F45</f>
        <v>-135.84478140000002</v>
      </c>
      <c r="G45" s="8">
        <f>Renta_Alta!G45+Masivo!G45+Consumo_Inicial!G45</f>
        <v>-144.23653616000001</v>
      </c>
      <c r="H45" s="8">
        <f>Renta_Alta!H45+Masivo!H45+Consumo_Inicial!H45</f>
        <v>-132.26878343999999</v>
      </c>
      <c r="I45" s="8">
        <f>Renta_Alta!I45+Masivo!I45+Consumo_Inicial!I45</f>
        <v>-131.1701855</v>
      </c>
      <c r="J45" s="8">
        <f>Renta_Alta!J45+Masivo!J45+Consumo_Inicial!J45</f>
        <v>-131.70305143000002</v>
      </c>
      <c r="K45" s="8">
        <f>Renta_Alta!K45+Masivo!K45+Consumo_Inicial!K45</f>
        <v>-126.60728696</v>
      </c>
      <c r="L45" s="8">
        <f>Renta_Alta!L45+Masivo!L45+Consumo_Inicial!L45</f>
        <v>-121.38521962999999</v>
      </c>
      <c r="M45" s="8">
        <f>Renta_Alta!M45+Masivo!M45+Consumo_Inicial!M45</f>
        <v>-124.16360985</v>
      </c>
      <c r="N45" s="8">
        <f>Renta_Alta!N45+Masivo!N45+Consumo_Inicial!N45</f>
        <v>-129.22910952000004</v>
      </c>
      <c r="O45" s="8">
        <f>Renta_Alta!O45+Masivo!O45+Consumo_Inicial!O45</f>
        <v>-129.42729506000001</v>
      </c>
      <c r="P45" s="8">
        <f>Renta_Alta!P45+Masivo!P45+Consumo_Inicial!P45</f>
        <v>-127.37496312</v>
      </c>
      <c r="Q45" s="8">
        <f>Renta_Alta!Q45+Masivo!Q45+Consumo_Inicial!Q45</f>
        <v>-125.99587592</v>
      </c>
      <c r="R45" s="8">
        <f>Renta_Alta!R45+Masivo!R45+Consumo_Inicial!R45</f>
        <v>-129.0802668</v>
      </c>
      <c r="S45" s="8">
        <f>Renta_Alta!S45+Masivo!S45+Consumo_Inicial!S45</f>
        <v>-127.77973648</v>
      </c>
      <c r="T45" s="8">
        <f>Renta_Alta!T45+Masivo!T45+Consumo_Inicial!T45</f>
        <v>-124.33747590000002</v>
      </c>
      <c r="U45" s="8">
        <f>Renta_Alta!U45+Masivo!U45+Consumo_Inicial!U45</f>
        <v>-122.44482877999999</v>
      </c>
      <c r="V45" s="8">
        <f>Renta_Alta!V45+Masivo!V45+Consumo_Inicial!V45</f>
        <v>-122.13443368</v>
      </c>
      <c r="W45" s="8">
        <f>Renta_Alta!W45+Masivo!W45+Consumo_Inicial!W45</f>
        <v>-119.55864307</v>
      </c>
      <c r="X45" s="8">
        <f>Renta_Alta!X45+Masivo!X45+Consumo_Inicial!X45</f>
        <v>-119.67132812</v>
      </c>
      <c r="Y45" s="8">
        <f>Renta_Alta!Y45+Masivo!Y45+Consumo_Inicial!Y45</f>
        <v>-120.875406</v>
      </c>
      <c r="Z45" s="8">
        <f>Renta_Alta!Z45+Masivo!Z45+Consumo_Inicial!Z45</f>
        <v>-122.27748728</v>
      </c>
      <c r="AA45" s="8">
        <f>Renta_Alta!AA45+Masivo!AA45+Consumo_Inicial!AA45</f>
        <v>-121.94508644999999</v>
      </c>
      <c r="AB45" s="8">
        <f>Renta_Alta!AB45+Masivo!AB45+Consumo_Inicial!AB45</f>
        <v>-127.39207912000001</v>
      </c>
      <c r="AC45" s="8">
        <f>Renta_Alta!AC45+Masivo!AC45+Consumo_Inicial!AC45</f>
        <v>-122.825192</v>
      </c>
      <c r="AD45" s="8">
        <f>Renta_Alta!AD45+Masivo!AD45+Consumo_Inicial!AD45</f>
        <v>-124.34356047000001</v>
      </c>
      <c r="AE45" s="8">
        <f>Renta_Alta!AE45+Masivo!AE45+Consumo_Inicial!AE45</f>
        <v>-128.96965218</v>
      </c>
      <c r="AF45" s="8">
        <f>Renta_Alta!AF45+Masivo!AF45+Consumo_Inicial!AF45</f>
        <v>-127.78877199999999</v>
      </c>
      <c r="AG45" s="8">
        <f>Renta_Alta!AG45+Masivo!AG45+Consumo_Inicial!AG45</f>
        <v>-126.51157984</v>
      </c>
      <c r="AH45" s="8">
        <f>Renta_Alta!AH45+Masivo!AH45+Consumo_Inicial!AH45</f>
        <v>-131.79415607999999</v>
      </c>
      <c r="AI45" s="8">
        <f>Renta_Alta!AI45+Masivo!AI45+Consumo_Inicial!AI45</f>
        <v>-131.03951715000002</v>
      </c>
      <c r="AJ45" s="8">
        <f>Renta_Alta!AJ45+Masivo!AJ45+Consumo_Inicial!AJ45</f>
        <v>-132.49840423000001</v>
      </c>
      <c r="AK45" s="8">
        <f>Renta_Alta!AK45+Masivo!AK45+Consumo_Inicial!AK45</f>
        <v>-133.58996496</v>
      </c>
      <c r="AL45" s="8">
        <f>Renta_Alta!AL45+Masivo!AL45+Consumo_Inicial!AL45</f>
        <v>-134.43363373</v>
      </c>
      <c r="AM45" s="8">
        <f>Renta_Alta!AM45+Masivo!AM45+Consumo_Inicial!AM45</f>
        <v>-134.48895030000003</v>
      </c>
      <c r="AN45" s="8">
        <f>Renta_Alta!AN45+Masivo!AN45+Consumo_Inicial!AN45</f>
        <v>-143.74013970999999</v>
      </c>
      <c r="AO45" s="8">
        <f>Renta_Alta!AO45+Masivo!AO45+Consumo_Inicial!AO45</f>
        <v>-139.99088362999998</v>
      </c>
      <c r="AP45" s="8">
        <f>Renta_Alta!AP45+Masivo!AP45+Consumo_Inicial!AP45</f>
        <v>-150.971408</v>
      </c>
      <c r="AQ45" s="8">
        <f>Renta_Alta!AQ45+Masivo!AQ45+Consumo_Inicial!AQ45</f>
        <v>-150.40628395000002</v>
      </c>
      <c r="AR45" s="8">
        <f>Renta_Alta!AR45+Masivo!AR45+Consumo_Inicial!AR45</f>
        <v>-152.37716024000002</v>
      </c>
      <c r="AS45" s="8">
        <f>Renta_Alta!AS45+Masivo!AS45+Consumo_Inicial!AS45</f>
        <v>-146.89022145000001</v>
      </c>
      <c r="AT45" s="8">
        <f>Renta_Alta!AT45+Masivo!AT45+Consumo_Inicial!AT45</f>
        <v>0</v>
      </c>
      <c r="AU45" s="8">
        <f>Renta_Alta!AU45+Masivo!AU45+Consumo_Inicial!AU45</f>
        <v>0</v>
      </c>
      <c r="AV45" s="8">
        <f>Renta_Alta!AV45+Masivo!AV45+Consumo_Inicial!AV45</f>
        <v>0</v>
      </c>
      <c r="AW45" s="8">
        <f>Renta_Alta!AW45+Masivo!AW45+Consumo_Inicial!AW45</f>
        <v>0</v>
      </c>
      <c r="AX45" s="8">
        <f>Renta_Alta!AX45+Masivo!AX45+Consumo_Inicial!AX45</f>
        <v>0</v>
      </c>
      <c r="AY45" s="8">
        <f>Renta_Alta!AY45+Masivo!AY45+Consumo_Inicial!AY45</f>
        <v>0</v>
      </c>
      <c r="AZ45" s="8">
        <f>Renta_Alta!AZ45+Masivo!AZ45+Consumo_Inicial!AZ45</f>
        <v>-135.44084409615607</v>
      </c>
      <c r="BA45" s="8">
        <f>Renta_Alta!BA45+Masivo!BA45+Consumo_Inicial!BA45</f>
        <v>-136.63707147594141</v>
      </c>
      <c r="BB45" s="8">
        <f>Renta_Alta!BB45+Masivo!BB45+Consumo_Inicial!BB45</f>
        <v>-137.5681699606402</v>
      </c>
      <c r="BC45" s="8">
        <f>Renta_Alta!BC45+Masivo!BC45+Consumo_Inicial!BC45</f>
        <v>-138.65402238030384</v>
      </c>
      <c r="BD45" s="8">
        <f>Renta_Alta!BD45+Masivo!BD45+Consumo_Inicial!BD45</f>
        <v>-139.67042340864703</v>
      </c>
      <c r="BE45" s="8">
        <f>Renta_Alta!BE45+Masivo!BE45+Consumo_Inicial!BE45</f>
        <v>-141.02257097129399</v>
      </c>
      <c r="BF45" s="8">
        <f>Renta_Alta!BF45+Masivo!BF45+Consumo_Inicial!BF45</f>
        <v>-142.14611939867422</v>
      </c>
      <c r="BG45" s="8">
        <f>Renta_Alta!BG45+Masivo!BG45+Consumo_Inicial!BG45</f>
        <v>-143.74524422081578</v>
      </c>
      <c r="BH45" s="8">
        <f>Renta_Alta!BH45+Masivo!BH45+Consumo_Inicial!BH45</f>
        <v>-145.25564984792663</v>
      </c>
      <c r="BI45" s="8">
        <f>Renta_Alta!BI45+Masivo!BI45+Consumo_Inicial!BI45</f>
        <v>-146.91284228998148</v>
      </c>
      <c r="BJ45" s="8">
        <f>Renta_Alta!BJ45+Masivo!BJ45+Consumo_Inicial!BJ45</f>
        <v>-148.37694151141682</v>
      </c>
      <c r="BK45" s="8">
        <f>Renta_Alta!BK45+Masivo!BK45+Consumo_Inicial!BK45</f>
        <v>-149.54885400904746</v>
      </c>
      <c r="BO45" s="24">
        <f t="shared" si="169"/>
        <v>-434.70243133999998</v>
      </c>
      <c r="BP45" s="24">
        <f t="shared" si="169"/>
        <v>-409.64608553273769</v>
      </c>
      <c r="BQ45" s="24">
        <f t="shared" si="169"/>
        <v>-283.73102333999998</v>
      </c>
      <c r="BR45" s="24">
        <f t="shared" si="169"/>
        <v>-374.56083159000002</v>
      </c>
      <c r="BS45" s="24">
        <f t="shared" si="169"/>
        <v>-382.45110584000003</v>
      </c>
      <c r="BT45" s="24">
        <f t="shared" si="169"/>
        <v>-404.67559030999996</v>
      </c>
    </row>
    <row r="46" spans="1:72" hidden="1" outlineLevel="1" x14ac:dyDescent="0.25">
      <c r="A46" s="11" t="s">
        <v>50</v>
      </c>
      <c r="C46" s="2" t="s">
        <v>45</v>
      </c>
      <c r="D46" s="8">
        <f>Renta_Alta!D46+Masivo!D46+Consumo_Inicial!D46</f>
        <v>-1052.8121443699999</v>
      </c>
      <c r="E46" s="8">
        <f>Renta_Alta!E46+Masivo!E46+Consumo_Inicial!E46</f>
        <v>-1056.6910988800003</v>
      </c>
      <c r="F46" s="8">
        <f>Renta_Alta!F46+Masivo!F46+Consumo_Inicial!F46</f>
        <v>-1080.1616300000001</v>
      </c>
      <c r="G46" s="8">
        <f>Renta_Alta!G46+Masivo!G46+Consumo_Inicial!G46</f>
        <v>-1094.95381746</v>
      </c>
      <c r="H46" s="8">
        <f>Renta_Alta!H46+Masivo!H46+Consumo_Inicial!H46</f>
        <v>-1129.5130411800001</v>
      </c>
      <c r="I46" s="8">
        <f>Renta_Alta!I46+Masivo!I46+Consumo_Inicial!I46</f>
        <v>-1130.8469730000002</v>
      </c>
      <c r="J46" s="8">
        <f>Renta_Alta!J46+Masivo!J46+Consumo_Inicial!J46</f>
        <v>-1108.25005446</v>
      </c>
      <c r="K46" s="8">
        <f>Renta_Alta!K46+Masivo!K46+Consumo_Inicial!K46</f>
        <v>-1136.9012634199999</v>
      </c>
      <c r="L46" s="8">
        <f>Renta_Alta!L46+Masivo!L46+Consumo_Inicial!L46</f>
        <v>-1161.0988781099998</v>
      </c>
      <c r="M46" s="8">
        <f>Renta_Alta!M46+Masivo!M46+Consumo_Inicial!M46</f>
        <v>-1196.3490979500002</v>
      </c>
      <c r="N46" s="8">
        <f>Renta_Alta!N46+Masivo!N46+Consumo_Inicial!N46</f>
        <v>-1249.1142524200002</v>
      </c>
      <c r="O46" s="8">
        <f>Renta_Alta!O46+Masivo!O46+Consumo_Inicial!O46</f>
        <v>-1241.6100996600001</v>
      </c>
      <c r="P46" s="8">
        <f>Renta_Alta!P46+Masivo!P46+Consumo_Inicial!P46</f>
        <v>-1289.9634891199998</v>
      </c>
      <c r="Q46" s="8">
        <f>Renta_Alta!Q46+Masivo!Q46+Consumo_Inicial!Q46</f>
        <v>-1310.9253077999999</v>
      </c>
      <c r="R46" s="8">
        <f>Renta_Alta!R46+Masivo!R46+Consumo_Inicial!R46</f>
        <v>-1330.6861249700003</v>
      </c>
      <c r="S46" s="8">
        <f>Renta_Alta!S46+Masivo!S46+Consumo_Inicial!S46</f>
        <v>-1379.3035660799999</v>
      </c>
      <c r="T46" s="8">
        <f>Renta_Alta!T46+Masivo!T46+Consumo_Inicial!T46</f>
        <v>-1429.0160066999997</v>
      </c>
      <c r="U46" s="8">
        <f>Renta_Alta!U46+Masivo!U46+Consumo_Inicial!U46</f>
        <v>-1455.610122280001</v>
      </c>
      <c r="V46" s="8">
        <f>Renta_Alta!V46+Masivo!V46+Consumo_Inicial!V46</f>
        <v>-1429.9827342999997</v>
      </c>
      <c r="W46" s="8">
        <f>Renta_Alta!W46+Masivo!W46+Consumo_Inicial!W46</f>
        <v>-1398.39817199</v>
      </c>
      <c r="X46" s="8">
        <f>Renta_Alta!X46+Masivo!X46+Consumo_Inicial!X46</f>
        <v>-1390.6708631200001</v>
      </c>
      <c r="Y46" s="8">
        <f>Renta_Alta!Y46+Masivo!Y46+Consumo_Inicial!Y46</f>
        <v>-1364.4998219999998</v>
      </c>
      <c r="Z46" s="8">
        <f>Renta_Alta!Z46+Masivo!Z46+Consumo_Inicial!Z46</f>
        <v>-1451.43704364</v>
      </c>
      <c r="AA46" s="8">
        <f>Renta_Alta!AA46+Masivo!AA46+Consumo_Inicial!AA46</f>
        <v>-1463.4992756000004</v>
      </c>
      <c r="AB46" s="8">
        <f>Renta_Alta!AB46+Masivo!AB46+Consumo_Inicial!AB46</f>
        <v>-1481.2626340300001</v>
      </c>
      <c r="AC46" s="8">
        <f>Renta_Alta!AC46+Masivo!AC46+Consumo_Inicial!AC46</f>
        <v>-1471.5880120000002</v>
      </c>
      <c r="AD46" s="8">
        <f>Renta_Alta!AD46+Masivo!AD46+Consumo_Inicial!AD46</f>
        <v>-1468.8782752599998</v>
      </c>
      <c r="AE46" s="8">
        <f>Renta_Alta!AE46+Masivo!AE46+Consumo_Inicial!AE46</f>
        <v>-1552.4270400700002</v>
      </c>
      <c r="AF46" s="8">
        <f>Renta_Alta!AF46+Masivo!AF46+Consumo_Inicial!AF46</f>
        <v>-1655.5900772000005</v>
      </c>
      <c r="AG46" s="8">
        <f>Renta_Alta!AG46+Masivo!AG46+Consumo_Inicial!AG46</f>
        <v>-1641.5875007600002</v>
      </c>
      <c r="AH46" s="8">
        <f>Renta_Alta!AH46+Masivo!AH46+Consumo_Inicial!AH46</f>
        <v>-1624.1687615200005</v>
      </c>
      <c r="AI46" s="8">
        <f>Renta_Alta!AI46+Masivo!AI46+Consumo_Inicial!AI46</f>
        <v>-1687.8675420499997</v>
      </c>
      <c r="AJ46" s="8">
        <f>Renta_Alta!AJ46+Masivo!AJ46+Consumo_Inicial!AJ46</f>
        <v>-1617.7268404900001</v>
      </c>
      <c r="AK46" s="8">
        <f>Renta_Alta!AK46+Masivo!AK46+Consumo_Inicial!AK46</f>
        <v>-1639.1621849599999</v>
      </c>
      <c r="AL46" s="8">
        <f>Renta_Alta!AL46+Masivo!AL46+Consumo_Inicial!AL46</f>
        <v>-1663.7014739999997</v>
      </c>
      <c r="AM46" s="8">
        <f>Renta_Alta!AM46+Masivo!AM46+Consumo_Inicial!AM46</f>
        <v>-1647.2344228600002</v>
      </c>
      <c r="AN46" s="8">
        <f>Renta_Alta!AN46+Masivo!AN46+Consumo_Inicial!AN46</f>
        <v>-1623.82732685</v>
      </c>
      <c r="AO46" s="8">
        <f>Renta_Alta!AO46+Masivo!AO46+Consumo_Inicial!AO46</f>
        <v>-1592.6040121700003</v>
      </c>
      <c r="AP46" s="8">
        <f>Renta_Alta!AP46+Masivo!AP46+Consumo_Inicial!AP46</f>
        <v>-1574.5692075000002</v>
      </c>
      <c r="AQ46" s="8">
        <f>Renta_Alta!AQ46+Masivo!AQ46+Consumo_Inicial!AQ46</f>
        <v>-1584.2705699299997</v>
      </c>
      <c r="AR46" s="8">
        <f>Renta_Alta!AR46+Masivo!AR46+Consumo_Inicial!AR46</f>
        <v>-1616.32572878</v>
      </c>
      <c r="AS46" s="8">
        <f>Renta_Alta!AS46+Masivo!AS46+Consumo_Inicial!AS46</f>
        <v>-1590.6467929000003</v>
      </c>
      <c r="AT46" s="8">
        <f>Renta_Alta!AT46+Masivo!AT46+Consumo_Inicial!AT46</f>
        <v>0</v>
      </c>
      <c r="AU46" s="8">
        <f>Renta_Alta!AU46+Masivo!AU46+Consumo_Inicial!AU46</f>
        <v>0</v>
      </c>
      <c r="AV46" s="8">
        <f>Renta_Alta!AV46+Masivo!AV46+Consumo_Inicial!AV46</f>
        <v>0</v>
      </c>
      <c r="AW46" s="8">
        <f>Renta_Alta!AW46+Masivo!AW46+Consumo_Inicial!AW46</f>
        <v>0</v>
      </c>
      <c r="AX46" s="8">
        <f>Renta_Alta!AX46+Masivo!AX46+Consumo_Inicial!AX46</f>
        <v>0</v>
      </c>
      <c r="AY46" s="8">
        <f>Renta_Alta!AY46+Masivo!AY46+Consumo_Inicial!AY46</f>
        <v>0</v>
      </c>
      <c r="AZ46" s="8">
        <f>Renta_Alta!AZ46+Masivo!AZ46+Consumo_Inicial!AZ46</f>
        <v>-1669.267385395309</v>
      </c>
      <c r="BA46" s="8">
        <f>Renta_Alta!BA46+Masivo!BA46+Consumo_Inicial!BA46</f>
        <v>-1683.3640597408951</v>
      </c>
      <c r="BB46" s="8">
        <f>Renta_Alta!BB46+Masivo!BB46+Consumo_Inicial!BB46</f>
        <v>-1694.2178565490908</v>
      </c>
      <c r="BC46" s="8">
        <f>Renta_Alta!BC46+Masivo!BC46+Consumo_Inicial!BC46</f>
        <v>-1707.2529701312262</v>
      </c>
      <c r="BD46" s="8">
        <f>Renta_Alta!BD46+Masivo!BD46+Consumo_Inicial!BD46</f>
        <v>-1720.1627654943293</v>
      </c>
      <c r="BE46" s="8">
        <f>Renta_Alta!BE46+Masivo!BE46+Consumo_Inicial!BE46</f>
        <v>-1735.7574455540209</v>
      </c>
      <c r="BF46" s="8">
        <f>Renta_Alta!BF46+Masivo!BF46+Consumo_Inicial!BF46</f>
        <v>-1748.8465576265878</v>
      </c>
      <c r="BG46" s="8">
        <f>Renta_Alta!BG46+Masivo!BG46+Consumo_Inicial!BG46</f>
        <v>-1766.911979639382</v>
      </c>
      <c r="BH46" s="8">
        <f>Renta_Alta!BH46+Masivo!BH46+Consumo_Inicial!BH46</f>
        <v>-1784.2825363753934</v>
      </c>
      <c r="BI46" s="8">
        <f>Renta_Alta!BI46+Masivo!BI46+Consumo_Inicial!BI46</f>
        <v>-1803.3988259203927</v>
      </c>
      <c r="BJ46" s="8">
        <f>Renta_Alta!BJ46+Masivo!BJ46+Consumo_Inicial!BJ46</f>
        <v>-1820.316417963337</v>
      </c>
      <c r="BK46" s="8">
        <f>Renta_Alta!BK46+Masivo!BK46+Consumo_Inicial!BK46</f>
        <v>-1834.3289318875263</v>
      </c>
      <c r="BO46" s="24">
        <f t="shared" si="169"/>
        <v>-4791.0005465200011</v>
      </c>
      <c r="BP46" s="24">
        <f t="shared" si="169"/>
        <v>-5046.8493016852954</v>
      </c>
      <c r="BQ46" s="24">
        <f t="shared" si="169"/>
        <v>-3216.4313390200005</v>
      </c>
      <c r="BR46" s="24">
        <f t="shared" si="169"/>
        <v>-4421.7289212900005</v>
      </c>
      <c r="BS46" s="24">
        <f t="shared" si="169"/>
        <v>-3931.57492189</v>
      </c>
      <c r="BT46" s="24">
        <f t="shared" si="169"/>
        <v>-3189.6648732500003</v>
      </c>
    </row>
    <row r="47" spans="1:72" collapsed="1" x14ac:dyDescent="0.25">
      <c r="C47" s="3" t="s">
        <v>58</v>
      </c>
      <c r="D47" s="10">
        <f>SUM(D44:D46)</f>
        <v>-38635.458757779998</v>
      </c>
      <c r="E47" s="10">
        <f t="shared" ref="E47" si="170">SUM(E44:E46)</f>
        <v>-39065.995511210007</v>
      </c>
      <c r="F47" s="10">
        <f t="shared" ref="F47" si="171">SUM(F44:F46)</f>
        <v>-39514.561328199998</v>
      </c>
      <c r="G47" s="10">
        <f t="shared" ref="G47" si="172">SUM(G44:G46)</f>
        <v>-40061.768929020007</v>
      </c>
      <c r="H47" s="10">
        <f t="shared" ref="H47" si="173">SUM(H44:H46)</f>
        <v>-40453.183528979978</v>
      </c>
      <c r="I47" s="10">
        <f t="shared" ref="I47" si="174">SUM(I44:I46)</f>
        <v>-40908.203801000003</v>
      </c>
      <c r="J47" s="10">
        <f t="shared" ref="J47" si="175">SUM(J44:J46)</f>
        <v>-41299.89758017</v>
      </c>
      <c r="K47" s="10">
        <f t="shared" ref="K47" si="176">SUM(K44:K46)</f>
        <v>-41558.769998479998</v>
      </c>
      <c r="L47" s="10">
        <f t="shared" ref="L47" si="177">SUM(L44:L46)</f>
        <v>-41990.97269042999</v>
      </c>
      <c r="M47" s="10">
        <f t="shared" ref="M47" si="178">SUM(M44:M46)</f>
        <v>-42531.523506850004</v>
      </c>
      <c r="N47" s="10">
        <f t="shared" ref="N47" si="179">SUM(N44:N46)</f>
        <v>-42917.319198359997</v>
      </c>
      <c r="O47" s="10">
        <f t="shared" ref="O47" si="180">SUM(O44:O46)</f>
        <v>-43269.217860209988</v>
      </c>
      <c r="P47" s="10">
        <f t="shared" ref="P47" si="181">SUM(P44:P46)</f>
        <v>-43634.07007465999</v>
      </c>
      <c r="Q47" s="10">
        <f t="shared" ref="Q47" si="182">SUM(Q44:Q46)</f>
        <v>-43894.649487539995</v>
      </c>
      <c r="R47" s="10">
        <f t="shared" ref="R47" si="183">SUM(R44:R46)</f>
        <v>-44435.594421009991</v>
      </c>
      <c r="S47" s="10">
        <f t="shared" ref="S47" si="184">SUM(S44:S46)</f>
        <v>-44679.559686460008</v>
      </c>
      <c r="T47" s="10">
        <f t="shared" ref="T47" si="185">SUM(T44:T46)</f>
        <v>-45211.579817300022</v>
      </c>
      <c r="U47" s="10">
        <f t="shared" ref="U47" si="186">SUM(U44:U46)</f>
        <v>-45496.837917749988</v>
      </c>
      <c r="V47" s="10">
        <f t="shared" ref="V47" si="187">SUM(V44:V46)</f>
        <v>-46115.759909460001</v>
      </c>
      <c r="W47" s="10">
        <f t="shared" ref="W47" si="188">SUM(W44:W46)</f>
        <v>-46718.406109629992</v>
      </c>
      <c r="X47" s="10">
        <f t="shared" ref="X47" si="189">SUM(X44:X46)</f>
        <v>-47035.957627300006</v>
      </c>
      <c r="Y47" s="10">
        <f t="shared" ref="Y47" si="190">SUM(Y44:Y46)</f>
        <v>-47352.131002539987</v>
      </c>
      <c r="Z47" s="10">
        <f t="shared" ref="Z47" si="191">SUM(Z44:Z46)</f>
        <v>-47863.244734380001</v>
      </c>
      <c r="AA47" s="10">
        <f t="shared" ref="AA47" si="192">SUM(AA44:AA46)</f>
        <v>-48167.164942900003</v>
      </c>
      <c r="AB47" s="10">
        <f t="shared" ref="AB47" si="193">SUM(AB44:AB46)</f>
        <v>-48588.444371279998</v>
      </c>
      <c r="AC47" s="10">
        <f t="shared" ref="AC47" si="194">SUM(AC44:AC46)</f>
        <v>-48841.727764999996</v>
      </c>
      <c r="AD47" s="10">
        <f t="shared" ref="AD47" si="195">SUM(AD44:AD46)</f>
        <v>-49237.675796950018</v>
      </c>
      <c r="AE47" s="10">
        <f t="shared" ref="AE47" si="196">SUM(AE44:AE46)</f>
        <v>-49530.156225289989</v>
      </c>
      <c r="AF47" s="10">
        <f t="shared" ref="AF47" si="197">SUM(AF44:AF46)</f>
        <v>-49997.571455400015</v>
      </c>
      <c r="AG47" s="10">
        <f t="shared" ref="AG47" si="198">SUM(AG44:AG46)</f>
        <v>-50384.215788700007</v>
      </c>
      <c r="AH47" s="10">
        <f t="shared" ref="AH47" si="199">SUM(AH44:AH46)</f>
        <v>-50906.147506159999</v>
      </c>
      <c r="AI47" s="10">
        <f t="shared" ref="AI47" si="200">SUM(AI44:AI46)</f>
        <v>-51349.627233100007</v>
      </c>
      <c r="AJ47" s="10">
        <f t="shared" ref="AJ47" si="201">SUM(AJ44:AJ46)</f>
        <v>-51825.407084109997</v>
      </c>
      <c r="AK47" s="10">
        <f t="shared" ref="AK47" si="202">SUM(AK44:AK46)</f>
        <v>-52241.822064500011</v>
      </c>
      <c r="AL47" s="10">
        <f t="shared" ref="AL47" si="203">SUM(AL44:AL46)</f>
        <v>-52787.187275910001</v>
      </c>
      <c r="AM47" s="10">
        <f t="shared" ref="AM47" si="204">SUM(AM44:AM46)</f>
        <v>-53136.697282939997</v>
      </c>
      <c r="AN47" s="10">
        <f t="shared" ref="AN47" si="205">SUM(AN44:AN46)</f>
        <v>-53444.440245369988</v>
      </c>
      <c r="AO47" s="10">
        <f t="shared" ref="AO47" si="206">SUM(AO44:AO46)</f>
        <v>-53683.197648419999</v>
      </c>
      <c r="AP47" s="10">
        <f t="shared" ref="AP47" si="207">SUM(AP44:AP46)</f>
        <v>-54051.360561999994</v>
      </c>
      <c r="AQ47" s="10">
        <f t="shared" ref="AQ47" si="208">SUM(AQ44:AQ46)</f>
        <v>-54108.369776429994</v>
      </c>
      <c r="AR47" s="10">
        <f t="shared" ref="AR47" si="209">SUM(AR44:AR46)</f>
        <v>-54573.729031209994</v>
      </c>
      <c r="AS47" s="10">
        <f t="shared" ref="AS47" si="210">SUM(AS44:AS46)</f>
        <v>-54860.860067649999</v>
      </c>
      <c r="AT47" s="10">
        <f t="shared" ref="AT47" si="211">SUM(AT44:AT46)</f>
        <v>0</v>
      </c>
      <c r="AU47" s="10">
        <f t="shared" ref="AU47" si="212">SUM(AU44:AU46)</f>
        <v>0</v>
      </c>
      <c r="AV47" s="10">
        <f t="shared" ref="AV47" si="213">SUM(AV44:AV46)</f>
        <v>0</v>
      </c>
      <c r="AW47" s="10">
        <f t="shared" ref="AW47" si="214">SUM(AW44:AW46)</f>
        <v>0</v>
      </c>
      <c r="AX47" s="10">
        <f t="shared" ref="AX47" si="215">SUM(AX44:AX46)</f>
        <v>0</v>
      </c>
      <c r="AY47" s="10">
        <f t="shared" ref="AY47" si="216">SUM(AY44:AY46)</f>
        <v>0</v>
      </c>
      <c r="AZ47" s="10">
        <f t="shared" ref="AZ47" si="217">SUM(AZ44:AZ46)</f>
        <v>-53358.360273823273</v>
      </c>
      <c r="BA47" s="10">
        <f t="shared" ref="BA47" si="218">SUM(BA44:BA46)</f>
        <v>-53698.274869155903</v>
      </c>
      <c r="BB47" s="10">
        <f t="shared" ref="BB47" si="219">SUM(BB44:BB46)</f>
        <v>-53926.323982175621</v>
      </c>
      <c r="BC47" s="10">
        <f t="shared" ref="BC47" si="220">SUM(BC44:BC46)</f>
        <v>-54241.269967654654</v>
      </c>
      <c r="BD47" s="10">
        <f t="shared" ref="BD47" si="221">SUM(BD44:BD46)</f>
        <v>-54587.168488100368</v>
      </c>
      <c r="BE47" s="10">
        <f t="shared" ref="BE47" si="222">SUM(BE44:BE46)</f>
        <v>-55018.193908254943</v>
      </c>
      <c r="BF47" s="10">
        <f t="shared" ref="BF47" si="223">SUM(BF44:BF46)</f>
        <v>-55364.658305677418</v>
      </c>
      <c r="BG47" s="10">
        <f t="shared" ref="BG47" si="224">SUM(BG44:BG46)</f>
        <v>-55878.897636738104</v>
      </c>
      <c r="BH47" s="10">
        <f t="shared" ref="BH47" si="225">SUM(BH44:BH46)</f>
        <v>-56350.283069419536</v>
      </c>
      <c r="BI47" s="10">
        <f t="shared" ref="BI47" si="226">SUM(BI44:BI46)</f>
        <v>-56895.398228553866</v>
      </c>
      <c r="BJ47" s="10">
        <f t="shared" ref="BJ47" si="227">SUM(BJ44:BJ46)</f>
        <v>-57365.553251011508</v>
      </c>
      <c r="BK47" s="10">
        <f t="shared" ref="BK47" si="228">SUM(BK44:BK46)</f>
        <v>-57759.725637977543</v>
      </c>
      <c r="BO47" s="23">
        <f>SUM(BO44:BO46)</f>
        <v>-161178.99845578999</v>
      </c>
      <c r="BP47" s="23">
        <f t="shared" ref="BP47:BT47" si="229">SUM(BP44:BP46)</f>
        <v>-160982.95912515477</v>
      </c>
      <c r="BQ47" s="23">
        <f t="shared" si="229"/>
        <v>-107127.63789378999</v>
      </c>
      <c r="BR47" s="23">
        <f t="shared" si="229"/>
        <v>-146667.84793323002</v>
      </c>
      <c r="BS47" s="23">
        <f t="shared" si="229"/>
        <v>-131964.31398320998</v>
      </c>
      <c r="BT47" s="23">
        <f t="shared" si="229"/>
        <v>-117216.01559718999</v>
      </c>
    </row>
    <row r="50" spans="1:72" hidden="1" outlineLevel="1" x14ac:dyDescent="0.25">
      <c r="A50" s="11"/>
      <c r="C50" s="2" t="s">
        <v>0</v>
      </c>
      <c r="D50" s="8">
        <f>D38+D44</f>
        <v>17062.484368699996</v>
      </c>
      <c r="E50" s="8">
        <f t="shared" ref="E50:AY50" si="230">E38+E44</f>
        <v>11871.087603319989</v>
      </c>
      <c r="F50" s="8">
        <f t="shared" si="230"/>
        <v>17129.740677680005</v>
      </c>
      <c r="G50" s="8">
        <f t="shared" si="230"/>
        <v>15362.983270339981</v>
      </c>
      <c r="H50" s="8">
        <f t="shared" si="230"/>
        <v>17217.046926540017</v>
      </c>
      <c r="I50" s="8">
        <f t="shared" si="230"/>
        <v>15221.857808869994</v>
      </c>
      <c r="J50" s="8">
        <f t="shared" si="230"/>
        <v>17231.842775979982</v>
      </c>
      <c r="K50" s="8">
        <f t="shared" si="230"/>
        <v>16991.228678009989</v>
      </c>
      <c r="L50" s="8">
        <f t="shared" si="230"/>
        <v>15249.931708900018</v>
      </c>
      <c r="M50" s="8">
        <f t="shared" si="230"/>
        <v>17175.241249419989</v>
      </c>
      <c r="N50" s="8">
        <f t="shared" si="230"/>
        <v>15425.421803019992</v>
      </c>
      <c r="O50" s="8">
        <f t="shared" si="230"/>
        <v>17690.881124080006</v>
      </c>
      <c r="P50" s="8">
        <f t="shared" si="230"/>
        <v>17024.184043139991</v>
      </c>
      <c r="Q50" s="8">
        <f t="shared" si="230"/>
        <v>13396.76996646</v>
      </c>
      <c r="R50" s="8">
        <f t="shared" si="230"/>
        <v>17418.165293130012</v>
      </c>
      <c r="S50" s="8">
        <f t="shared" si="230"/>
        <v>15025.425002429998</v>
      </c>
      <c r="T50" s="8">
        <f t="shared" si="230"/>
        <v>17430.633140229991</v>
      </c>
      <c r="U50" s="8">
        <f t="shared" si="230"/>
        <v>15828.527193720016</v>
      </c>
      <c r="V50" s="8">
        <f t="shared" si="230"/>
        <v>17659.443891829986</v>
      </c>
      <c r="W50" s="8">
        <f t="shared" si="230"/>
        <v>17633.598525289999</v>
      </c>
      <c r="X50" s="8">
        <f t="shared" si="230"/>
        <v>15425.776186049996</v>
      </c>
      <c r="Y50" s="8">
        <f t="shared" si="230"/>
        <v>17668.060211070006</v>
      </c>
      <c r="Z50" s="8">
        <f t="shared" si="230"/>
        <v>15909.703896179984</v>
      </c>
      <c r="AA50" s="8">
        <f t="shared" si="230"/>
        <v>17873.489143810009</v>
      </c>
      <c r="AB50" s="8">
        <f t="shared" si="230"/>
        <v>17313.230429160001</v>
      </c>
      <c r="AC50" s="8">
        <f t="shared" si="230"/>
        <v>11388.321499989994</v>
      </c>
      <c r="AD50" s="8">
        <f t="shared" si="230"/>
        <v>17138.458545089983</v>
      </c>
      <c r="AE50" s="8">
        <f t="shared" si="230"/>
        <v>15225.099136969999</v>
      </c>
      <c r="AF50" s="8">
        <f t="shared" si="230"/>
        <v>17896.891697400002</v>
      </c>
      <c r="AG50" s="8">
        <f t="shared" si="230"/>
        <v>15156.144747939994</v>
      </c>
      <c r="AH50" s="8">
        <f t="shared" si="230"/>
        <v>17864.637814240014</v>
      </c>
      <c r="AI50" s="8">
        <f t="shared" si="230"/>
        <v>17672.527474149996</v>
      </c>
      <c r="AJ50" s="8">
        <f t="shared" si="230"/>
        <v>15129.032803800001</v>
      </c>
      <c r="AK50" s="8">
        <f t="shared" si="230"/>
        <v>17790.722927829971</v>
      </c>
      <c r="AL50" s="8">
        <f t="shared" si="230"/>
        <v>16077.034751679981</v>
      </c>
      <c r="AM50" s="8">
        <f t="shared" si="230"/>
        <v>18464.770802959996</v>
      </c>
      <c r="AN50" s="8">
        <f t="shared" si="230"/>
        <v>18424.83161388</v>
      </c>
      <c r="AO50" s="8">
        <f t="shared" si="230"/>
        <v>11978.156847800012</v>
      </c>
      <c r="AP50" s="8">
        <f t="shared" si="230"/>
        <v>18615.308995429987</v>
      </c>
      <c r="AQ50" s="8">
        <f t="shared" si="230"/>
        <v>16392.332809380001</v>
      </c>
      <c r="AR50" s="8">
        <f t="shared" si="230"/>
        <v>18957.616279920025</v>
      </c>
      <c r="AS50" s="8">
        <f t="shared" si="230"/>
        <v>15984.292865659998</v>
      </c>
      <c r="AT50" s="8">
        <f t="shared" si="230"/>
        <v>0</v>
      </c>
      <c r="AU50" s="8">
        <f t="shared" si="230"/>
        <v>0</v>
      </c>
      <c r="AV50" s="8">
        <f t="shared" si="230"/>
        <v>0</v>
      </c>
      <c r="AW50" s="8">
        <f t="shared" si="230"/>
        <v>0</v>
      </c>
      <c r="AX50" s="8">
        <f t="shared" si="230"/>
        <v>0</v>
      </c>
      <c r="AY50" s="8">
        <f t="shared" si="230"/>
        <v>0</v>
      </c>
      <c r="AZ50" s="8">
        <f t="shared" ref="AZ50:BK50" si="231">AZ38+AZ44</f>
        <v>17249.85151265117</v>
      </c>
      <c r="BA50" s="8">
        <f t="shared" si="231"/>
        <v>11087.248231787096</v>
      </c>
      <c r="BB50" s="8">
        <f t="shared" si="231"/>
        <v>17237.043246086774</v>
      </c>
      <c r="BC50" s="8">
        <f t="shared" si="231"/>
        <v>15534.488831388138</v>
      </c>
      <c r="BD50" s="8">
        <f t="shared" si="231"/>
        <v>18383.456905965133</v>
      </c>
      <c r="BE50" s="8">
        <f t="shared" si="231"/>
        <v>15671.656585943019</v>
      </c>
      <c r="BF50" s="8">
        <f t="shared" si="231"/>
        <v>18620.925323857366</v>
      </c>
      <c r="BG50" s="8">
        <f t="shared" si="231"/>
        <v>18789.919819818759</v>
      </c>
      <c r="BH50" s="8">
        <f t="shared" si="231"/>
        <v>16065.049166816018</v>
      </c>
      <c r="BI50" s="8">
        <f t="shared" si="231"/>
        <v>18789.950627034967</v>
      </c>
      <c r="BJ50" s="8">
        <f t="shared" si="231"/>
        <v>16975.334668486998</v>
      </c>
      <c r="BK50" s="8">
        <f t="shared" si="231"/>
        <v>19208.773671434828</v>
      </c>
      <c r="BO50" s="24">
        <f>BO38+BO44</f>
        <v>49018.297457109991</v>
      </c>
      <c r="BP50" s="24">
        <f t="shared" ref="BP50:BT50" si="232">BP38+BP44</f>
        <v>45574.142990525055</v>
      </c>
      <c r="BQ50" s="24">
        <f t="shared" si="232"/>
        <v>30402.988461680012</v>
      </c>
      <c r="BR50" s="24">
        <f t="shared" si="232"/>
        <v>45840.010474239971</v>
      </c>
      <c r="BS50" s="24">
        <f t="shared" si="232"/>
        <v>47839.119302729989</v>
      </c>
      <c r="BT50" s="24">
        <f t="shared" si="232"/>
        <v>46063.312649700005</v>
      </c>
    </row>
    <row r="51" spans="1:72" hidden="1" outlineLevel="1" x14ac:dyDescent="0.25">
      <c r="A51" s="11"/>
      <c r="C51" s="2" t="s">
        <v>1</v>
      </c>
      <c r="D51" s="8">
        <f t="shared" ref="D51:AY53" si="233">D39+D45</f>
        <v>-136.55005484999998</v>
      </c>
      <c r="E51" s="8">
        <f t="shared" si="233"/>
        <v>-132.28075405999999</v>
      </c>
      <c r="F51" s="8">
        <f t="shared" si="233"/>
        <v>-135.84478140000002</v>
      </c>
      <c r="G51" s="8">
        <f t="shared" si="233"/>
        <v>-144.23653616000001</v>
      </c>
      <c r="H51" s="8">
        <f t="shared" si="233"/>
        <v>-132.26878343999999</v>
      </c>
      <c r="I51" s="8">
        <f t="shared" si="233"/>
        <v>-131.1701855</v>
      </c>
      <c r="J51" s="8">
        <f t="shared" si="233"/>
        <v>-131.70305143000002</v>
      </c>
      <c r="K51" s="8">
        <f t="shared" si="233"/>
        <v>-126.60728696</v>
      </c>
      <c r="L51" s="8">
        <f t="shared" si="233"/>
        <v>-121.38521962999999</v>
      </c>
      <c r="M51" s="8">
        <f t="shared" si="233"/>
        <v>-124.16360985</v>
      </c>
      <c r="N51" s="8">
        <f t="shared" si="233"/>
        <v>-129.22910952000004</v>
      </c>
      <c r="O51" s="8">
        <f t="shared" si="233"/>
        <v>-129.42729506000001</v>
      </c>
      <c r="P51" s="8">
        <f t="shared" si="233"/>
        <v>-127.37496312</v>
      </c>
      <c r="Q51" s="8">
        <f t="shared" si="233"/>
        <v>-125.99587592</v>
      </c>
      <c r="R51" s="8">
        <f t="shared" si="233"/>
        <v>-129.0802668</v>
      </c>
      <c r="S51" s="8">
        <f t="shared" si="233"/>
        <v>-127.77973648</v>
      </c>
      <c r="T51" s="8">
        <f t="shared" si="233"/>
        <v>-124.33747590000002</v>
      </c>
      <c r="U51" s="8">
        <f t="shared" si="233"/>
        <v>-122.44482877999999</v>
      </c>
      <c r="V51" s="8">
        <f t="shared" si="233"/>
        <v>-122.13443368</v>
      </c>
      <c r="W51" s="8">
        <f t="shared" si="233"/>
        <v>-119.55864307</v>
      </c>
      <c r="X51" s="8">
        <f t="shared" si="233"/>
        <v>-119.67132812</v>
      </c>
      <c r="Y51" s="8">
        <f t="shared" si="233"/>
        <v>-120.875406</v>
      </c>
      <c r="Z51" s="8">
        <f t="shared" si="233"/>
        <v>-122.27748728</v>
      </c>
      <c r="AA51" s="8">
        <f t="shared" si="233"/>
        <v>-121.94508644999999</v>
      </c>
      <c r="AB51" s="8">
        <f t="shared" si="233"/>
        <v>-127.39207912000001</v>
      </c>
      <c r="AC51" s="8">
        <f t="shared" si="233"/>
        <v>-122.825192</v>
      </c>
      <c r="AD51" s="8">
        <f t="shared" si="233"/>
        <v>-124.34356047000001</v>
      </c>
      <c r="AE51" s="8">
        <f t="shared" si="233"/>
        <v>-128.96965218</v>
      </c>
      <c r="AF51" s="8">
        <f t="shared" si="233"/>
        <v>-127.78877199999999</v>
      </c>
      <c r="AG51" s="8">
        <f t="shared" si="233"/>
        <v>-126.51157984</v>
      </c>
      <c r="AH51" s="8">
        <f t="shared" si="233"/>
        <v>-131.79415607999999</v>
      </c>
      <c r="AI51" s="8">
        <f t="shared" si="233"/>
        <v>-131.03951715000002</v>
      </c>
      <c r="AJ51" s="8">
        <f t="shared" si="233"/>
        <v>-132.49840423000001</v>
      </c>
      <c r="AK51" s="8">
        <f t="shared" si="233"/>
        <v>-133.58996496</v>
      </c>
      <c r="AL51" s="8">
        <f t="shared" si="233"/>
        <v>-134.43363373</v>
      </c>
      <c r="AM51" s="8">
        <f t="shared" si="233"/>
        <v>-134.48895030000003</v>
      </c>
      <c r="AN51" s="8">
        <f t="shared" si="233"/>
        <v>-143.74013970999999</v>
      </c>
      <c r="AO51" s="8">
        <f t="shared" si="233"/>
        <v>-139.99088362999998</v>
      </c>
      <c r="AP51" s="8">
        <f t="shared" si="233"/>
        <v>-150.971408</v>
      </c>
      <c r="AQ51" s="8">
        <f t="shared" si="233"/>
        <v>-150.40628395000002</v>
      </c>
      <c r="AR51" s="8">
        <f t="shared" si="233"/>
        <v>-152.37716024000002</v>
      </c>
      <c r="AS51" s="8">
        <f t="shared" si="233"/>
        <v>-146.89022145000001</v>
      </c>
      <c r="AT51" s="8">
        <f t="shared" si="233"/>
        <v>0</v>
      </c>
      <c r="AU51" s="8">
        <f t="shared" si="233"/>
        <v>0</v>
      </c>
      <c r="AV51" s="8">
        <f t="shared" si="233"/>
        <v>0</v>
      </c>
      <c r="AW51" s="8">
        <f t="shared" si="233"/>
        <v>0</v>
      </c>
      <c r="AX51" s="8">
        <f t="shared" si="233"/>
        <v>0</v>
      </c>
      <c r="AY51" s="8">
        <f t="shared" si="233"/>
        <v>0</v>
      </c>
      <c r="AZ51" s="8">
        <f t="shared" ref="AZ51:BK51" si="234">AZ39+AZ45</f>
        <v>-135.44084409615607</v>
      </c>
      <c r="BA51" s="8">
        <f t="shared" si="234"/>
        <v>-136.63707147594141</v>
      </c>
      <c r="BB51" s="8">
        <f t="shared" si="234"/>
        <v>-137.5681699606402</v>
      </c>
      <c r="BC51" s="8">
        <f t="shared" si="234"/>
        <v>-138.65402238030384</v>
      </c>
      <c r="BD51" s="8">
        <f t="shared" si="234"/>
        <v>-139.67042340864703</v>
      </c>
      <c r="BE51" s="8">
        <f t="shared" si="234"/>
        <v>-141.02257097129399</v>
      </c>
      <c r="BF51" s="8">
        <f t="shared" si="234"/>
        <v>-142.14611939867422</v>
      </c>
      <c r="BG51" s="8">
        <f t="shared" si="234"/>
        <v>-143.74524422081578</v>
      </c>
      <c r="BH51" s="8">
        <f t="shared" si="234"/>
        <v>-145.25564984792663</v>
      </c>
      <c r="BI51" s="8">
        <f t="shared" si="234"/>
        <v>-146.91284228998148</v>
      </c>
      <c r="BJ51" s="8">
        <f t="shared" si="234"/>
        <v>-148.37694151141682</v>
      </c>
      <c r="BK51" s="8">
        <f t="shared" si="234"/>
        <v>-149.54885400904746</v>
      </c>
      <c r="BO51" s="24">
        <f t="shared" ref="BO51:BT52" si="235">BO39+BO45</f>
        <v>-434.70243133999998</v>
      </c>
      <c r="BP51" s="24">
        <f t="shared" si="235"/>
        <v>-409.64608553273769</v>
      </c>
      <c r="BQ51" s="24">
        <f t="shared" si="235"/>
        <v>-283.73102333999998</v>
      </c>
      <c r="BR51" s="24">
        <f t="shared" si="235"/>
        <v>-374.56083159000002</v>
      </c>
      <c r="BS51" s="24">
        <f t="shared" si="235"/>
        <v>-382.45110584000003</v>
      </c>
      <c r="BT51" s="24">
        <f t="shared" si="235"/>
        <v>-404.67559030999996</v>
      </c>
    </row>
    <row r="52" spans="1:72" hidden="1" outlineLevel="1" x14ac:dyDescent="0.25">
      <c r="A52" s="11"/>
      <c r="C52" s="2" t="s">
        <v>45</v>
      </c>
      <c r="D52" s="8">
        <f t="shared" si="233"/>
        <v>782.22100264000005</v>
      </c>
      <c r="E52" s="8">
        <f t="shared" si="233"/>
        <v>527.64928307999935</v>
      </c>
      <c r="F52" s="8">
        <f t="shared" si="233"/>
        <v>1157.1465790600005</v>
      </c>
      <c r="G52" s="8">
        <f t="shared" si="233"/>
        <v>612.31993329000011</v>
      </c>
      <c r="H52" s="8">
        <f t="shared" si="233"/>
        <v>1008.10817344</v>
      </c>
      <c r="I52" s="8">
        <f t="shared" si="233"/>
        <v>1127.4021559500002</v>
      </c>
      <c r="J52" s="8">
        <f t="shared" si="233"/>
        <v>1226.4447060699997</v>
      </c>
      <c r="K52" s="8">
        <f t="shared" si="233"/>
        <v>1017.8929081800002</v>
      </c>
      <c r="L52" s="8">
        <f t="shared" si="233"/>
        <v>1068.7108703900005</v>
      </c>
      <c r="M52" s="8">
        <f t="shared" si="233"/>
        <v>1605.6190696799995</v>
      </c>
      <c r="N52" s="8">
        <f t="shared" si="233"/>
        <v>1066.1597855799998</v>
      </c>
      <c r="O52" s="8">
        <f t="shared" si="233"/>
        <v>992.91607852999982</v>
      </c>
      <c r="P52" s="8">
        <f t="shared" si="233"/>
        <v>1456.5769214400002</v>
      </c>
      <c r="Q52" s="8">
        <f t="shared" si="233"/>
        <v>917.77697974999978</v>
      </c>
      <c r="R52" s="8">
        <f t="shared" si="233"/>
        <v>1272.8358607999996</v>
      </c>
      <c r="S52" s="8">
        <f t="shared" si="233"/>
        <v>1298.0354117100012</v>
      </c>
      <c r="T52" s="8">
        <f t="shared" si="233"/>
        <v>1334.49892684</v>
      </c>
      <c r="U52" s="8">
        <f t="shared" si="233"/>
        <v>1186.9013221499988</v>
      </c>
      <c r="V52" s="8">
        <f t="shared" si="233"/>
        <v>1795.3583482000004</v>
      </c>
      <c r="W52" s="8">
        <f t="shared" si="233"/>
        <v>1573.2321712200007</v>
      </c>
      <c r="X52" s="8">
        <f t="shared" si="233"/>
        <v>1289.2484066700001</v>
      </c>
      <c r="Y52" s="8">
        <f t="shared" si="233"/>
        <v>1147.4657853600002</v>
      </c>
      <c r="Z52" s="8">
        <f t="shared" si="233"/>
        <v>1187.9437379999999</v>
      </c>
      <c r="AA52" s="8">
        <f t="shared" si="233"/>
        <v>1645.40211264</v>
      </c>
      <c r="AB52" s="8">
        <f t="shared" si="233"/>
        <v>1495.7493560699997</v>
      </c>
      <c r="AC52" s="8">
        <f t="shared" si="233"/>
        <v>866.43299696999975</v>
      </c>
      <c r="AD52" s="8">
        <f t="shared" si="233"/>
        <v>1691.7885442900003</v>
      </c>
      <c r="AE52" s="8">
        <f t="shared" si="233"/>
        <v>1329.4341806999996</v>
      </c>
      <c r="AF52" s="8">
        <f t="shared" si="233"/>
        <v>1747.6738779599996</v>
      </c>
      <c r="AG52" s="8">
        <f t="shared" si="233"/>
        <v>1264.3776017199998</v>
      </c>
      <c r="AH52" s="8">
        <f t="shared" si="233"/>
        <v>1212.6626364099995</v>
      </c>
      <c r="AI52" s="8">
        <f t="shared" si="233"/>
        <v>999.60329879999995</v>
      </c>
      <c r="AJ52" s="8">
        <f t="shared" si="233"/>
        <v>1887.0583663100006</v>
      </c>
      <c r="AK52" s="8">
        <f t="shared" si="233"/>
        <v>1250.0322483400003</v>
      </c>
      <c r="AL52" s="8">
        <f t="shared" si="233"/>
        <v>1397.03274321</v>
      </c>
      <c r="AM52" s="8">
        <f t="shared" si="233"/>
        <v>1793.1172027599998</v>
      </c>
      <c r="AN52" s="8">
        <f t="shared" si="233"/>
        <v>1213.5517959799997</v>
      </c>
      <c r="AO52" s="8">
        <f t="shared" si="233"/>
        <v>1021.4288699900007</v>
      </c>
      <c r="AP52" s="8">
        <f t="shared" si="233"/>
        <v>1669.8591390299994</v>
      </c>
      <c r="AQ52" s="8">
        <f t="shared" si="233"/>
        <v>1052.5343642800005</v>
      </c>
      <c r="AR52" s="8">
        <f t="shared" si="233"/>
        <v>1356.4282610700004</v>
      </c>
      <c r="AS52" s="8">
        <f t="shared" si="233"/>
        <v>1100.6410184600002</v>
      </c>
      <c r="AT52" s="8">
        <f t="shared" si="233"/>
        <v>0</v>
      </c>
      <c r="AU52" s="8">
        <f t="shared" si="233"/>
        <v>0</v>
      </c>
      <c r="AV52" s="8">
        <f t="shared" si="233"/>
        <v>0</v>
      </c>
      <c r="AW52" s="8">
        <f t="shared" si="233"/>
        <v>0</v>
      </c>
      <c r="AX52" s="8">
        <f t="shared" si="233"/>
        <v>0</v>
      </c>
      <c r="AY52" s="8">
        <f t="shared" si="233"/>
        <v>0</v>
      </c>
      <c r="AZ52" s="8">
        <f t="shared" ref="AZ52:BK52" si="236">AZ40+AZ46</f>
        <v>1915.3475106981475</v>
      </c>
      <c r="BA52" s="8">
        <f t="shared" si="236"/>
        <v>1609.7600451937876</v>
      </c>
      <c r="BB52" s="8">
        <f t="shared" si="236"/>
        <v>1932.8421485718477</v>
      </c>
      <c r="BC52" s="8">
        <f t="shared" si="236"/>
        <v>1862.1927250244364</v>
      </c>
      <c r="BD52" s="8">
        <f t="shared" si="236"/>
        <v>2020.3504365405313</v>
      </c>
      <c r="BE52" s="8">
        <f t="shared" si="236"/>
        <v>1885.6555543798461</v>
      </c>
      <c r="BF52" s="8">
        <f t="shared" si="236"/>
        <v>2055.0660098671297</v>
      </c>
      <c r="BG52" s="8">
        <f t="shared" si="236"/>
        <v>2078.6171393368145</v>
      </c>
      <c r="BH52" s="8">
        <f t="shared" si="236"/>
        <v>1930.4573006713383</v>
      </c>
      <c r="BI52" s="8">
        <f t="shared" si="236"/>
        <v>2094.6537381942826</v>
      </c>
      <c r="BJ52" s="8">
        <f t="shared" si="236"/>
        <v>2017.3500770500311</v>
      </c>
      <c r="BK52" s="8">
        <f t="shared" si="236"/>
        <v>2141.9432817782499</v>
      </c>
      <c r="BO52" s="24">
        <f t="shared" si="235"/>
        <v>3904.8398049999996</v>
      </c>
      <c r="BP52" s="24">
        <f t="shared" si="235"/>
        <v>5457.9497044637828</v>
      </c>
      <c r="BQ52" s="24">
        <f t="shared" si="235"/>
        <v>2234.9806659700007</v>
      </c>
      <c r="BR52" s="24">
        <f t="shared" si="235"/>
        <v>4053.9708973299994</v>
      </c>
      <c r="BS52" s="24">
        <f t="shared" si="235"/>
        <v>3647.1897619899992</v>
      </c>
      <c r="BT52" s="24">
        <f t="shared" si="235"/>
        <v>2467.0168647799997</v>
      </c>
    </row>
    <row r="53" spans="1:72" collapsed="1" x14ac:dyDescent="0.25">
      <c r="C53" s="3" t="s">
        <v>66</v>
      </c>
      <c r="D53" s="10">
        <f t="shared" si="233"/>
        <v>17708.155316489996</v>
      </c>
      <c r="E53" s="10">
        <f t="shared" si="233"/>
        <v>12266.45613233999</v>
      </c>
      <c r="F53" s="10">
        <f t="shared" si="233"/>
        <v>18151.04247534</v>
      </c>
      <c r="G53" s="10">
        <f t="shared" si="233"/>
        <v>15831.066667469975</v>
      </c>
      <c r="H53" s="10">
        <f t="shared" si="233"/>
        <v>18092.886316540018</v>
      </c>
      <c r="I53" s="10">
        <f t="shared" si="233"/>
        <v>16218.089779319998</v>
      </c>
      <c r="J53" s="10">
        <f t="shared" si="233"/>
        <v>18326.584430619987</v>
      </c>
      <c r="K53" s="10">
        <f t="shared" si="233"/>
        <v>17882.514299229988</v>
      </c>
      <c r="L53" s="10">
        <f t="shared" si="233"/>
        <v>16197.25735966002</v>
      </c>
      <c r="M53" s="10">
        <f t="shared" si="233"/>
        <v>18656.696709249991</v>
      </c>
      <c r="N53" s="10">
        <f t="shared" si="233"/>
        <v>16362.35247908</v>
      </c>
      <c r="O53" s="10">
        <f t="shared" si="233"/>
        <v>18554.369907550004</v>
      </c>
      <c r="P53" s="10">
        <f t="shared" si="233"/>
        <v>18353.38600146</v>
      </c>
      <c r="Q53" s="10">
        <f t="shared" si="233"/>
        <v>14188.551070289999</v>
      </c>
      <c r="R53" s="10">
        <f t="shared" si="233"/>
        <v>18561.920887130007</v>
      </c>
      <c r="S53" s="10">
        <f t="shared" si="233"/>
        <v>16195.680677659999</v>
      </c>
      <c r="T53" s="10">
        <f t="shared" si="233"/>
        <v>18640.794591169986</v>
      </c>
      <c r="U53" s="10">
        <f t="shared" si="233"/>
        <v>16892.983687090018</v>
      </c>
      <c r="V53" s="10">
        <f t="shared" si="233"/>
        <v>19332.667806349986</v>
      </c>
      <c r="W53" s="10">
        <f t="shared" si="233"/>
        <v>19087.272053440007</v>
      </c>
      <c r="X53" s="10">
        <f t="shared" si="233"/>
        <v>16595.353264599995</v>
      </c>
      <c r="Y53" s="10">
        <f t="shared" si="233"/>
        <v>18694.650590430014</v>
      </c>
      <c r="Z53" s="10">
        <f t="shared" si="233"/>
        <v>16975.370146899986</v>
      </c>
      <c r="AA53" s="10">
        <f t="shared" si="233"/>
        <v>19396.946170000003</v>
      </c>
      <c r="AB53" s="10">
        <f t="shared" si="233"/>
        <v>18681.587706110004</v>
      </c>
      <c r="AC53" s="10">
        <f t="shared" si="233"/>
        <v>12131.929304959995</v>
      </c>
      <c r="AD53" s="10">
        <f t="shared" si="233"/>
        <v>18705.903528909985</v>
      </c>
      <c r="AE53" s="10">
        <f t="shared" si="233"/>
        <v>16425.563665490001</v>
      </c>
      <c r="AF53" s="10">
        <f t="shared" si="233"/>
        <v>19516.77680336</v>
      </c>
      <c r="AG53" s="10">
        <f t="shared" si="233"/>
        <v>16294.010769820001</v>
      </c>
      <c r="AH53" s="10">
        <f t="shared" si="233"/>
        <v>18945.506294570012</v>
      </c>
      <c r="AI53" s="10">
        <f t="shared" si="233"/>
        <v>18541.091255799998</v>
      </c>
      <c r="AJ53" s="10">
        <f t="shared" si="233"/>
        <v>16883.592765879999</v>
      </c>
      <c r="AK53" s="10">
        <f t="shared" si="233"/>
        <v>18907.165211209969</v>
      </c>
      <c r="AL53" s="10">
        <f t="shared" si="233"/>
        <v>17339.633861159986</v>
      </c>
      <c r="AM53" s="10">
        <f t="shared" si="233"/>
        <v>20123.399055419992</v>
      </c>
      <c r="AN53" s="10">
        <f t="shared" si="233"/>
        <v>19494.643270150002</v>
      </c>
      <c r="AO53" s="10">
        <f t="shared" si="233"/>
        <v>12859.594834160016</v>
      </c>
      <c r="AP53" s="10">
        <f t="shared" si="233"/>
        <v>20134.196726459988</v>
      </c>
      <c r="AQ53" s="10">
        <f t="shared" si="233"/>
        <v>17294.460889710004</v>
      </c>
      <c r="AR53" s="10">
        <f t="shared" si="233"/>
        <v>20161.667380750019</v>
      </c>
      <c r="AS53" s="10">
        <f t="shared" si="233"/>
        <v>16938.043662670003</v>
      </c>
      <c r="AT53" s="10">
        <f t="shared" si="233"/>
        <v>0</v>
      </c>
      <c r="AU53" s="10">
        <f t="shared" si="233"/>
        <v>0</v>
      </c>
      <c r="AV53" s="10">
        <f t="shared" si="233"/>
        <v>0</v>
      </c>
      <c r="AW53" s="10">
        <f t="shared" si="233"/>
        <v>0</v>
      </c>
      <c r="AX53" s="10">
        <f t="shared" si="233"/>
        <v>0</v>
      </c>
      <c r="AY53" s="10">
        <f t="shared" si="233"/>
        <v>0</v>
      </c>
      <c r="AZ53" s="10">
        <f t="shared" ref="AZ53:BK53" si="237">AZ41+AZ47</f>
        <v>19029.758179253156</v>
      </c>
      <c r="BA53" s="10">
        <f t="shared" si="237"/>
        <v>12560.371205504947</v>
      </c>
      <c r="BB53" s="10">
        <f t="shared" si="237"/>
        <v>19032.317224697974</v>
      </c>
      <c r="BC53" s="10">
        <f t="shared" si="237"/>
        <v>17258.027534032277</v>
      </c>
      <c r="BD53" s="10">
        <f t="shared" si="237"/>
        <v>20264.136919097007</v>
      </c>
      <c r="BE53" s="10">
        <f t="shared" si="237"/>
        <v>17416.289569351567</v>
      </c>
      <c r="BF53" s="10">
        <f t="shared" si="237"/>
        <v>20533.845214325826</v>
      </c>
      <c r="BG53" s="10">
        <f t="shared" si="237"/>
        <v>20724.791714934756</v>
      </c>
      <c r="BH53" s="10">
        <f t="shared" si="237"/>
        <v>17850.250817639426</v>
      </c>
      <c r="BI53" s="10">
        <f t="shared" si="237"/>
        <v>20737.691522939276</v>
      </c>
      <c r="BJ53" s="10">
        <f t="shared" si="237"/>
        <v>18844.307804025615</v>
      </c>
      <c r="BK53" s="10">
        <f t="shared" si="237"/>
        <v>21201.168099204042</v>
      </c>
      <c r="BO53" s="23">
        <f t="shared" ref="BO53:BT53" si="238">SUM(BO50:BO52)</f>
        <v>52488.434830769984</v>
      </c>
      <c r="BP53" s="23">
        <f t="shared" si="238"/>
        <v>50622.446609456099</v>
      </c>
      <c r="BQ53" s="23">
        <f t="shared" si="238"/>
        <v>32354.238104310014</v>
      </c>
      <c r="BR53" s="23">
        <f t="shared" si="238"/>
        <v>49519.420539979968</v>
      </c>
      <c r="BS53" s="23">
        <f t="shared" si="238"/>
        <v>51103.857958879984</v>
      </c>
      <c r="BT53" s="23">
        <f t="shared" si="238"/>
        <v>48125.653924170008</v>
      </c>
    </row>
    <row r="54" spans="1:72" x14ac:dyDescent="0.25"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O54" s="18"/>
      <c r="BP54" s="18"/>
      <c r="BQ54" s="18"/>
      <c r="BR54" s="18"/>
      <c r="BS54" s="18"/>
      <c r="BT54" s="18"/>
    </row>
    <row r="55" spans="1:72" x14ac:dyDescent="0.25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O55" s="18"/>
      <c r="BP55" s="18"/>
      <c r="BQ55" s="18"/>
      <c r="BR55" s="18"/>
      <c r="BS55" s="18"/>
      <c r="BT55" s="18"/>
    </row>
    <row r="56" spans="1:72" hidden="1" outlineLevel="1" x14ac:dyDescent="0.25">
      <c r="A56" s="11" t="s">
        <v>64</v>
      </c>
      <c r="C56" s="2" t="s">
        <v>67</v>
      </c>
      <c r="D56" s="8">
        <f>Renta_Alta!D56+Masivo!D56+Consumo_Inicial!D56</f>
        <v>-2170.5901090887132</v>
      </c>
      <c r="E56" s="8">
        <f>Renta_Alta!E56+Masivo!E56+Consumo_Inicial!E56</f>
        <v>-2366.1059589085821</v>
      </c>
      <c r="F56" s="8">
        <f>Renta_Alta!F56+Masivo!F56+Consumo_Inicial!F56</f>
        <v>-1002.9986046849481</v>
      </c>
      <c r="G56" s="8">
        <f>Renta_Alta!G56+Masivo!G56+Consumo_Inicial!G56</f>
        <v>-2464.6030140623852</v>
      </c>
      <c r="H56" s="8">
        <f>Renta_Alta!H56+Masivo!H56+Consumo_Inicial!H56</f>
        <v>-4418.979564946997</v>
      </c>
      <c r="I56" s="8">
        <f>Renta_Alta!I56+Masivo!I56+Consumo_Inicial!I56</f>
        <v>-2147.6602626552585</v>
      </c>
      <c r="J56" s="8">
        <f>Renta_Alta!J56+Masivo!J56+Consumo_Inicial!J56</f>
        <v>2525.2173841729964</v>
      </c>
      <c r="K56" s="8">
        <f>Renta_Alta!K56+Masivo!K56+Consumo_Inicial!K56</f>
        <v>-1735.5361541283849</v>
      </c>
      <c r="L56" s="8">
        <f>Renta_Alta!L56+Masivo!L56+Consumo_Inicial!L56</f>
        <v>-6867.5210211719832</v>
      </c>
      <c r="M56" s="8">
        <f>Renta_Alta!M56+Masivo!M56+Consumo_Inicial!M56</f>
        <v>-7290.181281013347</v>
      </c>
      <c r="N56" s="8">
        <f>Renta_Alta!N56+Masivo!N56+Consumo_Inicial!N56</f>
        <v>-5135.6247567691598</v>
      </c>
      <c r="O56" s="8">
        <f>Renta_Alta!O56+Masivo!O56+Consumo_Inicial!O56</f>
        <v>775.86914267389147</v>
      </c>
      <c r="P56" s="8">
        <f>Renta_Alta!P56+Masivo!P56+Consumo_Inicial!P56</f>
        <v>-7821.7353191975599</v>
      </c>
      <c r="Q56" s="8">
        <f>Renta_Alta!Q56+Masivo!Q56+Consumo_Inicial!Q56</f>
        <v>-2164.124590017947</v>
      </c>
      <c r="R56" s="8">
        <f>Renta_Alta!R56+Masivo!R56+Consumo_Inicial!R56</f>
        <v>-1164.9272350947201</v>
      </c>
      <c r="S56" s="8">
        <f>Renta_Alta!S56+Masivo!S56+Consumo_Inicial!S56</f>
        <v>-8168.1925367614913</v>
      </c>
      <c r="T56" s="8">
        <f>Renta_Alta!T56+Masivo!T56+Consumo_Inicial!T56</f>
        <v>-580.88131070701081</v>
      </c>
      <c r="U56" s="8">
        <f>Renta_Alta!U56+Masivo!U56+Consumo_Inicial!U56</f>
        <v>-1530.5366010718108</v>
      </c>
      <c r="V56" s="8">
        <f>Renta_Alta!V56+Masivo!V56+Consumo_Inicial!V56</f>
        <v>-4597.1490890398481</v>
      </c>
      <c r="W56" s="8">
        <f>Renta_Alta!W56+Masivo!W56+Consumo_Inicial!W56</f>
        <v>-1066.6185331926731</v>
      </c>
      <c r="X56" s="8">
        <f>Renta_Alta!X56+Masivo!X56+Consumo_Inicial!X56</f>
        <v>-2648.1014337025963</v>
      </c>
      <c r="Y56" s="8">
        <f>Renta_Alta!Y56+Masivo!Y56+Consumo_Inicial!Y56</f>
        <v>-7912.0807126310938</v>
      </c>
      <c r="Z56" s="8">
        <f>Renta_Alta!Z56+Masivo!Z56+Consumo_Inicial!Z56</f>
        <v>1202.2806933859824</v>
      </c>
      <c r="AA56" s="8">
        <f>Renta_Alta!AA56+Masivo!AA56+Consumo_Inicial!AA56</f>
        <v>-1003.6867782978516</v>
      </c>
      <c r="AB56" s="8">
        <f>Renta_Alta!AB56+Masivo!AB56+Consumo_Inicial!AB56</f>
        <v>-4717.0078858464321</v>
      </c>
      <c r="AC56" s="8">
        <f>Renta_Alta!AC56+Masivo!AC56+Consumo_Inicial!AC56</f>
        <v>-2528.6961780323836</v>
      </c>
      <c r="AD56" s="8">
        <f>Renta_Alta!AD56+Masivo!AD56+Consumo_Inicial!AD56</f>
        <v>-1775.7839930411949</v>
      </c>
      <c r="AE56" s="8">
        <f>Renta_Alta!AE56+Masivo!AE56+Consumo_Inicial!AE56</f>
        <v>-7186.5027064025344</v>
      </c>
      <c r="AF56" s="8">
        <f>Renta_Alta!AF56+Masivo!AF56+Consumo_Inicial!AF56</f>
        <v>4151.41411393199</v>
      </c>
      <c r="AG56" s="8">
        <f>Renta_Alta!AG56+Masivo!AG56+Consumo_Inicial!AG56</f>
        <v>-5344.500739509197</v>
      </c>
      <c r="AH56" s="8">
        <f>Renta_Alta!AH56+Masivo!AH56+Consumo_Inicial!AH56</f>
        <v>-2683.0468482800807</v>
      </c>
      <c r="AI56" s="8">
        <f>Renta_Alta!AI56+Masivo!AI56+Consumo_Inicial!AI56</f>
        <v>-5000.8883546600046</v>
      </c>
      <c r="AJ56" s="8">
        <f>Renta_Alta!AJ56+Masivo!AJ56+Consumo_Inicial!AJ56</f>
        <v>-6662.3612380243285</v>
      </c>
      <c r="AK56" s="8">
        <f>Renta_Alta!AK56+Masivo!AK56+Consumo_Inicial!AK56</f>
        <v>-10174.709281729121</v>
      </c>
      <c r="AL56" s="8">
        <f>Renta_Alta!AL56+Masivo!AL56+Consumo_Inicial!AL56</f>
        <v>2606.2187335496219</v>
      </c>
      <c r="AM56" s="8">
        <f>Renta_Alta!AM56+Masivo!AM56+Consumo_Inicial!AM56</f>
        <v>10903.12461174567</v>
      </c>
      <c r="AN56" s="8">
        <f>Renta_Alta!AN56+Masivo!AN56+Consumo_Inicial!AN56</f>
        <v>528.76023822345473</v>
      </c>
      <c r="AO56" s="8">
        <f>Renta_Alta!AO56+Masivo!AO56+Consumo_Inicial!AO56</f>
        <v>1220.1899933843119</v>
      </c>
      <c r="AP56" s="8">
        <f>Renta_Alta!AP56+Masivo!AP56+Consumo_Inicial!AP56</f>
        <v>-2362.5187835698534</v>
      </c>
      <c r="AQ56" s="8">
        <f>Renta_Alta!AQ56+Masivo!AQ56+Consumo_Inicial!AQ56</f>
        <v>-2036.827105124795</v>
      </c>
      <c r="AR56" s="8">
        <f>Renta_Alta!AR56+Masivo!AR56+Consumo_Inicial!AR56</f>
        <v>4461.023741900005</v>
      </c>
      <c r="AS56" s="8">
        <f>Renta_Alta!AS56+Masivo!AS56+Consumo_Inicial!AS56</f>
        <v>-5484.4151899999697</v>
      </c>
      <c r="AT56" s="8">
        <f>Renta_Alta!AT56+Masivo!AT56+Consumo_Inicial!AT56</f>
        <v>0</v>
      </c>
      <c r="AU56" s="8">
        <f>Renta_Alta!AU56+Masivo!AU56+Consumo_Inicial!AU56</f>
        <v>0</v>
      </c>
      <c r="AV56" s="8">
        <f>Renta_Alta!AV56+Masivo!AV56+Consumo_Inicial!AV56</f>
        <v>0</v>
      </c>
      <c r="AW56" s="8">
        <f>Renta_Alta!AW56+Masivo!AW56+Consumo_Inicial!AW56</f>
        <v>0</v>
      </c>
      <c r="AX56" s="8">
        <f>Renta_Alta!AX56+Masivo!AX56+Consumo_Inicial!AX56</f>
        <v>0</v>
      </c>
      <c r="AY56" s="8">
        <f>Renta_Alta!AY56+Masivo!AY56+Consumo_Inicial!AY56</f>
        <v>0</v>
      </c>
      <c r="AZ56" s="8">
        <f>Renta_Alta!AZ56+Masivo!AZ56+Consumo_Inicial!AZ56</f>
        <v>-2229.9559424985919</v>
      </c>
      <c r="BA56" s="8">
        <f>Renta_Alta!BA56+Masivo!BA56+Consumo_Inicial!BA56</f>
        <v>-4363.0996586985493</v>
      </c>
      <c r="BB56" s="8">
        <f>Renta_Alta!BB56+Masivo!BB56+Consumo_Inicial!BB56</f>
        <v>-5342.0107301225871</v>
      </c>
      <c r="BC56" s="8">
        <f>Renta_Alta!BC56+Masivo!BC56+Consumo_Inicial!BC56</f>
        <v>-5203.6947947592935</v>
      </c>
      <c r="BD56" s="8">
        <f>Renta_Alta!BD56+Masivo!BD56+Consumo_Inicial!BD56</f>
        <v>-2141.2608202259412</v>
      </c>
      <c r="BE56" s="8">
        <f>Renta_Alta!BE56+Masivo!BE56+Consumo_Inicial!BE56</f>
        <v>-4993.8681691695929</v>
      </c>
      <c r="BF56" s="8">
        <f>Renta_Alta!BF56+Masivo!BF56+Consumo_Inicial!BF56</f>
        <v>-2774.638940079647</v>
      </c>
      <c r="BG56" s="8">
        <f>Renta_Alta!BG56+Masivo!BG56+Consumo_Inicial!BG56</f>
        <v>-4660.2511469701712</v>
      </c>
      <c r="BH56" s="8">
        <f>Renta_Alta!BH56+Masivo!BH56+Consumo_Inicial!BH56</f>
        <v>-2877.2314116774019</v>
      </c>
      <c r="BI56" s="8">
        <f>Renta_Alta!BI56+Masivo!BI56+Consumo_Inicial!BI56</f>
        <v>-2854.347220882652</v>
      </c>
      <c r="BJ56" s="8">
        <f>Renta_Alta!BJ56+Masivo!BJ56+Consumo_Inicial!BJ56</f>
        <v>-1675.8381834094707</v>
      </c>
      <c r="BK56" s="8">
        <f>Renta_Alta!BK56+Masivo!BK56+Consumo_Inicial!BK56</f>
        <v>-271.33505579362657</v>
      </c>
      <c r="BO56" s="24">
        <f t="shared" ref="BO56:BT57" si="239">SUMIFS($D56:$BM56,$D$6:$BM$6,"&gt;="&amp;BO$2,$D$6:$BM$6,"&lt;="&amp;BO$6,$D$5:$BM$5,BO$5)</f>
        <v>-613.56855196208676</v>
      </c>
      <c r="BP56" s="24">
        <f t="shared" si="239"/>
        <v>-11935.066331319729</v>
      </c>
      <c r="BQ56" s="24">
        <f t="shared" si="239"/>
        <v>1748.9502316077667</v>
      </c>
      <c r="BR56" s="24">
        <f t="shared" si="239"/>
        <v>-9021.4880569200104</v>
      </c>
      <c r="BS56" s="24">
        <f t="shared" si="239"/>
        <v>-11150.787144310227</v>
      </c>
      <c r="BT56" s="24">
        <f t="shared" si="239"/>
        <v>-5539.6946726822434</v>
      </c>
    </row>
    <row r="57" spans="1:72" hidden="1" outlineLevel="1" x14ac:dyDescent="0.25">
      <c r="A57" s="11" t="s">
        <v>65</v>
      </c>
      <c r="C57" s="2" t="s">
        <v>69</v>
      </c>
      <c r="D57" s="8">
        <f>Renta_Alta!D57+Masivo!D57+Consumo_Inicial!D57</f>
        <v>0.7</v>
      </c>
      <c r="E57" s="8">
        <f>Renta_Alta!E57+Masivo!E57+Consumo_Inicial!E57</f>
        <v>0</v>
      </c>
      <c r="F57" s="8">
        <f>Renta_Alta!F57+Masivo!F57+Consumo_Inicial!F57</f>
        <v>44.159119999999994</v>
      </c>
      <c r="G57" s="8">
        <f>Renta_Alta!G57+Masivo!G57+Consumo_Inicial!G57</f>
        <v>153.17811</v>
      </c>
      <c r="H57" s="8">
        <f>Renta_Alta!H57+Masivo!H57+Consumo_Inicial!H57</f>
        <v>16.87885</v>
      </c>
      <c r="I57" s="8">
        <f>Renta_Alta!I57+Masivo!I57+Consumo_Inicial!I57</f>
        <v>65.143630000000002</v>
      </c>
      <c r="J57" s="8">
        <f>Renta_Alta!J57+Masivo!J57+Consumo_Inicial!J57</f>
        <v>74.584999999999994</v>
      </c>
      <c r="K57" s="8">
        <f>Renta_Alta!K57+Masivo!K57+Consumo_Inicial!K57</f>
        <v>66.297759999999997</v>
      </c>
      <c r="L57" s="8">
        <f>Renta_Alta!L57+Masivo!L57+Consumo_Inicial!L57</f>
        <v>72.245820000000009</v>
      </c>
      <c r="M57" s="8">
        <f>Renta_Alta!M57+Masivo!M57+Consumo_Inicial!M57</f>
        <v>103.73636999999999</v>
      </c>
      <c r="N57" s="8">
        <f>Renta_Alta!N57+Masivo!N57+Consumo_Inicial!N57</f>
        <v>0</v>
      </c>
      <c r="O57" s="8">
        <f>Renta_Alta!O57+Masivo!O57+Consumo_Inicial!O57</f>
        <v>0</v>
      </c>
      <c r="P57" s="8">
        <f>Renta_Alta!P57+Masivo!P57+Consumo_Inicial!P57</f>
        <v>0</v>
      </c>
      <c r="Q57" s="8">
        <f>Renta_Alta!Q57+Masivo!Q57+Consumo_Inicial!Q57</f>
        <v>3.37</v>
      </c>
      <c r="R57" s="8">
        <f>Renta_Alta!R57+Masivo!R57+Consumo_Inicial!R57</f>
        <v>0</v>
      </c>
      <c r="S57" s="8">
        <f>Renta_Alta!S57+Masivo!S57+Consumo_Inicial!S57</f>
        <v>0</v>
      </c>
      <c r="T57" s="8">
        <f>Renta_Alta!T57+Masivo!T57+Consumo_Inicial!T57</f>
        <v>1.7596200000000002</v>
      </c>
      <c r="U57" s="8">
        <f>Renta_Alta!U57+Masivo!U57+Consumo_Inicial!U57</f>
        <v>36.611959999999996</v>
      </c>
      <c r="V57" s="8">
        <f>Renta_Alta!V57+Masivo!V57+Consumo_Inicial!V57</f>
        <v>70.667529999999999</v>
      </c>
      <c r="W57" s="8">
        <f>Renta_Alta!W57+Masivo!W57+Consumo_Inicial!W57</f>
        <v>0.64890999999999999</v>
      </c>
      <c r="X57" s="8">
        <f>Renta_Alta!X57+Masivo!X57+Consumo_Inicial!X57</f>
        <v>0</v>
      </c>
      <c r="Y57" s="8">
        <f>Renta_Alta!Y57+Masivo!Y57+Consumo_Inicial!Y57</f>
        <v>3.37486</v>
      </c>
      <c r="Z57" s="8">
        <f>Renta_Alta!Z57+Masivo!Z57+Consumo_Inicial!Z57</f>
        <v>0</v>
      </c>
      <c r="AA57" s="8">
        <f>Renta_Alta!AA57+Masivo!AA57+Consumo_Inicial!AA57</f>
        <v>0.18109999999999998</v>
      </c>
      <c r="AB57" s="8">
        <f>Renta_Alta!AB57+Masivo!AB57+Consumo_Inicial!AB57</f>
        <v>3.3662900000000002</v>
      </c>
      <c r="AC57" s="8">
        <f>Renta_Alta!AC57+Masivo!AC57+Consumo_Inicial!AC57</f>
        <v>3.85E-2</v>
      </c>
      <c r="AD57" s="8">
        <f>Renta_Alta!AD57+Masivo!AD57+Consumo_Inicial!AD57</f>
        <v>60.703759999999996</v>
      </c>
      <c r="AE57" s="8">
        <f>Renta_Alta!AE57+Masivo!AE57+Consumo_Inicial!AE57</f>
        <v>47.775230000000001</v>
      </c>
      <c r="AF57" s="8">
        <f>Renta_Alta!AF57+Masivo!AF57+Consumo_Inicial!AF57</f>
        <v>3.9556300000000002</v>
      </c>
      <c r="AG57" s="8">
        <f>Renta_Alta!AG57+Masivo!AG57+Consumo_Inicial!AG57</f>
        <v>2.3919999999999999</v>
      </c>
      <c r="AH57" s="8">
        <f>Renta_Alta!AH57+Masivo!AH57+Consumo_Inicial!AH57</f>
        <v>0</v>
      </c>
      <c r="AI57" s="8">
        <f>Renta_Alta!AI57+Masivo!AI57+Consumo_Inicial!AI57</f>
        <v>10.9628</v>
      </c>
      <c r="AJ57" s="8">
        <f>Renta_Alta!AJ57+Masivo!AJ57+Consumo_Inicial!AJ57</f>
        <v>0</v>
      </c>
      <c r="AK57" s="8">
        <f>Renta_Alta!AK57+Masivo!AK57+Consumo_Inicial!AK57</f>
        <v>0.18838999999999997</v>
      </c>
      <c r="AL57" s="8">
        <f>Renta_Alta!AL57+Masivo!AL57+Consumo_Inicial!AL57</f>
        <v>2</v>
      </c>
      <c r="AM57" s="8">
        <f>Renta_Alta!AM57+Masivo!AM57+Consumo_Inicial!AM57</f>
        <v>0</v>
      </c>
      <c r="AN57" s="8">
        <f>Renta_Alta!AN57+Masivo!AN57+Consumo_Inicial!AN57</f>
        <v>0</v>
      </c>
      <c r="AO57" s="8">
        <f>Renta_Alta!AO57+Masivo!AO57+Consumo_Inicial!AO57</f>
        <v>20.094999999999999</v>
      </c>
      <c r="AP57" s="8">
        <f>Renta_Alta!AP57+Masivo!AP57+Consumo_Inicial!AP57</f>
        <v>0.48019000000000001</v>
      </c>
      <c r="AQ57" s="8">
        <f>Renta_Alta!AQ57+Masivo!AQ57+Consumo_Inicial!AQ57</f>
        <v>0.19547</v>
      </c>
      <c r="AR57" s="8">
        <f>Renta_Alta!AR57+Masivo!AR57+Consumo_Inicial!AR57</f>
        <v>46.87894</v>
      </c>
      <c r="AS57" s="8">
        <f>Renta_Alta!AS57+Masivo!AS57+Consumo_Inicial!AS57</f>
        <v>0</v>
      </c>
      <c r="AT57" s="8">
        <f>Renta_Alta!AT57+Masivo!AT57+Consumo_Inicial!AT57</f>
        <v>0</v>
      </c>
      <c r="AU57" s="8">
        <f>Renta_Alta!AU57+Masivo!AU57+Consumo_Inicial!AU57</f>
        <v>0</v>
      </c>
      <c r="AV57" s="8">
        <f>Renta_Alta!AV57+Masivo!AV57+Consumo_Inicial!AV57</f>
        <v>0</v>
      </c>
      <c r="AW57" s="8">
        <f>Renta_Alta!AW57+Masivo!AW57+Consumo_Inicial!AW57</f>
        <v>0</v>
      </c>
      <c r="AX57" s="8">
        <f>Renta_Alta!AX57+Masivo!AX57+Consumo_Inicial!AX57</f>
        <v>0</v>
      </c>
      <c r="AY57" s="8">
        <f>Renta_Alta!AY57+Masivo!AY57+Consumo_Inicial!AY57</f>
        <v>0</v>
      </c>
      <c r="AZ57" s="8">
        <f>Renta_Alta!AZ57+Masivo!AZ57+Consumo_Inicial!AZ57</f>
        <v>0</v>
      </c>
      <c r="BA57" s="8">
        <f>Renta_Alta!BA57+Masivo!BA57+Consumo_Inicial!BA57</f>
        <v>0</v>
      </c>
      <c r="BB57" s="8">
        <f>Renta_Alta!BB57+Masivo!BB57+Consumo_Inicial!BB57</f>
        <v>0</v>
      </c>
      <c r="BC57" s="8">
        <f>Renta_Alta!BC57+Masivo!BC57+Consumo_Inicial!BC57</f>
        <v>0</v>
      </c>
      <c r="BD57" s="8">
        <f>Renta_Alta!BD57+Masivo!BD57+Consumo_Inicial!BD57</f>
        <v>0</v>
      </c>
      <c r="BE57" s="8">
        <f>Renta_Alta!BE57+Masivo!BE57+Consumo_Inicial!BE57</f>
        <v>0</v>
      </c>
      <c r="BF57" s="8">
        <f>Renta_Alta!BF57+Masivo!BF57+Consumo_Inicial!BF57</f>
        <v>0</v>
      </c>
      <c r="BG57" s="8">
        <f>Renta_Alta!BG57+Masivo!BG57+Consumo_Inicial!BG57</f>
        <v>0</v>
      </c>
      <c r="BH57" s="8">
        <f>Renta_Alta!BH57+Masivo!BH57+Consumo_Inicial!BH57</f>
        <v>0</v>
      </c>
      <c r="BI57" s="8">
        <f>Renta_Alta!BI57+Masivo!BI57+Consumo_Inicial!BI57</f>
        <v>0</v>
      </c>
      <c r="BJ57" s="8">
        <f>Renta_Alta!BJ57+Masivo!BJ57+Consumo_Inicial!BJ57</f>
        <v>0</v>
      </c>
      <c r="BK57" s="8">
        <f>Renta_Alta!BK57+Masivo!BK57+Consumo_Inicial!BK57</f>
        <v>0</v>
      </c>
      <c r="BO57" s="24">
        <f t="shared" si="239"/>
        <v>20.575189999999999</v>
      </c>
      <c r="BP57" s="24">
        <f t="shared" si="239"/>
        <v>0</v>
      </c>
      <c r="BQ57" s="24">
        <f t="shared" si="239"/>
        <v>20.094999999999999</v>
      </c>
      <c r="BR57" s="24">
        <f t="shared" si="239"/>
        <v>64.108549999999994</v>
      </c>
      <c r="BS57" s="24">
        <f t="shared" si="239"/>
        <v>3.37</v>
      </c>
      <c r="BT57" s="24">
        <f t="shared" si="239"/>
        <v>44.859119999999997</v>
      </c>
    </row>
    <row r="58" spans="1:72" collapsed="1" x14ac:dyDescent="0.25">
      <c r="C58" s="3" t="s">
        <v>68</v>
      </c>
      <c r="D58" s="10">
        <f t="shared" ref="D58:AY58" si="240">SUM(D56:D57)</f>
        <v>-2169.8901090887134</v>
      </c>
      <c r="E58" s="10">
        <f t="shared" si="240"/>
        <v>-2366.1059589085821</v>
      </c>
      <c r="F58" s="10">
        <f t="shared" si="240"/>
        <v>-958.83948468494805</v>
      </c>
      <c r="G58" s="10">
        <f t="shared" si="240"/>
        <v>-2311.4249040623854</v>
      </c>
      <c r="H58" s="10">
        <f t="shared" si="240"/>
        <v>-4402.100714946997</v>
      </c>
      <c r="I58" s="10">
        <f t="shared" si="240"/>
        <v>-2082.5166326552585</v>
      </c>
      <c r="J58" s="10">
        <f t="shared" si="240"/>
        <v>2599.8023841729964</v>
      </c>
      <c r="K58" s="10">
        <f t="shared" si="240"/>
        <v>-1669.2383941283849</v>
      </c>
      <c r="L58" s="10">
        <f t="shared" si="240"/>
        <v>-6795.2752011719831</v>
      </c>
      <c r="M58" s="10">
        <f t="shared" si="240"/>
        <v>-7186.4449110133473</v>
      </c>
      <c r="N58" s="10">
        <f t="shared" si="240"/>
        <v>-5135.6247567691598</v>
      </c>
      <c r="O58" s="10">
        <f t="shared" si="240"/>
        <v>775.86914267389147</v>
      </c>
      <c r="P58" s="10">
        <f t="shared" si="240"/>
        <v>-7821.7353191975599</v>
      </c>
      <c r="Q58" s="10">
        <f t="shared" si="240"/>
        <v>-2160.7545900179471</v>
      </c>
      <c r="R58" s="10">
        <f t="shared" si="240"/>
        <v>-1164.9272350947201</v>
      </c>
      <c r="S58" s="10">
        <f t="shared" si="240"/>
        <v>-8168.1925367614913</v>
      </c>
      <c r="T58" s="10">
        <f t="shared" si="240"/>
        <v>-579.12169070701077</v>
      </c>
      <c r="U58" s="10">
        <f t="shared" si="240"/>
        <v>-1493.9246410718108</v>
      </c>
      <c r="V58" s="10">
        <f t="shared" si="240"/>
        <v>-4526.4815590398484</v>
      </c>
      <c r="W58" s="10">
        <f t="shared" si="240"/>
        <v>-1065.9696231926732</v>
      </c>
      <c r="X58" s="10">
        <f t="shared" si="240"/>
        <v>-2648.1014337025963</v>
      </c>
      <c r="Y58" s="10">
        <f t="shared" si="240"/>
        <v>-7908.7058526310939</v>
      </c>
      <c r="Z58" s="10">
        <f t="shared" si="240"/>
        <v>1202.2806933859824</v>
      </c>
      <c r="AA58" s="10">
        <f t="shared" si="240"/>
        <v>-1003.5056782978515</v>
      </c>
      <c r="AB58" s="10">
        <f t="shared" si="240"/>
        <v>-4713.6415958464322</v>
      </c>
      <c r="AC58" s="10">
        <f t="shared" si="240"/>
        <v>-2528.6576780323835</v>
      </c>
      <c r="AD58" s="10">
        <f t="shared" si="240"/>
        <v>-1715.0802330411948</v>
      </c>
      <c r="AE58" s="10">
        <f t="shared" si="240"/>
        <v>-7138.7274764025342</v>
      </c>
      <c r="AF58" s="10">
        <f t="shared" si="240"/>
        <v>4155.3697439319903</v>
      </c>
      <c r="AG58" s="10">
        <f t="shared" si="240"/>
        <v>-5342.1087395091972</v>
      </c>
      <c r="AH58" s="10">
        <f t="shared" si="240"/>
        <v>-2683.0468482800807</v>
      </c>
      <c r="AI58" s="10">
        <f t="shared" si="240"/>
        <v>-4989.9255546600043</v>
      </c>
      <c r="AJ58" s="10">
        <f t="shared" si="240"/>
        <v>-6662.3612380243285</v>
      </c>
      <c r="AK58" s="10">
        <f t="shared" si="240"/>
        <v>-10174.520891729122</v>
      </c>
      <c r="AL58" s="10">
        <f t="shared" si="240"/>
        <v>2608.2187335496219</v>
      </c>
      <c r="AM58" s="10">
        <f t="shared" si="240"/>
        <v>10903.12461174567</v>
      </c>
      <c r="AN58" s="10">
        <f t="shared" si="240"/>
        <v>528.76023822345473</v>
      </c>
      <c r="AO58" s="10">
        <f t="shared" si="240"/>
        <v>1240.284993384312</v>
      </c>
      <c r="AP58" s="10">
        <f t="shared" si="240"/>
        <v>-2362.0385935698532</v>
      </c>
      <c r="AQ58" s="10">
        <f t="shared" si="240"/>
        <v>-2036.6316351247951</v>
      </c>
      <c r="AR58" s="10">
        <f t="shared" si="240"/>
        <v>4507.9026819000046</v>
      </c>
      <c r="AS58" s="10">
        <f t="shared" si="240"/>
        <v>-5484.4151899999697</v>
      </c>
      <c r="AT58" s="10">
        <f t="shared" si="240"/>
        <v>0</v>
      </c>
      <c r="AU58" s="10">
        <f t="shared" si="240"/>
        <v>0</v>
      </c>
      <c r="AV58" s="10">
        <f t="shared" si="240"/>
        <v>0</v>
      </c>
      <c r="AW58" s="10">
        <f t="shared" si="240"/>
        <v>0</v>
      </c>
      <c r="AX58" s="10">
        <f t="shared" si="240"/>
        <v>0</v>
      </c>
      <c r="AY58" s="10">
        <f t="shared" si="240"/>
        <v>0</v>
      </c>
      <c r="AZ58" s="10">
        <f t="shared" ref="AZ58:BK58" si="241">SUM(AZ56:AZ57)</f>
        <v>-2229.9559424985919</v>
      </c>
      <c r="BA58" s="10">
        <f t="shared" si="241"/>
        <v>-4363.0996586985493</v>
      </c>
      <c r="BB58" s="10">
        <f t="shared" si="241"/>
        <v>-5342.0107301225871</v>
      </c>
      <c r="BC58" s="10">
        <f t="shared" si="241"/>
        <v>-5203.6947947592935</v>
      </c>
      <c r="BD58" s="10">
        <f t="shared" si="241"/>
        <v>-2141.2608202259412</v>
      </c>
      <c r="BE58" s="10">
        <f t="shared" si="241"/>
        <v>-4993.8681691695929</v>
      </c>
      <c r="BF58" s="10">
        <f t="shared" si="241"/>
        <v>-2774.638940079647</v>
      </c>
      <c r="BG58" s="10">
        <f t="shared" si="241"/>
        <v>-4660.2511469701712</v>
      </c>
      <c r="BH58" s="10">
        <f t="shared" si="241"/>
        <v>-2877.2314116774019</v>
      </c>
      <c r="BI58" s="10">
        <f t="shared" si="241"/>
        <v>-2854.347220882652</v>
      </c>
      <c r="BJ58" s="10">
        <f t="shared" si="241"/>
        <v>-1675.8381834094707</v>
      </c>
      <c r="BK58" s="10">
        <f t="shared" si="241"/>
        <v>-271.33505579362657</v>
      </c>
      <c r="BO58" s="23">
        <f>SUM(BO56:BO57)</f>
        <v>-592.99336196208674</v>
      </c>
      <c r="BP58" s="23">
        <f t="shared" ref="BP58:BT58" si="242">SUM(BP56:BP57)</f>
        <v>-11935.066331319729</v>
      </c>
      <c r="BQ58" s="23">
        <f t="shared" si="242"/>
        <v>1769.0452316077667</v>
      </c>
      <c r="BR58" s="23">
        <f t="shared" si="242"/>
        <v>-8957.3795069200096</v>
      </c>
      <c r="BS58" s="23">
        <f t="shared" si="242"/>
        <v>-11147.417144310226</v>
      </c>
      <c r="BT58" s="23">
        <f t="shared" si="242"/>
        <v>-5494.8355526822434</v>
      </c>
    </row>
    <row r="60" spans="1:72" x14ac:dyDescent="0.25">
      <c r="C60" s="3" t="s">
        <v>70</v>
      </c>
      <c r="D60" s="10">
        <f>D53+D58</f>
        <v>15538.265207401282</v>
      </c>
      <c r="E60" s="10">
        <f t="shared" ref="E60:AY60" si="243">E53+E58</f>
        <v>9900.3501734314086</v>
      </c>
      <c r="F60" s="10">
        <f t="shared" si="243"/>
        <v>17192.202990655052</v>
      </c>
      <c r="G60" s="10">
        <f t="shared" si="243"/>
        <v>13519.64176340759</v>
      </c>
      <c r="H60" s="10">
        <f t="shared" si="243"/>
        <v>13690.785601593021</v>
      </c>
      <c r="I60" s="10">
        <f t="shared" si="243"/>
        <v>14135.573146664739</v>
      </c>
      <c r="J60" s="10">
        <f t="shared" si="243"/>
        <v>20926.386814792982</v>
      </c>
      <c r="K60" s="10">
        <f t="shared" si="243"/>
        <v>16213.275905101604</v>
      </c>
      <c r="L60" s="10">
        <f t="shared" si="243"/>
        <v>9401.9821584880374</v>
      </c>
      <c r="M60" s="10">
        <f t="shared" si="243"/>
        <v>11470.251798236644</v>
      </c>
      <c r="N60" s="10">
        <f t="shared" si="243"/>
        <v>11226.727722310839</v>
      </c>
      <c r="O60" s="10">
        <f t="shared" si="243"/>
        <v>19330.239050223896</v>
      </c>
      <c r="P60" s="10">
        <f t="shared" si="243"/>
        <v>10531.65068226244</v>
      </c>
      <c r="Q60" s="10">
        <f t="shared" si="243"/>
        <v>12027.796480272053</v>
      </c>
      <c r="R60" s="10">
        <f t="shared" si="243"/>
        <v>17396.993652035286</v>
      </c>
      <c r="S60" s="10">
        <f t="shared" si="243"/>
        <v>8027.4881408985075</v>
      </c>
      <c r="T60" s="10">
        <f t="shared" si="243"/>
        <v>18061.672900462974</v>
      </c>
      <c r="U60" s="10">
        <f t="shared" si="243"/>
        <v>15399.059046018207</v>
      </c>
      <c r="V60" s="10">
        <f t="shared" si="243"/>
        <v>14806.186247310137</v>
      </c>
      <c r="W60" s="10">
        <f t="shared" si="243"/>
        <v>18021.302430247335</v>
      </c>
      <c r="X60" s="10">
        <f t="shared" si="243"/>
        <v>13947.251830897399</v>
      </c>
      <c r="Y60" s="10">
        <f t="shared" si="243"/>
        <v>10785.94473779892</v>
      </c>
      <c r="Z60" s="10">
        <f t="shared" si="243"/>
        <v>18177.650840285969</v>
      </c>
      <c r="AA60" s="10">
        <f t="shared" si="243"/>
        <v>18393.440491702153</v>
      </c>
      <c r="AB60" s="10">
        <f t="shared" si="243"/>
        <v>13967.946110263572</v>
      </c>
      <c r="AC60" s="10">
        <f t="shared" si="243"/>
        <v>9603.2716269276116</v>
      </c>
      <c r="AD60" s="10">
        <f t="shared" si="243"/>
        <v>16990.823295868791</v>
      </c>
      <c r="AE60" s="10">
        <f t="shared" si="243"/>
        <v>9286.8361890874658</v>
      </c>
      <c r="AF60" s="10">
        <f t="shared" si="243"/>
        <v>23672.146547291992</v>
      </c>
      <c r="AG60" s="10">
        <f t="shared" si="243"/>
        <v>10951.902030310805</v>
      </c>
      <c r="AH60" s="10">
        <f t="shared" si="243"/>
        <v>16262.459446289931</v>
      </c>
      <c r="AI60" s="10">
        <f t="shared" si="243"/>
        <v>13551.165701139995</v>
      </c>
      <c r="AJ60" s="10">
        <f t="shared" si="243"/>
        <v>10221.231527855671</v>
      </c>
      <c r="AK60" s="10">
        <f t="shared" si="243"/>
        <v>8732.6443194808471</v>
      </c>
      <c r="AL60" s="10">
        <f t="shared" si="243"/>
        <v>19947.852594709606</v>
      </c>
      <c r="AM60" s="10">
        <f t="shared" si="243"/>
        <v>31026.52366716566</v>
      </c>
      <c r="AN60" s="10">
        <f t="shared" si="243"/>
        <v>20023.403508373456</v>
      </c>
      <c r="AO60" s="10">
        <f t="shared" si="243"/>
        <v>14099.879827544328</v>
      </c>
      <c r="AP60" s="10">
        <f t="shared" si="243"/>
        <v>17772.158132890134</v>
      </c>
      <c r="AQ60" s="10">
        <f t="shared" si="243"/>
        <v>15257.829254585209</v>
      </c>
      <c r="AR60" s="10">
        <f t="shared" si="243"/>
        <v>24669.570062650026</v>
      </c>
      <c r="AS60" s="10">
        <f t="shared" si="243"/>
        <v>11453.628472670032</v>
      </c>
      <c r="AT60" s="10">
        <f t="shared" si="243"/>
        <v>0</v>
      </c>
      <c r="AU60" s="10">
        <f t="shared" si="243"/>
        <v>0</v>
      </c>
      <c r="AV60" s="10">
        <f t="shared" si="243"/>
        <v>0</v>
      </c>
      <c r="AW60" s="10">
        <f t="shared" si="243"/>
        <v>0</v>
      </c>
      <c r="AX60" s="10">
        <f t="shared" si="243"/>
        <v>0</v>
      </c>
      <c r="AY60" s="10">
        <f t="shared" si="243"/>
        <v>0</v>
      </c>
      <c r="AZ60" s="10">
        <f t="shared" ref="AZ60:BK60" si="244">AZ53+AZ58</f>
        <v>16799.802236754564</v>
      </c>
      <c r="BA60" s="10">
        <f t="shared" si="244"/>
        <v>8197.271546806398</v>
      </c>
      <c r="BB60" s="10">
        <f t="shared" si="244"/>
        <v>13690.306494575387</v>
      </c>
      <c r="BC60" s="10">
        <f t="shared" si="244"/>
        <v>12054.332739272984</v>
      </c>
      <c r="BD60" s="10">
        <f t="shared" si="244"/>
        <v>18122.876098871067</v>
      </c>
      <c r="BE60" s="10">
        <f t="shared" si="244"/>
        <v>12422.421400181975</v>
      </c>
      <c r="BF60" s="10">
        <f t="shared" si="244"/>
        <v>17759.206274246179</v>
      </c>
      <c r="BG60" s="10">
        <f t="shared" si="244"/>
        <v>16064.540567964585</v>
      </c>
      <c r="BH60" s="10">
        <f t="shared" si="244"/>
        <v>14973.019405962024</v>
      </c>
      <c r="BI60" s="10">
        <f t="shared" si="244"/>
        <v>17883.344302056623</v>
      </c>
      <c r="BJ60" s="10">
        <f t="shared" si="244"/>
        <v>17168.469620616146</v>
      </c>
      <c r="BK60" s="10">
        <f t="shared" si="244"/>
        <v>20929.833043410414</v>
      </c>
      <c r="BO60" s="23">
        <f>BO53+BO58</f>
        <v>51895.441468807898</v>
      </c>
      <c r="BP60" s="23">
        <f t="shared" ref="BP60:BT60" si="245">BP53+BP58</f>
        <v>38687.38027813637</v>
      </c>
      <c r="BQ60" s="23">
        <f t="shared" si="245"/>
        <v>34123.283335917782</v>
      </c>
      <c r="BR60" s="23">
        <f t="shared" si="245"/>
        <v>40562.041033059955</v>
      </c>
      <c r="BS60" s="23">
        <f t="shared" si="245"/>
        <v>39956.44081456976</v>
      </c>
      <c r="BT60" s="23">
        <f t="shared" si="245"/>
        <v>42630.818371487767</v>
      </c>
    </row>
    <row r="63" spans="1:72" hidden="1" outlineLevel="1" x14ac:dyDescent="0.25">
      <c r="A63" s="11" t="s">
        <v>71</v>
      </c>
      <c r="C63" s="2" t="s">
        <v>127</v>
      </c>
      <c r="D63" s="8">
        <f>Renta_Alta!D63+Masivo!D63+Consumo_Inicial!D63</f>
        <v>676.75345016493247</v>
      </c>
      <c r="E63" s="8">
        <f>Renta_Alta!E63+Masivo!E63+Consumo_Inicial!E63</f>
        <v>585.94255016865043</v>
      </c>
      <c r="F63" s="8">
        <f>Renta_Alta!F63+Masivo!F63+Consumo_Inicial!F63</f>
        <v>787.93692968420851</v>
      </c>
      <c r="G63" s="8">
        <f>Renta_Alta!G63+Masivo!G63+Consumo_Inicial!G63</f>
        <v>642.14554976559191</v>
      </c>
      <c r="H63" s="8">
        <f>Renta_Alta!H63+Masivo!H63+Consumo_Inicial!H63</f>
        <v>700.33570051462175</v>
      </c>
      <c r="I63" s="8">
        <f>Renta_Alta!I63+Masivo!I63+Consumo_Inicial!I63</f>
        <v>605.07015027565842</v>
      </c>
      <c r="J63" s="8">
        <f>Renta_Alta!J63+Masivo!J63+Consumo_Inicial!J63</f>
        <v>687.94770024017271</v>
      </c>
      <c r="K63" s="8">
        <f>Renta_Alta!K63+Masivo!K63+Consumo_Inicial!K63</f>
        <v>617.56672967101815</v>
      </c>
      <c r="L63" s="8">
        <f>Renta_Alta!L63+Masivo!L63+Consumo_Inicial!L63</f>
        <v>632.32995991075006</v>
      </c>
      <c r="M63" s="8">
        <f>Renta_Alta!M63+Masivo!M63+Consumo_Inicial!M63</f>
        <v>740.37164019363422</v>
      </c>
      <c r="N63" s="8">
        <f>Renta_Alta!N63+Masivo!N63+Consumo_Inicial!N63</f>
        <v>345.61803959108778</v>
      </c>
      <c r="O63" s="8">
        <f>Renta_Alta!O63+Masivo!O63+Consumo_Inicial!O63</f>
        <v>490.09752955726606</v>
      </c>
      <c r="P63" s="8">
        <f>Renta_Alta!P63+Masivo!P63+Consumo_Inicial!P63</f>
        <v>444.41828937165303</v>
      </c>
      <c r="Q63" s="8">
        <f>Renta_Alta!Q63+Masivo!Q63+Consumo_Inicial!Q63</f>
        <v>347.95040983476821</v>
      </c>
      <c r="R63" s="8">
        <f>Renta_Alta!R63+Masivo!R63+Consumo_Inicial!R63</f>
        <v>529.90471052805401</v>
      </c>
      <c r="S63" s="8">
        <f>Renta_Alta!S63+Masivo!S63+Consumo_Inicial!S63</f>
        <v>429.82438061487466</v>
      </c>
      <c r="T63" s="8">
        <f>Renta_Alta!T63+Masivo!T63+Consumo_Inicial!T63</f>
        <v>553.70644951461384</v>
      </c>
      <c r="U63" s="8">
        <f>Renta_Alta!U63+Masivo!U63+Consumo_Inicial!U63</f>
        <v>490.45934993023934</v>
      </c>
      <c r="V63" s="8">
        <f>Renta_Alta!V63+Masivo!V63+Consumo_Inicial!V63</f>
        <v>598.89917969057626</v>
      </c>
      <c r="W63" s="8">
        <f>Renta_Alta!W63+Masivo!W63+Consumo_Inicial!W63</f>
        <v>498.90436093444686</v>
      </c>
      <c r="X63" s="8">
        <f>Renta_Alta!X63+Masivo!X63+Consumo_Inicial!X63</f>
        <v>369.93468978247728</v>
      </c>
      <c r="Y63" s="8">
        <f>Renta_Alta!Y63+Masivo!Y63+Consumo_Inicial!Y63</f>
        <v>450.23704007515624</v>
      </c>
      <c r="Z63" s="8">
        <f>Renta_Alta!Z63+Masivo!Z63+Consumo_Inicial!Z63</f>
        <v>119.64791051893388</v>
      </c>
      <c r="AA63" s="8">
        <f>Renta_Alta!AA63+Masivo!AA63+Consumo_Inicial!AA63</f>
        <v>499.93087038669</v>
      </c>
      <c r="AB63" s="8">
        <f>Renta_Alta!AB63+Masivo!AB63+Consumo_Inicial!AB63</f>
        <v>672.68017957827976</v>
      </c>
      <c r="AC63" s="8">
        <f>Renta_Alta!AC63+Masivo!AC63+Consumo_Inicial!AC63</f>
        <v>419.46093980752562</v>
      </c>
      <c r="AD63" s="8">
        <f>Renta_Alta!AD63+Masivo!AD63+Consumo_Inicial!AD63</f>
        <v>814.49952999165134</v>
      </c>
      <c r="AE63" s="8">
        <f>Renta_Alta!AE63+Masivo!AE63+Consumo_Inicial!AE63</f>
        <v>589.53233012415012</v>
      </c>
      <c r="AF63" s="8">
        <f>Renta_Alta!AF63+Masivo!AF63+Consumo_Inicial!AF63</f>
        <v>737.51787930319904</v>
      </c>
      <c r="AG63" s="8">
        <f>Renta_Alta!AG63+Masivo!AG63+Consumo_Inicial!AG63</f>
        <v>616.1417392710573</v>
      </c>
      <c r="AH63" s="8">
        <f>Renta_Alta!AH63+Masivo!AH63+Consumo_Inicial!AH63</f>
        <v>556.72533039615973</v>
      </c>
      <c r="AI63" s="8">
        <f>Renta_Alta!AI63+Masivo!AI63+Consumo_Inicial!AI63</f>
        <v>639.57486941241973</v>
      </c>
      <c r="AJ63" s="8">
        <f>Renta_Alta!AJ63+Masivo!AJ63+Consumo_Inicial!AJ63</f>
        <v>325.6624591595928</v>
      </c>
      <c r="AK63" s="8">
        <f>Renta_Alta!AK63+Masivo!AK63+Consumo_Inicial!AK63</f>
        <v>734.73516973675248</v>
      </c>
      <c r="AL63" s="8">
        <f>Renta_Alta!AL63+Masivo!AL63+Consumo_Inicial!AL63</f>
        <v>900.04528925924603</v>
      </c>
      <c r="AM63" s="8">
        <f>Renta_Alta!AM63+Masivo!AM63+Consumo_Inicial!AM63</f>
        <v>923.14727092370833</v>
      </c>
      <c r="AN63" s="8">
        <f>Renta_Alta!AN63+Masivo!AN63+Consumo_Inicial!AN63</f>
        <v>840.56628999999566</v>
      </c>
      <c r="AO63" s="8">
        <f>Renta_Alta!AO63+Masivo!AO63+Consumo_Inicial!AO63</f>
        <v>259.69511999999389</v>
      </c>
      <c r="AP63" s="8">
        <f>Renta_Alta!AP63+Masivo!AP63+Consumo_Inicial!AP63</f>
        <v>1018.1365999999999</v>
      </c>
      <c r="AQ63" s="8">
        <f>Renta_Alta!AQ63+Masivo!AQ63+Consumo_Inicial!AQ63</f>
        <v>795.80343000000278</v>
      </c>
      <c r="AR63" s="8">
        <f>Renta_Alta!AR63+Masivo!AR63+Consumo_Inicial!AR63</f>
        <v>1100.6895999999961</v>
      </c>
      <c r="AS63" s="8">
        <f>Renta_Alta!AS63+Masivo!AS63+Consumo_Inicial!AS63</f>
        <v>826.07556999999326</v>
      </c>
      <c r="AT63" s="8">
        <f>Renta_Alta!AT63+Masivo!AT63+Consumo_Inicial!AT63</f>
        <v>0</v>
      </c>
      <c r="AU63" s="8">
        <f>Renta_Alta!AU63+Masivo!AU63+Consumo_Inicial!AU63</f>
        <v>0</v>
      </c>
      <c r="AV63" s="8">
        <f>Renta_Alta!AV63+Masivo!AV63+Consumo_Inicial!AV63</f>
        <v>0</v>
      </c>
      <c r="AW63" s="8">
        <f>Renta_Alta!AW63+Masivo!AW63+Consumo_Inicial!AW63</f>
        <v>0</v>
      </c>
      <c r="AX63" s="8">
        <f>Renta_Alta!AX63+Masivo!AX63+Consumo_Inicial!AX63</f>
        <v>0</v>
      </c>
      <c r="AY63" s="8">
        <f>Renta_Alta!AY63+Masivo!AY63+Consumo_Inicial!AY63</f>
        <v>0</v>
      </c>
      <c r="AZ63" s="8">
        <f>Renta_Alta!AZ63+Masivo!AZ63+Consumo_Inicial!AZ63</f>
        <v>657.15694249999945</v>
      </c>
      <c r="BA63" s="8">
        <f>Renta_Alta!BA63+Masivo!BA63+Consumo_Inicial!BA63</f>
        <v>657.15694249999945</v>
      </c>
      <c r="BB63" s="8">
        <f>Renta_Alta!BB63+Masivo!BB63+Consumo_Inicial!BB63</f>
        <v>657.15694249999945</v>
      </c>
      <c r="BC63" s="8">
        <f>Renta_Alta!BC63+Masivo!BC63+Consumo_Inicial!BC63</f>
        <v>657.15694249999945</v>
      </c>
      <c r="BD63" s="8">
        <f>Renta_Alta!BD63+Masivo!BD63+Consumo_Inicial!BD63</f>
        <v>657.15694249999945</v>
      </c>
      <c r="BE63" s="8">
        <f>Renta_Alta!BE63+Masivo!BE63+Consumo_Inicial!BE63</f>
        <v>657.15694249999945</v>
      </c>
      <c r="BF63" s="8">
        <f>Renta_Alta!BF63+Masivo!BF63+Consumo_Inicial!BF63</f>
        <v>657.15694249999945</v>
      </c>
      <c r="BG63" s="8">
        <f>Renta_Alta!BG63+Masivo!BG63+Consumo_Inicial!BG63</f>
        <v>657.15694249999945</v>
      </c>
      <c r="BH63" s="8">
        <f>Renta_Alta!BH63+Masivo!BH63+Consumo_Inicial!BH63</f>
        <v>657.15694249999945</v>
      </c>
      <c r="BI63" s="8">
        <f>Renta_Alta!BI63+Masivo!BI63+Consumo_Inicial!BI63</f>
        <v>657.15694249999945</v>
      </c>
      <c r="BJ63" s="8">
        <f>Renta_Alta!BJ63+Masivo!BJ63+Consumo_Inicial!BJ63</f>
        <v>657.15694249999945</v>
      </c>
      <c r="BK63" s="8">
        <f>Renta_Alta!BK63+Masivo!BK63+Consumo_Inicial!BK63</f>
        <v>657.15694249999945</v>
      </c>
      <c r="BO63" s="24">
        <f t="shared" ref="BO63:BT72" si="246">SUMIFS($D63:$BM63,$D$6:$BM$6,"&gt;="&amp;BO$2,$D$6:$BM$6,"&lt;="&amp;BO$6,$D$5:$BM$5,BO$5)</f>
        <v>2118.3980099999894</v>
      </c>
      <c r="BP63" s="24">
        <f t="shared" si="246"/>
        <v>1971.4708274999984</v>
      </c>
      <c r="BQ63" s="24">
        <f t="shared" si="246"/>
        <v>1100.2614099999896</v>
      </c>
      <c r="BR63" s="24">
        <f t="shared" si="246"/>
        <v>1906.6406493774566</v>
      </c>
      <c r="BS63" s="24">
        <f t="shared" si="246"/>
        <v>1322.2734097344753</v>
      </c>
      <c r="BT63" s="24">
        <f t="shared" si="246"/>
        <v>2050.6329300177913</v>
      </c>
    </row>
    <row r="64" spans="1:72" hidden="1" outlineLevel="1" x14ac:dyDescent="0.25">
      <c r="A64" s="11" t="s">
        <v>71</v>
      </c>
      <c r="C64" s="2" t="s">
        <v>75</v>
      </c>
      <c r="D64" s="8">
        <f>Renta_Alta!D64+Masivo!D64+Consumo_Inicial!D64</f>
        <v>489.61538463365002</v>
      </c>
      <c r="E64" s="8">
        <f>Renta_Alta!E64+Masivo!E64+Consumo_Inicial!E64</f>
        <v>457.32785615232001</v>
      </c>
      <c r="F64" s="8">
        <f>Renta_Alta!F64+Masivo!F64+Consumo_Inicial!F64</f>
        <v>373.30377217428003</v>
      </c>
      <c r="G64" s="8">
        <f>Renta_Alta!G64+Masivo!G64+Consumo_Inicial!G64</f>
        <v>520.30578127950002</v>
      </c>
      <c r="H64" s="8">
        <f>Renta_Alta!H64+Masivo!H64+Consumo_Inicial!H64</f>
        <v>421.60794410580002</v>
      </c>
      <c r="I64" s="8">
        <f>Renta_Alta!I64+Masivo!I64+Consumo_Inicial!I64</f>
        <v>488.25423105438995</v>
      </c>
      <c r="J64" s="8">
        <f>Renta_Alta!J64+Masivo!J64+Consumo_Inicial!J64</f>
        <v>433.12008343762</v>
      </c>
      <c r="K64" s="8">
        <f>Renta_Alta!K64+Masivo!K64+Consumo_Inicial!K64</f>
        <v>478.76340190592998</v>
      </c>
      <c r="L64" s="8">
        <f>Renta_Alta!L64+Masivo!L64+Consumo_Inicial!L64</f>
        <v>465.73524902576997</v>
      </c>
      <c r="M64" s="8">
        <f>Renta_Alta!M64+Masivo!M64+Consumo_Inicial!M64</f>
        <v>431.94168039549999</v>
      </c>
      <c r="N64" s="8">
        <f>Renta_Alta!N64+Masivo!N64+Consumo_Inicial!N64</f>
        <v>485.17377049742998</v>
      </c>
      <c r="O64" s="8">
        <f>Renta_Alta!O64+Masivo!O64+Consumo_Inicial!O64</f>
        <v>429.19872330809994</v>
      </c>
      <c r="P64" s="8">
        <f>Renta_Alta!P64+Masivo!P64+Consumo_Inicial!P64</f>
        <v>478.86244902982003</v>
      </c>
      <c r="Q64" s="8">
        <f>Renta_Alta!Q64+Masivo!Q64+Consumo_Inicial!Q64</f>
        <v>453.06706642239993</v>
      </c>
      <c r="R64" s="8">
        <f>Renta_Alta!R64+Masivo!R64+Consumo_Inicial!R64</f>
        <v>385.38059095700999</v>
      </c>
      <c r="S64" s="8">
        <f>Renta_Alta!S64+Masivo!S64+Consumo_Inicial!S64</f>
        <v>511.40152882174999</v>
      </c>
      <c r="T64" s="8">
        <f>Renta_Alta!T64+Masivo!T64+Consumo_Inicial!T64</f>
        <v>431.65385864308001</v>
      </c>
      <c r="U64" s="8">
        <f>Renta_Alta!U64+Masivo!U64+Consumo_Inicial!U64</f>
        <v>447.34524426761999</v>
      </c>
      <c r="V64" s="8">
        <f>Renta_Alta!V64+Masivo!V64+Consumo_Inicial!V64</f>
        <v>423.24911653898999</v>
      </c>
      <c r="W64" s="8">
        <f>Renta_Alta!W64+Masivo!W64+Consumo_Inicial!W64</f>
        <v>456.16259158348998</v>
      </c>
      <c r="X64" s="8">
        <f>Renta_Alta!X64+Masivo!X64+Consumo_Inicial!X64</f>
        <v>964.63840896885006</v>
      </c>
      <c r="Y64" s="8">
        <f>Renta_Alta!Y64+Masivo!Y64+Consumo_Inicial!Y64</f>
        <v>-92.703869919092</v>
      </c>
      <c r="Z64" s="8">
        <f>Renta_Alta!Z64+Masivo!Z64+Consumo_Inicial!Z64</f>
        <v>472.58725167108997</v>
      </c>
      <c r="AA64" s="8">
        <f>Renta_Alta!AA64+Masivo!AA64+Consumo_Inicial!AA64</f>
        <v>412.07856408390001</v>
      </c>
      <c r="AB64" s="8">
        <f>Renta_Alta!AB64+Masivo!AB64+Consumo_Inicial!AB64</f>
        <v>528.36611240933007</v>
      </c>
      <c r="AC64" s="8">
        <f>Renta_Alta!AC64+Masivo!AC64+Consumo_Inicial!AC64</f>
        <v>401.09822801537996</v>
      </c>
      <c r="AD64" s="8">
        <f>Renta_Alta!AD64+Masivo!AD64+Consumo_Inicial!AD64</f>
        <v>318.50245626114003</v>
      </c>
      <c r="AE64" s="8">
        <f>Renta_Alta!AE64+Masivo!AE64+Consumo_Inicial!AE64</f>
        <v>426.04446344111</v>
      </c>
      <c r="AF64" s="8">
        <f>Renta_Alta!AF64+Masivo!AF64+Consumo_Inicial!AF64</f>
        <v>405.21894599551001</v>
      </c>
      <c r="AG64" s="8">
        <f>Renta_Alta!AG64+Masivo!AG64+Consumo_Inicial!AG64</f>
        <v>487.45505859857002</v>
      </c>
      <c r="AH64" s="8">
        <f>Renta_Alta!AH64+Masivo!AH64+Consumo_Inicial!AH64</f>
        <v>418.03672463055</v>
      </c>
      <c r="AI64" s="8">
        <f>Renta_Alta!AI64+Masivo!AI64+Consumo_Inicial!AI64</f>
        <v>492.03951559227005</v>
      </c>
      <c r="AJ64" s="8">
        <f>Renta_Alta!AJ64+Masivo!AJ64+Consumo_Inicial!AJ64</f>
        <v>444.66771211713001</v>
      </c>
      <c r="AK64" s="8">
        <f>Renta_Alta!AK64+Masivo!AK64+Consumo_Inicial!AK64</f>
        <v>422.44951460899995</v>
      </c>
      <c r="AL64" s="8">
        <f>Renta_Alta!AL64+Masivo!AL64+Consumo_Inicial!AL64</f>
        <v>535.82720128768995</v>
      </c>
      <c r="AM64" s="8">
        <f>Renta_Alta!AM64+Masivo!AM64+Consumo_Inicial!AM64</f>
        <v>423.32445509800993</v>
      </c>
      <c r="AN64" s="8">
        <f>Renta_Alta!AN64+Masivo!AN64+Consumo_Inicial!AN64</f>
        <v>488.06928628000003</v>
      </c>
      <c r="AO64" s="8">
        <f>Renta_Alta!AO64+Masivo!AO64+Consumo_Inicial!AO64</f>
        <v>449.58388534999995</v>
      </c>
      <c r="AP64" s="8">
        <f>Renta_Alta!AP64+Masivo!AP64+Consumo_Inicial!AP64</f>
        <v>376.68120550000009</v>
      </c>
      <c r="AQ64" s="8">
        <f>Renta_Alta!AQ64+Masivo!AQ64+Consumo_Inicial!AQ64</f>
        <v>519.59918773000004</v>
      </c>
      <c r="AR64" s="8">
        <f>Renta_Alta!AR64+Masivo!AR64+Consumo_Inicial!AR64</f>
        <v>430.53451524999997</v>
      </c>
      <c r="AS64" s="8">
        <f>Renta_Alta!AS64+Masivo!AS64+Consumo_Inicial!AS64</f>
        <v>476.00087359999998</v>
      </c>
      <c r="AT64" s="8">
        <f>Renta_Alta!AT64+Masivo!AT64+Consumo_Inicial!AT64</f>
        <v>0</v>
      </c>
      <c r="AU64" s="8">
        <f>Renta_Alta!AU64+Masivo!AU64+Consumo_Inicial!AU64</f>
        <v>0</v>
      </c>
      <c r="AV64" s="8">
        <f>Renta_Alta!AV64+Masivo!AV64+Consumo_Inicial!AV64</f>
        <v>0</v>
      </c>
      <c r="AW64" s="8">
        <f>Renta_Alta!AW64+Masivo!AW64+Consumo_Inicial!AW64</f>
        <v>0</v>
      </c>
      <c r="AX64" s="8">
        <f>Renta_Alta!AX64+Masivo!AX64+Consumo_Inicial!AX64</f>
        <v>0</v>
      </c>
      <c r="AY64" s="8">
        <f>Renta_Alta!AY64+Masivo!AY64+Consumo_Inicial!AY64</f>
        <v>0</v>
      </c>
      <c r="AZ64" s="8">
        <f>Renta_Alta!AZ64+Masivo!AZ64+Consumo_Inicial!AZ64</f>
        <v>409.90505502878267</v>
      </c>
      <c r="BA64" s="8">
        <f>Renta_Alta!BA64+Masivo!BA64+Consumo_Inicial!BA64</f>
        <v>412.04684505388764</v>
      </c>
      <c r="BB64" s="8">
        <f>Renta_Alta!BB64+Masivo!BB64+Consumo_Inicial!BB64</f>
        <v>413.71093488159471</v>
      </c>
      <c r="BC64" s="8">
        <f>Renta_Alta!BC64+Masivo!BC64+Consumo_Inicial!BC64</f>
        <v>415.68314111017753</v>
      </c>
      <c r="BD64" s="8">
        <f>Renta_Alta!BD64+Masivo!BD64+Consumo_Inicial!BD64</f>
        <v>418.11431299923481</v>
      </c>
      <c r="BE64" s="8">
        <f>Renta_Alta!BE64+Masivo!BE64+Consumo_Inicial!BE64</f>
        <v>420.89906469885847</v>
      </c>
      <c r="BF64" s="8">
        <f>Renta_Alta!BF64+Masivo!BF64+Consumo_Inicial!BF64</f>
        <v>423.33449159708357</v>
      </c>
      <c r="BG64" s="8">
        <f>Renta_Alta!BG64+Masivo!BG64+Consumo_Inicial!BG64</f>
        <v>426.77839556859692</v>
      </c>
      <c r="BH64" s="8">
        <f>Renta_Alta!BH64+Masivo!BH64+Consumo_Inicial!BH64</f>
        <v>430.09091371916509</v>
      </c>
      <c r="BI64" s="8">
        <f>Renta_Alta!BI64+Masivo!BI64+Consumo_Inicial!BI64</f>
        <v>434.22639381476154</v>
      </c>
      <c r="BJ64" s="8">
        <f>Renta_Alta!BJ64+Masivo!BJ64+Consumo_Inicial!BJ64</f>
        <v>437.61233052902008</v>
      </c>
      <c r="BK64" s="8">
        <f>Renta_Alta!BK64+Masivo!BK64+Consumo_Inicial!BK64</f>
        <v>440.50267037873067</v>
      </c>
      <c r="BO64" s="24">
        <f t="shared" si="246"/>
        <v>1314.3343771300001</v>
      </c>
      <c r="BP64" s="24">
        <f t="shared" si="246"/>
        <v>1235.6628349642651</v>
      </c>
      <c r="BQ64" s="24">
        <f t="shared" si="246"/>
        <v>937.65317162999997</v>
      </c>
      <c r="BR64" s="24">
        <f t="shared" si="246"/>
        <v>1247.9667966858501</v>
      </c>
      <c r="BS64" s="24">
        <f t="shared" si="246"/>
        <v>1317.3101064092298</v>
      </c>
      <c r="BT64" s="24">
        <f t="shared" si="246"/>
        <v>1320.24701296025</v>
      </c>
    </row>
    <row r="65" spans="1:72" hidden="1" outlineLevel="1" x14ac:dyDescent="0.25">
      <c r="A65" s="11" t="s">
        <v>71</v>
      </c>
      <c r="C65" s="2" t="s">
        <v>128</v>
      </c>
      <c r="D65" s="8">
        <f>Renta_Alta!D65+Masivo!D65+Consumo_Inicial!D65</f>
        <v>6.6012187742400013</v>
      </c>
      <c r="E65" s="8">
        <f>Renta_Alta!E65+Masivo!E65+Consumo_Inicial!E65</f>
        <v>-6.4091688560400044</v>
      </c>
      <c r="F65" s="8">
        <f>Renta_Alta!F65+Masivo!F65+Consumo_Inicial!F65</f>
        <v>-49.958924545240009</v>
      </c>
      <c r="G65" s="8">
        <f>Renta_Alta!G65+Masivo!G65+Consumo_Inicial!G65</f>
        <v>-42.770494903239978</v>
      </c>
      <c r="H65" s="8">
        <f>Renta_Alta!H65+Masivo!H65+Consumo_Inicial!H65</f>
        <v>-164.72576527537001</v>
      </c>
      <c r="I65" s="8">
        <f>Renta_Alta!I65+Masivo!I65+Consumo_Inicial!I65</f>
        <v>-318.96141220598798</v>
      </c>
      <c r="J65" s="8">
        <f>Renta_Alta!J65+Masivo!J65+Consumo_Inicial!J65</f>
        <v>-343.31529401090404</v>
      </c>
      <c r="K65" s="8">
        <f>Renta_Alta!K65+Masivo!K65+Consumo_Inicial!K65</f>
        <v>-303.25100634543998</v>
      </c>
      <c r="L65" s="8">
        <f>Renta_Alta!L65+Masivo!L65+Consumo_Inicial!L65</f>
        <v>-536.91921454590795</v>
      </c>
      <c r="M65" s="8">
        <f>Renta_Alta!M65+Masivo!M65+Consumo_Inicial!M65</f>
        <v>-278.17722966949992</v>
      </c>
      <c r="N65" s="8">
        <f>Renta_Alta!N65+Masivo!N65+Consumo_Inicial!N65</f>
        <v>-287.06585731038007</v>
      </c>
      <c r="O65" s="8">
        <f>Renta_Alta!O65+Masivo!O65+Consumo_Inicial!O65</f>
        <v>-84.361962505609995</v>
      </c>
      <c r="P65" s="8">
        <f>Renta_Alta!P65+Masivo!P65+Consumo_Inicial!P65</f>
        <v>-269.95354141199999</v>
      </c>
      <c r="Q65" s="8">
        <f>Renta_Alta!Q65+Masivo!Q65+Consumo_Inicial!Q65</f>
        <v>-200.33096998640002</v>
      </c>
      <c r="R65" s="8">
        <f>Renta_Alta!R65+Masivo!R65+Consumo_Inicial!R65</f>
        <v>-237.32362384918997</v>
      </c>
      <c r="S65" s="8">
        <f>Renta_Alta!S65+Masivo!S65+Consumo_Inicial!S65</f>
        <v>-231.06997491673997</v>
      </c>
      <c r="T65" s="8">
        <f>Renta_Alta!T65+Masivo!T65+Consumo_Inicial!T65</f>
        <v>-248.33710000551</v>
      </c>
      <c r="U65" s="8">
        <f>Renta_Alta!U65+Masivo!U65+Consumo_Inicial!U65</f>
        <v>-203.96507294243798</v>
      </c>
      <c r="V65" s="8">
        <f>Renta_Alta!V65+Masivo!V65+Consumo_Inicial!V65</f>
        <v>-109.34231236577003</v>
      </c>
      <c r="W65" s="8">
        <f>Renta_Alta!W65+Masivo!W65+Consumo_Inicial!W65</f>
        <v>-81.095331251385986</v>
      </c>
      <c r="X65" s="8">
        <f>Renta_Alta!X65+Masivo!X65+Consumo_Inicial!X65</f>
        <v>-172.59614747313998</v>
      </c>
      <c r="Y65" s="8">
        <f>Renta_Alta!Y65+Masivo!Y65+Consumo_Inicial!Y65</f>
        <v>-317.18851257353106</v>
      </c>
      <c r="Z65" s="8">
        <f>Renta_Alta!Z65+Masivo!Z65+Consumo_Inicial!Z65</f>
        <v>-136.40631943286004</v>
      </c>
      <c r="AA65" s="8">
        <f>Renta_Alta!AA65+Masivo!AA65+Consumo_Inicial!AA65</f>
        <v>51.192868862310043</v>
      </c>
      <c r="AB65" s="8">
        <f>Renta_Alta!AB65+Masivo!AB65+Consumo_Inicial!AB65</f>
        <v>-165.63318197610306</v>
      </c>
      <c r="AC65" s="8">
        <f>Renta_Alta!AC65+Masivo!AC65+Consumo_Inicial!AC65</f>
        <v>80.827002642702936</v>
      </c>
      <c r="AD65" s="8">
        <f>Renta_Alta!AD65+Masivo!AD65+Consumo_Inicial!AD65</f>
        <v>-94.255725671740066</v>
      </c>
      <c r="AE65" s="8">
        <f>Renta_Alta!AE65+Masivo!AE65+Consumo_Inicial!AE65</f>
        <v>87.79226971148293</v>
      </c>
      <c r="AF65" s="8">
        <f>Renta_Alta!AF65+Masivo!AF65+Consumo_Inicial!AF65</f>
        <v>-185.58337309029997</v>
      </c>
      <c r="AG65" s="8">
        <f>Renta_Alta!AG65+Masivo!AG65+Consumo_Inicial!AG65</f>
        <v>5.027545991450026</v>
      </c>
      <c r="AH65" s="8">
        <f>Renta_Alta!AH65+Masivo!AH65+Consumo_Inicial!AH65</f>
        <v>-23.495267510941019</v>
      </c>
      <c r="AI65" s="8">
        <f>Renta_Alta!AI65+Masivo!AI65+Consumo_Inicial!AI65</f>
        <v>-105.74797347224697</v>
      </c>
      <c r="AJ65" s="8">
        <f>Renta_Alta!AJ65+Masivo!AJ65+Consumo_Inicial!AJ65</f>
        <v>27.438838181870004</v>
      </c>
      <c r="AK65" s="8">
        <f>Renta_Alta!AK65+Masivo!AK65+Consumo_Inicial!AK65</f>
        <v>38.822715584940049</v>
      </c>
      <c r="AL65" s="8">
        <f>Renta_Alta!AL65+Masivo!AL65+Consumo_Inicial!AL65</f>
        <v>-97.636417270339919</v>
      </c>
      <c r="AM65" s="8">
        <f>Renta_Alta!AM65+Masivo!AM65+Consumo_Inicial!AM65</f>
        <v>90.712832069269965</v>
      </c>
      <c r="AN65" s="8">
        <f>Renta_Alta!AN65+Masivo!AN65+Consumo_Inicial!AN65</f>
        <v>-108.24896794842186</v>
      </c>
      <c r="AO65" s="8">
        <f>Renta_Alta!AO65+Masivo!AO65+Consumo_Inicial!AO65</f>
        <v>195.99659283003234</v>
      </c>
      <c r="AP65" s="8">
        <f>Renta_Alta!AP65+Masivo!AP65+Consumo_Inicial!AP65</f>
        <v>10.080415322044221</v>
      </c>
      <c r="AQ65" s="8">
        <f>Renta_Alta!AQ65+Masivo!AQ65+Consumo_Inicial!AQ65</f>
        <v>-153.66348911931553</v>
      </c>
      <c r="AR65" s="8">
        <f>Renta_Alta!AR65+Masivo!AR65+Consumo_Inicial!AR65</f>
        <v>106.11785040632024</v>
      </c>
      <c r="AS65" s="8">
        <f>Renta_Alta!AS65+Masivo!AS65+Consumo_Inicial!AS65</f>
        <v>-202.92677348368528</v>
      </c>
      <c r="AT65" s="8">
        <f>Renta_Alta!AT65+Masivo!AT65+Consumo_Inicial!AT65</f>
        <v>0</v>
      </c>
      <c r="AU65" s="8">
        <f>Renta_Alta!AU65+Masivo!AU65+Consumo_Inicial!AU65</f>
        <v>0</v>
      </c>
      <c r="AV65" s="8">
        <f>Renta_Alta!AV65+Masivo!AV65+Consumo_Inicial!AV65</f>
        <v>0</v>
      </c>
      <c r="AW65" s="8">
        <f>Renta_Alta!AW65+Masivo!AW65+Consumo_Inicial!AW65</f>
        <v>0</v>
      </c>
      <c r="AX65" s="8">
        <f>Renta_Alta!AX65+Masivo!AX65+Consumo_Inicial!AX65</f>
        <v>0</v>
      </c>
      <c r="AY65" s="8">
        <f>Renta_Alta!AY65+Masivo!AY65+Consumo_Inicial!AY65</f>
        <v>0</v>
      </c>
      <c r="AZ65" s="8">
        <f>Renta_Alta!AZ65+Masivo!AZ65+Consumo_Inicial!AZ65</f>
        <v>-7.9999999999999876</v>
      </c>
      <c r="BA65" s="8">
        <f>Renta_Alta!BA65+Masivo!BA65+Consumo_Inicial!BA65</f>
        <v>-7.9999999999999876</v>
      </c>
      <c r="BB65" s="8">
        <f>Renta_Alta!BB65+Masivo!BB65+Consumo_Inicial!BB65</f>
        <v>-7.9999999999999876</v>
      </c>
      <c r="BC65" s="8">
        <f>Renta_Alta!BC65+Masivo!BC65+Consumo_Inicial!BC65</f>
        <v>-7.9999999999999876</v>
      </c>
      <c r="BD65" s="8">
        <f>Renta_Alta!BD65+Masivo!BD65+Consumo_Inicial!BD65</f>
        <v>-7.9999999999999876</v>
      </c>
      <c r="BE65" s="8">
        <f>Renta_Alta!BE65+Masivo!BE65+Consumo_Inicial!BE65</f>
        <v>-7.9999999999999876</v>
      </c>
      <c r="BF65" s="8">
        <f>Renta_Alta!BF65+Masivo!BF65+Consumo_Inicial!BF65</f>
        <v>-7.9999999999999876</v>
      </c>
      <c r="BG65" s="8">
        <f>Renta_Alta!BG65+Masivo!BG65+Consumo_Inicial!BG65</f>
        <v>-7.9999999999999876</v>
      </c>
      <c r="BH65" s="8">
        <f>Renta_Alta!BH65+Masivo!BH65+Consumo_Inicial!BH65</f>
        <v>-7.9999999999999876</v>
      </c>
      <c r="BI65" s="8">
        <f>Renta_Alta!BI65+Masivo!BI65+Consumo_Inicial!BI65</f>
        <v>-7.9999999999999876</v>
      </c>
      <c r="BJ65" s="8">
        <f>Renta_Alta!BJ65+Masivo!BJ65+Consumo_Inicial!BJ65</f>
        <v>-7.9999999999999876</v>
      </c>
      <c r="BK65" s="8">
        <f>Renta_Alta!BK65+Masivo!BK65+Consumo_Inicial!BK65</f>
        <v>-11.999999999999988</v>
      </c>
      <c r="BO65" s="24">
        <f t="shared" si="246"/>
        <v>97.828040203654695</v>
      </c>
      <c r="BP65" s="24">
        <f t="shared" si="246"/>
        <v>-23.999999999999964</v>
      </c>
      <c r="BQ65" s="24">
        <f t="shared" si="246"/>
        <v>87.747624881610477</v>
      </c>
      <c r="BR65" s="24">
        <f t="shared" si="246"/>
        <v>-179.0619050051402</v>
      </c>
      <c r="BS65" s="24">
        <f t="shared" si="246"/>
        <v>-707.60813524758998</v>
      </c>
      <c r="BT65" s="24">
        <f t="shared" si="246"/>
        <v>-49.766874627040011</v>
      </c>
    </row>
    <row r="66" spans="1:72" hidden="1" outlineLevel="1" x14ac:dyDescent="0.25">
      <c r="A66" s="11" t="s">
        <v>71</v>
      </c>
      <c r="C66" s="2" t="s">
        <v>129</v>
      </c>
      <c r="D66" s="8">
        <f>Renta_Alta!D66+Masivo!D66+Consumo_Inicial!D66</f>
        <v>2.0924042700600003</v>
      </c>
      <c r="E66" s="8">
        <f>Renta_Alta!E66+Masivo!E66+Consumo_Inicial!E66</f>
        <v>-0.51473525986999991</v>
      </c>
      <c r="F66" s="8">
        <f>Renta_Alta!F66+Masivo!F66+Consumo_Inicial!F66</f>
        <v>-1.4854462000020003</v>
      </c>
      <c r="G66" s="8">
        <f>Renta_Alta!G66+Masivo!G66+Consumo_Inicial!G66</f>
        <v>1.9338806004059999</v>
      </c>
      <c r="H66" s="8">
        <f>Renta_Alta!H66+Masivo!H66+Consumo_Inicial!H66</f>
        <v>-1.2184440800669998</v>
      </c>
      <c r="I66" s="8">
        <f>Renta_Alta!I66+Masivo!I66+Consumo_Inicial!I66</f>
        <v>1.2242080000770001</v>
      </c>
      <c r="J66" s="8">
        <f>Renta_Alta!J66+Masivo!J66+Consumo_Inicial!J66</f>
        <v>-1.5812398695859999</v>
      </c>
      <c r="K66" s="8">
        <f>Renta_Alta!K66+Masivo!K66+Consumo_Inicial!K66</f>
        <v>-12.068054161097001</v>
      </c>
      <c r="L66" s="8">
        <f>Renta_Alta!L66+Masivo!L66+Consumo_Inicial!L66</f>
        <v>-1.5158595002629998</v>
      </c>
      <c r="M66" s="8">
        <f>Renta_Alta!M66+Masivo!M66+Consumo_Inicial!M66</f>
        <v>0.38048974997000001</v>
      </c>
      <c r="N66" s="8">
        <f>Renta_Alta!N66+Masivo!N66+Consumo_Inicial!N66</f>
        <v>0.71583417994000009</v>
      </c>
      <c r="O66" s="8">
        <f>Renta_Alta!O66+Masivo!O66+Consumo_Inicial!O66</f>
        <v>-3.2619231702840001</v>
      </c>
      <c r="P66" s="8">
        <f>Renta_Alta!P66+Masivo!P66+Consumo_Inicial!P66</f>
        <v>100.378401838728</v>
      </c>
      <c r="Q66" s="8">
        <f>Renta_Alta!Q66+Masivo!Q66+Consumo_Inicial!Q66</f>
        <v>-99.266238878096004</v>
      </c>
      <c r="R66" s="8">
        <f>Renta_Alta!R66+Masivo!R66+Consumo_Inicial!R66</f>
        <v>1.7143404001</v>
      </c>
      <c r="S66" s="8">
        <f>Renta_Alta!S66+Masivo!S66+Consumo_Inicial!S66</f>
        <v>-2.1358896802</v>
      </c>
      <c r="T66" s="8">
        <f>Renta_Alta!T66+Masivo!T66+Consumo_Inicial!T66</f>
        <v>-2.2746602999689998</v>
      </c>
      <c r="U66" s="8">
        <f>Renta_Alta!U66+Masivo!U66+Consumo_Inicial!U66</f>
        <v>1.2293390897700003</v>
      </c>
      <c r="V66" s="8">
        <f>Renta_Alta!V66+Masivo!V66+Consumo_Inicial!V66</f>
        <v>-0.102046</v>
      </c>
      <c r="W66" s="8">
        <f>Renta_Alta!W66+Masivo!W66+Consumo_Inicial!W66</f>
        <v>-2.8790060895000003</v>
      </c>
      <c r="X66" s="8">
        <f>Renta_Alta!X66+Masivo!X66+Consumo_Inicial!X66</f>
        <v>-4.2757524398040001</v>
      </c>
      <c r="Y66" s="8">
        <f>Renta_Alta!Y66+Masivo!Y66+Consumo_Inicial!Y66</f>
        <v>1.8081684799469999</v>
      </c>
      <c r="Z66" s="8">
        <f>Renta_Alta!Z66+Masivo!Z66+Consumo_Inicial!Z66</f>
        <v>-9.6238339700000175E-2</v>
      </c>
      <c r="AA66" s="8">
        <f>Renta_Alta!AA66+Masivo!AA66+Consumo_Inicial!AA66</f>
        <v>2.1482134004</v>
      </c>
      <c r="AB66" s="8">
        <f>Renta_Alta!AB66+Masivo!AB66+Consumo_Inicial!AB66</f>
        <v>1.9604347498000001</v>
      </c>
      <c r="AC66" s="8">
        <f>Renta_Alta!AC66+Masivo!AC66+Consumo_Inicial!AC66</f>
        <v>0.95055999996100005</v>
      </c>
      <c r="AD66" s="8">
        <f>Renta_Alta!AD66+Masivo!AD66+Consumo_Inicial!AD66</f>
        <v>3.4410433600000001</v>
      </c>
      <c r="AE66" s="8">
        <f>Renta_Alta!AE66+Masivo!AE66+Consumo_Inicial!AE66</f>
        <v>0.36549259000000001</v>
      </c>
      <c r="AF66" s="8">
        <f>Renta_Alta!AF66+Masivo!AF66+Consumo_Inicial!AF66</f>
        <v>1.4501489994599999</v>
      </c>
      <c r="AG66" s="8">
        <f>Renta_Alta!AG66+Masivo!AG66+Consumo_Inicial!AG66</f>
        <v>2.78036496</v>
      </c>
      <c r="AH66" s="8">
        <f>Renta_Alta!AH66+Masivo!AH66+Consumo_Inicial!AH66</f>
        <v>3.9809570199970006</v>
      </c>
      <c r="AI66" s="8">
        <f>Renta_Alta!AI66+Masivo!AI66+Consumo_Inicial!AI66</f>
        <v>1.5848029499999998</v>
      </c>
      <c r="AJ66" s="8">
        <f>Renta_Alta!AJ66+Masivo!AJ66+Consumo_Inicial!AJ66</f>
        <v>2.6453916797999999</v>
      </c>
      <c r="AK66" s="8">
        <f>Renta_Alta!AK66+Masivo!AK66+Consumo_Inicial!AK66</f>
        <v>1.9888182398000001</v>
      </c>
      <c r="AL66" s="8">
        <f>Renta_Alta!AL66+Masivo!AL66+Consumo_Inicial!AL66</f>
        <v>4.1777825999970002</v>
      </c>
      <c r="AM66" s="8">
        <f>Renta_Alta!AM66+Masivo!AM66+Consumo_Inicial!AM66</f>
        <v>2.1624941995000002</v>
      </c>
      <c r="AN66" s="8">
        <f>Renta_Alta!AN66+Masivo!AN66+Consumo_Inicial!AN66</f>
        <v>2.7875592899999999</v>
      </c>
      <c r="AO66" s="8">
        <f>Renta_Alta!AO66+Masivo!AO66+Consumo_Inicial!AO66</f>
        <v>2.2528964399999998</v>
      </c>
      <c r="AP66" s="8">
        <f>Renta_Alta!AP66+Masivo!AP66+Consumo_Inicial!AP66</f>
        <v>3.5757945000000002</v>
      </c>
      <c r="AQ66" s="8">
        <f>Renta_Alta!AQ66+Masivo!AQ66+Consumo_Inicial!AQ66</f>
        <v>2.6650695200000003</v>
      </c>
      <c r="AR66" s="8">
        <f>Renta_Alta!AR66+Masivo!AR66+Consumo_Inicial!AR66</f>
        <v>-0.87589671999999963</v>
      </c>
      <c r="AS66" s="8">
        <f>Renta_Alta!AS66+Masivo!AS66+Consumo_Inicial!AS66</f>
        <v>1.2500800999999999</v>
      </c>
      <c r="AT66" s="8">
        <f>Renta_Alta!AT66+Masivo!AT66+Consumo_Inicial!AT66</f>
        <v>0</v>
      </c>
      <c r="AU66" s="8">
        <f>Renta_Alta!AU66+Masivo!AU66+Consumo_Inicial!AU66</f>
        <v>0</v>
      </c>
      <c r="AV66" s="8">
        <f>Renta_Alta!AV66+Masivo!AV66+Consumo_Inicial!AV66</f>
        <v>0</v>
      </c>
      <c r="AW66" s="8">
        <f>Renta_Alta!AW66+Masivo!AW66+Consumo_Inicial!AW66</f>
        <v>0</v>
      </c>
      <c r="AX66" s="8">
        <f>Renta_Alta!AX66+Masivo!AX66+Consumo_Inicial!AX66</f>
        <v>0</v>
      </c>
      <c r="AY66" s="8">
        <f>Renta_Alta!AY66+Masivo!AY66+Consumo_Inicial!AY66</f>
        <v>0</v>
      </c>
      <c r="AZ66" s="8">
        <f>Renta_Alta!AZ66+Masivo!AZ66+Consumo_Inicial!AZ66</f>
        <v>1.6373890153362751</v>
      </c>
      <c r="BA66" s="8">
        <f>Renta_Alta!BA66+Masivo!BA66+Consumo_Inicial!BA66</f>
        <v>1.6459445171951568</v>
      </c>
      <c r="BB66" s="8">
        <f>Renta_Alta!BB66+Masivo!BB66+Consumo_Inicial!BB66</f>
        <v>1.6525918184933295</v>
      </c>
      <c r="BC66" s="8">
        <f>Renta_Alta!BC66+Masivo!BC66+Consumo_Inicial!BC66</f>
        <v>1.6604699082486083</v>
      </c>
      <c r="BD66" s="8">
        <f>Renta_Alta!BD66+Masivo!BD66+Consumo_Inicial!BD66</f>
        <v>1.6701813623931716</v>
      </c>
      <c r="BE66" s="8">
        <f>Renta_Alta!BE66+Masivo!BE66+Consumo_Inicial!BE66</f>
        <v>1.6813052111661091</v>
      </c>
      <c r="BF66" s="8">
        <f>Renta_Alta!BF66+Masivo!BF66+Consumo_Inicial!BF66</f>
        <v>1.6910336621863782</v>
      </c>
      <c r="BG66" s="8">
        <f>Renta_Alta!BG66+Masivo!BG66+Consumo_Inicial!BG66</f>
        <v>1.7047905321338175</v>
      </c>
      <c r="BH66" s="8">
        <f>Renta_Alta!BH66+Masivo!BH66+Consumo_Inicial!BH66</f>
        <v>1.7180225739598485</v>
      </c>
      <c r="BI66" s="8">
        <f>Renta_Alta!BI66+Masivo!BI66+Consumo_Inicial!BI66</f>
        <v>1.7345419840002929</v>
      </c>
      <c r="BJ66" s="8">
        <f>Renta_Alta!BJ66+Masivo!BJ66+Consumo_Inicial!BJ66</f>
        <v>1.7480673004474432</v>
      </c>
      <c r="BK66" s="8">
        <f>Renta_Alta!BK66+Masivo!BK66+Consumo_Inicial!BK66</f>
        <v>1.7596129270808412</v>
      </c>
      <c r="BO66" s="24">
        <f t="shared" si="246"/>
        <v>8.6162502300000003</v>
      </c>
      <c r="BP66" s="24">
        <f t="shared" si="246"/>
        <v>4.9359253510247614</v>
      </c>
      <c r="BQ66" s="24">
        <f t="shared" si="246"/>
        <v>5.0404557299999997</v>
      </c>
      <c r="BR66" s="24">
        <f t="shared" si="246"/>
        <v>6.3520381097610006</v>
      </c>
      <c r="BS66" s="24">
        <f t="shared" si="246"/>
        <v>2.8265033607319916</v>
      </c>
      <c r="BT66" s="24">
        <f t="shared" si="246"/>
        <v>9.2222810188000048E-2</v>
      </c>
    </row>
    <row r="67" spans="1:72" hidden="1" outlineLevel="1" x14ac:dyDescent="0.25">
      <c r="A67" s="11" t="s">
        <v>71</v>
      </c>
      <c r="C67" s="2"/>
      <c r="D67" s="8">
        <f>Renta_Alta!D67+Masivo!D67+Consumo_Inicial!D67</f>
        <v>0</v>
      </c>
      <c r="E67" s="8">
        <f>Renta_Alta!E67+Masivo!E67+Consumo_Inicial!E67</f>
        <v>0</v>
      </c>
      <c r="F67" s="8">
        <f>Renta_Alta!F67+Masivo!F67+Consumo_Inicial!F67</f>
        <v>0</v>
      </c>
      <c r="G67" s="8">
        <f>Renta_Alta!G67+Masivo!G67+Consumo_Inicial!G67</f>
        <v>0</v>
      </c>
      <c r="H67" s="8">
        <f>Renta_Alta!H67+Masivo!H67+Consumo_Inicial!H67</f>
        <v>0</v>
      </c>
      <c r="I67" s="8">
        <f>Renta_Alta!I67+Masivo!I67+Consumo_Inicial!I67</f>
        <v>0</v>
      </c>
      <c r="J67" s="8">
        <f>Renta_Alta!J67+Masivo!J67+Consumo_Inicial!J67</f>
        <v>0</v>
      </c>
      <c r="K67" s="8">
        <f>Renta_Alta!K67+Masivo!K67+Consumo_Inicial!K67</f>
        <v>0</v>
      </c>
      <c r="L67" s="8">
        <f>Renta_Alta!L67+Masivo!L67+Consumo_Inicial!L67</f>
        <v>0</v>
      </c>
      <c r="M67" s="8">
        <f>Renta_Alta!M67+Masivo!M67+Consumo_Inicial!M67</f>
        <v>0</v>
      </c>
      <c r="N67" s="8">
        <f>Renta_Alta!N67+Masivo!N67+Consumo_Inicial!N67</f>
        <v>0</v>
      </c>
      <c r="O67" s="8">
        <f>Renta_Alta!O67+Masivo!O67+Consumo_Inicial!O67</f>
        <v>0</v>
      </c>
      <c r="P67" s="8">
        <f>Renta_Alta!P67+Masivo!P67+Consumo_Inicial!P67</f>
        <v>0</v>
      </c>
      <c r="Q67" s="8">
        <f>Renta_Alta!Q67+Masivo!Q67+Consumo_Inicial!Q67</f>
        <v>0</v>
      </c>
      <c r="R67" s="8">
        <f>Renta_Alta!R67+Masivo!R67+Consumo_Inicial!R67</f>
        <v>0</v>
      </c>
      <c r="S67" s="8">
        <f>Renta_Alta!S67+Masivo!S67+Consumo_Inicial!S67</f>
        <v>0</v>
      </c>
      <c r="T67" s="8">
        <f>Renta_Alta!T67+Masivo!T67+Consumo_Inicial!T67</f>
        <v>0</v>
      </c>
      <c r="U67" s="8">
        <f>Renta_Alta!U67+Masivo!U67+Consumo_Inicial!U67</f>
        <v>0</v>
      </c>
      <c r="V67" s="8">
        <f>Renta_Alta!V67+Masivo!V67+Consumo_Inicial!V67</f>
        <v>0</v>
      </c>
      <c r="W67" s="8">
        <f>Renta_Alta!W67+Masivo!W67+Consumo_Inicial!W67</f>
        <v>0</v>
      </c>
      <c r="X67" s="8">
        <f>Renta_Alta!X67+Masivo!X67+Consumo_Inicial!X67</f>
        <v>0</v>
      </c>
      <c r="Y67" s="8">
        <f>Renta_Alta!Y67+Masivo!Y67+Consumo_Inicial!Y67</f>
        <v>0</v>
      </c>
      <c r="Z67" s="8">
        <f>Renta_Alta!Z67+Masivo!Z67+Consumo_Inicial!Z67</f>
        <v>0</v>
      </c>
      <c r="AA67" s="8">
        <f>Renta_Alta!AA67+Masivo!AA67+Consumo_Inicial!AA67</f>
        <v>0</v>
      </c>
      <c r="AB67" s="8">
        <f>Renta_Alta!AB67+Masivo!AB67+Consumo_Inicial!AB67</f>
        <v>0</v>
      </c>
      <c r="AC67" s="8">
        <f>Renta_Alta!AC67+Masivo!AC67+Consumo_Inicial!AC67</f>
        <v>0</v>
      </c>
      <c r="AD67" s="8">
        <f>Renta_Alta!AD67+Masivo!AD67+Consumo_Inicial!AD67</f>
        <v>0</v>
      </c>
      <c r="AE67" s="8">
        <f>Renta_Alta!AE67+Masivo!AE67+Consumo_Inicial!AE67</f>
        <v>0</v>
      </c>
      <c r="AF67" s="8">
        <f>Renta_Alta!AF67+Masivo!AF67+Consumo_Inicial!AF67</f>
        <v>0</v>
      </c>
      <c r="AG67" s="8">
        <f>Renta_Alta!AG67+Masivo!AG67+Consumo_Inicial!AG67</f>
        <v>0</v>
      </c>
      <c r="AH67" s="8">
        <f>Renta_Alta!AH67+Masivo!AH67+Consumo_Inicial!AH67</f>
        <v>0</v>
      </c>
      <c r="AI67" s="8">
        <f>Renta_Alta!AI67+Masivo!AI67+Consumo_Inicial!AI67</f>
        <v>0</v>
      </c>
      <c r="AJ67" s="8">
        <f>Renta_Alta!AJ67+Masivo!AJ67+Consumo_Inicial!AJ67</f>
        <v>0</v>
      </c>
      <c r="AK67" s="8">
        <f>Renta_Alta!AK67+Masivo!AK67+Consumo_Inicial!AK67</f>
        <v>0</v>
      </c>
      <c r="AL67" s="8">
        <f>Renta_Alta!AL67+Masivo!AL67+Consumo_Inicial!AL67</f>
        <v>0</v>
      </c>
      <c r="AM67" s="8">
        <f>Renta_Alta!AM67+Masivo!AM67+Consumo_Inicial!AM67</f>
        <v>0</v>
      </c>
      <c r="AN67" s="8">
        <f>Renta_Alta!AN67+Masivo!AN67+Consumo_Inicial!AN67</f>
        <v>0</v>
      </c>
      <c r="AO67" s="8">
        <f>Renta_Alta!AO67+Masivo!AO67+Consumo_Inicial!AO67</f>
        <v>0</v>
      </c>
      <c r="AP67" s="8">
        <f>Renta_Alta!AP67+Masivo!AP67+Consumo_Inicial!AP67</f>
        <v>0</v>
      </c>
      <c r="AQ67" s="8">
        <f>Renta_Alta!AQ67+Masivo!AQ67+Consumo_Inicial!AQ67</f>
        <v>0</v>
      </c>
      <c r="AR67" s="8">
        <f>Renta_Alta!AR67+Masivo!AR67+Consumo_Inicial!AR67</f>
        <v>0</v>
      </c>
      <c r="AS67" s="8">
        <f>Renta_Alta!AS67+Masivo!AS67+Consumo_Inicial!AS67</f>
        <v>0</v>
      </c>
      <c r="AT67" s="8">
        <f>Renta_Alta!AT67+Masivo!AT67+Consumo_Inicial!AT67</f>
        <v>0</v>
      </c>
      <c r="AU67" s="8">
        <f>Renta_Alta!AU67+Masivo!AU67+Consumo_Inicial!AU67</f>
        <v>0</v>
      </c>
      <c r="AV67" s="8">
        <f>Renta_Alta!AV67+Masivo!AV67+Consumo_Inicial!AV67</f>
        <v>0</v>
      </c>
      <c r="AW67" s="8">
        <f>Renta_Alta!AW67+Masivo!AW67+Consumo_Inicial!AW67</f>
        <v>0</v>
      </c>
      <c r="AX67" s="8">
        <f>Renta_Alta!AX67+Masivo!AX67+Consumo_Inicial!AX67</f>
        <v>0</v>
      </c>
      <c r="AY67" s="8">
        <f>Renta_Alta!AY67+Masivo!AY67+Consumo_Inicial!AY67</f>
        <v>0</v>
      </c>
      <c r="AZ67" s="8">
        <f>Renta_Alta!AZ67+Masivo!AZ67+Consumo_Inicial!AZ67</f>
        <v>0</v>
      </c>
      <c r="BA67" s="8">
        <f>Renta_Alta!BA67+Masivo!BA67+Consumo_Inicial!BA67</f>
        <v>0</v>
      </c>
      <c r="BB67" s="8">
        <f>Renta_Alta!BB67+Masivo!BB67+Consumo_Inicial!BB67</f>
        <v>0</v>
      </c>
      <c r="BC67" s="8">
        <f>Renta_Alta!BC67+Masivo!BC67+Consumo_Inicial!BC67</f>
        <v>0</v>
      </c>
      <c r="BD67" s="8">
        <f>Renta_Alta!BD67+Masivo!BD67+Consumo_Inicial!BD67</f>
        <v>0</v>
      </c>
      <c r="BE67" s="8">
        <f>Renta_Alta!BE67+Masivo!BE67+Consumo_Inicial!BE67</f>
        <v>0</v>
      </c>
      <c r="BF67" s="8">
        <f>Renta_Alta!BF67+Masivo!BF67+Consumo_Inicial!BF67</f>
        <v>0</v>
      </c>
      <c r="BG67" s="8">
        <f>Renta_Alta!BG67+Masivo!BG67+Consumo_Inicial!BG67</f>
        <v>0</v>
      </c>
      <c r="BH67" s="8">
        <f>Renta_Alta!BH67+Masivo!BH67+Consumo_Inicial!BH67</f>
        <v>0</v>
      </c>
      <c r="BI67" s="8">
        <f>Renta_Alta!BI67+Masivo!BI67+Consumo_Inicial!BI67</f>
        <v>0</v>
      </c>
      <c r="BJ67" s="8">
        <f>Renta_Alta!BJ67+Masivo!BJ67+Consumo_Inicial!BJ67</f>
        <v>0</v>
      </c>
      <c r="BK67" s="8">
        <f>Renta_Alta!BK67+Masivo!BK67+Consumo_Inicial!BK67</f>
        <v>0</v>
      </c>
      <c r="BO67" s="24">
        <f t="shared" si="246"/>
        <v>0</v>
      </c>
      <c r="BP67" s="24">
        <f t="shared" si="246"/>
        <v>0</v>
      </c>
      <c r="BQ67" s="24">
        <f t="shared" si="246"/>
        <v>0</v>
      </c>
      <c r="BR67" s="24">
        <f t="shared" si="246"/>
        <v>0</v>
      </c>
      <c r="BS67" s="24">
        <f t="shared" si="246"/>
        <v>0</v>
      </c>
      <c r="BT67" s="24">
        <f t="shared" si="246"/>
        <v>0</v>
      </c>
    </row>
    <row r="68" spans="1:72" hidden="1" outlineLevel="1" x14ac:dyDescent="0.25">
      <c r="A68" s="11" t="s">
        <v>71</v>
      </c>
      <c r="C68" s="2"/>
      <c r="D68" s="8">
        <f>Renta_Alta!D68+Masivo!D68+Consumo_Inicial!D68</f>
        <v>0</v>
      </c>
      <c r="E68" s="8">
        <f>Renta_Alta!E68+Masivo!E68+Consumo_Inicial!E68</f>
        <v>0</v>
      </c>
      <c r="F68" s="8">
        <f>Renta_Alta!F68+Masivo!F68+Consumo_Inicial!F68</f>
        <v>0</v>
      </c>
      <c r="G68" s="8">
        <f>Renta_Alta!G68+Masivo!G68+Consumo_Inicial!G68</f>
        <v>0</v>
      </c>
      <c r="H68" s="8">
        <f>Renta_Alta!H68+Masivo!H68+Consumo_Inicial!H68</f>
        <v>0</v>
      </c>
      <c r="I68" s="8">
        <f>Renta_Alta!I68+Masivo!I68+Consumo_Inicial!I68</f>
        <v>0</v>
      </c>
      <c r="J68" s="8">
        <f>Renta_Alta!J68+Masivo!J68+Consumo_Inicial!J68</f>
        <v>0</v>
      </c>
      <c r="K68" s="8">
        <f>Renta_Alta!K68+Masivo!K68+Consumo_Inicial!K68</f>
        <v>0</v>
      </c>
      <c r="L68" s="8">
        <f>Renta_Alta!L68+Masivo!L68+Consumo_Inicial!L68</f>
        <v>0</v>
      </c>
      <c r="M68" s="8">
        <f>Renta_Alta!M68+Masivo!M68+Consumo_Inicial!M68</f>
        <v>0</v>
      </c>
      <c r="N68" s="8">
        <f>Renta_Alta!N68+Masivo!N68+Consumo_Inicial!N68</f>
        <v>0</v>
      </c>
      <c r="O68" s="8">
        <f>Renta_Alta!O68+Masivo!O68+Consumo_Inicial!O68</f>
        <v>0</v>
      </c>
      <c r="P68" s="8">
        <f>Renta_Alta!P68+Masivo!P68+Consumo_Inicial!P68</f>
        <v>0</v>
      </c>
      <c r="Q68" s="8">
        <f>Renta_Alta!Q68+Masivo!Q68+Consumo_Inicial!Q68</f>
        <v>0</v>
      </c>
      <c r="R68" s="8">
        <f>Renta_Alta!R68+Masivo!R68+Consumo_Inicial!R68</f>
        <v>0</v>
      </c>
      <c r="S68" s="8">
        <f>Renta_Alta!S68+Masivo!S68+Consumo_Inicial!S68</f>
        <v>0</v>
      </c>
      <c r="T68" s="8">
        <f>Renta_Alta!T68+Masivo!T68+Consumo_Inicial!T68</f>
        <v>0</v>
      </c>
      <c r="U68" s="8">
        <f>Renta_Alta!U68+Masivo!U68+Consumo_Inicial!U68</f>
        <v>0</v>
      </c>
      <c r="V68" s="8">
        <f>Renta_Alta!V68+Masivo!V68+Consumo_Inicial!V68</f>
        <v>0</v>
      </c>
      <c r="W68" s="8">
        <f>Renta_Alta!W68+Masivo!W68+Consumo_Inicial!W68</f>
        <v>0</v>
      </c>
      <c r="X68" s="8">
        <f>Renta_Alta!X68+Masivo!X68+Consumo_Inicial!X68</f>
        <v>0</v>
      </c>
      <c r="Y68" s="8">
        <f>Renta_Alta!Y68+Masivo!Y68+Consumo_Inicial!Y68</f>
        <v>0</v>
      </c>
      <c r="Z68" s="8">
        <f>Renta_Alta!Z68+Masivo!Z68+Consumo_Inicial!Z68</f>
        <v>0</v>
      </c>
      <c r="AA68" s="8">
        <f>Renta_Alta!AA68+Masivo!AA68+Consumo_Inicial!AA68</f>
        <v>0</v>
      </c>
      <c r="AB68" s="8">
        <f>Renta_Alta!AB68+Masivo!AB68+Consumo_Inicial!AB68</f>
        <v>0</v>
      </c>
      <c r="AC68" s="8">
        <f>Renta_Alta!AC68+Masivo!AC68+Consumo_Inicial!AC68</f>
        <v>0</v>
      </c>
      <c r="AD68" s="8">
        <f>Renta_Alta!AD68+Masivo!AD68+Consumo_Inicial!AD68</f>
        <v>0</v>
      </c>
      <c r="AE68" s="8">
        <f>Renta_Alta!AE68+Masivo!AE68+Consumo_Inicial!AE68</f>
        <v>0</v>
      </c>
      <c r="AF68" s="8">
        <f>Renta_Alta!AF68+Masivo!AF68+Consumo_Inicial!AF68</f>
        <v>0</v>
      </c>
      <c r="AG68" s="8">
        <f>Renta_Alta!AG68+Masivo!AG68+Consumo_Inicial!AG68</f>
        <v>0</v>
      </c>
      <c r="AH68" s="8">
        <f>Renta_Alta!AH68+Masivo!AH68+Consumo_Inicial!AH68</f>
        <v>0</v>
      </c>
      <c r="AI68" s="8">
        <f>Renta_Alta!AI68+Masivo!AI68+Consumo_Inicial!AI68</f>
        <v>0</v>
      </c>
      <c r="AJ68" s="8">
        <f>Renta_Alta!AJ68+Masivo!AJ68+Consumo_Inicial!AJ68</f>
        <v>0</v>
      </c>
      <c r="AK68" s="8">
        <f>Renta_Alta!AK68+Masivo!AK68+Consumo_Inicial!AK68</f>
        <v>0</v>
      </c>
      <c r="AL68" s="8">
        <f>Renta_Alta!AL68+Masivo!AL68+Consumo_Inicial!AL68</f>
        <v>0</v>
      </c>
      <c r="AM68" s="8">
        <f>Renta_Alta!AM68+Masivo!AM68+Consumo_Inicial!AM68</f>
        <v>0</v>
      </c>
      <c r="AN68" s="8">
        <f>Renta_Alta!AN68+Masivo!AN68+Consumo_Inicial!AN68</f>
        <v>0</v>
      </c>
      <c r="AO68" s="8">
        <f>Renta_Alta!AO68+Masivo!AO68+Consumo_Inicial!AO68</f>
        <v>0</v>
      </c>
      <c r="AP68" s="8">
        <f>Renta_Alta!AP68+Masivo!AP68+Consumo_Inicial!AP68</f>
        <v>0</v>
      </c>
      <c r="AQ68" s="8">
        <f>Renta_Alta!AQ68+Masivo!AQ68+Consumo_Inicial!AQ68</f>
        <v>0</v>
      </c>
      <c r="AR68" s="8">
        <f>Renta_Alta!AR68+Masivo!AR68+Consumo_Inicial!AR68</f>
        <v>0</v>
      </c>
      <c r="AS68" s="8">
        <f>Renta_Alta!AS68+Masivo!AS68+Consumo_Inicial!AS68</f>
        <v>0</v>
      </c>
      <c r="AT68" s="8">
        <f>Renta_Alta!AT68+Masivo!AT68+Consumo_Inicial!AT68</f>
        <v>0</v>
      </c>
      <c r="AU68" s="8">
        <f>Renta_Alta!AU68+Masivo!AU68+Consumo_Inicial!AU68</f>
        <v>0</v>
      </c>
      <c r="AV68" s="8">
        <f>Renta_Alta!AV68+Masivo!AV68+Consumo_Inicial!AV68</f>
        <v>0</v>
      </c>
      <c r="AW68" s="8">
        <f>Renta_Alta!AW68+Masivo!AW68+Consumo_Inicial!AW68</f>
        <v>0</v>
      </c>
      <c r="AX68" s="8">
        <f>Renta_Alta!AX68+Masivo!AX68+Consumo_Inicial!AX68</f>
        <v>0</v>
      </c>
      <c r="AY68" s="8">
        <f>Renta_Alta!AY68+Masivo!AY68+Consumo_Inicial!AY68</f>
        <v>0</v>
      </c>
      <c r="AZ68" s="8">
        <f>Renta_Alta!AZ68+Masivo!AZ68+Consumo_Inicial!AZ68</f>
        <v>0</v>
      </c>
      <c r="BA68" s="8">
        <f>Renta_Alta!BA68+Masivo!BA68+Consumo_Inicial!BA68</f>
        <v>0</v>
      </c>
      <c r="BB68" s="8">
        <f>Renta_Alta!BB68+Masivo!BB68+Consumo_Inicial!BB68</f>
        <v>0</v>
      </c>
      <c r="BC68" s="8">
        <f>Renta_Alta!BC68+Masivo!BC68+Consumo_Inicial!BC68</f>
        <v>0</v>
      </c>
      <c r="BD68" s="8">
        <f>Renta_Alta!BD68+Masivo!BD68+Consumo_Inicial!BD68</f>
        <v>0</v>
      </c>
      <c r="BE68" s="8">
        <f>Renta_Alta!BE68+Masivo!BE68+Consumo_Inicial!BE68</f>
        <v>0</v>
      </c>
      <c r="BF68" s="8">
        <f>Renta_Alta!BF68+Masivo!BF68+Consumo_Inicial!BF68</f>
        <v>0</v>
      </c>
      <c r="BG68" s="8">
        <f>Renta_Alta!BG68+Masivo!BG68+Consumo_Inicial!BG68</f>
        <v>0</v>
      </c>
      <c r="BH68" s="8">
        <f>Renta_Alta!BH68+Masivo!BH68+Consumo_Inicial!BH68</f>
        <v>0</v>
      </c>
      <c r="BI68" s="8">
        <f>Renta_Alta!BI68+Masivo!BI68+Consumo_Inicial!BI68</f>
        <v>0</v>
      </c>
      <c r="BJ68" s="8">
        <f>Renta_Alta!BJ68+Masivo!BJ68+Consumo_Inicial!BJ68</f>
        <v>0</v>
      </c>
      <c r="BK68" s="8">
        <f>Renta_Alta!BK68+Masivo!BK68+Consumo_Inicial!BK68</f>
        <v>0</v>
      </c>
      <c r="BO68" s="24">
        <f t="shared" si="246"/>
        <v>0</v>
      </c>
      <c r="BP68" s="24">
        <f t="shared" si="246"/>
        <v>0</v>
      </c>
      <c r="BQ68" s="24">
        <f t="shared" si="246"/>
        <v>0</v>
      </c>
      <c r="BR68" s="24">
        <f t="shared" si="246"/>
        <v>0</v>
      </c>
      <c r="BS68" s="24">
        <f t="shared" si="246"/>
        <v>0</v>
      </c>
      <c r="BT68" s="24">
        <f t="shared" si="246"/>
        <v>0</v>
      </c>
    </row>
    <row r="69" spans="1:72" hidden="1" outlineLevel="1" x14ac:dyDescent="0.25">
      <c r="A69" s="11" t="s">
        <v>71</v>
      </c>
      <c r="C69" s="2"/>
      <c r="D69" s="8">
        <f>Renta_Alta!D69+Masivo!D69+Consumo_Inicial!D69</f>
        <v>0</v>
      </c>
      <c r="E69" s="8">
        <f>Renta_Alta!E69+Masivo!E69+Consumo_Inicial!E69</f>
        <v>0</v>
      </c>
      <c r="F69" s="8">
        <f>Renta_Alta!F69+Masivo!F69+Consumo_Inicial!F69</f>
        <v>0</v>
      </c>
      <c r="G69" s="8">
        <f>Renta_Alta!G69+Masivo!G69+Consumo_Inicial!G69</f>
        <v>0</v>
      </c>
      <c r="H69" s="8">
        <f>Renta_Alta!H69+Masivo!H69+Consumo_Inicial!H69</f>
        <v>0</v>
      </c>
      <c r="I69" s="8">
        <f>Renta_Alta!I69+Masivo!I69+Consumo_Inicial!I69</f>
        <v>0</v>
      </c>
      <c r="J69" s="8">
        <f>Renta_Alta!J69+Masivo!J69+Consumo_Inicial!J69</f>
        <v>0</v>
      </c>
      <c r="K69" s="8">
        <f>Renta_Alta!K69+Masivo!K69+Consumo_Inicial!K69</f>
        <v>0</v>
      </c>
      <c r="L69" s="8">
        <f>Renta_Alta!L69+Masivo!L69+Consumo_Inicial!L69</f>
        <v>0</v>
      </c>
      <c r="M69" s="8">
        <f>Renta_Alta!M69+Masivo!M69+Consumo_Inicial!M69</f>
        <v>0</v>
      </c>
      <c r="N69" s="8">
        <f>Renta_Alta!N69+Masivo!N69+Consumo_Inicial!N69</f>
        <v>0</v>
      </c>
      <c r="O69" s="8">
        <f>Renta_Alta!O69+Masivo!O69+Consumo_Inicial!O69</f>
        <v>0</v>
      </c>
      <c r="P69" s="8">
        <f>Renta_Alta!P69+Masivo!P69+Consumo_Inicial!P69</f>
        <v>0</v>
      </c>
      <c r="Q69" s="8">
        <f>Renta_Alta!Q69+Masivo!Q69+Consumo_Inicial!Q69</f>
        <v>0</v>
      </c>
      <c r="R69" s="8">
        <f>Renta_Alta!R69+Masivo!R69+Consumo_Inicial!R69</f>
        <v>0</v>
      </c>
      <c r="S69" s="8">
        <f>Renta_Alta!S69+Masivo!S69+Consumo_Inicial!S69</f>
        <v>0</v>
      </c>
      <c r="T69" s="8">
        <f>Renta_Alta!T69+Masivo!T69+Consumo_Inicial!T69</f>
        <v>0</v>
      </c>
      <c r="U69" s="8">
        <f>Renta_Alta!U69+Masivo!U69+Consumo_Inicial!U69</f>
        <v>0</v>
      </c>
      <c r="V69" s="8">
        <f>Renta_Alta!V69+Masivo!V69+Consumo_Inicial!V69</f>
        <v>0</v>
      </c>
      <c r="W69" s="8">
        <f>Renta_Alta!W69+Masivo!W69+Consumo_Inicial!W69</f>
        <v>0</v>
      </c>
      <c r="X69" s="8">
        <f>Renta_Alta!X69+Masivo!X69+Consumo_Inicial!X69</f>
        <v>0</v>
      </c>
      <c r="Y69" s="8">
        <f>Renta_Alta!Y69+Masivo!Y69+Consumo_Inicial!Y69</f>
        <v>0</v>
      </c>
      <c r="Z69" s="8">
        <f>Renta_Alta!Z69+Masivo!Z69+Consumo_Inicial!Z69</f>
        <v>0</v>
      </c>
      <c r="AA69" s="8">
        <f>Renta_Alta!AA69+Masivo!AA69+Consumo_Inicial!AA69</f>
        <v>0</v>
      </c>
      <c r="AB69" s="8">
        <f>Renta_Alta!AB69+Masivo!AB69+Consumo_Inicial!AB69</f>
        <v>0</v>
      </c>
      <c r="AC69" s="8">
        <f>Renta_Alta!AC69+Masivo!AC69+Consumo_Inicial!AC69</f>
        <v>0</v>
      </c>
      <c r="AD69" s="8">
        <f>Renta_Alta!AD69+Masivo!AD69+Consumo_Inicial!AD69</f>
        <v>0</v>
      </c>
      <c r="AE69" s="8">
        <f>Renta_Alta!AE69+Masivo!AE69+Consumo_Inicial!AE69</f>
        <v>0</v>
      </c>
      <c r="AF69" s="8">
        <f>Renta_Alta!AF69+Masivo!AF69+Consumo_Inicial!AF69</f>
        <v>0</v>
      </c>
      <c r="AG69" s="8">
        <f>Renta_Alta!AG69+Masivo!AG69+Consumo_Inicial!AG69</f>
        <v>0</v>
      </c>
      <c r="AH69" s="8">
        <f>Renta_Alta!AH69+Masivo!AH69+Consumo_Inicial!AH69</f>
        <v>0</v>
      </c>
      <c r="AI69" s="8">
        <f>Renta_Alta!AI69+Masivo!AI69+Consumo_Inicial!AI69</f>
        <v>0</v>
      </c>
      <c r="AJ69" s="8">
        <f>Renta_Alta!AJ69+Masivo!AJ69+Consumo_Inicial!AJ69</f>
        <v>0</v>
      </c>
      <c r="AK69" s="8">
        <f>Renta_Alta!AK69+Masivo!AK69+Consumo_Inicial!AK69</f>
        <v>0</v>
      </c>
      <c r="AL69" s="8">
        <f>Renta_Alta!AL69+Masivo!AL69+Consumo_Inicial!AL69</f>
        <v>0</v>
      </c>
      <c r="AM69" s="8">
        <f>Renta_Alta!AM69+Masivo!AM69+Consumo_Inicial!AM69</f>
        <v>0</v>
      </c>
      <c r="AN69" s="8">
        <f>Renta_Alta!AN69+Masivo!AN69+Consumo_Inicial!AN69</f>
        <v>0</v>
      </c>
      <c r="AO69" s="8">
        <f>Renta_Alta!AO69+Masivo!AO69+Consumo_Inicial!AO69</f>
        <v>0</v>
      </c>
      <c r="AP69" s="8">
        <f>Renta_Alta!AP69+Masivo!AP69+Consumo_Inicial!AP69</f>
        <v>0</v>
      </c>
      <c r="AQ69" s="8">
        <f>Renta_Alta!AQ69+Masivo!AQ69+Consumo_Inicial!AQ69</f>
        <v>0</v>
      </c>
      <c r="AR69" s="8">
        <f>Renta_Alta!AR69+Masivo!AR69+Consumo_Inicial!AR69</f>
        <v>0</v>
      </c>
      <c r="AS69" s="8">
        <f>Renta_Alta!AS69+Masivo!AS69+Consumo_Inicial!AS69</f>
        <v>0</v>
      </c>
      <c r="AT69" s="8">
        <f>Renta_Alta!AT69+Masivo!AT69+Consumo_Inicial!AT69</f>
        <v>0</v>
      </c>
      <c r="AU69" s="8">
        <f>Renta_Alta!AU69+Masivo!AU69+Consumo_Inicial!AU69</f>
        <v>0</v>
      </c>
      <c r="AV69" s="8">
        <f>Renta_Alta!AV69+Masivo!AV69+Consumo_Inicial!AV69</f>
        <v>0</v>
      </c>
      <c r="AW69" s="8">
        <f>Renta_Alta!AW69+Masivo!AW69+Consumo_Inicial!AW69</f>
        <v>0</v>
      </c>
      <c r="AX69" s="8">
        <f>Renta_Alta!AX69+Masivo!AX69+Consumo_Inicial!AX69</f>
        <v>0</v>
      </c>
      <c r="AY69" s="8">
        <f>Renta_Alta!AY69+Masivo!AY69+Consumo_Inicial!AY69</f>
        <v>0</v>
      </c>
      <c r="AZ69" s="8">
        <f>Renta_Alta!AZ69+Masivo!AZ69+Consumo_Inicial!AZ69</f>
        <v>0</v>
      </c>
      <c r="BA69" s="8">
        <f>Renta_Alta!BA69+Masivo!BA69+Consumo_Inicial!BA69</f>
        <v>0</v>
      </c>
      <c r="BB69" s="8">
        <f>Renta_Alta!BB69+Masivo!BB69+Consumo_Inicial!BB69</f>
        <v>0</v>
      </c>
      <c r="BC69" s="8">
        <f>Renta_Alta!BC69+Masivo!BC69+Consumo_Inicial!BC69</f>
        <v>0</v>
      </c>
      <c r="BD69" s="8">
        <f>Renta_Alta!BD69+Masivo!BD69+Consumo_Inicial!BD69</f>
        <v>0</v>
      </c>
      <c r="BE69" s="8">
        <f>Renta_Alta!BE69+Masivo!BE69+Consumo_Inicial!BE69</f>
        <v>0</v>
      </c>
      <c r="BF69" s="8">
        <f>Renta_Alta!BF69+Masivo!BF69+Consumo_Inicial!BF69</f>
        <v>0</v>
      </c>
      <c r="BG69" s="8">
        <f>Renta_Alta!BG69+Masivo!BG69+Consumo_Inicial!BG69</f>
        <v>0</v>
      </c>
      <c r="BH69" s="8">
        <f>Renta_Alta!BH69+Masivo!BH69+Consumo_Inicial!BH69</f>
        <v>0</v>
      </c>
      <c r="BI69" s="8">
        <f>Renta_Alta!BI69+Masivo!BI69+Consumo_Inicial!BI69</f>
        <v>0</v>
      </c>
      <c r="BJ69" s="8">
        <f>Renta_Alta!BJ69+Masivo!BJ69+Consumo_Inicial!BJ69</f>
        <v>0</v>
      </c>
      <c r="BK69" s="8">
        <f>Renta_Alta!BK69+Masivo!BK69+Consumo_Inicial!BK69</f>
        <v>0</v>
      </c>
      <c r="BO69" s="24">
        <f t="shared" si="246"/>
        <v>0</v>
      </c>
      <c r="BP69" s="24">
        <f t="shared" si="246"/>
        <v>0</v>
      </c>
      <c r="BQ69" s="24">
        <f t="shared" si="246"/>
        <v>0</v>
      </c>
      <c r="BR69" s="24">
        <f t="shared" si="246"/>
        <v>0</v>
      </c>
      <c r="BS69" s="24">
        <f t="shared" si="246"/>
        <v>0</v>
      </c>
      <c r="BT69" s="24">
        <f t="shared" si="246"/>
        <v>0</v>
      </c>
    </row>
    <row r="70" spans="1:72" hidden="1" outlineLevel="1" x14ac:dyDescent="0.25">
      <c r="A70" s="11" t="s">
        <v>71</v>
      </c>
      <c r="C70" s="2"/>
      <c r="D70" s="8">
        <f>Renta_Alta!D70+Masivo!D70+Consumo_Inicial!D70</f>
        <v>0</v>
      </c>
      <c r="E70" s="8">
        <f>Renta_Alta!E70+Masivo!E70+Consumo_Inicial!E70</f>
        <v>0</v>
      </c>
      <c r="F70" s="8">
        <f>Renta_Alta!F70+Masivo!F70+Consumo_Inicial!F70</f>
        <v>0</v>
      </c>
      <c r="G70" s="8">
        <f>Renta_Alta!G70+Masivo!G70+Consumo_Inicial!G70</f>
        <v>0</v>
      </c>
      <c r="H70" s="8">
        <f>Renta_Alta!H70+Masivo!H70+Consumo_Inicial!H70</f>
        <v>0</v>
      </c>
      <c r="I70" s="8">
        <f>Renta_Alta!I70+Masivo!I70+Consumo_Inicial!I70</f>
        <v>0</v>
      </c>
      <c r="J70" s="8">
        <f>Renta_Alta!J70+Masivo!J70+Consumo_Inicial!J70</f>
        <v>0</v>
      </c>
      <c r="K70" s="8">
        <f>Renta_Alta!K70+Masivo!K70+Consumo_Inicial!K70</f>
        <v>0</v>
      </c>
      <c r="L70" s="8">
        <f>Renta_Alta!L70+Masivo!L70+Consumo_Inicial!L70</f>
        <v>0</v>
      </c>
      <c r="M70" s="8">
        <f>Renta_Alta!M70+Masivo!M70+Consumo_Inicial!M70</f>
        <v>0</v>
      </c>
      <c r="N70" s="8">
        <f>Renta_Alta!N70+Masivo!N70+Consumo_Inicial!N70</f>
        <v>0</v>
      </c>
      <c r="O70" s="8">
        <f>Renta_Alta!O70+Masivo!O70+Consumo_Inicial!O70</f>
        <v>0</v>
      </c>
      <c r="P70" s="8">
        <f>Renta_Alta!P70+Masivo!P70+Consumo_Inicial!P70</f>
        <v>0</v>
      </c>
      <c r="Q70" s="8">
        <f>Renta_Alta!Q70+Masivo!Q70+Consumo_Inicial!Q70</f>
        <v>0</v>
      </c>
      <c r="R70" s="8">
        <f>Renta_Alta!R70+Masivo!R70+Consumo_Inicial!R70</f>
        <v>0</v>
      </c>
      <c r="S70" s="8">
        <f>Renta_Alta!S70+Masivo!S70+Consumo_Inicial!S70</f>
        <v>0</v>
      </c>
      <c r="T70" s="8">
        <f>Renta_Alta!T70+Masivo!T70+Consumo_Inicial!T70</f>
        <v>0</v>
      </c>
      <c r="U70" s="8">
        <f>Renta_Alta!U70+Masivo!U70+Consumo_Inicial!U70</f>
        <v>0</v>
      </c>
      <c r="V70" s="8">
        <f>Renta_Alta!V70+Masivo!V70+Consumo_Inicial!V70</f>
        <v>0</v>
      </c>
      <c r="W70" s="8">
        <f>Renta_Alta!W70+Masivo!W70+Consumo_Inicial!W70</f>
        <v>0</v>
      </c>
      <c r="X70" s="8">
        <f>Renta_Alta!X70+Masivo!X70+Consumo_Inicial!X70</f>
        <v>0</v>
      </c>
      <c r="Y70" s="8">
        <f>Renta_Alta!Y70+Masivo!Y70+Consumo_Inicial!Y70</f>
        <v>0</v>
      </c>
      <c r="Z70" s="8">
        <f>Renta_Alta!Z70+Masivo!Z70+Consumo_Inicial!Z70</f>
        <v>0</v>
      </c>
      <c r="AA70" s="8">
        <f>Renta_Alta!AA70+Masivo!AA70+Consumo_Inicial!AA70</f>
        <v>0</v>
      </c>
      <c r="AB70" s="8">
        <f>Renta_Alta!AB70+Masivo!AB70+Consumo_Inicial!AB70</f>
        <v>0</v>
      </c>
      <c r="AC70" s="8">
        <f>Renta_Alta!AC70+Masivo!AC70+Consumo_Inicial!AC70</f>
        <v>0</v>
      </c>
      <c r="AD70" s="8">
        <f>Renta_Alta!AD70+Masivo!AD70+Consumo_Inicial!AD70</f>
        <v>0</v>
      </c>
      <c r="AE70" s="8">
        <f>Renta_Alta!AE70+Masivo!AE70+Consumo_Inicial!AE70</f>
        <v>0</v>
      </c>
      <c r="AF70" s="8">
        <f>Renta_Alta!AF70+Masivo!AF70+Consumo_Inicial!AF70</f>
        <v>0</v>
      </c>
      <c r="AG70" s="8">
        <f>Renta_Alta!AG70+Masivo!AG70+Consumo_Inicial!AG70</f>
        <v>0</v>
      </c>
      <c r="AH70" s="8">
        <f>Renta_Alta!AH70+Masivo!AH70+Consumo_Inicial!AH70</f>
        <v>0</v>
      </c>
      <c r="AI70" s="8">
        <f>Renta_Alta!AI70+Masivo!AI70+Consumo_Inicial!AI70</f>
        <v>0</v>
      </c>
      <c r="AJ70" s="8">
        <f>Renta_Alta!AJ70+Masivo!AJ70+Consumo_Inicial!AJ70</f>
        <v>0</v>
      </c>
      <c r="AK70" s="8">
        <f>Renta_Alta!AK70+Masivo!AK70+Consumo_Inicial!AK70</f>
        <v>0</v>
      </c>
      <c r="AL70" s="8">
        <f>Renta_Alta!AL70+Masivo!AL70+Consumo_Inicial!AL70</f>
        <v>0</v>
      </c>
      <c r="AM70" s="8">
        <f>Renta_Alta!AM70+Masivo!AM70+Consumo_Inicial!AM70</f>
        <v>0</v>
      </c>
      <c r="AN70" s="8">
        <f>Renta_Alta!AN70+Masivo!AN70+Consumo_Inicial!AN70</f>
        <v>0</v>
      </c>
      <c r="AO70" s="8">
        <f>Renta_Alta!AO70+Masivo!AO70+Consumo_Inicial!AO70</f>
        <v>0</v>
      </c>
      <c r="AP70" s="8">
        <f>Renta_Alta!AP70+Masivo!AP70+Consumo_Inicial!AP70</f>
        <v>0</v>
      </c>
      <c r="AQ70" s="8">
        <f>Renta_Alta!AQ70+Masivo!AQ70+Consumo_Inicial!AQ70</f>
        <v>0</v>
      </c>
      <c r="AR70" s="8">
        <f>Renta_Alta!AR70+Masivo!AR70+Consumo_Inicial!AR70</f>
        <v>0</v>
      </c>
      <c r="AS70" s="8">
        <f>Renta_Alta!AS70+Masivo!AS70+Consumo_Inicial!AS70</f>
        <v>0</v>
      </c>
      <c r="AT70" s="8">
        <f>Renta_Alta!AT70+Masivo!AT70+Consumo_Inicial!AT70</f>
        <v>0</v>
      </c>
      <c r="AU70" s="8">
        <f>Renta_Alta!AU70+Masivo!AU70+Consumo_Inicial!AU70</f>
        <v>0</v>
      </c>
      <c r="AV70" s="8">
        <f>Renta_Alta!AV70+Masivo!AV70+Consumo_Inicial!AV70</f>
        <v>0</v>
      </c>
      <c r="AW70" s="8">
        <f>Renta_Alta!AW70+Masivo!AW70+Consumo_Inicial!AW70</f>
        <v>0</v>
      </c>
      <c r="AX70" s="8">
        <f>Renta_Alta!AX70+Masivo!AX70+Consumo_Inicial!AX70</f>
        <v>0</v>
      </c>
      <c r="AY70" s="8">
        <f>Renta_Alta!AY70+Masivo!AY70+Consumo_Inicial!AY70</f>
        <v>0</v>
      </c>
      <c r="AZ70" s="8">
        <f>Renta_Alta!AZ70+Masivo!AZ70+Consumo_Inicial!AZ70</f>
        <v>0</v>
      </c>
      <c r="BA70" s="8">
        <f>Renta_Alta!BA70+Masivo!BA70+Consumo_Inicial!BA70</f>
        <v>0</v>
      </c>
      <c r="BB70" s="8">
        <f>Renta_Alta!BB70+Masivo!BB70+Consumo_Inicial!BB70</f>
        <v>0</v>
      </c>
      <c r="BC70" s="8">
        <f>Renta_Alta!BC70+Masivo!BC70+Consumo_Inicial!BC70</f>
        <v>0</v>
      </c>
      <c r="BD70" s="8">
        <f>Renta_Alta!BD70+Masivo!BD70+Consumo_Inicial!BD70</f>
        <v>0</v>
      </c>
      <c r="BE70" s="8">
        <f>Renta_Alta!BE70+Masivo!BE70+Consumo_Inicial!BE70</f>
        <v>0</v>
      </c>
      <c r="BF70" s="8">
        <f>Renta_Alta!BF70+Masivo!BF70+Consumo_Inicial!BF70</f>
        <v>0</v>
      </c>
      <c r="BG70" s="8">
        <f>Renta_Alta!BG70+Masivo!BG70+Consumo_Inicial!BG70</f>
        <v>0</v>
      </c>
      <c r="BH70" s="8">
        <f>Renta_Alta!BH70+Masivo!BH70+Consumo_Inicial!BH70</f>
        <v>0</v>
      </c>
      <c r="BI70" s="8">
        <f>Renta_Alta!BI70+Masivo!BI70+Consumo_Inicial!BI70</f>
        <v>0</v>
      </c>
      <c r="BJ70" s="8">
        <f>Renta_Alta!BJ70+Masivo!BJ70+Consumo_Inicial!BJ70</f>
        <v>0</v>
      </c>
      <c r="BK70" s="8">
        <f>Renta_Alta!BK70+Masivo!BK70+Consumo_Inicial!BK70</f>
        <v>0</v>
      </c>
      <c r="BO70" s="24">
        <f t="shared" si="246"/>
        <v>0</v>
      </c>
      <c r="BP70" s="24">
        <f t="shared" si="246"/>
        <v>0</v>
      </c>
      <c r="BQ70" s="24">
        <f t="shared" si="246"/>
        <v>0</v>
      </c>
      <c r="BR70" s="24">
        <f t="shared" si="246"/>
        <v>0</v>
      </c>
      <c r="BS70" s="24">
        <f t="shared" si="246"/>
        <v>0</v>
      </c>
      <c r="BT70" s="24">
        <f t="shared" si="246"/>
        <v>0</v>
      </c>
    </row>
    <row r="71" spans="1:72" hidden="1" outlineLevel="1" x14ac:dyDescent="0.25">
      <c r="A71" s="11" t="s">
        <v>71</v>
      </c>
      <c r="C71" s="2"/>
      <c r="D71" s="8">
        <f>Renta_Alta!D71+Masivo!D71+Consumo_Inicial!D71</f>
        <v>0</v>
      </c>
      <c r="E71" s="8">
        <f>Renta_Alta!E71+Masivo!E71+Consumo_Inicial!E71</f>
        <v>0</v>
      </c>
      <c r="F71" s="8">
        <f>Renta_Alta!F71+Masivo!F71+Consumo_Inicial!F71</f>
        <v>0</v>
      </c>
      <c r="G71" s="8">
        <f>Renta_Alta!G71+Masivo!G71+Consumo_Inicial!G71</f>
        <v>0</v>
      </c>
      <c r="H71" s="8">
        <f>Renta_Alta!H71+Masivo!H71+Consumo_Inicial!H71</f>
        <v>0</v>
      </c>
      <c r="I71" s="8">
        <f>Renta_Alta!I71+Masivo!I71+Consumo_Inicial!I71</f>
        <v>0</v>
      </c>
      <c r="J71" s="8">
        <f>Renta_Alta!J71+Masivo!J71+Consumo_Inicial!J71</f>
        <v>0</v>
      </c>
      <c r="K71" s="8">
        <f>Renta_Alta!K71+Masivo!K71+Consumo_Inicial!K71</f>
        <v>0</v>
      </c>
      <c r="L71" s="8">
        <f>Renta_Alta!L71+Masivo!L71+Consumo_Inicial!L71</f>
        <v>0</v>
      </c>
      <c r="M71" s="8">
        <f>Renta_Alta!M71+Masivo!M71+Consumo_Inicial!M71</f>
        <v>0</v>
      </c>
      <c r="N71" s="8">
        <f>Renta_Alta!N71+Masivo!N71+Consumo_Inicial!N71</f>
        <v>0</v>
      </c>
      <c r="O71" s="8">
        <f>Renta_Alta!O71+Masivo!O71+Consumo_Inicial!O71</f>
        <v>0</v>
      </c>
      <c r="P71" s="8">
        <f>Renta_Alta!P71+Masivo!P71+Consumo_Inicial!P71</f>
        <v>0</v>
      </c>
      <c r="Q71" s="8">
        <f>Renta_Alta!Q71+Masivo!Q71+Consumo_Inicial!Q71</f>
        <v>0</v>
      </c>
      <c r="R71" s="8">
        <f>Renta_Alta!R71+Masivo!R71+Consumo_Inicial!R71</f>
        <v>0</v>
      </c>
      <c r="S71" s="8">
        <f>Renta_Alta!S71+Masivo!S71+Consumo_Inicial!S71</f>
        <v>0</v>
      </c>
      <c r="T71" s="8">
        <f>Renta_Alta!T71+Masivo!T71+Consumo_Inicial!T71</f>
        <v>0</v>
      </c>
      <c r="U71" s="8">
        <f>Renta_Alta!U71+Masivo!U71+Consumo_Inicial!U71</f>
        <v>0</v>
      </c>
      <c r="V71" s="8">
        <f>Renta_Alta!V71+Masivo!V71+Consumo_Inicial!V71</f>
        <v>0</v>
      </c>
      <c r="W71" s="8">
        <f>Renta_Alta!W71+Masivo!W71+Consumo_Inicial!W71</f>
        <v>0</v>
      </c>
      <c r="X71" s="8">
        <f>Renta_Alta!X71+Masivo!X71+Consumo_Inicial!X71</f>
        <v>0</v>
      </c>
      <c r="Y71" s="8">
        <f>Renta_Alta!Y71+Masivo!Y71+Consumo_Inicial!Y71</f>
        <v>0</v>
      </c>
      <c r="Z71" s="8">
        <f>Renta_Alta!Z71+Masivo!Z71+Consumo_Inicial!Z71</f>
        <v>0</v>
      </c>
      <c r="AA71" s="8">
        <f>Renta_Alta!AA71+Masivo!AA71+Consumo_Inicial!AA71</f>
        <v>0</v>
      </c>
      <c r="AB71" s="8">
        <f>Renta_Alta!AB71+Masivo!AB71+Consumo_Inicial!AB71</f>
        <v>0</v>
      </c>
      <c r="AC71" s="8">
        <f>Renta_Alta!AC71+Masivo!AC71+Consumo_Inicial!AC71</f>
        <v>0</v>
      </c>
      <c r="AD71" s="8">
        <f>Renta_Alta!AD71+Masivo!AD71+Consumo_Inicial!AD71</f>
        <v>0</v>
      </c>
      <c r="AE71" s="8">
        <f>Renta_Alta!AE71+Masivo!AE71+Consumo_Inicial!AE71</f>
        <v>0</v>
      </c>
      <c r="AF71" s="8">
        <f>Renta_Alta!AF71+Masivo!AF71+Consumo_Inicial!AF71</f>
        <v>0</v>
      </c>
      <c r="AG71" s="8">
        <f>Renta_Alta!AG71+Masivo!AG71+Consumo_Inicial!AG71</f>
        <v>0</v>
      </c>
      <c r="AH71" s="8">
        <f>Renta_Alta!AH71+Masivo!AH71+Consumo_Inicial!AH71</f>
        <v>0</v>
      </c>
      <c r="AI71" s="8">
        <f>Renta_Alta!AI71+Masivo!AI71+Consumo_Inicial!AI71</f>
        <v>0</v>
      </c>
      <c r="AJ71" s="8">
        <f>Renta_Alta!AJ71+Masivo!AJ71+Consumo_Inicial!AJ71</f>
        <v>0</v>
      </c>
      <c r="AK71" s="8">
        <f>Renta_Alta!AK71+Masivo!AK71+Consumo_Inicial!AK71</f>
        <v>0</v>
      </c>
      <c r="AL71" s="8">
        <f>Renta_Alta!AL71+Masivo!AL71+Consumo_Inicial!AL71</f>
        <v>0</v>
      </c>
      <c r="AM71" s="8">
        <f>Renta_Alta!AM71+Masivo!AM71+Consumo_Inicial!AM71</f>
        <v>0</v>
      </c>
      <c r="AN71" s="8">
        <f>Renta_Alta!AN71+Masivo!AN71+Consumo_Inicial!AN71</f>
        <v>0</v>
      </c>
      <c r="AO71" s="8">
        <f>Renta_Alta!AO71+Masivo!AO71+Consumo_Inicial!AO71</f>
        <v>0</v>
      </c>
      <c r="AP71" s="8">
        <f>Renta_Alta!AP71+Masivo!AP71+Consumo_Inicial!AP71</f>
        <v>0</v>
      </c>
      <c r="AQ71" s="8">
        <f>Renta_Alta!AQ71+Masivo!AQ71+Consumo_Inicial!AQ71</f>
        <v>0</v>
      </c>
      <c r="AR71" s="8">
        <f>Renta_Alta!AR71+Masivo!AR71+Consumo_Inicial!AR71</f>
        <v>0</v>
      </c>
      <c r="AS71" s="8">
        <f>Renta_Alta!AS71+Masivo!AS71+Consumo_Inicial!AS71</f>
        <v>0</v>
      </c>
      <c r="AT71" s="8">
        <f>Renta_Alta!AT71+Masivo!AT71+Consumo_Inicial!AT71</f>
        <v>0</v>
      </c>
      <c r="AU71" s="8">
        <f>Renta_Alta!AU71+Masivo!AU71+Consumo_Inicial!AU71</f>
        <v>0</v>
      </c>
      <c r="AV71" s="8">
        <f>Renta_Alta!AV71+Masivo!AV71+Consumo_Inicial!AV71</f>
        <v>0</v>
      </c>
      <c r="AW71" s="8">
        <f>Renta_Alta!AW71+Masivo!AW71+Consumo_Inicial!AW71</f>
        <v>0</v>
      </c>
      <c r="AX71" s="8">
        <f>Renta_Alta!AX71+Masivo!AX71+Consumo_Inicial!AX71</f>
        <v>0</v>
      </c>
      <c r="AY71" s="8">
        <f>Renta_Alta!AY71+Masivo!AY71+Consumo_Inicial!AY71</f>
        <v>0</v>
      </c>
      <c r="AZ71" s="8">
        <f>Renta_Alta!AZ71+Masivo!AZ71+Consumo_Inicial!AZ71</f>
        <v>0</v>
      </c>
      <c r="BA71" s="8">
        <f>Renta_Alta!BA71+Masivo!BA71+Consumo_Inicial!BA71</f>
        <v>0</v>
      </c>
      <c r="BB71" s="8">
        <f>Renta_Alta!BB71+Masivo!BB71+Consumo_Inicial!BB71</f>
        <v>0</v>
      </c>
      <c r="BC71" s="8">
        <f>Renta_Alta!BC71+Masivo!BC71+Consumo_Inicial!BC71</f>
        <v>0</v>
      </c>
      <c r="BD71" s="8">
        <f>Renta_Alta!BD71+Masivo!BD71+Consumo_Inicial!BD71</f>
        <v>0</v>
      </c>
      <c r="BE71" s="8">
        <f>Renta_Alta!BE71+Masivo!BE71+Consumo_Inicial!BE71</f>
        <v>0</v>
      </c>
      <c r="BF71" s="8">
        <f>Renta_Alta!BF71+Masivo!BF71+Consumo_Inicial!BF71</f>
        <v>0</v>
      </c>
      <c r="BG71" s="8">
        <f>Renta_Alta!BG71+Masivo!BG71+Consumo_Inicial!BG71</f>
        <v>0</v>
      </c>
      <c r="BH71" s="8">
        <f>Renta_Alta!BH71+Masivo!BH71+Consumo_Inicial!BH71</f>
        <v>0</v>
      </c>
      <c r="BI71" s="8">
        <f>Renta_Alta!BI71+Masivo!BI71+Consumo_Inicial!BI71</f>
        <v>0</v>
      </c>
      <c r="BJ71" s="8">
        <f>Renta_Alta!BJ71+Masivo!BJ71+Consumo_Inicial!BJ71</f>
        <v>0</v>
      </c>
      <c r="BK71" s="8">
        <f>Renta_Alta!BK71+Masivo!BK71+Consumo_Inicial!BK71</f>
        <v>0</v>
      </c>
      <c r="BO71" s="24">
        <f t="shared" si="246"/>
        <v>0</v>
      </c>
      <c r="BP71" s="24">
        <f t="shared" si="246"/>
        <v>0</v>
      </c>
      <c r="BQ71" s="24">
        <f t="shared" si="246"/>
        <v>0</v>
      </c>
      <c r="BR71" s="24">
        <f t="shared" si="246"/>
        <v>0</v>
      </c>
      <c r="BS71" s="24">
        <f t="shared" si="246"/>
        <v>0</v>
      </c>
      <c r="BT71" s="24">
        <f t="shared" si="246"/>
        <v>0</v>
      </c>
    </row>
    <row r="72" spans="1:72" hidden="1" outlineLevel="1" x14ac:dyDescent="0.25">
      <c r="A72" s="11" t="s">
        <v>71</v>
      </c>
      <c r="C72" s="2"/>
      <c r="D72" s="8">
        <f>Renta_Alta!D72+Masivo!D72+Consumo_Inicial!D72</f>
        <v>0</v>
      </c>
      <c r="E72" s="8">
        <f>Renta_Alta!E72+Masivo!E72+Consumo_Inicial!E72</f>
        <v>0</v>
      </c>
      <c r="F72" s="8">
        <f>Renta_Alta!F72+Masivo!F72+Consumo_Inicial!F72</f>
        <v>0</v>
      </c>
      <c r="G72" s="8">
        <f>Renta_Alta!G72+Masivo!G72+Consumo_Inicial!G72</f>
        <v>0</v>
      </c>
      <c r="H72" s="8">
        <f>Renta_Alta!H72+Masivo!H72+Consumo_Inicial!H72</f>
        <v>0</v>
      </c>
      <c r="I72" s="8">
        <f>Renta_Alta!I72+Masivo!I72+Consumo_Inicial!I72</f>
        <v>0</v>
      </c>
      <c r="J72" s="8">
        <f>Renta_Alta!J72+Masivo!J72+Consumo_Inicial!J72</f>
        <v>0</v>
      </c>
      <c r="K72" s="8">
        <f>Renta_Alta!K72+Masivo!K72+Consumo_Inicial!K72</f>
        <v>0</v>
      </c>
      <c r="L72" s="8">
        <f>Renta_Alta!L72+Masivo!L72+Consumo_Inicial!L72</f>
        <v>0</v>
      </c>
      <c r="M72" s="8">
        <f>Renta_Alta!M72+Masivo!M72+Consumo_Inicial!M72</f>
        <v>0</v>
      </c>
      <c r="N72" s="8">
        <f>Renta_Alta!N72+Masivo!N72+Consumo_Inicial!N72</f>
        <v>0</v>
      </c>
      <c r="O72" s="8">
        <f>Renta_Alta!O72+Masivo!O72+Consumo_Inicial!O72</f>
        <v>0</v>
      </c>
      <c r="P72" s="8">
        <f>Renta_Alta!P72+Masivo!P72+Consumo_Inicial!P72</f>
        <v>0</v>
      </c>
      <c r="Q72" s="8">
        <f>Renta_Alta!Q72+Masivo!Q72+Consumo_Inicial!Q72</f>
        <v>0</v>
      </c>
      <c r="R72" s="8">
        <f>Renta_Alta!R72+Masivo!R72+Consumo_Inicial!R72</f>
        <v>0</v>
      </c>
      <c r="S72" s="8">
        <f>Renta_Alta!S72+Masivo!S72+Consumo_Inicial!S72</f>
        <v>0</v>
      </c>
      <c r="T72" s="8">
        <f>Renta_Alta!T72+Masivo!T72+Consumo_Inicial!T72</f>
        <v>0</v>
      </c>
      <c r="U72" s="8">
        <f>Renta_Alta!U72+Masivo!U72+Consumo_Inicial!U72</f>
        <v>0</v>
      </c>
      <c r="V72" s="8">
        <f>Renta_Alta!V72+Masivo!V72+Consumo_Inicial!V72</f>
        <v>0</v>
      </c>
      <c r="W72" s="8">
        <f>Renta_Alta!W72+Masivo!W72+Consumo_Inicial!W72</f>
        <v>0</v>
      </c>
      <c r="X72" s="8">
        <f>Renta_Alta!X72+Masivo!X72+Consumo_Inicial!X72</f>
        <v>0</v>
      </c>
      <c r="Y72" s="8">
        <f>Renta_Alta!Y72+Masivo!Y72+Consumo_Inicial!Y72</f>
        <v>0</v>
      </c>
      <c r="Z72" s="8">
        <f>Renta_Alta!Z72+Masivo!Z72+Consumo_Inicial!Z72</f>
        <v>0</v>
      </c>
      <c r="AA72" s="8">
        <f>Renta_Alta!AA72+Masivo!AA72+Consumo_Inicial!AA72</f>
        <v>0</v>
      </c>
      <c r="AB72" s="8">
        <f>Renta_Alta!AB72+Masivo!AB72+Consumo_Inicial!AB72</f>
        <v>0</v>
      </c>
      <c r="AC72" s="8">
        <f>Renta_Alta!AC72+Masivo!AC72+Consumo_Inicial!AC72</f>
        <v>0</v>
      </c>
      <c r="AD72" s="8">
        <f>Renta_Alta!AD72+Masivo!AD72+Consumo_Inicial!AD72</f>
        <v>0</v>
      </c>
      <c r="AE72" s="8">
        <f>Renta_Alta!AE72+Masivo!AE72+Consumo_Inicial!AE72</f>
        <v>0</v>
      </c>
      <c r="AF72" s="8">
        <f>Renta_Alta!AF72+Masivo!AF72+Consumo_Inicial!AF72</f>
        <v>0</v>
      </c>
      <c r="AG72" s="8">
        <f>Renta_Alta!AG72+Masivo!AG72+Consumo_Inicial!AG72</f>
        <v>0</v>
      </c>
      <c r="AH72" s="8">
        <f>Renta_Alta!AH72+Masivo!AH72+Consumo_Inicial!AH72</f>
        <v>0</v>
      </c>
      <c r="AI72" s="8">
        <f>Renta_Alta!AI72+Masivo!AI72+Consumo_Inicial!AI72</f>
        <v>0</v>
      </c>
      <c r="AJ72" s="8">
        <f>Renta_Alta!AJ72+Masivo!AJ72+Consumo_Inicial!AJ72</f>
        <v>0</v>
      </c>
      <c r="AK72" s="8">
        <f>Renta_Alta!AK72+Masivo!AK72+Consumo_Inicial!AK72</f>
        <v>0</v>
      </c>
      <c r="AL72" s="8">
        <f>Renta_Alta!AL72+Masivo!AL72+Consumo_Inicial!AL72</f>
        <v>0</v>
      </c>
      <c r="AM72" s="8">
        <f>Renta_Alta!AM72+Masivo!AM72+Consumo_Inicial!AM72</f>
        <v>0</v>
      </c>
      <c r="AN72" s="8">
        <f>Renta_Alta!AN72+Masivo!AN72+Consumo_Inicial!AN72</f>
        <v>0</v>
      </c>
      <c r="AO72" s="8">
        <f>Renta_Alta!AO72+Masivo!AO72+Consumo_Inicial!AO72</f>
        <v>0</v>
      </c>
      <c r="AP72" s="8">
        <f>Renta_Alta!AP72+Masivo!AP72+Consumo_Inicial!AP72</f>
        <v>0</v>
      </c>
      <c r="AQ72" s="8">
        <f>Renta_Alta!AQ72+Masivo!AQ72+Consumo_Inicial!AQ72</f>
        <v>0</v>
      </c>
      <c r="AR72" s="8">
        <f>Renta_Alta!AR72+Masivo!AR72+Consumo_Inicial!AR72</f>
        <v>0</v>
      </c>
      <c r="AS72" s="8">
        <f>Renta_Alta!AS72+Masivo!AS72+Consumo_Inicial!AS72</f>
        <v>0</v>
      </c>
      <c r="AT72" s="8">
        <f>Renta_Alta!AT72+Masivo!AT72+Consumo_Inicial!AT72</f>
        <v>0</v>
      </c>
      <c r="AU72" s="8">
        <f>Renta_Alta!AU72+Masivo!AU72+Consumo_Inicial!AU72</f>
        <v>0</v>
      </c>
      <c r="AV72" s="8">
        <f>Renta_Alta!AV72+Masivo!AV72+Consumo_Inicial!AV72</f>
        <v>0</v>
      </c>
      <c r="AW72" s="8">
        <f>Renta_Alta!AW72+Masivo!AW72+Consumo_Inicial!AW72</f>
        <v>0</v>
      </c>
      <c r="AX72" s="8">
        <f>Renta_Alta!AX72+Masivo!AX72+Consumo_Inicial!AX72</f>
        <v>0</v>
      </c>
      <c r="AY72" s="8">
        <f>Renta_Alta!AY72+Masivo!AY72+Consumo_Inicial!AY72</f>
        <v>0</v>
      </c>
      <c r="AZ72" s="8">
        <f>Renta_Alta!AZ72+Masivo!AZ72+Consumo_Inicial!AZ72</f>
        <v>0</v>
      </c>
      <c r="BA72" s="8">
        <f>Renta_Alta!BA72+Masivo!BA72+Consumo_Inicial!BA72</f>
        <v>0</v>
      </c>
      <c r="BB72" s="8">
        <f>Renta_Alta!BB72+Masivo!BB72+Consumo_Inicial!BB72</f>
        <v>0</v>
      </c>
      <c r="BC72" s="8">
        <f>Renta_Alta!BC72+Masivo!BC72+Consumo_Inicial!BC72</f>
        <v>0</v>
      </c>
      <c r="BD72" s="8">
        <f>Renta_Alta!BD72+Masivo!BD72+Consumo_Inicial!BD72</f>
        <v>0</v>
      </c>
      <c r="BE72" s="8">
        <f>Renta_Alta!BE72+Masivo!BE72+Consumo_Inicial!BE72</f>
        <v>0</v>
      </c>
      <c r="BF72" s="8">
        <f>Renta_Alta!BF72+Masivo!BF72+Consumo_Inicial!BF72</f>
        <v>0</v>
      </c>
      <c r="BG72" s="8">
        <f>Renta_Alta!BG72+Masivo!BG72+Consumo_Inicial!BG72</f>
        <v>0</v>
      </c>
      <c r="BH72" s="8">
        <f>Renta_Alta!BH72+Masivo!BH72+Consumo_Inicial!BH72</f>
        <v>0</v>
      </c>
      <c r="BI72" s="8">
        <f>Renta_Alta!BI72+Masivo!BI72+Consumo_Inicial!BI72</f>
        <v>0</v>
      </c>
      <c r="BJ72" s="8">
        <f>Renta_Alta!BJ72+Masivo!BJ72+Consumo_Inicial!BJ72</f>
        <v>0</v>
      </c>
      <c r="BK72" s="8">
        <f>Renta_Alta!BK72+Masivo!BK72+Consumo_Inicial!BK72</f>
        <v>0</v>
      </c>
      <c r="BO72" s="24">
        <f t="shared" si="246"/>
        <v>0</v>
      </c>
      <c r="BP72" s="24">
        <f t="shared" si="246"/>
        <v>0</v>
      </c>
      <c r="BQ72" s="24">
        <f t="shared" si="246"/>
        <v>0</v>
      </c>
      <c r="BR72" s="24">
        <f t="shared" si="246"/>
        <v>0</v>
      </c>
      <c r="BS72" s="24">
        <f t="shared" si="246"/>
        <v>0</v>
      </c>
      <c r="BT72" s="24">
        <f t="shared" si="246"/>
        <v>0</v>
      </c>
    </row>
    <row r="73" spans="1:72" hidden="1" outlineLevel="1" x14ac:dyDescent="0.25">
      <c r="A73" s="11" t="s">
        <v>71</v>
      </c>
      <c r="C73" s="2"/>
      <c r="D73" s="8">
        <f>Renta_Alta!D73+Masivo!D73+Consumo_Inicial!D73</f>
        <v>0</v>
      </c>
      <c r="E73" s="8">
        <f>Renta_Alta!E73+Masivo!E73+Consumo_Inicial!E73</f>
        <v>0</v>
      </c>
      <c r="F73" s="8">
        <f>Renta_Alta!F73+Masivo!F73+Consumo_Inicial!F73</f>
        <v>0</v>
      </c>
      <c r="G73" s="8">
        <f>Renta_Alta!G73+Masivo!G73+Consumo_Inicial!G73</f>
        <v>0</v>
      </c>
      <c r="H73" s="8">
        <f>Renta_Alta!H73+Masivo!H73+Consumo_Inicial!H73</f>
        <v>0</v>
      </c>
      <c r="I73" s="8">
        <f>Renta_Alta!I73+Masivo!I73+Consumo_Inicial!I73</f>
        <v>0</v>
      </c>
      <c r="J73" s="8">
        <f>Renta_Alta!J73+Masivo!J73+Consumo_Inicial!J73</f>
        <v>0</v>
      </c>
      <c r="K73" s="8">
        <f>Renta_Alta!K73+Masivo!K73+Consumo_Inicial!K73</f>
        <v>0</v>
      </c>
      <c r="L73" s="8">
        <f>Renta_Alta!L73+Masivo!L73+Consumo_Inicial!L73</f>
        <v>0</v>
      </c>
      <c r="M73" s="8">
        <f>Renta_Alta!M73+Masivo!M73+Consumo_Inicial!M73</f>
        <v>0</v>
      </c>
      <c r="N73" s="8">
        <f>Renta_Alta!N73+Masivo!N73+Consumo_Inicial!N73</f>
        <v>0</v>
      </c>
      <c r="O73" s="8">
        <f>Renta_Alta!O73+Masivo!O73+Consumo_Inicial!O73</f>
        <v>0</v>
      </c>
      <c r="P73" s="8">
        <f>Renta_Alta!P73+Masivo!P73+Consumo_Inicial!P73</f>
        <v>0</v>
      </c>
      <c r="Q73" s="8">
        <f>Renta_Alta!Q73+Masivo!Q73+Consumo_Inicial!Q73</f>
        <v>0</v>
      </c>
      <c r="R73" s="8">
        <f>Renta_Alta!R73+Masivo!R73+Consumo_Inicial!R73</f>
        <v>0</v>
      </c>
      <c r="S73" s="8">
        <f>Renta_Alta!S73+Masivo!S73+Consumo_Inicial!S73</f>
        <v>0</v>
      </c>
      <c r="T73" s="8">
        <f>Renta_Alta!T73+Masivo!T73+Consumo_Inicial!T73</f>
        <v>0</v>
      </c>
      <c r="U73" s="8">
        <f>Renta_Alta!U73+Masivo!U73+Consumo_Inicial!U73</f>
        <v>0</v>
      </c>
      <c r="V73" s="8">
        <f>Renta_Alta!V73+Masivo!V73+Consumo_Inicial!V73</f>
        <v>0</v>
      </c>
      <c r="W73" s="8">
        <f>Renta_Alta!W73+Masivo!W73+Consumo_Inicial!W73</f>
        <v>0</v>
      </c>
      <c r="X73" s="8">
        <f>Renta_Alta!X73+Masivo!X73+Consumo_Inicial!X73</f>
        <v>0</v>
      </c>
      <c r="Y73" s="8">
        <f>Renta_Alta!Y73+Masivo!Y73+Consumo_Inicial!Y73</f>
        <v>0</v>
      </c>
      <c r="Z73" s="8">
        <f>Renta_Alta!Z73+Masivo!Z73+Consumo_Inicial!Z73</f>
        <v>0</v>
      </c>
      <c r="AA73" s="8">
        <f>Renta_Alta!AA73+Masivo!AA73+Consumo_Inicial!AA73</f>
        <v>0</v>
      </c>
      <c r="AB73" s="8">
        <f>Renta_Alta!AB73+Masivo!AB73+Consumo_Inicial!AB73</f>
        <v>0</v>
      </c>
      <c r="AC73" s="8">
        <f>Renta_Alta!AC73+Masivo!AC73+Consumo_Inicial!AC73</f>
        <v>0</v>
      </c>
      <c r="AD73" s="8">
        <f>Renta_Alta!AD73+Masivo!AD73+Consumo_Inicial!AD73</f>
        <v>0</v>
      </c>
      <c r="AE73" s="8">
        <f>Renta_Alta!AE73+Masivo!AE73+Consumo_Inicial!AE73</f>
        <v>0</v>
      </c>
      <c r="AF73" s="8">
        <f>Renta_Alta!AF73+Masivo!AF73+Consumo_Inicial!AF73</f>
        <v>0</v>
      </c>
      <c r="AG73" s="8">
        <f>Renta_Alta!AG73+Masivo!AG73+Consumo_Inicial!AG73</f>
        <v>0</v>
      </c>
      <c r="AH73" s="8">
        <f>Renta_Alta!AH73+Masivo!AH73+Consumo_Inicial!AH73</f>
        <v>0</v>
      </c>
      <c r="AI73" s="8">
        <f>Renta_Alta!AI73+Masivo!AI73+Consumo_Inicial!AI73</f>
        <v>0</v>
      </c>
      <c r="AJ73" s="8">
        <f>Renta_Alta!AJ73+Masivo!AJ73+Consumo_Inicial!AJ73</f>
        <v>0</v>
      </c>
      <c r="AK73" s="8">
        <f>Renta_Alta!AK73+Masivo!AK73+Consumo_Inicial!AK73</f>
        <v>0</v>
      </c>
      <c r="AL73" s="8">
        <f>Renta_Alta!AL73+Masivo!AL73+Consumo_Inicial!AL73</f>
        <v>0</v>
      </c>
      <c r="AM73" s="8">
        <f>Renta_Alta!AM73+Masivo!AM73+Consumo_Inicial!AM73</f>
        <v>0</v>
      </c>
      <c r="AN73" s="8">
        <f>Renta_Alta!AN73+Masivo!AN73+Consumo_Inicial!AN73</f>
        <v>0</v>
      </c>
      <c r="AO73" s="8">
        <f>Renta_Alta!AO73+Masivo!AO73+Consumo_Inicial!AO73</f>
        <v>0</v>
      </c>
      <c r="AP73" s="8">
        <f>Renta_Alta!AP73+Masivo!AP73+Consumo_Inicial!AP73</f>
        <v>0</v>
      </c>
      <c r="AQ73" s="8">
        <f>Renta_Alta!AQ73+Masivo!AQ73+Consumo_Inicial!AQ73</f>
        <v>0</v>
      </c>
      <c r="AR73" s="8">
        <f>Renta_Alta!AR73+Masivo!AR73+Consumo_Inicial!AR73</f>
        <v>0</v>
      </c>
      <c r="AS73" s="8">
        <f>Renta_Alta!AS73+Masivo!AS73+Consumo_Inicial!AS73</f>
        <v>0</v>
      </c>
      <c r="AT73" s="8">
        <f>Renta_Alta!AT73+Masivo!AT73+Consumo_Inicial!AT73</f>
        <v>0</v>
      </c>
      <c r="AU73" s="8">
        <f>Renta_Alta!AU73+Masivo!AU73+Consumo_Inicial!AU73</f>
        <v>0</v>
      </c>
      <c r="AV73" s="8">
        <f>Renta_Alta!AV73+Masivo!AV73+Consumo_Inicial!AV73</f>
        <v>0</v>
      </c>
      <c r="AW73" s="8">
        <f>Renta_Alta!AW73+Masivo!AW73+Consumo_Inicial!AW73</f>
        <v>0</v>
      </c>
      <c r="AX73" s="8">
        <f>Renta_Alta!AX73+Masivo!AX73+Consumo_Inicial!AX73</f>
        <v>0</v>
      </c>
      <c r="AY73" s="8">
        <f>Renta_Alta!AY73+Masivo!AY73+Consumo_Inicial!AY73</f>
        <v>0</v>
      </c>
      <c r="AZ73" s="8">
        <f>Renta_Alta!AZ73+Masivo!AZ73+Consumo_Inicial!AZ73</f>
        <v>0</v>
      </c>
      <c r="BA73" s="8">
        <f>Renta_Alta!BA73+Masivo!BA73+Consumo_Inicial!BA73</f>
        <v>0</v>
      </c>
      <c r="BB73" s="8">
        <f>Renta_Alta!BB73+Masivo!BB73+Consumo_Inicial!BB73</f>
        <v>0</v>
      </c>
      <c r="BC73" s="8">
        <f>Renta_Alta!BC73+Masivo!BC73+Consumo_Inicial!BC73</f>
        <v>0</v>
      </c>
      <c r="BD73" s="8">
        <f>Renta_Alta!BD73+Masivo!BD73+Consumo_Inicial!BD73</f>
        <v>0</v>
      </c>
      <c r="BE73" s="8">
        <f>Renta_Alta!BE73+Masivo!BE73+Consumo_Inicial!BE73</f>
        <v>0</v>
      </c>
      <c r="BF73" s="8">
        <f>Renta_Alta!BF73+Masivo!BF73+Consumo_Inicial!BF73</f>
        <v>0</v>
      </c>
      <c r="BG73" s="8">
        <f>Renta_Alta!BG73+Masivo!BG73+Consumo_Inicial!BG73</f>
        <v>0</v>
      </c>
      <c r="BH73" s="8">
        <f>Renta_Alta!BH73+Masivo!BH73+Consumo_Inicial!BH73</f>
        <v>0</v>
      </c>
      <c r="BI73" s="8">
        <f>Renta_Alta!BI73+Masivo!BI73+Consumo_Inicial!BI73</f>
        <v>0</v>
      </c>
      <c r="BJ73" s="8">
        <f>Renta_Alta!BJ73+Masivo!BJ73+Consumo_Inicial!BJ73</f>
        <v>0</v>
      </c>
      <c r="BK73" s="8">
        <f>Renta_Alta!BK73+Masivo!BK73+Consumo_Inicial!BK73</f>
        <v>0</v>
      </c>
      <c r="BO73" s="24">
        <f t="shared" ref="BO73:BT82" si="247">SUMIFS($D73:$BM73,$D$6:$BM$6,"&gt;="&amp;BO$2,$D$6:$BM$6,"&lt;="&amp;BO$6,$D$5:$BM$5,BO$5)</f>
        <v>0</v>
      </c>
      <c r="BP73" s="24">
        <f t="shared" si="247"/>
        <v>0</v>
      </c>
      <c r="BQ73" s="24">
        <f t="shared" si="247"/>
        <v>0</v>
      </c>
      <c r="BR73" s="24">
        <f t="shared" si="247"/>
        <v>0</v>
      </c>
      <c r="BS73" s="24">
        <f t="shared" si="247"/>
        <v>0</v>
      </c>
      <c r="BT73" s="24">
        <f t="shared" si="247"/>
        <v>0</v>
      </c>
    </row>
    <row r="74" spans="1:72" hidden="1" outlineLevel="1" x14ac:dyDescent="0.25">
      <c r="A74" s="11" t="s">
        <v>71</v>
      </c>
      <c r="C74" s="2"/>
      <c r="D74" s="8">
        <f>Renta_Alta!D74+Masivo!D74+Consumo_Inicial!D74</f>
        <v>0</v>
      </c>
      <c r="E74" s="8">
        <f>Renta_Alta!E74+Masivo!E74+Consumo_Inicial!E74</f>
        <v>0</v>
      </c>
      <c r="F74" s="8">
        <f>Renta_Alta!F74+Masivo!F74+Consumo_Inicial!F74</f>
        <v>0</v>
      </c>
      <c r="G74" s="8">
        <f>Renta_Alta!G74+Masivo!G74+Consumo_Inicial!G74</f>
        <v>0</v>
      </c>
      <c r="H74" s="8">
        <f>Renta_Alta!H74+Masivo!H74+Consumo_Inicial!H74</f>
        <v>0</v>
      </c>
      <c r="I74" s="8">
        <f>Renta_Alta!I74+Masivo!I74+Consumo_Inicial!I74</f>
        <v>0</v>
      </c>
      <c r="J74" s="8">
        <f>Renta_Alta!J74+Masivo!J74+Consumo_Inicial!J74</f>
        <v>0</v>
      </c>
      <c r="K74" s="8">
        <f>Renta_Alta!K74+Masivo!K74+Consumo_Inicial!K74</f>
        <v>0</v>
      </c>
      <c r="L74" s="8">
        <f>Renta_Alta!L74+Masivo!L74+Consumo_Inicial!L74</f>
        <v>0</v>
      </c>
      <c r="M74" s="8">
        <f>Renta_Alta!M74+Masivo!M74+Consumo_Inicial!M74</f>
        <v>0</v>
      </c>
      <c r="N74" s="8">
        <f>Renta_Alta!N74+Masivo!N74+Consumo_Inicial!N74</f>
        <v>0</v>
      </c>
      <c r="O74" s="8">
        <f>Renta_Alta!O74+Masivo!O74+Consumo_Inicial!O74</f>
        <v>0</v>
      </c>
      <c r="P74" s="8">
        <f>Renta_Alta!P74+Masivo!P74+Consumo_Inicial!P74</f>
        <v>0</v>
      </c>
      <c r="Q74" s="8">
        <f>Renta_Alta!Q74+Masivo!Q74+Consumo_Inicial!Q74</f>
        <v>0</v>
      </c>
      <c r="R74" s="8">
        <f>Renta_Alta!R74+Masivo!R74+Consumo_Inicial!R74</f>
        <v>0</v>
      </c>
      <c r="S74" s="8">
        <f>Renta_Alta!S74+Masivo!S74+Consumo_Inicial!S74</f>
        <v>0</v>
      </c>
      <c r="T74" s="8">
        <f>Renta_Alta!T74+Masivo!T74+Consumo_Inicial!T74</f>
        <v>0</v>
      </c>
      <c r="U74" s="8">
        <f>Renta_Alta!U74+Masivo!U74+Consumo_Inicial!U74</f>
        <v>0</v>
      </c>
      <c r="V74" s="8">
        <f>Renta_Alta!V74+Masivo!V74+Consumo_Inicial!V74</f>
        <v>0</v>
      </c>
      <c r="W74" s="8">
        <f>Renta_Alta!W74+Masivo!W74+Consumo_Inicial!W74</f>
        <v>0</v>
      </c>
      <c r="X74" s="8">
        <f>Renta_Alta!X74+Masivo!X74+Consumo_Inicial!X74</f>
        <v>0</v>
      </c>
      <c r="Y74" s="8">
        <f>Renta_Alta!Y74+Masivo!Y74+Consumo_Inicial!Y74</f>
        <v>0</v>
      </c>
      <c r="Z74" s="8">
        <f>Renta_Alta!Z74+Masivo!Z74+Consumo_Inicial!Z74</f>
        <v>0</v>
      </c>
      <c r="AA74" s="8">
        <f>Renta_Alta!AA74+Masivo!AA74+Consumo_Inicial!AA74</f>
        <v>0</v>
      </c>
      <c r="AB74" s="8">
        <f>Renta_Alta!AB74+Masivo!AB74+Consumo_Inicial!AB74</f>
        <v>0</v>
      </c>
      <c r="AC74" s="8">
        <f>Renta_Alta!AC74+Masivo!AC74+Consumo_Inicial!AC74</f>
        <v>0</v>
      </c>
      <c r="AD74" s="8">
        <f>Renta_Alta!AD74+Masivo!AD74+Consumo_Inicial!AD74</f>
        <v>0</v>
      </c>
      <c r="AE74" s="8">
        <f>Renta_Alta!AE74+Masivo!AE74+Consumo_Inicial!AE74</f>
        <v>0</v>
      </c>
      <c r="AF74" s="8">
        <f>Renta_Alta!AF74+Masivo!AF74+Consumo_Inicial!AF74</f>
        <v>0</v>
      </c>
      <c r="AG74" s="8">
        <f>Renta_Alta!AG74+Masivo!AG74+Consumo_Inicial!AG74</f>
        <v>0</v>
      </c>
      <c r="AH74" s="8">
        <f>Renta_Alta!AH74+Masivo!AH74+Consumo_Inicial!AH74</f>
        <v>0</v>
      </c>
      <c r="AI74" s="8">
        <f>Renta_Alta!AI74+Masivo!AI74+Consumo_Inicial!AI74</f>
        <v>0</v>
      </c>
      <c r="AJ74" s="8">
        <f>Renta_Alta!AJ74+Masivo!AJ74+Consumo_Inicial!AJ74</f>
        <v>0</v>
      </c>
      <c r="AK74" s="8">
        <f>Renta_Alta!AK74+Masivo!AK74+Consumo_Inicial!AK74</f>
        <v>0</v>
      </c>
      <c r="AL74" s="8">
        <f>Renta_Alta!AL74+Masivo!AL74+Consumo_Inicial!AL74</f>
        <v>0</v>
      </c>
      <c r="AM74" s="8">
        <f>Renta_Alta!AM74+Masivo!AM74+Consumo_Inicial!AM74</f>
        <v>0</v>
      </c>
      <c r="AN74" s="8">
        <f>Renta_Alta!AN74+Masivo!AN74+Consumo_Inicial!AN74</f>
        <v>0</v>
      </c>
      <c r="AO74" s="8">
        <f>Renta_Alta!AO74+Masivo!AO74+Consumo_Inicial!AO74</f>
        <v>0</v>
      </c>
      <c r="AP74" s="8">
        <f>Renta_Alta!AP74+Masivo!AP74+Consumo_Inicial!AP74</f>
        <v>0</v>
      </c>
      <c r="AQ74" s="8">
        <f>Renta_Alta!AQ74+Masivo!AQ74+Consumo_Inicial!AQ74</f>
        <v>0</v>
      </c>
      <c r="AR74" s="8">
        <f>Renta_Alta!AR74+Masivo!AR74+Consumo_Inicial!AR74</f>
        <v>0</v>
      </c>
      <c r="AS74" s="8">
        <f>Renta_Alta!AS74+Masivo!AS74+Consumo_Inicial!AS74</f>
        <v>0</v>
      </c>
      <c r="AT74" s="8">
        <f>Renta_Alta!AT74+Masivo!AT74+Consumo_Inicial!AT74</f>
        <v>0</v>
      </c>
      <c r="AU74" s="8">
        <f>Renta_Alta!AU74+Masivo!AU74+Consumo_Inicial!AU74</f>
        <v>0</v>
      </c>
      <c r="AV74" s="8">
        <f>Renta_Alta!AV74+Masivo!AV74+Consumo_Inicial!AV74</f>
        <v>0</v>
      </c>
      <c r="AW74" s="8">
        <f>Renta_Alta!AW74+Masivo!AW74+Consumo_Inicial!AW74</f>
        <v>0</v>
      </c>
      <c r="AX74" s="8">
        <f>Renta_Alta!AX74+Masivo!AX74+Consumo_Inicial!AX74</f>
        <v>0</v>
      </c>
      <c r="AY74" s="8">
        <f>Renta_Alta!AY74+Masivo!AY74+Consumo_Inicial!AY74</f>
        <v>0</v>
      </c>
      <c r="AZ74" s="8">
        <f>Renta_Alta!AZ74+Masivo!AZ74+Consumo_Inicial!AZ74</f>
        <v>0</v>
      </c>
      <c r="BA74" s="8">
        <f>Renta_Alta!BA74+Masivo!BA74+Consumo_Inicial!BA74</f>
        <v>0</v>
      </c>
      <c r="BB74" s="8">
        <f>Renta_Alta!BB74+Masivo!BB74+Consumo_Inicial!BB74</f>
        <v>0</v>
      </c>
      <c r="BC74" s="8">
        <f>Renta_Alta!BC74+Masivo!BC74+Consumo_Inicial!BC74</f>
        <v>0</v>
      </c>
      <c r="BD74" s="8">
        <f>Renta_Alta!BD74+Masivo!BD74+Consumo_Inicial!BD74</f>
        <v>0</v>
      </c>
      <c r="BE74" s="8">
        <f>Renta_Alta!BE74+Masivo!BE74+Consumo_Inicial!BE74</f>
        <v>0</v>
      </c>
      <c r="BF74" s="8">
        <f>Renta_Alta!BF74+Masivo!BF74+Consumo_Inicial!BF74</f>
        <v>0</v>
      </c>
      <c r="BG74" s="8">
        <f>Renta_Alta!BG74+Masivo!BG74+Consumo_Inicial!BG74</f>
        <v>0</v>
      </c>
      <c r="BH74" s="8">
        <f>Renta_Alta!BH74+Masivo!BH74+Consumo_Inicial!BH74</f>
        <v>0</v>
      </c>
      <c r="BI74" s="8">
        <f>Renta_Alta!BI74+Masivo!BI74+Consumo_Inicial!BI74</f>
        <v>0</v>
      </c>
      <c r="BJ74" s="8">
        <f>Renta_Alta!BJ74+Masivo!BJ74+Consumo_Inicial!BJ74</f>
        <v>0</v>
      </c>
      <c r="BK74" s="8">
        <f>Renta_Alta!BK74+Masivo!BK74+Consumo_Inicial!BK74</f>
        <v>0</v>
      </c>
      <c r="BO74" s="24">
        <f t="shared" si="247"/>
        <v>0</v>
      </c>
      <c r="BP74" s="24">
        <f t="shared" si="247"/>
        <v>0</v>
      </c>
      <c r="BQ74" s="24">
        <f t="shared" si="247"/>
        <v>0</v>
      </c>
      <c r="BR74" s="24">
        <f t="shared" si="247"/>
        <v>0</v>
      </c>
      <c r="BS74" s="24">
        <f t="shared" si="247"/>
        <v>0</v>
      </c>
      <c r="BT74" s="24">
        <f t="shared" si="247"/>
        <v>0</v>
      </c>
    </row>
    <row r="75" spans="1:72" hidden="1" outlineLevel="1" x14ac:dyDescent="0.25">
      <c r="A75" s="11" t="s">
        <v>71</v>
      </c>
      <c r="C75" s="2"/>
      <c r="D75" s="8">
        <f>Renta_Alta!D75+Masivo!D75+Consumo_Inicial!D75</f>
        <v>0</v>
      </c>
      <c r="E75" s="8">
        <f>Renta_Alta!E75+Masivo!E75+Consumo_Inicial!E75</f>
        <v>0</v>
      </c>
      <c r="F75" s="8">
        <f>Renta_Alta!F75+Masivo!F75+Consumo_Inicial!F75</f>
        <v>0</v>
      </c>
      <c r="G75" s="8">
        <f>Renta_Alta!G75+Masivo!G75+Consumo_Inicial!G75</f>
        <v>0</v>
      </c>
      <c r="H75" s="8">
        <f>Renta_Alta!H75+Masivo!H75+Consumo_Inicial!H75</f>
        <v>0</v>
      </c>
      <c r="I75" s="8">
        <f>Renta_Alta!I75+Masivo!I75+Consumo_Inicial!I75</f>
        <v>0</v>
      </c>
      <c r="J75" s="8">
        <f>Renta_Alta!J75+Masivo!J75+Consumo_Inicial!J75</f>
        <v>0</v>
      </c>
      <c r="K75" s="8">
        <f>Renta_Alta!K75+Masivo!K75+Consumo_Inicial!K75</f>
        <v>0</v>
      </c>
      <c r="L75" s="8">
        <f>Renta_Alta!L75+Masivo!L75+Consumo_Inicial!L75</f>
        <v>0</v>
      </c>
      <c r="M75" s="8">
        <f>Renta_Alta!M75+Masivo!M75+Consumo_Inicial!M75</f>
        <v>0</v>
      </c>
      <c r="N75" s="8">
        <f>Renta_Alta!N75+Masivo!N75+Consumo_Inicial!N75</f>
        <v>0</v>
      </c>
      <c r="O75" s="8">
        <f>Renta_Alta!O75+Masivo!O75+Consumo_Inicial!O75</f>
        <v>0</v>
      </c>
      <c r="P75" s="8">
        <f>Renta_Alta!P75+Masivo!P75+Consumo_Inicial!P75</f>
        <v>0</v>
      </c>
      <c r="Q75" s="8">
        <f>Renta_Alta!Q75+Masivo!Q75+Consumo_Inicial!Q75</f>
        <v>0</v>
      </c>
      <c r="R75" s="8">
        <f>Renta_Alta!R75+Masivo!R75+Consumo_Inicial!R75</f>
        <v>0</v>
      </c>
      <c r="S75" s="8">
        <f>Renta_Alta!S75+Masivo!S75+Consumo_Inicial!S75</f>
        <v>0</v>
      </c>
      <c r="T75" s="8">
        <f>Renta_Alta!T75+Masivo!T75+Consumo_Inicial!T75</f>
        <v>0</v>
      </c>
      <c r="U75" s="8">
        <f>Renta_Alta!U75+Masivo!U75+Consumo_Inicial!U75</f>
        <v>0</v>
      </c>
      <c r="V75" s="8">
        <f>Renta_Alta!V75+Masivo!V75+Consumo_Inicial!V75</f>
        <v>0</v>
      </c>
      <c r="W75" s="8">
        <f>Renta_Alta!W75+Masivo!W75+Consumo_Inicial!W75</f>
        <v>0</v>
      </c>
      <c r="X75" s="8">
        <f>Renta_Alta!X75+Masivo!X75+Consumo_Inicial!X75</f>
        <v>0</v>
      </c>
      <c r="Y75" s="8">
        <f>Renta_Alta!Y75+Masivo!Y75+Consumo_Inicial!Y75</f>
        <v>0</v>
      </c>
      <c r="Z75" s="8">
        <f>Renta_Alta!Z75+Masivo!Z75+Consumo_Inicial!Z75</f>
        <v>0</v>
      </c>
      <c r="AA75" s="8">
        <f>Renta_Alta!AA75+Masivo!AA75+Consumo_Inicial!AA75</f>
        <v>0</v>
      </c>
      <c r="AB75" s="8">
        <f>Renta_Alta!AB75+Masivo!AB75+Consumo_Inicial!AB75</f>
        <v>0</v>
      </c>
      <c r="AC75" s="8">
        <f>Renta_Alta!AC75+Masivo!AC75+Consumo_Inicial!AC75</f>
        <v>0</v>
      </c>
      <c r="AD75" s="8">
        <f>Renta_Alta!AD75+Masivo!AD75+Consumo_Inicial!AD75</f>
        <v>0</v>
      </c>
      <c r="AE75" s="8">
        <f>Renta_Alta!AE75+Masivo!AE75+Consumo_Inicial!AE75</f>
        <v>0</v>
      </c>
      <c r="AF75" s="8">
        <f>Renta_Alta!AF75+Masivo!AF75+Consumo_Inicial!AF75</f>
        <v>0</v>
      </c>
      <c r="AG75" s="8">
        <f>Renta_Alta!AG75+Masivo!AG75+Consumo_Inicial!AG75</f>
        <v>0</v>
      </c>
      <c r="AH75" s="8">
        <f>Renta_Alta!AH75+Masivo!AH75+Consumo_Inicial!AH75</f>
        <v>0</v>
      </c>
      <c r="AI75" s="8">
        <f>Renta_Alta!AI75+Masivo!AI75+Consumo_Inicial!AI75</f>
        <v>0</v>
      </c>
      <c r="AJ75" s="8">
        <f>Renta_Alta!AJ75+Masivo!AJ75+Consumo_Inicial!AJ75</f>
        <v>0</v>
      </c>
      <c r="AK75" s="8">
        <f>Renta_Alta!AK75+Masivo!AK75+Consumo_Inicial!AK75</f>
        <v>0</v>
      </c>
      <c r="AL75" s="8">
        <f>Renta_Alta!AL75+Masivo!AL75+Consumo_Inicial!AL75</f>
        <v>0</v>
      </c>
      <c r="AM75" s="8">
        <f>Renta_Alta!AM75+Masivo!AM75+Consumo_Inicial!AM75</f>
        <v>0</v>
      </c>
      <c r="AN75" s="8">
        <f>Renta_Alta!AN75+Masivo!AN75+Consumo_Inicial!AN75</f>
        <v>0</v>
      </c>
      <c r="AO75" s="8">
        <f>Renta_Alta!AO75+Masivo!AO75+Consumo_Inicial!AO75</f>
        <v>0</v>
      </c>
      <c r="AP75" s="8">
        <f>Renta_Alta!AP75+Masivo!AP75+Consumo_Inicial!AP75</f>
        <v>0</v>
      </c>
      <c r="AQ75" s="8">
        <f>Renta_Alta!AQ75+Masivo!AQ75+Consumo_Inicial!AQ75</f>
        <v>0</v>
      </c>
      <c r="AR75" s="8">
        <f>Renta_Alta!AR75+Masivo!AR75+Consumo_Inicial!AR75</f>
        <v>0</v>
      </c>
      <c r="AS75" s="8">
        <f>Renta_Alta!AS75+Masivo!AS75+Consumo_Inicial!AS75</f>
        <v>0</v>
      </c>
      <c r="AT75" s="8">
        <f>Renta_Alta!AT75+Masivo!AT75+Consumo_Inicial!AT75</f>
        <v>0</v>
      </c>
      <c r="AU75" s="8">
        <f>Renta_Alta!AU75+Masivo!AU75+Consumo_Inicial!AU75</f>
        <v>0</v>
      </c>
      <c r="AV75" s="8">
        <f>Renta_Alta!AV75+Masivo!AV75+Consumo_Inicial!AV75</f>
        <v>0</v>
      </c>
      <c r="AW75" s="8">
        <f>Renta_Alta!AW75+Masivo!AW75+Consumo_Inicial!AW75</f>
        <v>0</v>
      </c>
      <c r="AX75" s="8">
        <f>Renta_Alta!AX75+Masivo!AX75+Consumo_Inicial!AX75</f>
        <v>0</v>
      </c>
      <c r="AY75" s="8">
        <f>Renta_Alta!AY75+Masivo!AY75+Consumo_Inicial!AY75</f>
        <v>0</v>
      </c>
      <c r="AZ75" s="8">
        <f>Renta_Alta!AZ75+Masivo!AZ75+Consumo_Inicial!AZ75</f>
        <v>0</v>
      </c>
      <c r="BA75" s="8">
        <f>Renta_Alta!BA75+Masivo!BA75+Consumo_Inicial!BA75</f>
        <v>0</v>
      </c>
      <c r="BB75" s="8">
        <f>Renta_Alta!BB75+Masivo!BB75+Consumo_Inicial!BB75</f>
        <v>0</v>
      </c>
      <c r="BC75" s="8">
        <f>Renta_Alta!BC75+Masivo!BC75+Consumo_Inicial!BC75</f>
        <v>0</v>
      </c>
      <c r="BD75" s="8">
        <f>Renta_Alta!BD75+Masivo!BD75+Consumo_Inicial!BD75</f>
        <v>0</v>
      </c>
      <c r="BE75" s="8">
        <f>Renta_Alta!BE75+Masivo!BE75+Consumo_Inicial!BE75</f>
        <v>0</v>
      </c>
      <c r="BF75" s="8">
        <f>Renta_Alta!BF75+Masivo!BF75+Consumo_Inicial!BF75</f>
        <v>0</v>
      </c>
      <c r="BG75" s="8">
        <f>Renta_Alta!BG75+Masivo!BG75+Consumo_Inicial!BG75</f>
        <v>0</v>
      </c>
      <c r="BH75" s="8">
        <f>Renta_Alta!BH75+Masivo!BH75+Consumo_Inicial!BH75</f>
        <v>0</v>
      </c>
      <c r="BI75" s="8">
        <f>Renta_Alta!BI75+Masivo!BI75+Consumo_Inicial!BI75</f>
        <v>0</v>
      </c>
      <c r="BJ75" s="8">
        <f>Renta_Alta!BJ75+Masivo!BJ75+Consumo_Inicial!BJ75</f>
        <v>0</v>
      </c>
      <c r="BK75" s="8">
        <f>Renta_Alta!BK75+Masivo!BK75+Consumo_Inicial!BK75</f>
        <v>0</v>
      </c>
      <c r="BO75" s="24">
        <f t="shared" si="247"/>
        <v>0</v>
      </c>
      <c r="BP75" s="24">
        <f t="shared" si="247"/>
        <v>0</v>
      </c>
      <c r="BQ75" s="24">
        <f t="shared" si="247"/>
        <v>0</v>
      </c>
      <c r="BR75" s="24">
        <f t="shared" si="247"/>
        <v>0</v>
      </c>
      <c r="BS75" s="24">
        <f t="shared" si="247"/>
        <v>0</v>
      </c>
      <c r="BT75" s="24">
        <f t="shared" si="247"/>
        <v>0</v>
      </c>
    </row>
    <row r="76" spans="1:72" hidden="1" outlineLevel="1" x14ac:dyDescent="0.25">
      <c r="A76" s="11" t="s">
        <v>71</v>
      </c>
      <c r="C76" s="2"/>
      <c r="D76" s="8">
        <f>Renta_Alta!D76+Masivo!D76+Consumo_Inicial!D76</f>
        <v>0</v>
      </c>
      <c r="E76" s="8">
        <f>Renta_Alta!E76+Masivo!E76+Consumo_Inicial!E76</f>
        <v>0</v>
      </c>
      <c r="F76" s="8">
        <f>Renta_Alta!F76+Masivo!F76+Consumo_Inicial!F76</f>
        <v>0</v>
      </c>
      <c r="G76" s="8">
        <f>Renta_Alta!G76+Masivo!G76+Consumo_Inicial!G76</f>
        <v>0</v>
      </c>
      <c r="H76" s="8">
        <f>Renta_Alta!H76+Masivo!H76+Consumo_Inicial!H76</f>
        <v>0</v>
      </c>
      <c r="I76" s="8">
        <f>Renta_Alta!I76+Masivo!I76+Consumo_Inicial!I76</f>
        <v>0</v>
      </c>
      <c r="J76" s="8">
        <f>Renta_Alta!J76+Masivo!J76+Consumo_Inicial!J76</f>
        <v>0</v>
      </c>
      <c r="K76" s="8">
        <f>Renta_Alta!K76+Masivo!K76+Consumo_Inicial!K76</f>
        <v>0</v>
      </c>
      <c r="L76" s="8">
        <f>Renta_Alta!L76+Masivo!L76+Consumo_Inicial!L76</f>
        <v>0</v>
      </c>
      <c r="M76" s="8">
        <f>Renta_Alta!M76+Masivo!M76+Consumo_Inicial!M76</f>
        <v>0</v>
      </c>
      <c r="N76" s="8">
        <f>Renta_Alta!N76+Masivo!N76+Consumo_Inicial!N76</f>
        <v>0</v>
      </c>
      <c r="O76" s="8">
        <f>Renta_Alta!O76+Masivo!O76+Consumo_Inicial!O76</f>
        <v>0</v>
      </c>
      <c r="P76" s="8">
        <f>Renta_Alta!P76+Masivo!P76+Consumo_Inicial!P76</f>
        <v>0</v>
      </c>
      <c r="Q76" s="8">
        <f>Renta_Alta!Q76+Masivo!Q76+Consumo_Inicial!Q76</f>
        <v>0</v>
      </c>
      <c r="R76" s="8">
        <f>Renta_Alta!R76+Masivo!R76+Consumo_Inicial!R76</f>
        <v>0</v>
      </c>
      <c r="S76" s="8">
        <f>Renta_Alta!S76+Masivo!S76+Consumo_Inicial!S76</f>
        <v>0</v>
      </c>
      <c r="T76" s="8">
        <f>Renta_Alta!T76+Masivo!T76+Consumo_Inicial!T76</f>
        <v>0</v>
      </c>
      <c r="U76" s="8">
        <f>Renta_Alta!U76+Masivo!U76+Consumo_Inicial!U76</f>
        <v>0</v>
      </c>
      <c r="V76" s="8">
        <f>Renta_Alta!V76+Masivo!V76+Consumo_Inicial!V76</f>
        <v>0</v>
      </c>
      <c r="W76" s="8">
        <f>Renta_Alta!W76+Masivo!W76+Consumo_Inicial!W76</f>
        <v>0</v>
      </c>
      <c r="X76" s="8">
        <f>Renta_Alta!X76+Masivo!X76+Consumo_Inicial!X76</f>
        <v>0</v>
      </c>
      <c r="Y76" s="8">
        <f>Renta_Alta!Y76+Masivo!Y76+Consumo_Inicial!Y76</f>
        <v>0</v>
      </c>
      <c r="Z76" s="8">
        <f>Renta_Alta!Z76+Masivo!Z76+Consumo_Inicial!Z76</f>
        <v>0</v>
      </c>
      <c r="AA76" s="8">
        <f>Renta_Alta!AA76+Masivo!AA76+Consumo_Inicial!AA76</f>
        <v>0</v>
      </c>
      <c r="AB76" s="8">
        <f>Renta_Alta!AB76+Masivo!AB76+Consumo_Inicial!AB76</f>
        <v>0</v>
      </c>
      <c r="AC76" s="8">
        <f>Renta_Alta!AC76+Masivo!AC76+Consumo_Inicial!AC76</f>
        <v>0</v>
      </c>
      <c r="AD76" s="8">
        <f>Renta_Alta!AD76+Masivo!AD76+Consumo_Inicial!AD76</f>
        <v>0</v>
      </c>
      <c r="AE76" s="8">
        <f>Renta_Alta!AE76+Masivo!AE76+Consumo_Inicial!AE76</f>
        <v>0</v>
      </c>
      <c r="AF76" s="8">
        <f>Renta_Alta!AF76+Masivo!AF76+Consumo_Inicial!AF76</f>
        <v>0</v>
      </c>
      <c r="AG76" s="8">
        <f>Renta_Alta!AG76+Masivo!AG76+Consumo_Inicial!AG76</f>
        <v>0</v>
      </c>
      <c r="AH76" s="8">
        <f>Renta_Alta!AH76+Masivo!AH76+Consumo_Inicial!AH76</f>
        <v>0</v>
      </c>
      <c r="AI76" s="8">
        <f>Renta_Alta!AI76+Masivo!AI76+Consumo_Inicial!AI76</f>
        <v>0</v>
      </c>
      <c r="AJ76" s="8">
        <f>Renta_Alta!AJ76+Masivo!AJ76+Consumo_Inicial!AJ76</f>
        <v>0</v>
      </c>
      <c r="AK76" s="8">
        <f>Renta_Alta!AK76+Masivo!AK76+Consumo_Inicial!AK76</f>
        <v>0</v>
      </c>
      <c r="AL76" s="8">
        <f>Renta_Alta!AL76+Masivo!AL76+Consumo_Inicial!AL76</f>
        <v>0</v>
      </c>
      <c r="AM76" s="8">
        <f>Renta_Alta!AM76+Masivo!AM76+Consumo_Inicial!AM76</f>
        <v>0</v>
      </c>
      <c r="AN76" s="8">
        <f>Renta_Alta!AN76+Masivo!AN76+Consumo_Inicial!AN76</f>
        <v>0</v>
      </c>
      <c r="AO76" s="8">
        <f>Renta_Alta!AO76+Masivo!AO76+Consumo_Inicial!AO76</f>
        <v>0</v>
      </c>
      <c r="AP76" s="8">
        <f>Renta_Alta!AP76+Masivo!AP76+Consumo_Inicial!AP76</f>
        <v>0</v>
      </c>
      <c r="AQ76" s="8">
        <f>Renta_Alta!AQ76+Masivo!AQ76+Consumo_Inicial!AQ76</f>
        <v>0</v>
      </c>
      <c r="AR76" s="8">
        <f>Renta_Alta!AR76+Masivo!AR76+Consumo_Inicial!AR76</f>
        <v>0</v>
      </c>
      <c r="AS76" s="8">
        <f>Renta_Alta!AS76+Masivo!AS76+Consumo_Inicial!AS76</f>
        <v>0</v>
      </c>
      <c r="AT76" s="8">
        <f>Renta_Alta!AT76+Masivo!AT76+Consumo_Inicial!AT76</f>
        <v>0</v>
      </c>
      <c r="AU76" s="8">
        <f>Renta_Alta!AU76+Masivo!AU76+Consumo_Inicial!AU76</f>
        <v>0</v>
      </c>
      <c r="AV76" s="8">
        <f>Renta_Alta!AV76+Masivo!AV76+Consumo_Inicial!AV76</f>
        <v>0</v>
      </c>
      <c r="AW76" s="8">
        <f>Renta_Alta!AW76+Masivo!AW76+Consumo_Inicial!AW76</f>
        <v>0</v>
      </c>
      <c r="AX76" s="8">
        <f>Renta_Alta!AX76+Masivo!AX76+Consumo_Inicial!AX76</f>
        <v>0</v>
      </c>
      <c r="AY76" s="8">
        <f>Renta_Alta!AY76+Masivo!AY76+Consumo_Inicial!AY76</f>
        <v>0</v>
      </c>
      <c r="AZ76" s="8">
        <f>Renta_Alta!AZ76+Masivo!AZ76+Consumo_Inicial!AZ76</f>
        <v>0</v>
      </c>
      <c r="BA76" s="8">
        <f>Renta_Alta!BA76+Masivo!BA76+Consumo_Inicial!BA76</f>
        <v>0</v>
      </c>
      <c r="BB76" s="8">
        <f>Renta_Alta!BB76+Masivo!BB76+Consumo_Inicial!BB76</f>
        <v>0</v>
      </c>
      <c r="BC76" s="8">
        <f>Renta_Alta!BC76+Masivo!BC76+Consumo_Inicial!BC76</f>
        <v>0</v>
      </c>
      <c r="BD76" s="8">
        <f>Renta_Alta!BD76+Masivo!BD76+Consumo_Inicial!BD76</f>
        <v>0</v>
      </c>
      <c r="BE76" s="8">
        <f>Renta_Alta!BE76+Masivo!BE76+Consumo_Inicial!BE76</f>
        <v>0</v>
      </c>
      <c r="BF76" s="8">
        <f>Renta_Alta!BF76+Masivo!BF76+Consumo_Inicial!BF76</f>
        <v>0</v>
      </c>
      <c r="BG76" s="8">
        <f>Renta_Alta!BG76+Masivo!BG76+Consumo_Inicial!BG76</f>
        <v>0</v>
      </c>
      <c r="BH76" s="8">
        <f>Renta_Alta!BH76+Masivo!BH76+Consumo_Inicial!BH76</f>
        <v>0</v>
      </c>
      <c r="BI76" s="8">
        <f>Renta_Alta!BI76+Masivo!BI76+Consumo_Inicial!BI76</f>
        <v>0</v>
      </c>
      <c r="BJ76" s="8">
        <f>Renta_Alta!BJ76+Masivo!BJ76+Consumo_Inicial!BJ76</f>
        <v>0</v>
      </c>
      <c r="BK76" s="8">
        <f>Renta_Alta!BK76+Masivo!BK76+Consumo_Inicial!BK76</f>
        <v>0</v>
      </c>
      <c r="BO76" s="24">
        <f t="shared" si="247"/>
        <v>0</v>
      </c>
      <c r="BP76" s="24">
        <f t="shared" si="247"/>
        <v>0</v>
      </c>
      <c r="BQ76" s="24">
        <f t="shared" si="247"/>
        <v>0</v>
      </c>
      <c r="BR76" s="24">
        <f t="shared" si="247"/>
        <v>0</v>
      </c>
      <c r="BS76" s="24">
        <f t="shared" si="247"/>
        <v>0</v>
      </c>
      <c r="BT76" s="24">
        <f t="shared" si="247"/>
        <v>0</v>
      </c>
    </row>
    <row r="77" spans="1:72" hidden="1" outlineLevel="1" x14ac:dyDescent="0.25">
      <c r="A77" s="11" t="s">
        <v>71</v>
      </c>
      <c r="C77" s="2"/>
      <c r="D77" s="8">
        <f>Renta_Alta!D77+Masivo!D77+Consumo_Inicial!D77</f>
        <v>0</v>
      </c>
      <c r="E77" s="8">
        <f>Renta_Alta!E77+Masivo!E77+Consumo_Inicial!E77</f>
        <v>0</v>
      </c>
      <c r="F77" s="8">
        <f>Renta_Alta!F77+Masivo!F77+Consumo_Inicial!F77</f>
        <v>0</v>
      </c>
      <c r="G77" s="8">
        <f>Renta_Alta!G77+Masivo!G77+Consumo_Inicial!G77</f>
        <v>0</v>
      </c>
      <c r="H77" s="8">
        <f>Renta_Alta!H77+Masivo!H77+Consumo_Inicial!H77</f>
        <v>0</v>
      </c>
      <c r="I77" s="8">
        <f>Renta_Alta!I77+Masivo!I77+Consumo_Inicial!I77</f>
        <v>0</v>
      </c>
      <c r="J77" s="8">
        <f>Renta_Alta!J77+Masivo!J77+Consumo_Inicial!J77</f>
        <v>0</v>
      </c>
      <c r="K77" s="8">
        <f>Renta_Alta!K77+Masivo!K77+Consumo_Inicial!K77</f>
        <v>0</v>
      </c>
      <c r="L77" s="8">
        <f>Renta_Alta!L77+Masivo!L77+Consumo_Inicial!L77</f>
        <v>0</v>
      </c>
      <c r="M77" s="8">
        <f>Renta_Alta!M77+Masivo!M77+Consumo_Inicial!M77</f>
        <v>0</v>
      </c>
      <c r="N77" s="8">
        <f>Renta_Alta!N77+Masivo!N77+Consumo_Inicial!N77</f>
        <v>0</v>
      </c>
      <c r="O77" s="8">
        <f>Renta_Alta!O77+Masivo!O77+Consumo_Inicial!O77</f>
        <v>0</v>
      </c>
      <c r="P77" s="8">
        <f>Renta_Alta!P77+Masivo!P77+Consumo_Inicial!P77</f>
        <v>0</v>
      </c>
      <c r="Q77" s="8">
        <f>Renta_Alta!Q77+Masivo!Q77+Consumo_Inicial!Q77</f>
        <v>0</v>
      </c>
      <c r="R77" s="8">
        <f>Renta_Alta!R77+Masivo!R77+Consumo_Inicial!R77</f>
        <v>0</v>
      </c>
      <c r="S77" s="8">
        <f>Renta_Alta!S77+Masivo!S77+Consumo_Inicial!S77</f>
        <v>0</v>
      </c>
      <c r="T77" s="8">
        <f>Renta_Alta!T77+Masivo!T77+Consumo_Inicial!T77</f>
        <v>0</v>
      </c>
      <c r="U77" s="8">
        <f>Renta_Alta!U77+Masivo!U77+Consumo_Inicial!U77</f>
        <v>0</v>
      </c>
      <c r="V77" s="8">
        <f>Renta_Alta!V77+Masivo!V77+Consumo_Inicial!V77</f>
        <v>0</v>
      </c>
      <c r="W77" s="8">
        <f>Renta_Alta!W77+Masivo!W77+Consumo_Inicial!W77</f>
        <v>0</v>
      </c>
      <c r="X77" s="8">
        <f>Renta_Alta!X77+Masivo!X77+Consumo_Inicial!X77</f>
        <v>0</v>
      </c>
      <c r="Y77" s="8">
        <f>Renta_Alta!Y77+Masivo!Y77+Consumo_Inicial!Y77</f>
        <v>0</v>
      </c>
      <c r="Z77" s="8">
        <f>Renta_Alta!Z77+Masivo!Z77+Consumo_Inicial!Z77</f>
        <v>0</v>
      </c>
      <c r="AA77" s="8">
        <f>Renta_Alta!AA77+Masivo!AA77+Consumo_Inicial!AA77</f>
        <v>0</v>
      </c>
      <c r="AB77" s="8">
        <f>Renta_Alta!AB77+Masivo!AB77+Consumo_Inicial!AB77</f>
        <v>0</v>
      </c>
      <c r="AC77" s="8">
        <f>Renta_Alta!AC77+Masivo!AC77+Consumo_Inicial!AC77</f>
        <v>0</v>
      </c>
      <c r="AD77" s="8">
        <f>Renta_Alta!AD77+Masivo!AD77+Consumo_Inicial!AD77</f>
        <v>0</v>
      </c>
      <c r="AE77" s="8">
        <f>Renta_Alta!AE77+Masivo!AE77+Consumo_Inicial!AE77</f>
        <v>0</v>
      </c>
      <c r="AF77" s="8">
        <f>Renta_Alta!AF77+Masivo!AF77+Consumo_Inicial!AF77</f>
        <v>0</v>
      </c>
      <c r="AG77" s="8">
        <f>Renta_Alta!AG77+Masivo!AG77+Consumo_Inicial!AG77</f>
        <v>0</v>
      </c>
      <c r="AH77" s="8">
        <f>Renta_Alta!AH77+Masivo!AH77+Consumo_Inicial!AH77</f>
        <v>0</v>
      </c>
      <c r="AI77" s="8">
        <f>Renta_Alta!AI77+Masivo!AI77+Consumo_Inicial!AI77</f>
        <v>0</v>
      </c>
      <c r="AJ77" s="8">
        <f>Renta_Alta!AJ77+Masivo!AJ77+Consumo_Inicial!AJ77</f>
        <v>0</v>
      </c>
      <c r="AK77" s="8">
        <f>Renta_Alta!AK77+Masivo!AK77+Consumo_Inicial!AK77</f>
        <v>0</v>
      </c>
      <c r="AL77" s="8">
        <f>Renta_Alta!AL77+Masivo!AL77+Consumo_Inicial!AL77</f>
        <v>0</v>
      </c>
      <c r="AM77" s="8">
        <f>Renta_Alta!AM77+Masivo!AM77+Consumo_Inicial!AM77</f>
        <v>0</v>
      </c>
      <c r="AN77" s="8">
        <f>Renta_Alta!AN77+Masivo!AN77+Consumo_Inicial!AN77</f>
        <v>0</v>
      </c>
      <c r="AO77" s="8">
        <f>Renta_Alta!AO77+Masivo!AO77+Consumo_Inicial!AO77</f>
        <v>0</v>
      </c>
      <c r="AP77" s="8">
        <f>Renta_Alta!AP77+Masivo!AP77+Consumo_Inicial!AP77</f>
        <v>0</v>
      </c>
      <c r="AQ77" s="8">
        <f>Renta_Alta!AQ77+Masivo!AQ77+Consumo_Inicial!AQ77</f>
        <v>0</v>
      </c>
      <c r="AR77" s="8">
        <f>Renta_Alta!AR77+Masivo!AR77+Consumo_Inicial!AR77</f>
        <v>0</v>
      </c>
      <c r="AS77" s="8">
        <f>Renta_Alta!AS77+Masivo!AS77+Consumo_Inicial!AS77</f>
        <v>0</v>
      </c>
      <c r="AT77" s="8">
        <f>Renta_Alta!AT77+Masivo!AT77+Consumo_Inicial!AT77</f>
        <v>0</v>
      </c>
      <c r="AU77" s="8">
        <f>Renta_Alta!AU77+Masivo!AU77+Consumo_Inicial!AU77</f>
        <v>0</v>
      </c>
      <c r="AV77" s="8">
        <f>Renta_Alta!AV77+Masivo!AV77+Consumo_Inicial!AV77</f>
        <v>0</v>
      </c>
      <c r="AW77" s="8">
        <f>Renta_Alta!AW77+Masivo!AW77+Consumo_Inicial!AW77</f>
        <v>0</v>
      </c>
      <c r="AX77" s="8">
        <f>Renta_Alta!AX77+Masivo!AX77+Consumo_Inicial!AX77</f>
        <v>0</v>
      </c>
      <c r="AY77" s="8">
        <f>Renta_Alta!AY77+Masivo!AY77+Consumo_Inicial!AY77</f>
        <v>0</v>
      </c>
      <c r="AZ77" s="8">
        <f>Renta_Alta!AZ77+Masivo!AZ77+Consumo_Inicial!AZ77</f>
        <v>0</v>
      </c>
      <c r="BA77" s="8">
        <f>Renta_Alta!BA77+Masivo!BA77+Consumo_Inicial!BA77</f>
        <v>0</v>
      </c>
      <c r="BB77" s="8">
        <f>Renta_Alta!BB77+Masivo!BB77+Consumo_Inicial!BB77</f>
        <v>0</v>
      </c>
      <c r="BC77" s="8">
        <f>Renta_Alta!BC77+Masivo!BC77+Consumo_Inicial!BC77</f>
        <v>0</v>
      </c>
      <c r="BD77" s="8">
        <f>Renta_Alta!BD77+Masivo!BD77+Consumo_Inicial!BD77</f>
        <v>0</v>
      </c>
      <c r="BE77" s="8">
        <f>Renta_Alta!BE77+Masivo!BE77+Consumo_Inicial!BE77</f>
        <v>0</v>
      </c>
      <c r="BF77" s="8">
        <f>Renta_Alta!BF77+Masivo!BF77+Consumo_Inicial!BF77</f>
        <v>0</v>
      </c>
      <c r="BG77" s="8">
        <f>Renta_Alta!BG77+Masivo!BG77+Consumo_Inicial!BG77</f>
        <v>0</v>
      </c>
      <c r="BH77" s="8">
        <f>Renta_Alta!BH77+Masivo!BH77+Consumo_Inicial!BH77</f>
        <v>0</v>
      </c>
      <c r="BI77" s="8">
        <f>Renta_Alta!BI77+Masivo!BI77+Consumo_Inicial!BI77</f>
        <v>0</v>
      </c>
      <c r="BJ77" s="8">
        <f>Renta_Alta!BJ77+Masivo!BJ77+Consumo_Inicial!BJ77</f>
        <v>0</v>
      </c>
      <c r="BK77" s="8">
        <f>Renta_Alta!BK77+Masivo!BK77+Consumo_Inicial!BK77</f>
        <v>0</v>
      </c>
      <c r="BO77" s="24">
        <f t="shared" si="247"/>
        <v>0</v>
      </c>
      <c r="BP77" s="24">
        <f t="shared" si="247"/>
        <v>0</v>
      </c>
      <c r="BQ77" s="24">
        <f t="shared" si="247"/>
        <v>0</v>
      </c>
      <c r="BR77" s="24">
        <f t="shared" si="247"/>
        <v>0</v>
      </c>
      <c r="BS77" s="24">
        <f t="shared" si="247"/>
        <v>0</v>
      </c>
      <c r="BT77" s="24">
        <f t="shared" si="247"/>
        <v>0</v>
      </c>
    </row>
    <row r="78" spans="1:72" hidden="1" outlineLevel="1" x14ac:dyDescent="0.25">
      <c r="A78" s="11" t="s">
        <v>71</v>
      </c>
      <c r="C78" s="2"/>
      <c r="D78" s="8">
        <f>Renta_Alta!D78+Masivo!D78+Consumo_Inicial!D78</f>
        <v>0</v>
      </c>
      <c r="E78" s="8">
        <f>Renta_Alta!E78+Masivo!E78+Consumo_Inicial!E78</f>
        <v>0</v>
      </c>
      <c r="F78" s="8">
        <f>Renta_Alta!F78+Masivo!F78+Consumo_Inicial!F78</f>
        <v>0</v>
      </c>
      <c r="G78" s="8">
        <f>Renta_Alta!G78+Masivo!G78+Consumo_Inicial!G78</f>
        <v>0</v>
      </c>
      <c r="H78" s="8">
        <f>Renta_Alta!H78+Masivo!H78+Consumo_Inicial!H78</f>
        <v>0</v>
      </c>
      <c r="I78" s="8">
        <f>Renta_Alta!I78+Masivo!I78+Consumo_Inicial!I78</f>
        <v>0</v>
      </c>
      <c r="J78" s="8">
        <f>Renta_Alta!J78+Masivo!J78+Consumo_Inicial!J78</f>
        <v>0</v>
      </c>
      <c r="K78" s="8">
        <f>Renta_Alta!K78+Masivo!K78+Consumo_Inicial!K78</f>
        <v>0</v>
      </c>
      <c r="L78" s="8">
        <f>Renta_Alta!L78+Masivo!L78+Consumo_Inicial!L78</f>
        <v>0</v>
      </c>
      <c r="M78" s="8">
        <f>Renta_Alta!M78+Masivo!M78+Consumo_Inicial!M78</f>
        <v>0</v>
      </c>
      <c r="N78" s="8">
        <f>Renta_Alta!N78+Masivo!N78+Consumo_Inicial!N78</f>
        <v>0</v>
      </c>
      <c r="O78" s="8">
        <f>Renta_Alta!O78+Masivo!O78+Consumo_Inicial!O78</f>
        <v>0</v>
      </c>
      <c r="P78" s="8">
        <f>Renta_Alta!P78+Masivo!P78+Consumo_Inicial!P78</f>
        <v>0</v>
      </c>
      <c r="Q78" s="8">
        <f>Renta_Alta!Q78+Masivo!Q78+Consumo_Inicial!Q78</f>
        <v>0</v>
      </c>
      <c r="R78" s="8">
        <f>Renta_Alta!R78+Masivo!R78+Consumo_Inicial!R78</f>
        <v>0</v>
      </c>
      <c r="S78" s="8">
        <f>Renta_Alta!S78+Masivo!S78+Consumo_Inicial!S78</f>
        <v>0</v>
      </c>
      <c r="T78" s="8">
        <f>Renta_Alta!T78+Masivo!T78+Consumo_Inicial!T78</f>
        <v>0</v>
      </c>
      <c r="U78" s="8">
        <f>Renta_Alta!U78+Masivo!U78+Consumo_Inicial!U78</f>
        <v>0</v>
      </c>
      <c r="V78" s="8">
        <f>Renta_Alta!V78+Masivo!V78+Consumo_Inicial!V78</f>
        <v>0</v>
      </c>
      <c r="W78" s="8">
        <f>Renta_Alta!W78+Masivo!W78+Consumo_Inicial!W78</f>
        <v>0</v>
      </c>
      <c r="X78" s="8">
        <f>Renta_Alta!X78+Masivo!X78+Consumo_Inicial!X78</f>
        <v>0</v>
      </c>
      <c r="Y78" s="8">
        <f>Renta_Alta!Y78+Masivo!Y78+Consumo_Inicial!Y78</f>
        <v>0</v>
      </c>
      <c r="Z78" s="8">
        <f>Renta_Alta!Z78+Masivo!Z78+Consumo_Inicial!Z78</f>
        <v>0</v>
      </c>
      <c r="AA78" s="8">
        <f>Renta_Alta!AA78+Masivo!AA78+Consumo_Inicial!AA78</f>
        <v>0</v>
      </c>
      <c r="AB78" s="8">
        <f>Renta_Alta!AB78+Masivo!AB78+Consumo_Inicial!AB78</f>
        <v>0</v>
      </c>
      <c r="AC78" s="8">
        <f>Renta_Alta!AC78+Masivo!AC78+Consumo_Inicial!AC78</f>
        <v>0</v>
      </c>
      <c r="AD78" s="8">
        <f>Renta_Alta!AD78+Masivo!AD78+Consumo_Inicial!AD78</f>
        <v>0</v>
      </c>
      <c r="AE78" s="8">
        <f>Renta_Alta!AE78+Masivo!AE78+Consumo_Inicial!AE78</f>
        <v>0</v>
      </c>
      <c r="AF78" s="8">
        <f>Renta_Alta!AF78+Masivo!AF78+Consumo_Inicial!AF78</f>
        <v>0</v>
      </c>
      <c r="AG78" s="8">
        <f>Renta_Alta!AG78+Masivo!AG78+Consumo_Inicial!AG78</f>
        <v>0</v>
      </c>
      <c r="AH78" s="8">
        <f>Renta_Alta!AH78+Masivo!AH78+Consumo_Inicial!AH78</f>
        <v>0</v>
      </c>
      <c r="AI78" s="8">
        <f>Renta_Alta!AI78+Masivo!AI78+Consumo_Inicial!AI78</f>
        <v>0</v>
      </c>
      <c r="AJ78" s="8">
        <f>Renta_Alta!AJ78+Masivo!AJ78+Consumo_Inicial!AJ78</f>
        <v>0</v>
      </c>
      <c r="AK78" s="8">
        <f>Renta_Alta!AK78+Masivo!AK78+Consumo_Inicial!AK78</f>
        <v>0</v>
      </c>
      <c r="AL78" s="8">
        <f>Renta_Alta!AL78+Masivo!AL78+Consumo_Inicial!AL78</f>
        <v>0</v>
      </c>
      <c r="AM78" s="8">
        <f>Renta_Alta!AM78+Masivo!AM78+Consumo_Inicial!AM78</f>
        <v>0</v>
      </c>
      <c r="AN78" s="8">
        <f>Renta_Alta!AN78+Masivo!AN78+Consumo_Inicial!AN78</f>
        <v>0</v>
      </c>
      <c r="AO78" s="8">
        <f>Renta_Alta!AO78+Masivo!AO78+Consumo_Inicial!AO78</f>
        <v>0</v>
      </c>
      <c r="AP78" s="8">
        <f>Renta_Alta!AP78+Masivo!AP78+Consumo_Inicial!AP78</f>
        <v>0</v>
      </c>
      <c r="AQ78" s="8">
        <f>Renta_Alta!AQ78+Masivo!AQ78+Consumo_Inicial!AQ78</f>
        <v>0</v>
      </c>
      <c r="AR78" s="8">
        <f>Renta_Alta!AR78+Masivo!AR78+Consumo_Inicial!AR78</f>
        <v>0</v>
      </c>
      <c r="AS78" s="8">
        <f>Renta_Alta!AS78+Masivo!AS78+Consumo_Inicial!AS78</f>
        <v>0</v>
      </c>
      <c r="AT78" s="8">
        <f>Renta_Alta!AT78+Masivo!AT78+Consumo_Inicial!AT78</f>
        <v>0</v>
      </c>
      <c r="AU78" s="8">
        <f>Renta_Alta!AU78+Masivo!AU78+Consumo_Inicial!AU78</f>
        <v>0</v>
      </c>
      <c r="AV78" s="8">
        <f>Renta_Alta!AV78+Masivo!AV78+Consumo_Inicial!AV78</f>
        <v>0</v>
      </c>
      <c r="AW78" s="8">
        <f>Renta_Alta!AW78+Masivo!AW78+Consumo_Inicial!AW78</f>
        <v>0</v>
      </c>
      <c r="AX78" s="8">
        <f>Renta_Alta!AX78+Masivo!AX78+Consumo_Inicial!AX78</f>
        <v>0</v>
      </c>
      <c r="AY78" s="8">
        <f>Renta_Alta!AY78+Masivo!AY78+Consumo_Inicial!AY78</f>
        <v>0</v>
      </c>
      <c r="AZ78" s="8">
        <f>Renta_Alta!AZ78+Masivo!AZ78+Consumo_Inicial!AZ78</f>
        <v>0</v>
      </c>
      <c r="BA78" s="8">
        <f>Renta_Alta!BA78+Masivo!BA78+Consumo_Inicial!BA78</f>
        <v>0</v>
      </c>
      <c r="BB78" s="8">
        <f>Renta_Alta!BB78+Masivo!BB78+Consumo_Inicial!BB78</f>
        <v>0</v>
      </c>
      <c r="BC78" s="8">
        <f>Renta_Alta!BC78+Masivo!BC78+Consumo_Inicial!BC78</f>
        <v>0</v>
      </c>
      <c r="BD78" s="8">
        <f>Renta_Alta!BD78+Masivo!BD78+Consumo_Inicial!BD78</f>
        <v>0</v>
      </c>
      <c r="BE78" s="8">
        <f>Renta_Alta!BE78+Masivo!BE78+Consumo_Inicial!BE78</f>
        <v>0</v>
      </c>
      <c r="BF78" s="8">
        <f>Renta_Alta!BF78+Masivo!BF78+Consumo_Inicial!BF78</f>
        <v>0</v>
      </c>
      <c r="BG78" s="8">
        <f>Renta_Alta!BG78+Masivo!BG78+Consumo_Inicial!BG78</f>
        <v>0</v>
      </c>
      <c r="BH78" s="8">
        <f>Renta_Alta!BH78+Masivo!BH78+Consumo_Inicial!BH78</f>
        <v>0</v>
      </c>
      <c r="BI78" s="8">
        <f>Renta_Alta!BI78+Masivo!BI78+Consumo_Inicial!BI78</f>
        <v>0</v>
      </c>
      <c r="BJ78" s="8">
        <f>Renta_Alta!BJ78+Masivo!BJ78+Consumo_Inicial!BJ78</f>
        <v>0</v>
      </c>
      <c r="BK78" s="8">
        <f>Renta_Alta!BK78+Masivo!BK78+Consumo_Inicial!BK78</f>
        <v>0</v>
      </c>
      <c r="BO78" s="24">
        <f t="shared" si="247"/>
        <v>0</v>
      </c>
      <c r="BP78" s="24">
        <f t="shared" si="247"/>
        <v>0</v>
      </c>
      <c r="BQ78" s="24">
        <f t="shared" si="247"/>
        <v>0</v>
      </c>
      <c r="BR78" s="24">
        <f t="shared" si="247"/>
        <v>0</v>
      </c>
      <c r="BS78" s="24">
        <f t="shared" si="247"/>
        <v>0</v>
      </c>
      <c r="BT78" s="24">
        <f t="shared" si="247"/>
        <v>0</v>
      </c>
    </row>
    <row r="79" spans="1:72" hidden="1" outlineLevel="1" x14ac:dyDescent="0.25">
      <c r="A79" s="11" t="s">
        <v>71</v>
      </c>
      <c r="C79" s="2"/>
      <c r="D79" s="8">
        <f>Renta_Alta!D79+Masivo!D79+Consumo_Inicial!D79</f>
        <v>0</v>
      </c>
      <c r="E79" s="8">
        <f>Renta_Alta!E79+Masivo!E79+Consumo_Inicial!E79</f>
        <v>0</v>
      </c>
      <c r="F79" s="8">
        <f>Renta_Alta!F79+Masivo!F79+Consumo_Inicial!F79</f>
        <v>0</v>
      </c>
      <c r="G79" s="8">
        <f>Renta_Alta!G79+Masivo!G79+Consumo_Inicial!G79</f>
        <v>0</v>
      </c>
      <c r="H79" s="8">
        <f>Renta_Alta!H79+Masivo!H79+Consumo_Inicial!H79</f>
        <v>0</v>
      </c>
      <c r="I79" s="8">
        <f>Renta_Alta!I79+Masivo!I79+Consumo_Inicial!I79</f>
        <v>0</v>
      </c>
      <c r="J79" s="8">
        <f>Renta_Alta!J79+Masivo!J79+Consumo_Inicial!J79</f>
        <v>0</v>
      </c>
      <c r="K79" s="8">
        <f>Renta_Alta!K79+Masivo!K79+Consumo_Inicial!K79</f>
        <v>0</v>
      </c>
      <c r="L79" s="8">
        <f>Renta_Alta!L79+Masivo!L79+Consumo_Inicial!L79</f>
        <v>0</v>
      </c>
      <c r="M79" s="8">
        <f>Renta_Alta!M79+Masivo!M79+Consumo_Inicial!M79</f>
        <v>0</v>
      </c>
      <c r="N79" s="8">
        <f>Renta_Alta!N79+Masivo!N79+Consumo_Inicial!N79</f>
        <v>0</v>
      </c>
      <c r="O79" s="8">
        <f>Renta_Alta!O79+Masivo!O79+Consumo_Inicial!O79</f>
        <v>0</v>
      </c>
      <c r="P79" s="8">
        <f>Renta_Alta!P79+Masivo!P79+Consumo_Inicial!P79</f>
        <v>0</v>
      </c>
      <c r="Q79" s="8">
        <f>Renta_Alta!Q79+Masivo!Q79+Consumo_Inicial!Q79</f>
        <v>0</v>
      </c>
      <c r="R79" s="8">
        <f>Renta_Alta!R79+Masivo!R79+Consumo_Inicial!R79</f>
        <v>0</v>
      </c>
      <c r="S79" s="8">
        <f>Renta_Alta!S79+Masivo!S79+Consumo_Inicial!S79</f>
        <v>0</v>
      </c>
      <c r="T79" s="8">
        <f>Renta_Alta!T79+Masivo!T79+Consumo_Inicial!T79</f>
        <v>0</v>
      </c>
      <c r="U79" s="8">
        <f>Renta_Alta!U79+Masivo!U79+Consumo_Inicial!U79</f>
        <v>0</v>
      </c>
      <c r="V79" s="8">
        <f>Renta_Alta!V79+Masivo!V79+Consumo_Inicial!V79</f>
        <v>0</v>
      </c>
      <c r="W79" s="8">
        <f>Renta_Alta!W79+Masivo!W79+Consumo_Inicial!W79</f>
        <v>0</v>
      </c>
      <c r="X79" s="8">
        <f>Renta_Alta!X79+Masivo!X79+Consumo_Inicial!X79</f>
        <v>0</v>
      </c>
      <c r="Y79" s="8">
        <f>Renta_Alta!Y79+Masivo!Y79+Consumo_Inicial!Y79</f>
        <v>0</v>
      </c>
      <c r="Z79" s="8">
        <f>Renta_Alta!Z79+Masivo!Z79+Consumo_Inicial!Z79</f>
        <v>0</v>
      </c>
      <c r="AA79" s="8">
        <f>Renta_Alta!AA79+Masivo!AA79+Consumo_Inicial!AA79</f>
        <v>0</v>
      </c>
      <c r="AB79" s="8">
        <f>Renta_Alta!AB79+Masivo!AB79+Consumo_Inicial!AB79</f>
        <v>0</v>
      </c>
      <c r="AC79" s="8">
        <f>Renta_Alta!AC79+Masivo!AC79+Consumo_Inicial!AC79</f>
        <v>0</v>
      </c>
      <c r="AD79" s="8">
        <f>Renta_Alta!AD79+Masivo!AD79+Consumo_Inicial!AD79</f>
        <v>0</v>
      </c>
      <c r="AE79" s="8">
        <f>Renta_Alta!AE79+Masivo!AE79+Consumo_Inicial!AE79</f>
        <v>0</v>
      </c>
      <c r="AF79" s="8">
        <f>Renta_Alta!AF79+Masivo!AF79+Consumo_Inicial!AF79</f>
        <v>0</v>
      </c>
      <c r="AG79" s="8">
        <f>Renta_Alta!AG79+Masivo!AG79+Consumo_Inicial!AG79</f>
        <v>0</v>
      </c>
      <c r="AH79" s="8">
        <f>Renta_Alta!AH79+Masivo!AH79+Consumo_Inicial!AH79</f>
        <v>0</v>
      </c>
      <c r="AI79" s="8">
        <f>Renta_Alta!AI79+Masivo!AI79+Consumo_Inicial!AI79</f>
        <v>0</v>
      </c>
      <c r="AJ79" s="8">
        <f>Renta_Alta!AJ79+Masivo!AJ79+Consumo_Inicial!AJ79</f>
        <v>0</v>
      </c>
      <c r="AK79" s="8">
        <f>Renta_Alta!AK79+Masivo!AK79+Consumo_Inicial!AK79</f>
        <v>0</v>
      </c>
      <c r="AL79" s="8">
        <f>Renta_Alta!AL79+Masivo!AL79+Consumo_Inicial!AL79</f>
        <v>0</v>
      </c>
      <c r="AM79" s="8">
        <f>Renta_Alta!AM79+Masivo!AM79+Consumo_Inicial!AM79</f>
        <v>0</v>
      </c>
      <c r="AN79" s="8">
        <f>Renta_Alta!AN79+Masivo!AN79+Consumo_Inicial!AN79</f>
        <v>0</v>
      </c>
      <c r="AO79" s="8">
        <f>Renta_Alta!AO79+Masivo!AO79+Consumo_Inicial!AO79</f>
        <v>0</v>
      </c>
      <c r="AP79" s="8">
        <f>Renta_Alta!AP79+Masivo!AP79+Consumo_Inicial!AP79</f>
        <v>0</v>
      </c>
      <c r="AQ79" s="8">
        <f>Renta_Alta!AQ79+Masivo!AQ79+Consumo_Inicial!AQ79</f>
        <v>0</v>
      </c>
      <c r="AR79" s="8">
        <f>Renta_Alta!AR79+Masivo!AR79+Consumo_Inicial!AR79</f>
        <v>0</v>
      </c>
      <c r="AS79" s="8">
        <f>Renta_Alta!AS79+Masivo!AS79+Consumo_Inicial!AS79</f>
        <v>0</v>
      </c>
      <c r="AT79" s="8">
        <f>Renta_Alta!AT79+Masivo!AT79+Consumo_Inicial!AT79</f>
        <v>0</v>
      </c>
      <c r="AU79" s="8">
        <f>Renta_Alta!AU79+Masivo!AU79+Consumo_Inicial!AU79</f>
        <v>0</v>
      </c>
      <c r="AV79" s="8">
        <f>Renta_Alta!AV79+Masivo!AV79+Consumo_Inicial!AV79</f>
        <v>0</v>
      </c>
      <c r="AW79" s="8">
        <f>Renta_Alta!AW79+Masivo!AW79+Consumo_Inicial!AW79</f>
        <v>0</v>
      </c>
      <c r="AX79" s="8">
        <f>Renta_Alta!AX79+Masivo!AX79+Consumo_Inicial!AX79</f>
        <v>0</v>
      </c>
      <c r="AY79" s="8">
        <f>Renta_Alta!AY79+Masivo!AY79+Consumo_Inicial!AY79</f>
        <v>0</v>
      </c>
      <c r="AZ79" s="8">
        <f>Renta_Alta!AZ79+Masivo!AZ79+Consumo_Inicial!AZ79</f>
        <v>0</v>
      </c>
      <c r="BA79" s="8">
        <f>Renta_Alta!BA79+Masivo!BA79+Consumo_Inicial!BA79</f>
        <v>0</v>
      </c>
      <c r="BB79" s="8">
        <f>Renta_Alta!BB79+Masivo!BB79+Consumo_Inicial!BB79</f>
        <v>0</v>
      </c>
      <c r="BC79" s="8">
        <f>Renta_Alta!BC79+Masivo!BC79+Consumo_Inicial!BC79</f>
        <v>0</v>
      </c>
      <c r="BD79" s="8">
        <f>Renta_Alta!BD79+Masivo!BD79+Consumo_Inicial!BD79</f>
        <v>0</v>
      </c>
      <c r="BE79" s="8">
        <f>Renta_Alta!BE79+Masivo!BE79+Consumo_Inicial!BE79</f>
        <v>0</v>
      </c>
      <c r="BF79" s="8">
        <f>Renta_Alta!BF79+Masivo!BF79+Consumo_Inicial!BF79</f>
        <v>0</v>
      </c>
      <c r="BG79" s="8">
        <f>Renta_Alta!BG79+Masivo!BG79+Consumo_Inicial!BG79</f>
        <v>0</v>
      </c>
      <c r="BH79" s="8">
        <f>Renta_Alta!BH79+Masivo!BH79+Consumo_Inicial!BH79</f>
        <v>0</v>
      </c>
      <c r="BI79" s="8">
        <f>Renta_Alta!BI79+Masivo!BI79+Consumo_Inicial!BI79</f>
        <v>0</v>
      </c>
      <c r="BJ79" s="8">
        <f>Renta_Alta!BJ79+Masivo!BJ79+Consumo_Inicial!BJ79</f>
        <v>0</v>
      </c>
      <c r="BK79" s="8">
        <f>Renta_Alta!BK79+Masivo!BK79+Consumo_Inicial!BK79</f>
        <v>0</v>
      </c>
      <c r="BO79" s="24">
        <f t="shared" si="247"/>
        <v>0</v>
      </c>
      <c r="BP79" s="24">
        <f t="shared" si="247"/>
        <v>0</v>
      </c>
      <c r="BQ79" s="24">
        <f t="shared" si="247"/>
        <v>0</v>
      </c>
      <c r="BR79" s="24">
        <f t="shared" si="247"/>
        <v>0</v>
      </c>
      <c r="BS79" s="24">
        <f t="shared" si="247"/>
        <v>0</v>
      </c>
      <c r="BT79" s="24">
        <f t="shared" si="247"/>
        <v>0</v>
      </c>
    </row>
    <row r="80" spans="1:72" hidden="1" outlineLevel="1" x14ac:dyDescent="0.25">
      <c r="A80" s="11" t="s">
        <v>71</v>
      </c>
      <c r="C80" s="2"/>
      <c r="D80" s="8">
        <f>Renta_Alta!D80+Masivo!D80+Consumo_Inicial!D80</f>
        <v>0</v>
      </c>
      <c r="E80" s="8">
        <f>Renta_Alta!E80+Masivo!E80+Consumo_Inicial!E80</f>
        <v>0</v>
      </c>
      <c r="F80" s="8">
        <f>Renta_Alta!F80+Masivo!F80+Consumo_Inicial!F80</f>
        <v>0</v>
      </c>
      <c r="G80" s="8">
        <f>Renta_Alta!G80+Masivo!G80+Consumo_Inicial!G80</f>
        <v>0</v>
      </c>
      <c r="H80" s="8">
        <f>Renta_Alta!H80+Masivo!H80+Consumo_Inicial!H80</f>
        <v>0</v>
      </c>
      <c r="I80" s="8">
        <f>Renta_Alta!I80+Masivo!I80+Consumo_Inicial!I80</f>
        <v>0</v>
      </c>
      <c r="J80" s="8">
        <f>Renta_Alta!J80+Masivo!J80+Consumo_Inicial!J80</f>
        <v>0</v>
      </c>
      <c r="K80" s="8">
        <f>Renta_Alta!K80+Masivo!K80+Consumo_Inicial!K80</f>
        <v>0</v>
      </c>
      <c r="L80" s="8">
        <f>Renta_Alta!L80+Masivo!L80+Consumo_Inicial!L80</f>
        <v>0</v>
      </c>
      <c r="M80" s="8">
        <f>Renta_Alta!M80+Masivo!M80+Consumo_Inicial!M80</f>
        <v>0</v>
      </c>
      <c r="N80" s="8">
        <f>Renta_Alta!N80+Masivo!N80+Consumo_Inicial!N80</f>
        <v>0</v>
      </c>
      <c r="O80" s="8">
        <f>Renta_Alta!O80+Masivo!O80+Consumo_Inicial!O80</f>
        <v>0</v>
      </c>
      <c r="P80" s="8">
        <f>Renta_Alta!P80+Masivo!P80+Consumo_Inicial!P80</f>
        <v>0</v>
      </c>
      <c r="Q80" s="8">
        <f>Renta_Alta!Q80+Masivo!Q80+Consumo_Inicial!Q80</f>
        <v>0</v>
      </c>
      <c r="R80" s="8">
        <f>Renta_Alta!R80+Masivo!R80+Consumo_Inicial!R80</f>
        <v>0</v>
      </c>
      <c r="S80" s="8">
        <f>Renta_Alta!S80+Masivo!S80+Consumo_Inicial!S80</f>
        <v>0</v>
      </c>
      <c r="T80" s="8">
        <f>Renta_Alta!T80+Masivo!T80+Consumo_Inicial!T80</f>
        <v>0</v>
      </c>
      <c r="U80" s="8">
        <f>Renta_Alta!U80+Masivo!U80+Consumo_Inicial!U80</f>
        <v>0</v>
      </c>
      <c r="V80" s="8">
        <f>Renta_Alta!V80+Masivo!V80+Consumo_Inicial!V80</f>
        <v>0</v>
      </c>
      <c r="W80" s="8">
        <f>Renta_Alta!W80+Masivo!W80+Consumo_Inicial!W80</f>
        <v>0</v>
      </c>
      <c r="X80" s="8">
        <f>Renta_Alta!X80+Masivo!X80+Consumo_Inicial!X80</f>
        <v>0</v>
      </c>
      <c r="Y80" s="8">
        <f>Renta_Alta!Y80+Masivo!Y80+Consumo_Inicial!Y80</f>
        <v>0</v>
      </c>
      <c r="Z80" s="8">
        <f>Renta_Alta!Z80+Masivo!Z80+Consumo_Inicial!Z80</f>
        <v>0</v>
      </c>
      <c r="AA80" s="8">
        <f>Renta_Alta!AA80+Masivo!AA80+Consumo_Inicial!AA80</f>
        <v>0</v>
      </c>
      <c r="AB80" s="8">
        <f>Renta_Alta!AB80+Masivo!AB80+Consumo_Inicial!AB80</f>
        <v>0</v>
      </c>
      <c r="AC80" s="8">
        <f>Renta_Alta!AC80+Masivo!AC80+Consumo_Inicial!AC80</f>
        <v>0</v>
      </c>
      <c r="AD80" s="8">
        <f>Renta_Alta!AD80+Masivo!AD80+Consumo_Inicial!AD80</f>
        <v>0</v>
      </c>
      <c r="AE80" s="8">
        <f>Renta_Alta!AE80+Masivo!AE80+Consumo_Inicial!AE80</f>
        <v>0</v>
      </c>
      <c r="AF80" s="8">
        <f>Renta_Alta!AF80+Masivo!AF80+Consumo_Inicial!AF80</f>
        <v>0</v>
      </c>
      <c r="AG80" s="8">
        <f>Renta_Alta!AG80+Masivo!AG80+Consumo_Inicial!AG80</f>
        <v>0</v>
      </c>
      <c r="AH80" s="8">
        <f>Renta_Alta!AH80+Masivo!AH80+Consumo_Inicial!AH80</f>
        <v>0</v>
      </c>
      <c r="AI80" s="8">
        <f>Renta_Alta!AI80+Masivo!AI80+Consumo_Inicial!AI80</f>
        <v>0</v>
      </c>
      <c r="AJ80" s="8">
        <f>Renta_Alta!AJ80+Masivo!AJ80+Consumo_Inicial!AJ80</f>
        <v>0</v>
      </c>
      <c r="AK80" s="8">
        <f>Renta_Alta!AK80+Masivo!AK80+Consumo_Inicial!AK80</f>
        <v>0</v>
      </c>
      <c r="AL80" s="8">
        <f>Renta_Alta!AL80+Masivo!AL80+Consumo_Inicial!AL80</f>
        <v>0</v>
      </c>
      <c r="AM80" s="8">
        <f>Renta_Alta!AM80+Masivo!AM80+Consumo_Inicial!AM80</f>
        <v>0</v>
      </c>
      <c r="AN80" s="8">
        <f>Renta_Alta!AN80+Masivo!AN80+Consumo_Inicial!AN80</f>
        <v>0</v>
      </c>
      <c r="AO80" s="8">
        <f>Renta_Alta!AO80+Masivo!AO80+Consumo_Inicial!AO80</f>
        <v>0</v>
      </c>
      <c r="AP80" s="8">
        <f>Renta_Alta!AP80+Masivo!AP80+Consumo_Inicial!AP80</f>
        <v>0</v>
      </c>
      <c r="AQ80" s="8">
        <f>Renta_Alta!AQ80+Masivo!AQ80+Consumo_Inicial!AQ80</f>
        <v>0</v>
      </c>
      <c r="AR80" s="8">
        <f>Renta_Alta!AR80+Masivo!AR80+Consumo_Inicial!AR80</f>
        <v>0</v>
      </c>
      <c r="AS80" s="8">
        <f>Renta_Alta!AS80+Masivo!AS80+Consumo_Inicial!AS80</f>
        <v>0</v>
      </c>
      <c r="AT80" s="8">
        <f>Renta_Alta!AT80+Masivo!AT80+Consumo_Inicial!AT80</f>
        <v>0</v>
      </c>
      <c r="AU80" s="8">
        <f>Renta_Alta!AU80+Masivo!AU80+Consumo_Inicial!AU80</f>
        <v>0</v>
      </c>
      <c r="AV80" s="8">
        <f>Renta_Alta!AV80+Masivo!AV80+Consumo_Inicial!AV80</f>
        <v>0</v>
      </c>
      <c r="AW80" s="8">
        <f>Renta_Alta!AW80+Masivo!AW80+Consumo_Inicial!AW80</f>
        <v>0</v>
      </c>
      <c r="AX80" s="8">
        <f>Renta_Alta!AX80+Masivo!AX80+Consumo_Inicial!AX80</f>
        <v>0</v>
      </c>
      <c r="AY80" s="8">
        <f>Renta_Alta!AY80+Masivo!AY80+Consumo_Inicial!AY80</f>
        <v>0</v>
      </c>
      <c r="AZ80" s="8">
        <f>Renta_Alta!AZ80+Masivo!AZ80+Consumo_Inicial!AZ80</f>
        <v>0</v>
      </c>
      <c r="BA80" s="8">
        <f>Renta_Alta!BA80+Masivo!BA80+Consumo_Inicial!BA80</f>
        <v>0</v>
      </c>
      <c r="BB80" s="8">
        <f>Renta_Alta!BB80+Masivo!BB80+Consumo_Inicial!BB80</f>
        <v>0</v>
      </c>
      <c r="BC80" s="8">
        <f>Renta_Alta!BC80+Masivo!BC80+Consumo_Inicial!BC80</f>
        <v>0</v>
      </c>
      <c r="BD80" s="8">
        <f>Renta_Alta!BD80+Masivo!BD80+Consumo_Inicial!BD80</f>
        <v>0</v>
      </c>
      <c r="BE80" s="8">
        <f>Renta_Alta!BE80+Masivo!BE80+Consumo_Inicial!BE80</f>
        <v>0</v>
      </c>
      <c r="BF80" s="8">
        <f>Renta_Alta!BF80+Masivo!BF80+Consumo_Inicial!BF80</f>
        <v>0</v>
      </c>
      <c r="BG80" s="8">
        <f>Renta_Alta!BG80+Masivo!BG80+Consumo_Inicial!BG80</f>
        <v>0</v>
      </c>
      <c r="BH80" s="8">
        <f>Renta_Alta!BH80+Masivo!BH80+Consumo_Inicial!BH80</f>
        <v>0</v>
      </c>
      <c r="BI80" s="8">
        <f>Renta_Alta!BI80+Masivo!BI80+Consumo_Inicial!BI80</f>
        <v>0</v>
      </c>
      <c r="BJ80" s="8">
        <f>Renta_Alta!BJ80+Masivo!BJ80+Consumo_Inicial!BJ80</f>
        <v>0</v>
      </c>
      <c r="BK80" s="8">
        <f>Renta_Alta!BK80+Masivo!BK80+Consumo_Inicial!BK80</f>
        <v>0</v>
      </c>
      <c r="BO80" s="24">
        <f t="shared" si="247"/>
        <v>0</v>
      </c>
      <c r="BP80" s="24">
        <f t="shared" si="247"/>
        <v>0</v>
      </c>
      <c r="BQ80" s="24">
        <f t="shared" si="247"/>
        <v>0</v>
      </c>
      <c r="BR80" s="24">
        <f t="shared" si="247"/>
        <v>0</v>
      </c>
      <c r="BS80" s="24">
        <f t="shared" si="247"/>
        <v>0</v>
      </c>
      <c r="BT80" s="24">
        <f t="shared" si="247"/>
        <v>0</v>
      </c>
    </row>
    <row r="81" spans="1:72" hidden="1" outlineLevel="1" x14ac:dyDescent="0.25">
      <c r="A81" s="11" t="s">
        <v>71</v>
      </c>
      <c r="C81" s="2"/>
      <c r="D81" s="8">
        <f>Renta_Alta!D81+Masivo!D81+Consumo_Inicial!D81</f>
        <v>0</v>
      </c>
      <c r="E81" s="8">
        <f>Renta_Alta!E81+Masivo!E81+Consumo_Inicial!E81</f>
        <v>0</v>
      </c>
      <c r="F81" s="8">
        <f>Renta_Alta!F81+Masivo!F81+Consumo_Inicial!F81</f>
        <v>0</v>
      </c>
      <c r="G81" s="8">
        <f>Renta_Alta!G81+Masivo!G81+Consumo_Inicial!G81</f>
        <v>0</v>
      </c>
      <c r="H81" s="8">
        <f>Renta_Alta!H81+Masivo!H81+Consumo_Inicial!H81</f>
        <v>0</v>
      </c>
      <c r="I81" s="8">
        <f>Renta_Alta!I81+Masivo!I81+Consumo_Inicial!I81</f>
        <v>0</v>
      </c>
      <c r="J81" s="8">
        <f>Renta_Alta!J81+Masivo!J81+Consumo_Inicial!J81</f>
        <v>0</v>
      </c>
      <c r="K81" s="8">
        <f>Renta_Alta!K81+Masivo!K81+Consumo_Inicial!K81</f>
        <v>0</v>
      </c>
      <c r="L81" s="8">
        <f>Renta_Alta!L81+Masivo!L81+Consumo_Inicial!L81</f>
        <v>0</v>
      </c>
      <c r="M81" s="8">
        <f>Renta_Alta!M81+Masivo!M81+Consumo_Inicial!M81</f>
        <v>0</v>
      </c>
      <c r="N81" s="8">
        <f>Renta_Alta!N81+Masivo!N81+Consumo_Inicial!N81</f>
        <v>0</v>
      </c>
      <c r="O81" s="8">
        <f>Renta_Alta!O81+Masivo!O81+Consumo_Inicial!O81</f>
        <v>0</v>
      </c>
      <c r="P81" s="8">
        <f>Renta_Alta!P81+Masivo!P81+Consumo_Inicial!P81</f>
        <v>0</v>
      </c>
      <c r="Q81" s="8">
        <f>Renta_Alta!Q81+Masivo!Q81+Consumo_Inicial!Q81</f>
        <v>0</v>
      </c>
      <c r="R81" s="8">
        <f>Renta_Alta!R81+Masivo!R81+Consumo_Inicial!R81</f>
        <v>0</v>
      </c>
      <c r="S81" s="8">
        <f>Renta_Alta!S81+Masivo!S81+Consumo_Inicial!S81</f>
        <v>0</v>
      </c>
      <c r="T81" s="8">
        <f>Renta_Alta!T81+Masivo!T81+Consumo_Inicial!T81</f>
        <v>0</v>
      </c>
      <c r="U81" s="8">
        <f>Renta_Alta!U81+Masivo!U81+Consumo_Inicial!U81</f>
        <v>0</v>
      </c>
      <c r="V81" s="8">
        <f>Renta_Alta!V81+Masivo!V81+Consumo_Inicial!V81</f>
        <v>0</v>
      </c>
      <c r="W81" s="8">
        <f>Renta_Alta!W81+Masivo!W81+Consumo_Inicial!W81</f>
        <v>0</v>
      </c>
      <c r="X81" s="8">
        <f>Renta_Alta!X81+Masivo!X81+Consumo_Inicial!X81</f>
        <v>0</v>
      </c>
      <c r="Y81" s="8">
        <f>Renta_Alta!Y81+Masivo!Y81+Consumo_Inicial!Y81</f>
        <v>0</v>
      </c>
      <c r="Z81" s="8">
        <f>Renta_Alta!Z81+Masivo!Z81+Consumo_Inicial!Z81</f>
        <v>0</v>
      </c>
      <c r="AA81" s="8">
        <f>Renta_Alta!AA81+Masivo!AA81+Consumo_Inicial!AA81</f>
        <v>0</v>
      </c>
      <c r="AB81" s="8">
        <f>Renta_Alta!AB81+Masivo!AB81+Consumo_Inicial!AB81</f>
        <v>0</v>
      </c>
      <c r="AC81" s="8">
        <f>Renta_Alta!AC81+Masivo!AC81+Consumo_Inicial!AC81</f>
        <v>0</v>
      </c>
      <c r="AD81" s="8">
        <f>Renta_Alta!AD81+Masivo!AD81+Consumo_Inicial!AD81</f>
        <v>0</v>
      </c>
      <c r="AE81" s="8">
        <f>Renta_Alta!AE81+Masivo!AE81+Consumo_Inicial!AE81</f>
        <v>0</v>
      </c>
      <c r="AF81" s="8">
        <f>Renta_Alta!AF81+Masivo!AF81+Consumo_Inicial!AF81</f>
        <v>0</v>
      </c>
      <c r="AG81" s="8">
        <f>Renta_Alta!AG81+Masivo!AG81+Consumo_Inicial!AG81</f>
        <v>0</v>
      </c>
      <c r="AH81" s="8">
        <f>Renta_Alta!AH81+Masivo!AH81+Consumo_Inicial!AH81</f>
        <v>0</v>
      </c>
      <c r="AI81" s="8">
        <f>Renta_Alta!AI81+Masivo!AI81+Consumo_Inicial!AI81</f>
        <v>0</v>
      </c>
      <c r="AJ81" s="8">
        <f>Renta_Alta!AJ81+Masivo!AJ81+Consumo_Inicial!AJ81</f>
        <v>0</v>
      </c>
      <c r="AK81" s="8">
        <f>Renta_Alta!AK81+Masivo!AK81+Consumo_Inicial!AK81</f>
        <v>0</v>
      </c>
      <c r="AL81" s="8">
        <f>Renta_Alta!AL81+Masivo!AL81+Consumo_Inicial!AL81</f>
        <v>0</v>
      </c>
      <c r="AM81" s="8">
        <f>Renta_Alta!AM81+Masivo!AM81+Consumo_Inicial!AM81</f>
        <v>0</v>
      </c>
      <c r="AN81" s="8">
        <f>Renta_Alta!AN81+Masivo!AN81+Consumo_Inicial!AN81</f>
        <v>0</v>
      </c>
      <c r="AO81" s="8">
        <f>Renta_Alta!AO81+Masivo!AO81+Consumo_Inicial!AO81</f>
        <v>0</v>
      </c>
      <c r="AP81" s="8">
        <f>Renta_Alta!AP81+Masivo!AP81+Consumo_Inicial!AP81</f>
        <v>0</v>
      </c>
      <c r="AQ81" s="8">
        <f>Renta_Alta!AQ81+Masivo!AQ81+Consumo_Inicial!AQ81</f>
        <v>0</v>
      </c>
      <c r="AR81" s="8">
        <f>Renta_Alta!AR81+Masivo!AR81+Consumo_Inicial!AR81</f>
        <v>0</v>
      </c>
      <c r="AS81" s="8">
        <f>Renta_Alta!AS81+Masivo!AS81+Consumo_Inicial!AS81</f>
        <v>0</v>
      </c>
      <c r="AT81" s="8">
        <f>Renta_Alta!AT81+Masivo!AT81+Consumo_Inicial!AT81</f>
        <v>0</v>
      </c>
      <c r="AU81" s="8">
        <f>Renta_Alta!AU81+Masivo!AU81+Consumo_Inicial!AU81</f>
        <v>0</v>
      </c>
      <c r="AV81" s="8">
        <f>Renta_Alta!AV81+Masivo!AV81+Consumo_Inicial!AV81</f>
        <v>0</v>
      </c>
      <c r="AW81" s="8">
        <f>Renta_Alta!AW81+Masivo!AW81+Consumo_Inicial!AW81</f>
        <v>0</v>
      </c>
      <c r="AX81" s="8">
        <f>Renta_Alta!AX81+Masivo!AX81+Consumo_Inicial!AX81</f>
        <v>0</v>
      </c>
      <c r="AY81" s="8">
        <f>Renta_Alta!AY81+Masivo!AY81+Consumo_Inicial!AY81</f>
        <v>0</v>
      </c>
      <c r="AZ81" s="8">
        <f>Renta_Alta!AZ81+Masivo!AZ81+Consumo_Inicial!AZ81</f>
        <v>0</v>
      </c>
      <c r="BA81" s="8">
        <f>Renta_Alta!BA81+Masivo!BA81+Consumo_Inicial!BA81</f>
        <v>0</v>
      </c>
      <c r="BB81" s="8">
        <f>Renta_Alta!BB81+Masivo!BB81+Consumo_Inicial!BB81</f>
        <v>0</v>
      </c>
      <c r="BC81" s="8">
        <f>Renta_Alta!BC81+Masivo!BC81+Consumo_Inicial!BC81</f>
        <v>0</v>
      </c>
      <c r="BD81" s="8">
        <f>Renta_Alta!BD81+Masivo!BD81+Consumo_Inicial!BD81</f>
        <v>0</v>
      </c>
      <c r="BE81" s="8">
        <f>Renta_Alta!BE81+Masivo!BE81+Consumo_Inicial!BE81</f>
        <v>0</v>
      </c>
      <c r="BF81" s="8">
        <f>Renta_Alta!BF81+Masivo!BF81+Consumo_Inicial!BF81</f>
        <v>0</v>
      </c>
      <c r="BG81" s="8">
        <f>Renta_Alta!BG81+Masivo!BG81+Consumo_Inicial!BG81</f>
        <v>0</v>
      </c>
      <c r="BH81" s="8">
        <f>Renta_Alta!BH81+Masivo!BH81+Consumo_Inicial!BH81</f>
        <v>0</v>
      </c>
      <c r="BI81" s="8">
        <f>Renta_Alta!BI81+Masivo!BI81+Consumo_Inicial!BI81</f>
        <v>0</v>
      </c>
      <c r="BJ81" s="8">
        <f>Renta_Alta!BJ81+Masivo!BJ81+Consumo_Inicial!BJ81</f>
        <v>0</v>
      </c>
      <c r="BK81" s="8">
        <f>Renta_Alta!BK81+Masivo!BK81+Consumo_Inicial!BK81</f>
        <v>0</v>
      </c>
      <c r="BO81" s="24">
        <f t="shared" si="247"/>
        <v>0</v>
      </c>
      <c r="BP81" s="24">
        <f t="shared" si="247"/>
        <v>0</v>
      </c>
      <c r="BQ81" s="24">
        <f t="shared" si="247"/>
        <v>0</v>
      </c>
      <c r="BR81" s="24">
        <f t="shared" si="247"/>
        <v>0</v>
      </c>
      <c r="BS81" s="24">
        <f t="shared" si="247"/>
        <v>0</v>
      </c>
      <c r="BT81" s="24">
        <f t="shared" si="247"/>
        <v>0</v>
      </c>
    </row>
    <row r="82" spans="1:72" hidden="1" outlineLevel="1" x14ac:dyDescent="0.25">
      <c r="A82" s="11" t="s">
        <v>71</v>
      </c>
      <c r="C82" s="2"/>
      <c r="D82" s="8">
        <f>Renta_Alta!D82+Masivo!D82+Consumo_Inicial!D82</f>
        <v>0</v>
      </c>
      <c r="E82" s="8">
        <f>Renta_Alta!E82+Masivo!E82+Consumo_Inicial!E82</f>
        <v>0</v>
      </c>
      <c r="F82" s="8">
        <f>Renta_Alta!F82+Masivo!F82+Consumo_Inicial!F82</f>
        <v>0</v>
      </c>
      <c r="G82" s="8">
        <f>Renta_Alta!G82+Masivo!G82+Consumo_Inicial!G82</f>
        <v>0</v>
      </c>
      <c r="H82" s="8">
        <f>Renta_Alta!H82+Masivo!H82+Consumo_Inicial!H82</f>
        <v>0</v>
      </c>
      <c r="I82" s="8">
        <f>Renta_Alta!I82+Masivo!I82+Consumo_Inicial!I82</f>
        <v>0</v>
      </c>
      <c r="J82" s="8">
        <f>Renta_Alta!J82+Masivo!J82+Consumo_Inicial!J82</f>
        <v>0</v>
      </c>
      <c r="K82" s="8">
        <f>Renta_Alta!K82+Masivo!K82+Consumo_Inicial!K82</f>
        <v>0</v>
      </c>
      <c r="L82" s="8">
        <f>Renta_Alta!L82+Masivo!L82+Consumo_Inicial!L82</f>
        <v>0</v>
      </c>
      <c r="M82" s="8">
        <f>Renta_Alta!M82+Masivo!M82+Consumo_Inicial!M82</f>
        <v>0</v>
      </c>
      <c r="N82" s="8">
        <f>Renta_Alta!N82+Masivo!N82+Consumo_Inicial!N82</f>
        <v>0</v>
      </c>
      <c r="O82" s="8">
        <f>Renta_Alta!O82+Masivo!O82+Consumo_Inicial!O82</f>
        <v>0</v>
      </c>
      <c r="P82" s="8">
        <f>Renta_Alta!P82+Masivo!P82+Consumo_Inicial!P82</f>
        <v>0</v>
      </c>
      <c r="Q82" s="8">
        <f>Renta_Alta!Q82+Masivo!Q82+Consumo_Inicial!Q82</f>
        <v>0</v>
      </c>
      <c r="R82" s="8">
        <f>Renta_Alta!R82+Masivo!R82+Consumo_Inicial!R82</f>
        <v>0</v>
      </c>
      <c r="S82" s="8">
        <f>Renta_Alta!S82+Masivo!S82+Consumo_Inicial!S82</f>
        <v>0</v>
      </c>
      <c r="T82" s="8">
        <f>Renta_Alta!T82+Masivo!T82+Consumo_Inicial!T82</f>
        <v>0</v>
      </c>
      <c r="U82" s="8">
        <f>Renta_Alta!U82+Masivo!U82+Consumo_Inicial!U82</f>
        <v>0</v>
      </c>
      <c r="V82" s="8">
        <f>Renta_Alta!V82+Masivo!V82+Consumo_Inicial!V82</f>
        <v>0</v>
      </c>
      <c r="W82" s="8">
        <f>Renta_Alta!W82+Masivo!W82+Consumo_Inicial!W82</f>
        <v>0</v>
      </c>
      <c r="X82" s="8">
        <f>Renta_Alta!X82+Masivo!X82+Consumo_Inicial!X82</f>
        <v>0</v>
      </c>
      <c r="Y82" s="8">
        <f>Renta_Alta!Y82+Masivo!Y82+Consumo_Inicial!Y82</f>
        <v>0</v>
      </c>
      <c r="Z82" s="8">
        <f>Renta_Alta!Z82+Masivo!Z82+Consumo_Inicial!Z82</f>
        <v>0</v>
      </c>
      <c r="AA82" s="8">
        <f>Renta_Alta!AA82+Masivo!AA82+Consumo_Inicial!AA82</f>
        <v>0</v>
      </c>
      <c r="AB82" s="8">
        <f>Renta_Alta!AB82+Masivo!AB82+Consumo_Inicial!AB82</f>
        <v>0</v>
      </c>
      <c r="AC82" s="8">
        <f>Renta_Alta!AC82+Masivo!AC82+Consumo_Inicial!AC82</f>
        <v>0</v>
      </c>
      <c r="AD82" s="8">
        <f>Renta_Alta!AD82+Masivo!AD82+Consumo_Inicial!AD82</f>
        <v>0</v>
      </c>
      <c r="AE82" s="8">
        <f>Renta_Alta!AE82+Masivo!AE82+Consumo_Inicial!AE82</f>
        <v>0</v>
      </c>
      <c r="AF82" s="8">
        <f>Renta_Alta!AF82+Masivo!AF82+Consumo_Inicial!AF82</f>
        <v>0</v>
      </c>
      <c r="AG82" s="8">
        <f>Renta_Alta!AG82+Masivo!AG82+Consumo_Inicial!AG82</f>
        <v>0</v>
      </c>
      <c r="AH82" s="8">
        <f>Renta_Alta!AH82+Masivo!AH82+Consumo_Inicial!AH82</f>
        <v>0</v>
      </c>
      <c r="AI82" s="8">
        <f>Renta_Alta!AI82+Masivo!AI82+Consumo_Inicial!AI82</f>
        <v>0</v>
      </c>
      <c r="AJ82" s="8">
        <f>Renta_Alta!AJ82+Masivo!AJ82+Consumo_Inicial!AJ82</f>
        <v>0</v>
      </c>
      <c r="AK82" s="8">
        <f>Renta_Alta!AK82+Masivo!AK82+Consumo_Inicial!AK82</f>
        <v>0</v>
      </c>
      <c r="AL82" s="8">
        <f>Renta_Alta!AL82+Masivo!AL82+Consumo_Inicial!AL82</f>
        <v>0</v>
      </c>
      <c r="AM82" s="8">
        <f>Renta_Alta!AM82+Masivo!AM82+Consumo_Inicial!AM82</f>
        <v>0</v>
      </c>
      <c r="AN82" s="8">
        <f>Renta_Alta!AN82+Masivo!AN82+Consumo_Inicial!AN82</f>
        <v>0</v>
      </c>
      <c r="AO82" s="8">
        <f>Renta_Alta!AO82+Masivo!AO82+Consumo_Inicial!AO82</f>
        <v>0</v>
      </c>
      <c r="AP82" s="8">
        <f>Renta_Alta!AP82+Masivo!AP82+Consumo_Inicial!AP82</f>
        <v>0</v>
      </c>
      <c r="AQ82" s="8">
        <f>Renta_Alta!AQ82+Masivo!AQ82+Consumo_Inicial!AQ82</f>
        <v>0</v>
      </c>
      <c r="AR82" s="8">
        <f>Renta_Alta!AR82+Masivo!AR82+Consumo_Inicial!AR82</f>
        <v>0</v>
      </c>
      <c r="AS82" s="8">
        <f>Renta_Alta!AS82+Masivo!AS82+Consumo_Inicial!AS82</f>
        <v>0</v>
      </c>
      <c r="AT82" s="8">
        <f>Renta_Alta!AT82+Masivo!AT82+Consumo_Inicial!AT82</f>
        <v>0</v>
      </c>
      <c r="AU82" s="8">
        <f>Renta_Alta!AU82+Masivo!AU82+Consumo_Inicial!AU82</f>
        <v>0</v>
      </c>
      <c r="AV82" s="8">
        <f>Renta_Alta!AV82+Masivo!AV82+Consumo_Inicial!AV82</f>
        <v>0</v>
      </c>
      <c r="AW82" s="8">
        <f>Renta_Alta!AW82+Masivo!AW82+Consumo_Inicial!AW82</f>
        <v>0</v>
      </c>
      <c r="AX82" s="8">
        <f>Renta_Alta!AX82+Masivo!AX82+Consumo_Inicial!AX82</f>
        <v>0</v>
      </c>
      <c r="AY82" s="8">
        <f>Renta_Alta!AY82+Masivo!AY82+Consumo_Inicial!AY82</f>
        <v>0</v>
      </c>
      <c r="AZ82" s="8">
        <f>Renta_Alta!AZ82+Masivo!AZ82+Consumo_Inicial!AZ82</f>
        <v>0</v>
      </c>
      <c r="BA82" s="8">
        <f>Renta_Alta!BA82+Masivo!BA82+Consumo_Inicial!BA82</f>
        <v>0</v>
      </c>
      <c r="BB82" s="8">
        <f>Renta_Alta!BB82+Masivo!BB82+Consumo_Inicial!BB82</f>
        <v>0</v>
      </c>
      <c r="BC82" s="8">
        <f>Renta_Alta!BC82+Masivo!BC82+Consumo_Inicial!BC82</f>
        <v>0</v>
      </c>
      <c r="BD82" s="8">
        <f>Renta_Alta!BD82+Masivo!BD82+Consumo_Inicial!BD82</f>
        <v>0</v>
      </c>
      <c r="BE82" s="8">
        <f>Renta_Alta!BE82+Masivo!BE82+Consumo_Inicial!BE82</f>
        <v>0</v>
      </c>
      <c r="BF82" s="8">
        <f>Renta_Alta!BF82+Masivo!BF82+Consumo_Inicial!BF82</f>
        <v>0</v>
      </c>
      <c r="BG82" s="8">
        <f>Renta_Alta!BG82+Masivo!BG82+Consumo_Inicial!BG82</f>
        <v>0</v>
      </c>
      <c r="BH82" s="8">
        <f>Renta_Alta!BH82+Masivo!BH82+Consumo_Inicial!BH82</f>
        <v>0</v>
      </c>
      <c r="BI82" s="8">
        <f>Renta_Alta!BI82+Masivo!BI82+Consumo_Inicial!BI82</f>
        <v>0</v>
      </c>
      <c r="BJ82" s="8">
        <f>Renta_Alta!BJ82+Masivo!BJ82+Consumo_Inicial!BJ82</f>
        <v>0</v>
      </c>
      <c r="BK82" s="8">
        <f>Renta_Alta!BK82+Masivo!BK82+Consumo_Inicial!BK82</f>
        <v>0</v>
      </c>
      <c r="BO82" s="24">
        <f t="shared" si="247"/>
        <v>0</v>
      </c>
      <c r="BP82" s="24">
        <f t="shared" si="247"/>
        <v>0</v>
      </c>
      <c r="BQ82" s="24">
        <f t="shared" si="247"/>
        <v>0</v>
      </c>
      <c r="BR82" s="24">
        <f t="shared" si="247"/>
        <v>0</v>
      </c>
      <c r="BS82" s="24">
        <f t="shared" si="247"/>
        <v>0</v>
      </c>
      <c r="BT82" s="24">
        <f t="shared" si="247"/>
        <v>0</v>
      </c>
    </row>
    <row r="83" spans="1:72" collapsed="1" x14ac:dyDescent="0.25">
      <c r="C83" s="3" t="s">
        <v>71</v>
      </c>
      <c r="D83" s="10">
        <f t="shared" ref="D83:AY83" si="248">SUM(D63:D82)</f>
        <v>1175.0624578428824</v>
      </c>
      <c r="E83" s="10">
        <f t="shared" si="248"/>
        <v>1036.3465022050605</v>
      </c>
      <c r="F83" s="10">
        <f t="shared" si="248"/>
        <v>1109.7963311132467</v>
      </c>
      <c r="G83" s="10">
        <f t="shared" si="248"/>
        <v>1121.614716742258</v>
      </c>
      <c r="H83" s="10">
        <f t="shared" si="248"/>
        <v>955.99943526498475</v>
      </c>
      <c r="I83" s="10">
        <f t="shared" si="248"/>
        <v>775.58717712413738</v>
      </c>
      <c r="J83" s="10">
        <f t="shared" si="248"/>
        <v>776.17124979730261</v>
      </c>
      <c r="K83" s="10">
        <f t="shared" si="248"/>
        <v>781.01107107041116</v>
      </c>
      <c r="L83" s="10">
        <f t="shared" si="248"/>
        <v>559.63013489034915</v>
      </c>
      <c r="M83" s="10">
        <f t="shared" si="248"/>
        <v>894.51658066960442</v>
      </c>
      <c r="N83" s="10">
        <f t="shared" si="248"/>
        <v>544.44178695807773</v>
      </c>
      <c r="O83" s="10">
        <f t="shared" si="248"/>
        <v>831.67236718947197</v>
      </c>
      <c r="P83" s="10">
        <f t="shared" si="248"/>
        <v>753.70559882820112</v>
      </c>
      <c r="Q83" s="10">
        <f t="shared" si="248"/>
        <v>501.42026739267214</v>
      </c>
      <c r="R83" s="10">
        <f t="shared" si="248"/>
        <v>679.67601803597404</v>
      </c>
      <c r="S83" s="10">
        <f t="shared" si="248"/>
        <v>708.02004483968472</v>
      </c>
      <c r="T83" s="10">
        <f t="shared" si="248"/>
        <v>734.74854785221487</v>
      </c>
      <c r="U83" s="10">
        <f t="shared" si="248"/>
        <v>735.06886034519141</v>
      </c>
      <c r="V83" s="10">
        <f t="shared" si="248"/>
        <v>912.70393786379634</v>
      </c>
      <c r="W83" s="10">
        <f t="shared" si="248"/>
        <v>871.0926151770509</v>
      </c>
      <c r="X83" s="10">
        <f t="shared" si="248"/>
        <v>1157.7011988383833</v>
      </c>
      <c r="Y83" s="10">
        <f t="shared" si="248"/>
        <v>42.152826062480159</v>
      </c>
      <c r="Z83" s="10">
        <f t="shared" si="248"/>
        <v>455.73260441746379</v>
      </c>
      <c r="AA83" s="10">
        <f t="shared" si="248"/>
        <v>965.35051673330008</v>
      </c>
      <c r="AB83" s="10">
        <f t="shared" si="248"/>
        <v>1037.3735447613069</v>
      </c>
      <c r="AC83" s="10">
        <f t="shared" si="248"/>
        <v>902.33673046556953</v>
      </c>
      <c r="AD83" s="10">
        <f t="shared" si="248"/>
        <v>1042.1873039410514</v>
      </c>
      <c r="AE83" s="10">
        <f t="shared" si="248"/>
        <v>1103.734555866743</v>
      </c>
      <c r="AF83" s="10">
        <f t="shared" si="248"/>
        <v>958.60360120786891</v>
      </c>
      <c r="AG83" s="10">
        <f t="shared" si="248"/>
        <v>1111.4047088210775</v>
      </c>
      <c r="AH83" s="10">
        <f t="shared" si="248"/>
        <v>955.24774453576572</v>
      </c>
      <c r="AI83" s="10">
        <f t="shared" si="248"/>
        <v>1027.4512144824428</v>
      </c>
      <c r="AJ83" s="10">
        <f t="shared" si="248"/>
        <v>800.4144011383928</v>
      </c>
      <c r="AK83" s="10">
        <f t="shared" si="248"/>
        <v>1197.9962181704923</v>
      </c>
      <c r="AL83" s="10">
        <f t="shared" si="248"/>
        <v>1342.4138558765931</v>
      </c>
      <c r="AM83" s="10">
        <f t="shared" si="248"/>
        <v>1439.3470522904884</v>
      </c>
      <c r="AN83" s="10">
        <f t="shared" si="248"/>
        <v>1223.1741676215738</v>
      </c>
      <c r="AO83" s="10">
        <f t="shared" si="248"/>
        <v>907.52849462002621</v>
      </c>
      <c r="AP83" s="10">
        <f t="shared" si="248"/>
        <v>1408.4740153220444</v>
      </c>
      <c r="AQ83" s="10">
        <f t="shared" si="248"/>
        <v>1164.4041981306875</v>
      </c>
      <c r="AR83" s="10">
        <f t="shared" si="248"/>
        <v>1636.4660689363163</v>
      </c>
      <c r="AS83" s="10">
        <f t="shared" si="248"/>
        <v>1100.3997502163079</v>
      </c>
      <c r="AT83" s="10">
        <f t="shared" si="248"/>
        <v>0</v>
      </c>
      <c r="AU83" s="10">
        <f t="shared" si="248"/>
        <v>0</v>
      </c>
      <c r="AV83" s="10">
        <f t="shared" si="248"/>
        <v>0</v>
      </c>
      <c r="AW83" s="10">
        <f t="shared" si="248"/>
        <v>0</v>
      </c>
      <c r="AX83" s="10">
        <f t="shared" si="248"/>
        <v>0</v>
      </c>
      <c r="AY83" s="10">
        <f t="shared" si="248"/>
        <v>0</v>
      </c>
      <c r="AZ83" s="10">
        <f t="shared" ref="AZ83:BK83" si="249">SUM(AZ63:AZ82)</f>
        <v>1060.6993865441184</v>
      </c>
      <c r="BA83" s="10">
        <f t="shared" si="249"/>
        <v>1062.8497320710824</v>
      </c>
      <c r="BB83" s="10">
        <f t="shared" si="249"/>
        <v>1064.5204692000875</v>
      </c>
      <c r="BC83" s="10">
        <f t="shared" si="249"/>
        <v>1066.5005535184255</v>
      </c>
      <c r="BD83" s="10">
        <f t="shared" si="249"/>
        <v>1068.9414368616274</v>
      </c>
      <c r="BE83" s="10">
        <f t="shared" si="249"/>
        <v>1071.7373124100241</v>
      </c>
      <c r="BF83" s="10">
        <f t="shared" si="249"/>
        <v>1074.1824677592695</v>
      </c>
      <c r="BG83" s="10">
        <f t="shared" si="249"/>
        <v>1077.6401286007301</v>
      </c>
      <c r="BH83" s="10">
        <f t="shared" si="249"/>
        <v>1080.9658787931244</v>
      </c>
      <c r="BI83" s="10">
        <f t="shared" si="249"/>
        <v>1085.1178782987613</v>
      </c>
      <c r="BJ83" s="10">
        <f t="shared" si="249"/>
        <v>1088.5173403294671</v>
      </c>
      <c r="BK83" s="10">
        <f t="shared" si="249"/>
        <v>1087.4192258058108</v>
      </c>
      <c r="BO83" s="23">
        <f>SUM(BO63:BO82)</f>
        <v>3539.1766775636443</v>
      </c>
      <c r="BP83" s="23">
        <f t="shared" ref="BP83:BT83" si="250">SUM(BP63:BP82)</f>
        <v>3188.0695878152883</v>
      </c>
      <c r="BQ83" s="23">
        <f t="shared" si="250"/>
        <v>2130.7026622416001</v>
      </c>
      <c r="BR83" s="23">
        <f t="shared" si="250"/>
        <v>2981.8975791679277</v>
      </c>
      <c r="BS83" s="23">
        <f t="shared" si="250"/>
        <v>1934.8018842568474</v>
      </c>
      <c r="BT83" s="23">
        <f t="shared" si="250"/>
        <v>3321.2052911611891</v>
      </c>
    </row>
    <row r="86" spans="1:72" hidden="1" outlineLevel="1" x14ac:dyDescent="0.25">
      <c r="A86" s="11" t="s">
        <v>76</v>
      </c>
      <c r="C86" s="2" t="s">
        <v>79</v>
      </c>
      <c r="D86" s="8">
        <f>Renta_Alta!D86+Masivo!D86+Consumo_Inicial!D86</f>
        <v>-3441.8770618082999</v>
      </c>
      <c r="E86" s="8">
        <f>Renta_Alta!E86+Masivo!E86+Consumo_Inicial!E86</f>
        <v>-3422.4238962836998</v>
      </c>
      <c r="F86" s="8">
        <f>Renta_Alta!F86+Masivo!F86+Consumo_Inicial!F86</f>
        <v>-3786.9534091284004</v>
      </c>
      <c r="G86" s="8">
        <f>Renta_Alta!G86+Masivo!G86+Consumo_Inicial!G86</f>
        <v>-3850.8540988975005</v>
      </c>
      <c r="H86" s="8">
        <f>Renta_Alta!H86+Masivo!H86+Consumo_Inicial!H86</f>
        <v>-3732.0761557420001</v>
      </c>
      <c r="I86" s="8">
        <f>Renta_Alta!I86+Masivo!I86+Consumo_Inicial!I86</f>
        <v>-3815.6450918907999</v>
      </c>
      <c r="J86" s="8">
        <f>Renta_Alta!J86+Masivo!J86+Consumo_Inicial!J86</f>
        <v>-3507.4620513826999</v>
      </c>
      <c r="K86" s="8">
        <f>Renta_Alta!K86+Masivo!K86+Consumo_Inicial!K86</f>
        <v>-3271.5760922351005</v>
      </c>
      <c r="L86" s="8">
        <f>Renta_Alta!L86+Masivo!L86+Consumo_Inicial!L86</f>
        <v>-3553.6978078534999</v>
      </c>
      <c r="M86" s="8">
        <f>Renta_Alta!M86+Masivo!M86+Consumo_Inicial!M86</f>
        <v>-3377.2229733393997</v>
      </c>
      <c r="N86" s="8">
        <f>Renta_Alta!N86+Masivo!N86+Consumo_Inicial!N86</f>
        <v>-3340.4011298051</v>
      </c>
      <c r="O86" s="8">
        <f>Renta_Alta!O86+Masivo!O86+Consumo_Inicial!O86</f>
        <v>-3413.2162542096003</v>
      </c>
      <c r="P86" s="8">
        <f>Renta_Alta!P86+Masivo!P86+Consumo_Inicial!P86</f>
        <v>-3177.8286039641002</v>
      </c>
      <c r="Q86" s="8">
        <f>Renta_Alta!Q86+Masivo!Q86+Consumo_Inicial!Q86</f>
        <v>-3786.7495563044004</v>
      </c>
      <c r="R86" s="8">
        <f>Renta_Alta!R86+Masivo!R86+Consumo_Inicial!R86</f>
        <v>-3717.2689307093005</v>
      </c>
      <c r="S86" s="8">
        <f>Renta_Alta!S86+Masivo!S86+Consumo_Inicial!S86</f>
        <v>-3584.1498567876997</v>
      </c>
      <c r="T86" s="8">
        <f>Renta_Alta!T86+Masivo!T86+Consumo_Inicial!T86</f>
        <v>-3846.4494343246001</v>
      </c>
      <c r="U86" s="8">
        <f>Renta_Alta!U86+Masivo!U86+Consumo_Inicial!U86</f>
        <v>-3405.8491030688001</v>
      </c>
      <c r="V86" s="8">
        <f>Renta_Alta!V86+Masivo!V86+Consumo_Inicial!V86</f>
        <v>-3873.5416362434999</v>
      </c>
      <c r="W86" s="8">
        <f>Renta_Alta!W86+Masivo!W86+Consumo_Inicial!W86</f>
        <v>-3883.5335515165002</v>
      </c>
      <c r="X86" s="8">
        <f>Renta_Alta!X86+Masivo!X86+Consumo_Inicial!X86</f>
        <v>-3700.3253837126003</v>
      </c>
      <c r="Y86" s="8">
        <f>Renta_Alta!Y86+Masivo!Y86+Consumo_Inicial!Y86</f>
        <v>-3690.2684369722001</v>
      </c>
      <c r="Z86" s="8">
        <f>Renta_Alta!Z86+Masivo!Z86+Consumo_Inicial!Z86</f>
        <v>-4350.3505203247996</v>
      </c>
      <c r="AA86" s="8">
        <f>Renta_Alta!AA86+Masivo!AA86+Consumo_Inicial!AA86</f>
        <v>-3935.2694590448996</v>
      </c>
      <c r="AB86" s="8">
        <f>Renta_Alta!AB86+Masivo!AB86+Consumo_Inicial!AB86</f>
        <v>-4414.1861345875004</v>
      </c>
      <c r="AC86" s="8">
        <f>Renta_Alta!AC86+Masivo!AC86+Consumo_Inicial!AC86</f>
        <v>-4292.6689480765999</v>
      </c>
      <c r="AD86" s="8">
        <f>Renta_Alta!AD86+Masivo!AD86+Consumo_Inicial!AD86</f>
        <v>-4514.4541907785997</v>
      </c>
      <c r="AE86" s="8">
        <f>Renta_Alta!AE86+Masivo!AE86+Consumo_Inicial!AE86</f>
        <v>-4613.4266745891009</v>
      </c>
      <c r="AF86" s="8">
        <f>Renta_Alta!AF86+Masivo!AF86+Consumo_Inicial!AF86</f>
        <v>-4808.2685956250007</v>
      </c>
      <c r="AG86" s="8">
        <f>Renta_Alta!AG86+Masivo!AG86+Consumo_Inicial!AG86</f>
        <v>-4932.7305526755999</v>
      </c>
      <c r="AH86" s="8">
        <f>Renta_Alta!AH86+Masivo!AH86+Consumo_Inicial!AH86</f>
        <v>-5279.5940335851001</v>
      </c>
      <c r="AI86" s="8">
        <f>Renta_Alta!AI86+Masivo!AI86+Consumo_Inicial!AI86</f>
        <v>-5303.1766001919004</v>
      </c>
      <c r="AJ86" s="8">
        <f>Renta_Alta!AJ86+Masivo!AJ86+Consumo_Inicial!AJ86</f>
        <v>-4682.2308172105004</v>
      </c>
      <c r="AK86" s="8">
        <f>Renta_Alta!AK86+Masivo!AK86+Consumo_Inicial!AK86</f>
        <v>-4368.2646812332005</v>
      </c>
      <c r="AL86" s="8">
        <f>Renta_Alta!AL86+Masivo!AL86+Consumo_Inicial!AL86</f>
        <v>-4676.4174667368998</v>
      </c>
      <c r="AM86" s="8">
        <f>Renta_Alta!AM86+Masivo!AM86+Consumo_Inicial!AM86</f>
        <v>-5129.3846446624993</v>
      </c>
      <c r="AN86" s="8">
        <f>Renta_Alta!AN86+Masivo!AN86+Consumo_Inicial!AN86</f>
        <v>-4437.0218170590006</v>
      </c>
      <c r="AO86" s="8">
        <f>Renta_Alta!AO86+Masivo!AO86+Consumo_Inicial!AO86</f>
        <v>-4301.1419468289996</v>
      </c>
      <c r="AP86" s="8">
        <f>Renta_Alta!AP86+Masivo!AP86+Consumo_Inicial!AP86</f>
        <v>-4774.8364029929999</v>
      </c>
      <c r="AQ86" s="8">
        <f>Renta_Alta!AQ86+Masivo!AQ86+Consumo_Inicial!AQ86</f>
        <v>-4620.9387922931001</v>
      </c>
      <c r="AR86" s="8">
        <f>Renta_Alta!AR86+Masivo!AR86+Consumo_Inicial!AR86</f>
        <v>-5026.4508468509994</v>
      </c>
      <c r="AS86" s="8">
        <f>Renta_Alta!AS86+Masivo!AS86+Consumo_Inicial!AS86</f>
        <v>-4637.7002881088993</v>
      </c>
      <c r="AT86" s="8">
        <f>Renta_Alta!AT86+Masivo!AT86+Consumo_Inicial!AT86</f>
        <v>0</v>
      </c>
      <c r="AU86" s="8">
        <f>Renta_Alta!AU86+Masivo!AU86+Consumo_Inicial!AU86</f>
        <v>0</v>
      </c>
      <c r="AV86" s="8">
        <f>Renta_Alta!AV86+Masivo!AV86+Consumo_Inicial!AV86</f>
        <v>0</v>
      </c>
      <c r="AW86" s="8">
        <f>Renta_Alta!AW86+Masivo!AW86+Consumo_Inicial!AW86</f>
        <v>0</v>
      </c>
      <c r="AX86" s="8">
        <f>Renta_Alta!AX86+Masivo!AX86+Consumo_Inicial!AX86</f>
        <v>0</v>
      </c>
      <c r="AY86" s="8">
        <f>Renta_Alta!AY86+Masivo!AY86+Consumo_Inicial!AY86</f>
        <v>0</v>
      </c>
      <c r="AZ86" s="8">
        <f>Renta_Alta!AZ86+Masivo!AZ86+Consumo_Inicial!AZ86</f>
        <v>-4785.9893335433999</v>
      </c>
      <c r="BA86" s="8">
        <f>Renta_Alta!BA86+Masivo!BA86+Consumo_Inicial!BA86</f>
        <v>-4662.1308486438002</v>
      </c>
      <c r="BB86" s="8">
        <f>Renta_Alta!BB86+Masivo!BB86+Consumo_Inicial!BB86</f>
        <v>-4781.4027457804004</v>
      </c>
      <c r="BC86" s="8">
        <f>Renta_Alta!BC86+Masivo!BC86+Consumo_Inicial!BC86</f>
        <v>-4739.3247344488</v>
      </c>
      <c r="BD86" s="8">
        <f>Renta_Alta!BD86+Masivo!BD86+Consumo_Inicial!BD86</f>
        <v>-4944.577745175</v>
      </c>
      <c r="BE86" s="8">
        <f>Renta_Alta!BE86+Masivo!BE86+Consumo_Inicial!BE86</f>
        <v>-4987.8855842098001</v>
      </c>
      <c r="BF86" s="8">
        <f>Renta_Alta!BF86+Masivo!BF86+Consumo_Inicial!BF86</f>
        <v>-4853.2102172519008</v>
      </c>
      <c r="BG86" s="8">
        <f>Renta_Alta!BG86+Masivo!BG86+Consumo_Inicial!BG86</f>
        <v>-4922.6162917769007</v>
      </c>
      <c r="BH86" s="8">
        <f>Renta_Alta!BH86+Masivo!BH86+Consumo_Inicial!BH86</f>
        <v>-5042.8825064967004</v>
      </c>
      <c r="BI86" s="8">
        <f>Renta_Alta!BI86+Masivo!BI86+Consumo_Inicial!BI86</f>
        <v>-4915.0168405326995</v>
      </c>
      <c r="BJ86" s="8">
        <f>Renta_Alta!BJ86+Masivo!BJ86+Consumo_Inicial!BJ86</f>
        <v>-4917.2134286087003</v>
      </c>
      <c r="BK86" s="8">
        <f>Renta_Alta!BK86+Masivo!BK86+Consumo_Inicial!BK86</f>
        <v>-4960.3928461469995</v>
      </c>
      <c r="BO86" s="24">
        <f t="shared" ref="BO86:BT88" si="251">SUMIFS($D86:$BM86,$D$6:$BM$6,"&gt;="&amp;BO$2,$D$6:$BM$6,"&lt;="&amp;BO$6,$D$5:$BM$5,BO$5)</f>
        <v>-13513.000166881</v>
      </c>
      <c r="BP86" s="24">
        <f t="shared" si="251"/>
        <v>-14229.5229279676</v>
      </c>
      <c r="BQ86" s="24">
        <f t="shared" si="251"/>
        <v>-8738.1637638880002</v>
      </c>
      <c r="BR86" s="24">
        <f t="shared" si="251"/>
        <v>-13221.309273442701</v>
      </c>
      <c r="BS86" s="24">
        <f t="shared" si="251"/>
        <v>-10681.847090977801</v>
      </c>
      <c r="BT86" s="24">
        <f t="shared" si="251"/>
        <v>-10651.254367220401</v>
      </c>
    </row>
    <row r="87" spans="1:72" hidden="1" outlineLevel="1" x14ac:dyDescent="0.25">
      <c r="A87" s="11" t="s">
        <v>76</v>
      </c>
      <c r="C87" s="2" t="s">
        <v>78</v>
      </c>
      <c r="D87" s="8">
        <f>Renta_Alta!D87+Masivo!D87+Consumo_Inicial!D87</f>
        <v>-541.63680086099998</v>
      </c>
      <c r="E87" s="8">
        <f>Renta_Alta!E87+Masivo!E87+Consumo_Inicial!E87</f>
        <v>-539.37348760910004</v>
      </c>
      <c r="F87" s="8">
        <f>Renta_Alta!F87+Masivo!F87+Consumo_Inicial!F87</f>
        <v>-604.01875629810013</v>
      </c>
      <c r="G87" s="8">
        <f>Renta_Alta!G87+Masivo!G87+Consumo_Inicial!G87</f>
        <v>-561.78489834289996</v>
      </c>
      <c r="H87" s="8">
        <f>Renta_Alta!H87+Masivo!H87+Consumo_Inicial!H87</f>
        <v>-588.5327726905</v>
      </c>
      <c r="I87" s="8">
        <f>Renta_Alta!I87+Masivo!I87+Consumo_Inicial!I87</f>
        <v>-576.11848485519999</v>
      </c>
      <c r="J87" s="8">
        <f>Renta_Alta!J87+Masivo!J87+Consumo_Inicial!J87</f>
        <v>-550.83364661199994</v>
      </c>
      <c r="K87" s="8">
        <f>Renta_Alta!K87+Masivo!K87+Consumo_Inicial!K87</f>
        <v>-570.20256317270014</v>
      </c>
      <c r="L87" s="8">
        <f>Renta_Alta!L87+Masivo!L87+Consumo_Inicial!L87</f>
        <v>-566.00159176049999</v>
      </c>
      <c r="M87" s="8">
        <f>Renta_Alta!M87+Masivo!M87+Consumo_Inicial!M87</f>
        <v>-573.77918331229989</v>
      </c>
      <c r="N87" s="8">
        <f>Renta_Alta!N87+Masivo!N87+Consumo_Inicial!N87</f>
        <v>-563.97795850269995</v>
      </c>
      <c r="O87" s="8">
        <f>Renta_Alta!O87+Masivo!O87+Consumo_Inicial!O87</f>
        <v>-483.99541379589994</v>
      </c>
      <c r="P87" s="8">
        <f>Renta_Alta!P87+Masivo!P87+Consumo_Inicial!P87</f>
        <v>-593.17510769950002</v>
      </c>
      <c r="Q87" s="8">
        <f>Renta_Alta!Q87+Masivo!Q87+Consumo_Inicial!Q87</f>
        <v>-592.91514184380003</v>
      </c>
      <c r="R87" s="8">
        <f>Renta_Alta!R87+Masivo!R87+Consumo_Inicial!R87</f>
        <v>-632.85735127930002</v>
      </c>
      <c r="S87" s="8">
        <f>Renta_Alta!S87+Masivo!S87+Consumo_Inicial!S87</f>
        <v>-593.79937643149992</v>
      </c>
      <c r="T87" s="8">
        <f>Renta_Alta!T87+Masivo!T87+Consumo_Inicial!T87</f>
        <v>-623.17040460039993</v>
      </c>
      <c r="U87" s="8">
        <f>Renta_Alta!U87+Masivo!U87+Consumo_Inicial!U87</f>
        <v>-570.7267036298</v>
      </c>
      <c r="V87" s="8">
        <f>Renta_Alta!V87+Masivo!V87+Consumo_Inicial!V87</f>
        <v>-634.86976882699992</v>
      </c>
      <c r="W87" s="8">
        <f>Renta_Alta!W87+Masivo!W87+Consumo_Inicial!W87</f>
        <v>-610.34340693280001</v>
      </c>
      <c r="X87" s="8">
        <f>Renta_Alta!X87+Masivo!X87+Consumo_Inicial!X87</f>
        <v>-663.32761115439985</v>
      </c>
      <c r="Y87" s="8">
        <f>Renta_Alta!Y87+Masivo!Y87+Consumo_Inicial!Y87</f>
        <v>-673.97045426830005</v>
      </c>
      <c r="Z87" s="8">
        <f>Renta_Alta!Z87+Masivo!Z87+Consumo_Inicial!Z87</f>
        <v>-635.20385781690015</v>
      </c>
      <c r="AA87" s="8">
        <f>Renta_Alta!AA87+Masivo!AA87+Consumo_Inicial!AA87</f>
        <v>-654.37279351539996</v>
      </c>
      <c r="AB87" s="8">
        <f>Renta_Alta!AB87+Masivo!AB87+Consumo_Inicial!AB87</f>
        <v>-668.15344965959991</v>
      </c>
      <c r="AC87" s="8">
        <f>Renta_Alta!AC87+Masivo!AC87+Consumo_Inicial!AC87</f>
        <v>-624.05427207129992</v>
      </c>
      <c r="AD87" s="8">
        <f>Renta_Alta!AD87+Masivo!AD87+Consumo_Inicial!AD87</f>
        <v>-647.23175631150002</v>
      </c>
      <c r="AE87" s="8">
        <f>Renta_Alta!AE87+Masivo!AE87+Consumo_Inicial!AE87</f>
        <v>-631.59657296879993</v>
      </c>
      <c r="AF87" s="8">
        <f>Renta_Alta!AF87+Masivo!AF87+Consumo_Inicial!AF87</f>
        <v>-669.25903965460009</v>
      </c>
      <c r="AG87" s="8">
        <f>Renta_Alta!AG87+Masivo!AG87+Consumo_Inicial!AG87</f>
        <v>-659.61980090719999</v>
      </c>
      <c r="AH87" s="8">
        <f>Renta_Alta!AH87+Masivo!AH87+Consumo_Inicial!AH87</f>
        <v>-607.80671951919999</v>
      </c>
      <c r="AI87" s="8">
        <f>Renta_Alta!AI87+Masivo!AI87+Consumo_Inicial!AI87</f>
        <v>-597.07903185840007</v>
      </c>
      <c r="AJ87" s="8">
        <f>Renta_Alta!AJ87+Masivo!AJ87+Consumo_Inicial!AJ87</f>
        <v>-570.37040543749993</v>
      </c>
      <c r="AK87" s="8">
        <f>Renta_Alta!AK87+Masivo!AK87+Consumo_Inicial!AK87</f>
        <v>-592.86228061209999</v>
      </c>
      <c r="AL87" s="8">
        <f>Renta_Alta!AL87+Masivo!AL87+Consumo_Inicial!AL87</f>
        <v>-615.25732685160006</v>
      </c>
      <c r="AM87" s="8">
        <f>Renta_Alta!AM87+Masivo!AM87+Consumo_Inicial!AM87</f>
        <v>-593.78126046679995</v>
      </c>
      <c r="AN87" s="8">
        <f>Renta_Alta!AN87+Masivo!AN87+Consumo_Inicial!AN87</f>
        <v>-624.84492128629995</v>
      </c>
      <c r="AO87" s="8">
        <f>Renta_Alta!AO87+Masivo!AO87+Consumo_Inicial!AO87</f>
        <v>-728.86034058090002</v>
      </c>
      <c r="AP87" s="8">
        <f>Renta_Alta!AP87+Masivo!AP87+Consumo_Inicial!AP87</f>
        <v>-730.18464580509999</v>
      </c>
      <c r="AQ87" s="8">
        <f>Renta_Alta!AQ87+Masivo!AQ87+Consumo_Inicial!AQ87</f>
        <v>-799.04275282540004</v>
      </c>
      <c r="AR87" s="8">
        <f>Renta_Alta!AR87+Masivo!AR87+Consumo_Inicial!AR87</f>
        <v>-720.52695019780003</v>
      </c>
      <c r="AS87" s="8">
        <f>Renta_Alta!AS87+Masivo!AS87+Consumo_Inicial!AS87</f>
        <v>-767.81295710509994</v>
      </c>
      <c r="AT87" s="8">
        <f>Renta_Alta!AT87+Masivo!AT87+Consumo_Inicial!AT87</f>
        <v>0</v>
      </c>
      <c r="AU87" s="8">
        <f>Renta_Alta!AU87+Masivo!AU87+Consumo_Inicial!AU87</f>
        <v>0</v>
      </c>
      <c r="AV87" s="8">
        <f>Renta_Alta!AV87+Masivo!AV87+Consumo_Inicial!AV87</f>
        <v>0</v>
      </c>
      <c r="AW87" s="8">
        <f>Renta_Alta!AW87+Masivo!AW87+Consumo_Inicial!AW87</f>
        <v>0</v>
      </c>
      <c r="AX87" s="8">
        <f>Renta_Alta!AX87+Masivo!AX87+Consumo_Inicial!AX87</f>
        <v>0</v>
      </c>
      <c r="AY87" s="8">
        <f>Renta_Alta!AY87+Masivo!AY87+Consumo_Inicial!AY87</f>
        <v>0</v>
      </c>
      <c r="AZ87" s="8">
        <f>Renta_Alta!AZ87+Masivo!AZ87+Consumo_Inicial!AZ87</f>
        <v>-772.73995244210005</v>
      </c>
      <c r="BA87" s="8">
        <f>Renta_Alta!BA87+Masivo!BA87+Consumo_Inicial!BA87</f>
        <v>-751.37924512910001</v>
      </c>
      <c r="BB87" s="8">
        <f>Renta_Alta!BB87+Masivo!BB87+Consumo_Inicial!BB87</f>
        <v>-766.83167759090009</v>
      </c>
      <c r="BC87" s="8">
        <f>Renta_Alta!BC87+Masivo!BC87+Consumo_Inicial!BC87</f>
        <v>-767.6624386763001</v>
      </c>
      <c r="BD87" s="8">
        <f>Renta_Alta!BD87+Masivo!BD87+Consumo_Inicial!BD87</f>
        <v>-783.89572245250008</v>
      </c>
      <c r="BE87" s="8">
        <f>Renta_Alta!BE87+Masivo!BE87+Consumo_Inicial!BE87</f>
        <v>-769.0973680533001</v>
      </c>
      <c r="BF87" s="8">
        <f>Renta_Alta!BF87+Masivo!BF87+Consumo_Inicial!BF87</f>
        <v>-758.60125130639994</v>
      </c>
      <c r="BG87" s="8">
        <f>Renta_Alta!BG87+Masivo!BG87+Consumo_Inicial!BG87</f>
        <v>-720.46284817729997</v>
      </c>
      <c r="BH87" s="8">
        <f>Renta_Alta!BH87+Masivo!BH87+Consumo_Inicial!BH87</f>
        <v>-752.14857962010001</v>
      </c>
      <c r="BI87" s="8">
        <f>Renta_Alta!BI87+Masivo!BI87+Consumo_Inicial!BI87</f>
        <v>-756.98330312299993</v>
      </c>
      <c r="BJ87" s="8">
        <f>Renta_Alta!BJ87+Masivo!BJ87+Consumo_Inicial!BJ87</f>
        <v>-756.15572641409995</v>
      </c>
      <c r="BK87" s="8">
        <f>Renta_Alta!BK87+Masivo!BK87+Consumo_Inicial!BK87</f>
        <v>-779.05145887119988</v>
      </c>
      <c r="BO87" s="24">
        <f t="shared" si="251"/>
        <v>-2083.8899076723001</v>
      </c>
      <c r="BP87" s="24">
        <f t="shared" si="251"/>
        <v>-2290.9508751621001</v>
      </c>
      <c r="BQ87" s="24">
        <f t="shared" si="251"/>
        <v>-1353.7052618672001</v>
      </c>
      <c r="BR87" s="24">
        <f t="shared" si="251"/>
        <v>-1939.4394780423997</v>
      </c>
      <c r="BS87" s="24">
        <f t="shared" si="251"/>
        <v>-1818.9476008226002</v>
      </c>
      <c r="BT87" s="24">
        <f t="shared" si="251"/>
        <v>-1685.0290447682</v>
      </c>
    </row>
    <row r="88" spans="1:72" hidden="1" outlineLevel="1" x14ac:dyDescent="0.25">
      <c r="A88" s="11" t="s">
        <v>76</v>
      </c>
      <c r="C88" s="2" t="s">
        <v>80</v>
      </c>
      <c r="D88" s="8">
        <f>Renta_Alta!D88+Masivo!D88+Consumo_Inicial!D88</f>
        <v>-1949.8758620041999</v>
      </c>
      <c r="E88" s="8">
        <f>Renta_Alta!E88+Masivo!E88+Consumo_Inicial!E88</f>
        <v>-1943.7462503124</v>
      </c>
      <c r="F88" s="8">
        <f>Renta_Alta!F88+Masivo!F88+Consumo_Inicial!F88</f>
        <v>-2023.5050097221997</v>
      </c>
      <c r="G88" s="8">
        <f>Renta_Alta!G88+Masivo!G88+Consumo_Inicial!G88</f>
        <v>-2087.6898112106996</v>
      </c>
      <c r="H88" s="8">
        <f>Renta_Alta!H88+Masivo!H88+Consumo_Inicial!H88</f>
        <v>-1983.1262520168002</v>
      </c>
      <c r="I88" s="8">
        <f>Renta_Alta!I88+Masivo!I88+Consumo_Inicial!I88</f>
        <v>-1831.9621936633002</v>
      </c>
      <c r="J88" s="8">
        <f>Renta_Alta!J88+Masivo!J88+Consumo_Inicial!J88</f>
        <v>-2009.4874861062001</v>
      </c>
      <c r="K88" s="8">
        <f>Renta_Alta!K88+Masivo!K88+Consumo_Inicial!K88</f>
        <v>-1873.7228874686</v>
      </c>
      <c r="L88" s="8">
        <f>Renta_Alta!L88+Masivo!L88+Consumo_Inicial!L88</f>
        <v>-1917.6296156983001</v>
      </c>
      <c r="M88" s="8">
        <f>Renta_Alta!M88+Masivo!M88+Consumo_Inicial!M88</f>
        <v>-1914.9297605793004</v>
      </c>
      <c r="N88" s="8">
        <f>Renta_Alta!N88+Masivo!N88+Consumo_Inicial!N88</f>
        <v>-2071.8247397059999</v>
      </c>
      <c r="O88" s="8">
        <f>Renta_Alta!O88+Masivo!O88+Consumo_Inicial!O88</f>
        <v>-1826.4339599080001</v>
      </c>
      <c r="P88" s="8">
        <f>Renta_Alta!P88+Masivo!P88+Consumo_Inicial!P88</f>
        <v>-1922.6788545891002</v>
      </c>
      <c r="Q88" s="8">
        <f>Renta_Alta!Q88+Masivo!Q88+Consumo_Inicial!Q88</f>
        <v>-2064.9425748410999</v>
      </c>
      <c r="R88" s="8">
        <f>Renta_Alta!R88+Masivo!R88+Consumo_Inicial!R88</f>
        <v>-1919.7327987043998</v>
      </c>
      <c r="S88" s="8">
        <f>Renta_Alta!S88+Masivo!S88+Consumo_Inicial!S88</f>
        <v>-2074.0757663479999</v>
      </c>
      <c r="T88" s="8">
        <f>Renta_Alta!T88+Masivo!T88+Consumo_Inicial!T88</f>
        <v>-2297.4441429333997</v>
      </c>
      <c r="U88" s="8">
        <f>Renta_Alta!U88+Masivo!U88+Consumo_Inicial!U88</f>
        <v>-4406.0662740383996</v>
      </c>
      <c r="V88" s="8">
        <f>Renta_Alta!V88+Masivo!V88+Consumo_Inicial!V88</f>
        <v>-3193.6447514769998</v>
      </c>
      <c r="W88" s="8">
        <f>Renta_Alta!W88+Masivo!W88+Consumo_Inicial!W88</f>
        <v>-2562.2372790094</v>
      </c>
      <c r="X88" s="8">
        <f>Renta_Alta!X88+Masivo!X88+Consumo_Inicial!X88</f>
        <v>-2296.2394284855</v>
      </c>
      <c r="Y88" s="8">
        <f>Renta_Alta!Y88+Masivo!Y88+Consumo_Inicial!Y88</f>
        <v>-2251.7151582345996</v>
      </c>
      <c r="Z88" s="8">
        <f>Renta_Alta!Z88+Masivo!Z88+Consumo_Inicial!Z88</f>
        <v>-2281.6044529959995</v>
      </c>
      <c r="AA88" s="8">
        <f>Renta_Alta!AA88+Masivo!AA88+Consumo_Inicial!AA88</f>
        <v>-2231.7259658942003</v>
      </c>
      <c r="AB88" s="8">
        <f>Renta_Alta!AB88+Masivo!AB88+Consumo_Inicial!AB88</f>
        <v>-2651.8788496075999</v>
      </c>
      <c r="AC88" s="8">
        <f>Renta_Alta!AC88+Masivo!AC88+Consumo_Inicial!AC88</f>
        <v>-2389.8407520145997</v>
      </c>
      <c r="AD88" s="8">
        <f>Renta_Alta!AD88+Masivo!AD88+Consumo_Inicial!AD88</f>
        <v>-2358.5741884184999</v>
      </c>
      <c r="AE88" s="8">
        <f>Renta_Alta!AE88+Masivo!AE88+Consumo_Inicial!AE88</f>
        <v>-2454.1137573462997</v>
      </c>
      <c r="AF88" s="8">
        <f>Renta_Alta!AF88+Masivo!AF88+Consumo_Inicial!AF88</f>
        <v>-2474.6644801253001</v>
      </c>
      <c r="AG88" s="8">
        <f>Renta_Alta!AG88+Masivo!AG88+Consumo_Inicial!AG88</f>
        <v>-2508.5950634237001</v>
      </c>
      <c r="AH88" s="8">
        <f>Renta_Alta!AH88+Masivo!AH88+Consumo_Inicial!AH88</f>
        <v>-2426.7819046445998</v>
      </c>
      <c r="AI88" s="8">
        <f>Renta_Alta!AI88+Masivo!AI88+Consumo_Inicial!AI88</f>
        <v>-2505.6270340743999</v>
      </c>
      <c r="AJ88" s="8">
        <f>Renta_Alta!AJ88+Masivo!AJ88+Consumo_Inicial!AJ88</f>
        <v>-2446.4689329424</v>
      </c>
      <c r="AK88" s="8">
        <f>Renta_Alta!AK88+Masivo!AK88+Consumo_Inicial!AK88</f>
        <v>-2240.8832217025997</v>
      </c>
      <c r="AL88" s="8">
        <f>Renta_Alta!AL88+Masivo!AL88+Consumo_Inicial!AL88</f>
        <v>-2676.7809201335003</v>
      </c>
      <c r="AM88" s="8">
        <f>Renta_Alta!AM88+Masivo!AM88+Consumo_Inicial!AM88</f>
        <v>-2497.5504475613998</v>
      </c>
      <c r="AN88" s="8">
        <f>Renta_Alta!AN88+Masivo!AN88+Consumo_Inicial!AN88</f>
        <v>-2851.8197511124999</v>
      </c>
      <c r="AO88" s="8">
        <f>Renta_Alta!AO88+Masivo!AO88+Consumo_Inicial!AO88</f>
        <v>-2714.7321724539006</v>
      </c>
      <c r="AP88" s="8">
        <f>Renta_Alta!AP88+Masivo!AP88+Consumo_Inicial!AP88</f>
        <v>-2492.0776162594002</v>
      </c>
      <c r="AQ88" s="8">
        <f>Renta_Alta!AQ88+Masivo!AQ88+Consumo_Inicial!AQ88</f>
        <v>-2947.1432751338998</v>
      </c>
      <c r="AR88" s="8">
        <f>Renta_Alta!AR88+Masivo!AR88+Consumo_Inicial!AR88</f>
        <v>-2616.4730054400998</v>
      </c>
      <c r="AS88" s="8">
        <f>Renta_Alta!AS88+Masivo!AS88+Consumo_Inicial!AS88</f>
        <v>-2883.7963725964</v>
      </c>
      <c r="AT88" s="8">
        <f>Renta_Alta!AT88+Masivo!AT88+Consumo_Inicial!AT88</f>
        <v>0</v>
      </c>
      <c r="AU88" s="8">
        <f>Renta_Alta!AU88+Masivo!AU88+Consumo_Inicial!AU88</f>
        <v>0</v>
      </c>
      <c r="AV88" s="8">
        <f>Renta_Alta!AV88+Masivo!AV88+Consumo_Inicial!AV88</f>
        <v>0</v>
      </c>
      <c r="AW88" s="8">
        <f>Renta_Alta!AW88+Masivo!AW88+Consumo_Inicial!AW88</f>
        <v>0</v>
      </c>
      <c r="AX88" s="8">
        <f>Renta_Alta!AX88+Masivo!AX88+Consumo_Inicial!AX88</f>
        <v>0</v>
      </c>
      <c r="AY88" s="8">
        <f>Renta_Alta!AY88+Masivo!AY88+Consumo_Inicial!AY88</f>
        <v>0</v>
      </c>
      <c r="AZ88" s="8">
        <f>Renta_Alta!AZ88+Masivo!AZ88+Consumo_Inicial!AZ88</f>
        <v>-2732.9562206450996</v>
      </c>
      <c r="BA88" s="8">
        <f>Renta_Alta!BA88+Masivo!BA88+Consumo_Inicial!BA88</f>
        <v>-2588.0657083890001</v>
      </c>
      <c r="BB88" s="8">
        <f>Renta_Alta!BB88+Masivo!BB88+Consumo_Inicial!BB88</f>
        <v>-2772.3460469721003</v>
      </c>
      <c r="BC88" s="8">
        <f>Renta_Alta!BC88+Masivo!BC88+Consumo_Inicial!BC88</f>
        <v>-2696.9334426087003</v>
      </c>
      <c r="BD88" s="8">
        <f>Renta_Alta!BD88+Masivo!BD88+Consumo_Inicial!BD88</f>
        <v>-2814.7098077002997</v>
      </c>
      <c r="BE88" s="8">
        <f>Renta_Alta!BE88+Masivo!BE88+Consumo_Inicial!BE88</f>
        <v>-2777.6017437677001</v>
      </c>
      <c r="BF88" s="8">
        <f>Renta_Alta!BF88+Masivo!BF88+Consumo_Inicial!BF88</f>
        <v>-2799.7927663041005</v>
      </c>
      <c r="BG88" s="8">
        <f>Renta_Alta!BG88+Masivo!BG88+Consumo_Inicial!BG88</f>
        <v>-2790.8119969545</v>
      </c>
      <c r="BH88" s="8">
        <f>Renta_Alta!BH88+Masivo!BH88+Consumo_Inicial!BH88</f>
        <v>-2808.1731353576997</v>
      </c>
      <c r="BI88" s="8">
        <f>Renta_Alta!BI88+Masivo!BI88+Consumo_Inicial!BI88</f>
        <v>-2830.6948922154997</v>
      </c>
      <c r="BJ88" s="8">
        <f>Renta_Alta!BJ88+Masivo!BJ88+Consumo_Inicial!BJ88</f>
        <v>-2779.1167709234005</v>
      </c>
      <c r="BK88" s="8">
        <f>Renta_Alta!BK88+Masivo!BK88+Consumo_Inicial!BK88</f>
        <v>-2825.9054643975005</v>
      </c>
      <c r="BO88" s="24">
        <f t="shared" si="251"/>
        <v>-8058.6295398258007</v>
      </c>
      <c r="BP88" s="24">
        <f t="shared" si="251"/>
        <v>-8093.3679760061996</v>
      </c>
      <c r="BQ88" s="24">
        <f t="shared" si="251"/>
        <v>-5566.5519235664005</v>
      </c>
      <c r="BR88" s="24">
        <f t="shared" si="251"/>
        <v>-7400.2937900406996</v>
      </c>
      <c r="BS88" s="24">
        <f t="shared" si="251"/>
        <v>-5907.3542281345999</v>
      </c>
      <c r="BT88" s="24">
        <f t="shared" si="251"/>
        <v>-5917.1271220387989</v>
      </c>
    </row>
    <row r="89" spans="1:72" collapsed="1" x14ac:dyDescent="0.25">
      <c r="C89" s="3" t="s">
        <v>76</v>
      </c>
      <c r="D89" s="10">
        <f>SUM(D86:D88)</f>
        <v>-5933.3897246734996</v>
      </c>
      <c r="E89" s="10">
        <f t="shared" ref="E89:AY89" si="252">SUM(E86:E88)</f>
        <v>-5905.5436342051999</v>
      </c>
      <c r="F89" s="10">
        <f t="shared" si="252"/>
        <v>-6414.4771751487006</v>
      </c>
      <c r="G89" s="10">
        <f t="shared" si="252"/>
        <v>-6500.3288084511005</v>
      </c>
      <c r="H89" s="10">
        <f t="shared" si="252"/>
        <v>-6303.7351804493001</v>
      </c>
      <c r="I89" s="10">
        <f t="shared" si="252"/>
        <v>-6223.7257704092999</v>
      </c>
      <c r="J89" s="10">
        <f t="shared" si="252"/>
        <v>-6067.7831841009001</v>
      </c>
      <c r="K89" s="10">
        <f t="shared" si="252"/>
        <v>-5715.5015428764009</v>
      </c>
      <c r="L89" s="10">
        <f t="shared" si="252"/>
        <v>-6037.3290153122998</v>
      </c>
      <c r="M89" s="10">
        <f t="shared" si="252"/>
        <v>-5865.9319172310006</v>
      </c>
      <c r="N89" s="10">
        <f t="shared" si="252"/>
        <v>-5976.2038280138004</v>
      </c>
      <c r="O89" s="10">
        <f t="shared" si="252"/>
        <v>-5723.6456279135</v>
      </c>
      <c r="P89" s="10">
        <f t="shared" si="252"/>
        <v>-5693.6825662527008</v>
      </c>
      <c r="Q89" s="10">
        <f t="shared" si="252"/>
        <v>-6444.6072729893003</v>
      </c>
      <c r="R89" s="10">
        <f t="shared" si="252"/>
        <v>-6269.8590806930006</v>
      </c>
      <c r="S89" s="10">
        <f t="shared" si="252"/>
        <v>-6252.0249995671993</v>
      </c>
      <c r="T89" s="10">
        <f t="shared" si="252"/>
        <v>-6767.0639818584004</v>
      </c>
      <c r="U89" s="10">
        <f t="shared" si="252"/>
        <v>-8382.6420807369996</v>
      </c>
      <c r="V89" s="10">
        <f t="shared" si="252"/>
        <v>-7702.0561565474991</v>
      </c>
      <c r="W89" s="10">
        <f t="shared" si="252"/>
        <v>-7056.1142374586998</v>
      </c>
      <c r="X89" s="10">
        <f t="shared" si="252"/>
        <v>-6659.8924233525004</v>
      </c>
      <c r="Y89" s="10">
        <f t="shared" si="252"/>
        <v>-6615.9540494751</v>
      </c>
      <c r="Z89" s="10">
        <f t="shared" si="252"/>
        <v>-7267.1588311377</v>
      </c>
      <c r="AA89" s="10">
        <f t="shared" si="252"/>
        <v>-6821.3682184544996</v>
      </c>
      <c r="AB89" s="10">
        <f t="shared" si="252"/>
        <v>-7734.2184338546995</v>
      </c>
      <c r="AC89" s="10">
        <f t="shared" si="252"/>
        <v>-7306.5639721624993</v>
      </c>
      <c r="AD89" s="10">
        <f t="shared" si="252"/>
        <v>-7520.2601355085999</v>
      </c>
      <c r="AE89" s="10">
        <f t="shared" si="252"/>
        <v>-7699.1370049041998</v>
      </c>
      <c r="AF89" s="10">
        <f t="shared" si="252"/>
        <v>-7952.1921154049014</v>
      </c>
      <c r="AG89" s="10">
        <f t="shared" si="252"/>
        <v>-8100.9454170065001</v>
      </c>
      <c r="AH89" s="10">
        <f t="shared" si="252"/>
        <v>-8314.1826577488991</v>
      </c>
      <c r="AI89" s="10">
        <f t="shared" si="252"/>
        <v>-8405.8826661247003</v>
      </c>
      <c r="AJ89" s="10">
        <f t="shared" si="252"/>
        <v>-7699.0701555904006</v>
      </c>
      <c r="AK89" s="10">
        <f t="shared" si="252"/>
        <v>-7202.0101835478999</v>
      </c>
      <c r="AL89" s="10">
        <f t="shared" si="252"/>
        <v>-7968.4557137219999</v>
      </c>
      <c r="AM89" s="10">
        <f t="shared" si="252"/>
        <v>-8220.7163526906988</v>
      </c>
      <c r="AN89" s="10">
        <f t="shared" si="252"/>
        <v>-7913.6864894578002</v>
      </c>
      <c r="AO89" s="10">
        <f t="shared" si="252"/>
        <v>-7744.7344598638001</v>
      </c>
      <c r="AP89" s="10">
        <f t="shared" si="252"/>
        <v>-7997.0986650575005</v>
      </c>
      <c r="AQ89" s="10">
        <f t="shared" si="252"/>
        <v>-8367.1248202524002</v>
      </c>
      <c r="AR89" s="10">
        <f t="shared" si="252"/>
        <v>-8363.4508024889001</v>
      </c>
      <c r="AS89" s="10">
        <f t="shared" si="252"/>
        <v>-8289.3096178103988</v>
      </c>
      <c r="AT89" s="10">
        <f t="shared" si="252"/>
        <v>0</v>
      </c>
      <c r="AU89" s="10">
        <f t="shared" si="252"/>
        <v>0</v>
      </c>
      <c r="AV89" s="10">
        <f t="shared" si="252"/>
        <v>0</v>
      </c>
      <c r="AW89" s="10">
        <f t="shared" si="252"/>
        <v>0</v>
      </c>
      <c r="AX89" s="10">
        <f t="shared" si="252"/>
        <v>0</v>
      </c>
      <c r="AY89" s="10">
        <f t="shared" si="252"/>
        <v>0</v>
      </c>
      <c r="AZ89" s="10">
        <f t="shared" ref="AZ89:BK89" si="253">SUM(AZ86:AZ88)</f>
        <v>-8291.6855066305998</v>
      </c>
      <c r="BA89" s="10">
        <f t="shared" si="253"/>
        <v>-8001.5758021619004</v>
      </c>
      <c r="BB89" s="10">
        <f t="shared" si="253"/>
        <v>-8320.5804703434005</v>
      </c>
      <c r="BC89" s="10">
        <f t="shared" si="253"/>
        <v>-8203.9206157338012</v>
      </c>
      <c r="BD89" s="10">
        <f t="shared" si="253"/>
        <v>-8543.1832753277995</v>
      </c>
      <c r="BE89" s="10">
        <f t="shared" si="253"/>
        <v>-8534.5846960308008</v>
      </c>
      <c r="BF89" s="10">
        <f t="shared" si="253"/>
        <v>-8411.6042348624014</v>
      </c>
      <c r="BG89" s="10">
        <f t="shared" si="253"/>
        <v>-8433.8911369087</v>
      </c>
      <c r="BH89" s="10">
        <f t="shared" si="253"/>
        <v>-8603.2042214744997</v>
      </c>
      <c r="BI89" s="10">
        <f t="shared" si="253"/>
        <v>-8502.6950358711983</v>
      </c>
      <c r="BJ89" s="10">
        <f t="shared" si="253"/>
        <v>-8452.485925946201</v>
      </c>
      <c r="BK89" s="10">
        <f t="shared" si="253"/>
        <v>-8565.3497694157013</v>
      </c>
      <c r="BO89" s="23">
        <f t="shared" ref="BO89:BT89" si="254">SUM(BO86:BO88)</f>
        <v>-23655.5196143791</v>
      </c>
      <c r="BP89" s="23">
        <f t="shared" si="254"/>
        <v>-24613.841779135902</v>
      </c>
      <c r="BQ89" s="23">
        <f t="shared" si="254"/>
        <v>-15658.4209493216</v>
      </c>
      <c r="BR89" s="23">
        <f t="shared" si="254"/>
        <v>-22561.0425415258</v>
      </c>
      <c r="BS89" s="23">
        <f t="shared" si="254"/>
        <v>-18408.148919935004</v>
      </c>
      <c r="BT89" s="23">
        <f t="shared" si="254"/>
        <v>-18253.4105340274</v>
      </c>
    </row>
    <row r="91" spans="1:72" hidden="1" outlineLevel="1" x14ac:dyDescent="0.25">
      <c r="A91" s="11" t="s">
        <v>81</v>
      </c>
      <c r="C91" s="2" t="s">
        <v>85</v>
      </c>
      <c r="D91" s="8">
        <f>Renta_Alta!D91+Masivo!D91+Consumo_Inicial!D91</f>
        <v>0</v>
      </c>
      <c r="E91" s="8">
        <f>Renta_Alta!E91+Masivo!E91+Consumo_Inicial!E91</f>
        <v>0</v>
      </c>
      <c r="F91" s="8">
        <f>Renta_Alta!F91+Masivo!F91+Consumo_Inicial!F91</f>
        <v>0</v>
      </c>
      <c r="G91" s="8">
        <f>Renta_Alta!G91+Masivo!G91+Consumo_Inicial!G91</f>
        <v>0</v>
      </c>
      <c r="H91" s="8">
        <f>Renta_Alta!H91+Masivo!H91+Consumo_Inicial!H91</f>
        <v>0</v>
      </c>
      <c r="I91" s="8">
        <f>Renta_Alta!I91+Masivo!I91+Consumo_Inicial!I91</f>
        <v>0</v>
      </c>
      <c r="J91" s="8">
        <f>Renta_Alta!J91+Masivo!J91+Consumo_Inicial!J91</f>
        <v>0</v>
      </c>
      <c r="K91" s="8">
        <f>Renta_Alta!K91+Masivo!K91+Consumo_Inicial!K91</f>
        <v>0</v>
      </c>
      <c r="L91" s="8">
        <f>Renta_Alta!L91+Masivo!L91+Consumo_Inicial!L91</f>
        <v>0</v>
      </c>
      <c r="M91" s="8">
        <f>Renta_Alta!M91+Masivo!M91+Consumo_Inicial!M91</f>
        <v>0</v>
      </c>
      <c r="N91" s="8">
        <f>Renta_Alta!N91+Masivo!N91+Consumo_Inicial!N91</f>
        <v>0</v>
      </c>
      <c r="O91" s="8">
        <f>Renta_Alta!O91+Masivo!O91+Consumo_Inicial!O91</f>
        <v>0</v>
      </c>
      <c r="P91" s="8">
        <f>Renta_Alta!P91+Masivo!P91+Consumo_Inicial!P91</f>
        <v>0</v>
      </c>
      <c r="Q91" s="8">
        <f>Renta_Alta!Q91+Masivo!Q91+Consumo_Inicial!Q91</f>
        <v>0</v>
      </c>
      <c r="R91" s="8">
        <f>Renta_Alta!R91+Masivo!R91+Consumo_Inicial!R91</f>
        <v>0</v>
      </c>
      <c r="S91" s="8">
        <f>Renta_Alta!S91+Masivo!S91+Consumo_Inicial!S91</f>
        <v>0</v>
      </c>
      <c r="T91" s="8">
        <f>Renta_Alta!T91+Masivo!T91+Consumo_Inicial!T91</f>
        <v>0</v>
      </c>
      <c r="U91" s="8">
        <f>Renta_Alta!U91+Masivo!U91+Consumo_Inicial!U91</f>
        <v>0</v>
      </c>
      <c r="V91" s="8">
        <f>Renta_Alta!V91+Masivo!V91+Consumo_Inicial!V91</f>
        <v>0</v>
      </c>
      <c r="W91" s="8">
        <f>Renta_Alta!W91+Masivo!W91+Consumo_Inicial!W91</f>
        <v>0</v>
      </c>
      <c r="X91" s="8">
        <f>Renta_Alta!X91+Masivo!X91+Consumo_Inicial!X91</f>
        <v>0</v>
      </c>
      <c r="Y91" s="8">
        <f>Renta_Alta!Y91+Masivo!Y91+Consumo_Inicial!Y91</f>
        <v>0</v>
      </c>
      <c r="Z91" s="8">
        <f>Renta_Alta!Z91+Masivo!Z91+Consumo_Inicial!Z91</f>
        <v>0</v>
      </c>
      <c r="AA91" s="8">
        <f>Renta_Alta!AA91+Masivo!AA91+Consumo_Inicial!AA91</f>
        <v>0</v>
      </c>
      <c r="AB91" s="8">
        <f>Renta_Alta!AB91+Masivo!AB91+Consumo_Inicial!AB91</f>
        <v>0</v>
      </c>
      <c r="AC91" s="8">
        <f>Renta_Alta!AC91+Masivo!AC91+Consumo_Inicial!AC91</f>
        <v>0</v>
      </c>
      <c r="AD91" s="8">
        <f>Renta_Alta!AD91+Masivo!AD91+Consumo_Inicial!AD91</f>
        <v>0</v>
      </c>
      <c r="AE91" s="8">
        <f>Renta_Alta!AE91+Masivo!AE91+Consumo_Inicial!AE91</f>
        <v>0</v>
      </c>
      <c r="AF91" s="8">
        <f>Renta_Alta!AF91+Masivo!AF91+Consumo_Inicial!AF91</f>
        <v>0</v>
      </c>
      <c r="AG91" s="8">
        <f>Renta_Alta!AG91+Masivo!AG91+Consumo_Inicial!AG91</f>
        <v>0</v>
      </c>
      <c r="AH91" s="8">
        <f>Renta_Alta!AH91+Masivo!AH91+Consumo_Inicial!AH91</f>
        <v>0</v>
      </c>
      <c r="AI91" s="8">
        <f>Renta_Alta!AI91+Masivo!AI91+Consumo_Inicial!AI91</f>
        <v>0</v>
      </c>
      <c r="AJ91" s="8">
        <f>Renta_Alta!AJ91+Masivo!AJ91+Consumo_Inicial!AJ91</f>
        <v>0</v>
      </c>
      <c r="AK91" s="8">
        <f>Renta_Alta!AK91+Masivo!AK91+Consumo_Inicial!AK91</f>
        <v>0</v>
      </c>
      <c r="AL91" s="8">
        <f>Renta_Alta!AL91+Masivo!AL91+Consumo_Inicial!AL91</f>
        <v>0</v>
      </c>
      <c r="AM91" s="8">
        <f>Renta_Alta!AM91+Masivo!AM91+Consumo_Inicial!AM91</f>
        <v>0</v>
      </c>
      <c r="AN91" s="8">
        <f>Renta_Alta!AN91+Masivo!AN91+Consumo_Inicial!AN91</f>
        <v>0</v>
      </c>
      <c r="AO91" s="8">
        <f>Renta_Alta!AO91+Masivo!AO91+Consumo_Inicial!AO91</f>
        <v>0</v>
      </c>
      <c r="AP91" s="8">
        <f>Renta_Alta!AP91+Masivo!AP91+Consumo_Inicial!AP91</f>
        <v>0</v>
      </c>
      <c r="AQ91" s="8">
        <f>Renta_Alta!AQ91+Masivo!AQ91+Consumo_Inicial!AQ91</f>
        <v>0</v>
      </c>
      <c r="AR91" s="8">
        <f>Renta_Alta!AR91+Masivo!AR91+Consumo_Inicial!AR91</f>
        <v>0</v>
      </c>
      <c r="AS91" s="8">
        <f>Renta_Alta!AS91+Masivo!AS91+Consumo_Inicial!AS91</f>
        <v>0</v>
      </c>
      <c r="AT91" s="8">
        <f>Renta_Alta!AT91+Masivo!AT91+Consumo_Inicial!AT91</f>
        <v>0</v>
      </c>
      <c r="AU91" s="8">
        <f>Renta_Alta!AU91+Masivo!AU91+Consumo_Inicial!AU91</f>
        <v>0</v>
      </c>
      <c r="AV91" s="8">
        <f>Renta_Alta!AV91+Masivo!AV91+Consumo_Inicial!AV91</f>
        <v>0</v>
      </c>
      <c r="AW91" s="8">
        <f>Renta_Alta!AW91+Masivo!AW91+Consumo_Inicial!AW91</f>
        <v>0</v>
      </c>
      <c r="AX91" s="8">
        <f>Renta_Alta!AX91+Masivo!AX91+Consumo_Inicial!AX91</f>
        <v>0</v>
      </c>
      <c r="AY91" s="8">
        <f>Renta_Alta!AY91+Masivo!AY91+Consumo_Inicial!AY91</f>
        <v>0</v>
      </c>
      <c r="AZ91" s="8">
        <f>Renta_Alta!AZ91+Masivo!AZ91+Consumo_Inicial!AZ91</f>
        <v>0</v>
      </c>
      <c r="BA91" s="8">
        <f>Renta_Alta!BA91+Masivo!BA91+Consumo_Inicial!BA91</f>
        <v>0</v>
      </c>
      <c r="BB91" s="8">
        <f>Renta_Alta!BB91+Masivo!BB91+Consumo_Inicial!BB91</f>
        <v>0</v>
      </c>
      <c r="BC91" s="8">
        <f>Renta_Alta!BC91+Masivo!BC91+Consumo_Inicial!BC91</f>
        <v>0</v>
      </c>
      <c r="BD91" s="8">
        <f>Renta_Alta!BD91+Masivo!BD91+Consumo_Inicial!BD91</f>
        <v>0</v>
      </c>
      <c r="BE91" s="8">
        <f>Renta_Alta!BE91+Masivo!BE91+Consumo_Inicial!BE91</f>
        <v>0</v>
      </c>
      <c r="BF91" s="8">
        <f>Renta_Alta!BF91+Masivo!BF91+Consumo_Inicial!BF91</f>
        <v>0</v>
      </c>
      <c r="BG91" s="8">
        <f>Renta_Alta!BG91+Masivo!BG91+Consumo_Inicial!BG91</f>
        <v>0</v>
      </c>
      <c r="BH91" s="8">
        <f>Renta_Alta!BH91+Masivo!BH91+Consumo_Inicial!BH91</f>
        <v>0</v>
      </c>
      <c r="BI91" s="8">
        <f>Renta_Alta!BI91+Masivo!BI91+Consumo_Inicial!BI91</f>
        <v>0</v>
      </c>
      <c r="BJ91" s="8">
        <f>Renta_Alta!BJ91+Masivo!BJ91+Consumo_Inicial!BJ91</f>
        <v>0</v>
      </c>
      <c r="BK91" s="8">
        <f>Renta_Alta!BK91+Masivo!BK91+Consumo_Inicial!BK91</f>
        <v>0</v>
      </c>
      <c r="BO91" s="24">
        <f t="shared" ref="BO91:BT92" si="255">SUMIFS($D91:$BM91,$D$6:$BM$6,"&gt;="&amp;BO$2,$D$6:$BM$6,"&lt;="&amp;BO$6,$D$5:$BM$5,BO$5)</f>
        <v>0</v>
      </c>
      <c r="BP91" s="24">
        <f t="shared" si="255"/>
        <v>0</v>
      </c>
      <c r="BQ91" s="24">
        <f t="shared" si="255"/>
        <v>0</v>
      </c>
      <c r="BR91" s="24">
        <f t="shared" si="255"/>
        <v>0</v>
      </c>
      <c r="BS91" s="24">
        <f t="shared" si="255"/>
        <v>0</v>
      </c>
      <c r="BT91" s="24">
        <f t="shared" si="255"/>
        <v>0</v>
      </c>
    </row>
    <row r="92" spans="1:72" hidden="1" outlineLevel="1" x14ac:dyDescent="0.25">
      <c r="A92" s="11" t="s">
        <v>81</v>
      </c>
      <c r="C92" s="2" t="s">
        <v>48</v>
      </c>
      <c r="D92" s="8">
        <f>Renta_Alta!D92+Masivo!D92+Consumo_Inicial!D92</f>
        <v>21.588909999999998</v>
      </c>
      <c r="E92" s="8">
        <f>Renta_Alta!E92+Masivo!E92+Consumo_Inicial!E92</f>
        <v>21.392550000000007</v>
      </c>
      <c r="F92" s="8">
        <f>Renta_Alta!F92+Masivo!F92+Consumo_Inicial!F92</f>
        <v>21.187039999999993</v>
      </c>
      <c r="G92" s="8">
        <f>Renta_Alta!G92+Masivo!G92+Consumo_Inicial!G92</f>
        <v>20.967479999999995</v>
      </c>
      <c r="H92" s="8">
        <f>Renta_Alta!H92+Masivo!H92+Consumo_Inicial!H92</f>
        <v>149.72308000000004</v>
      </c>
      <c r="I92" s="8">
        <f>Renta_Alta!I92+Masivo!I92+Consumo_Inicial!I92</f>
        <v>334.01483000000002</v>
      </c>
      <c r="J92" s="8">
        <f>Renta_Alta!J92+Masivo!J92+Consumo_Inicial!J92</f>
        <v>19.924469999999971</v>
      </c>
      <c r="K92" s="8">
        <f>Renta_Alta!K92+Masivo!K92+Consumo_Inicial!K92</f>
        <v>179</v>
      </c>
      <c r="L92" s="8">
        <f>Renta_Alta!L92+Masivo!L92+Consumo_Inicial!L92</f>
        <v>19.367190000000004</v>
      </c>
      <c r="M92" s="8">
        <f>Renta_Alta!M92+Masivo!M92+Consumo_Inicial!M92</f>
        <v>18.994079999999958</v>
      </c>
      <c r="N92" s="8">
        <f>Renta_Alta!N92+Masivo!N92+Consumo_Inicial!N92</f>
        <v>18.585180000000101</v>
      </c>
      <c r="O92" s="8">
        <f>Renta_Alta!O92+Masivo!O92+Consumo_Inicial!O92</f>
        <v>18.477039999999977</v>
      </c>
      <c r="P92" s="8">
        <f>Renta_Alta!P92+Masivo!P92+Consumo_Inicial!P92</f>
        <v>-120.34234012034234</v>
      </c>
      <c r="Q92" s="8">
        <f>Renta_Alta!Q92+Masivo!Q92+Consumo_Inicial!Q92</f>
        <v>86.135710000000003</v>
      </c>
      <c r="R92" s="8">
        <f>Renta_Alta!R92+Masivo!R92+Consumo_Inicial!R92</f>
        <v>156.21771000000001</v>
      </c>
      <c r="S92" s="8">
        <f>Renta_Alta!S92+Masivo!S92+Consumo_Inicial!S92</f>
        <v>16.335220000000003</v>
      </c>
      <c r="T92" s="8">
        <f>Renta_Alta!T92+Masivo!T92+Consumo_Inicial!T92</f>
        <v>-97.220120097220104</v>
      </c>
      <c r="U92" s="8">
        <f>Renta_Alta!U92+Masivo!U92+Consumo_Inicial!U92</f>
        <v>-51.648769999999978</v>
      </c>
      <c r="V92" s="8">
        <f>Renta_Alta!V92+Masivo!V92+Consumo_Inicial!V92</f>
        <v>16.020480016020443</v>
      </c>
      <c r="W92" s="8">
        <f>Renta_Alta!W92+Masivo!W92+Consumo_Inicial!W92</f>
        <v>13.86337000000003</v>
      </c>
      <c r="X92" s="8">
        <f>Renta_Alta!X92+Masivo!X92+Consumo_Inicial!X92</f>
        <v>216.22970999999995</v>
      </c>
      <c r="Y92" s="8">
        <f>Renta_Alta!Y92+Masivo!Y92+Consumo_Inicial!Y92</f>
        <v>-16.793819999999982</v>
      </c>
      <c r="Z92" s="8">
        <f>Renta_Alta!Z92+Masivo!Z92+Consumo_Inicial!Z92</f>
        <v>-302.58074087452792</v>
      </c>
      <c r="AA92" s="8">
        <f>Renta_Alta!AA92+Masivo!AA92+Consumo_Inicial!AA92</f>
        <v>-224.16481869130016</v>
      </c>
      <c r="AB92" s="8">
        <f>Renta_Alta!AB92+Masivo!AB92+Consumo_Inicial!AB92</f>
        <v>-18.30763001830762</v>
      </c>
      <c r="AC92" s="8">
        <f>Renta_Alta!AC92+Masivo!AC92+Consumo_Inicial!AC92</f>
        <v>-77.93031000000002</v>
      </c>
      <c r="AD92" s="8">
        <f>Renta_Alta!AD92+Masivo!AD92+Consumo_Inicial!AD92</f>
        <v>-217.94625000000002</v>
      </c>
      <c r="AE92" s="8">
        <f>Renta_Alta!AE92+Masivo!AE92+Consumo_Inicial!AE92</f>
        <v>80.384781853709228</v>
      </c>
      <c r="AF92" s="8">
        <f>Renta_Alta!AF92+Masivo!AF92+Consumo_Inicial!AF92</f>
        <v>-3.6131499999999974</v>
      </c>
      <c r="AG92" s="8">
        <f>Renta_Alta!AG92+Masivo!AG92+Consumo_Inicial!AG92</f>
        <v>-12.941802810591083</v>
      </c>
      <c r="AH92" s="8">
        <f>Renta_Alta!AH92+Masivo!AH92+Consumo_Inicial!AH92</f>
        <v>5.7471103741796314</v>
      </c>
      <c r="AI92" s="8">
        <f>Renta_Alta!AI92+Masivo!AI92+Consumo_Inicial!AI92</f>
        <v>-17.750499999999995</v>
      </c>
      <c r="AJ92" s="8">
        <f>Renta_Alta!AJ92+Masivo!AJ92+Consumo_Inicial!AJ92</f>
        <v>142.46488014246489</v>
      </c>
      <c r="AK92" s="8">
        <f>Renta_Alta!AK92+Masivo!AK92+Consumo_Inicial!AK92</f>
        <v>-17.468855637179008</v>
      </c>
      <c r="AL92" s="8">
        <f>Renta_Alta!AL92+Masivo!AL92+Consumo_Inicial!AL92</f>
        <v>-93.381799999999856</v>
      </c>
      <c r="AM92" s="8">
        <f>Renta_Alta!AM92+Masivo!AM92+Consumo_Inicial!AM92</f>
        <v>129.54462999999996</v>
      </c>
      <c r="AN92" s="8">
        <f>Renta_Alta!AN92+Masivo!AN92+Consumo_Inicial!AN92</f>
        <v>-24.525170000000003</v>
      </c>
      <c r="AO92" s="8">
        <f>Renta_Alta!AO92+Masivo!AO92+Consumo_Inicial!AO92</f>
        <v>70.527749396186039</v>
      </c>
      <c r="AP92" s="8">
        <f>Renta_Alta!AP92+Masivo!AP92+Consumo_Inicial!AP92</f>
        <v>-148.84950000000003</v>
      </c>
      <c r="AQ92" s="8">
        <f>Renta_Alta!AQ92+Masivo!AQ92+Consumo_Inicial!AQ92</f>
        <v>17.749439999999989</v>
      </c>
      <c r="AR92" s="8">
        <f>Renta_Alta!AR92+Masivo!AR92+Consumo_Inicial!AR92</f>
        <v>29.720150000000046</v>
      </c>
      <c r="AS92" s="8">
        <f>Renta_Alta!AS92+Masivo!AS92+Consumo_Inicial!AS92</f>
        <v>58.574759999999998</v>
      </c>
      <c r="AT92" s="8">
        <f>Renta_Alta!AT92+Masivo!AT92+Consumo_Inicial!AT92</f>
        <v>0</v>
      </c>
      <c r="AU92" s="8">
        <f>Renta_Alta!AU92+Masivo!AU92+Consumo_Inicial!AU92</f>
        <v>0</v>
      </c>
      <c r="AV92" s="8">
        <f>Renta_Alta!AV92+Masivo!AV92+Consumo_Inicial!AV92</f>
        <v>0</v>
      </c>
      <c r="AW92" s="8">
        <f>Renta_Alta!AW92+Masivo!AW92+Consumo_Inicial!AW92</f>
        <v>0</v>
      </c>
      <c r="AX92" s="8">
        <f>Renta_Alta!AX92+Masivo!AX92+Consumo_Inicial!AX92</f>
        <v>0</v>
      </c>
      <c r="AY92" s="8">
        <f>Renta_Alta!AY92+Masivo!AY92+Consumo_Inicial!AY92</f>
        <v>0</v>
      </c>
      <c r="AZ92" s="8">
        <f>Renta_Alta!AZ92+Masivo!AZ92+Consumo_Inicial!AZ92</f>
        <v>-134.71373379770336</v>
      </c>
      <c r="BA92" s="8">
        <f>Renta_Alta!BA92+Masivo!BA92+Consumo_Inicial!BA92</f>
        <v>-33.291986366524711</v>
      </c>
      <c r="BB92" s="8">
        <f>Renta_Alta!BB92+Masivo!BB92+Consumo_Inicial!BB92</f>
        <v>-35.039594985849909</v>
      </c>
      <c r="BC92" s="8">
        <f>Renta_Alta!BC92+Masivo!BC92+Consumo_Inicial!BC92</f>
        <v>-33.877932129814418</v>
      </c>
      <c r="BD92" s="8">
        <f>Renta_Alta!BD92+Masivo!BD92+Consumo_Inicial!BD92</f>
        <v>-33.896103631635107</v>
      </c>
      <c r="BE92" s="8">
        <f>Renta_Alta!BE92+Masivo!BE92+Consumo_Inicial!BE92</f>
        <v>-35.631597905141383</v>
      </c>
      <c r="BF92" s="8">
        <f>Renta_Alta!BF92+Masivo!BF92+Consumo_Inicial!BF92</f>
        <v>-33.673746051837114</v>
      </c>
      <c r="BG92" s="8">
        <f>Renta_Alta!BG92+Masivo!BG92+Consumo_Inicial!BG92</f>
        <v>-33.661331307393922</v>
      </c>
      <c r="BH92" s="8">
        <f>Renta_Alta!BH92+Masivo!BH92+Consumo_Inicial!BH92</f>
        <v>-34.892185320842415</v>
      </c>
      <c r="BI92" s="8">
        <f>Renta_Alta!BI92+Masivo!BI92+Consumo_Inicial!BI92</f>
        <v>-33.738127949571393</v>
      </c>
      <c r="BJ92" s="8">
        <f>Renta_Alta!BJ92+Masivo!BJ92+Consumo_Inicial!BJ92</f>
        <v>-33.738127949571393</v>
      </c>
      <c r="BK92" s="8">
        <f>Renta_Alta!BK92+Masivo!BK92+Consumo_Inicial!BK92</f>
        <v>-35.312284890622706</v>
      </c>
      <c r="BO92" s="24">
        <f t="shared" si="255"/>
        <v>-102.846920603814</v>
      </c>
      <c r="BP92" s="24">
        <f t="shared" si="255"/>
        <v>-203.04531515007798</v>
      </c>
      <c r="BQ92" s="24">
        <f t="shared" si="255"/>
        <v>46.002579396186036</v>
      </c>
      <c r="BR92" s="24">
        <f t="shared" si="255"/>
        <v>-314.18419001830767</v>
      </c>
      <c r="BS92" s="24">
        <f t="shared" si="255"/>
        <v>122.01107987965767</v>
      </c>
      <c r="BT92" s="24">
        <f t="shared" si="255"/>
        <v>64.168499999999995</v>
      </c>
    </row>
    <row r="93" spans="1:72" collapsed="1" x14ac:dyDescent="0.25">
      <c r="C93" s="3" t="s">
        <v>81</v>
      </c>
      <c r="D93" s="10">
        <f>SUM(D91:D92)</f>
        <v>21.588909999999998</v>
      </c>
      <c r="E93" s="10">
        <f t="shared" ref="E93:AY93" si="256">SUM(E91:E92)</f>
        <v>21.392550000000007</v>
      </c>
      <c r="F93" s="10">
        <f t="shared" si="256"/>
        <v>21.187039999999993</v>
      </c>
      <c r="G93" s="10">
        <f t="shared" si="256"/>
        <v>20.967479999999995</v>
      </c>
      <c r="H93" s="10">
        <f t="shared" si="256"/>
        <v>149.72308000000004</v>
      </c>
      <c r="I93" s="10">
        <f t="shared" si="256"/>
        <v>334.01483000000002</v>
      </c>
      <c r="J93" s="10">
        <f t="shared" si="256"/>
        <v>19.924469999999971</v>
      </c>
      <c r="K93" s="10">
        <f t="shared" si="256"/>
        <v>179</v>
      </c>
      <c r="L93" s="10">
        <f t="shared" si="256"/>
        <v>19.367190000000004</v>
      </c>
      <c r="M93" s="10">
        <f t="shared" si="256"/>
        <v>18.994079999999958</v>
      </c>
      <c r="N93" s="10">
        <f t="shared" si="256"/>
        <v>18.585180000000101</v>
      </c>
      <c r="O93" s="10">
        <f t="shared" si="256"/>
        <v>18.477039999999977</v>
      </c>
      <c r="P93" s="10">
        <f t="shared" si="256"/>
        <v>-120.34234012034234</v>
      </c>
      <c r="Q93" s="10">
        <f t="shared" si="256"/>
        <v>86.135710000000003</v>
      </c>
      <c r="R93" s="10">
        <f t="shared" si="256"/>
        <v>156.21771000000001</v>
      </c>
      <c r="S93" s="10">
        <f t="shared" si="256"/>
        <v>16.335220000000003</v>
      </c>
      <c r="T93" s="10">
        <f t="shared" si="256"/>
        <v>-97.220120097220104</v>
      </c>
      <c r="U93" s="10">
        <f t="shared" si="256"/>
        <v>-51.648769999999978</v>
      </c>
      <c r="V93" s="10">
        <f t="shared" si="256"/>
        <v>16.020480016020443</v>
      </c>
      <c r="W93" s="10">
        <f t="shared" si="256"/>
        <v>13.86337000000003</v>
      </c>
      <c r="X93" s="10">
        <f t="shared" si="256"/>
        <v>216.22970999999995</v>
      </c>
      <c r="Y93" s="10">
        <f t="shared" si="256"/>
        <v>-16.793819999999982</v>
      </c>
      <c r="Z93" s="10">
        <f t="shared" si="256"/>
        <v>-302.58074087452792</v>
      </c>
      <c r="AA93" s="10">
        <f t="shared" si="256"/>
        <v>-224.16481869130016</v>
      </c>
      <c r="AB93" s="10">
        <f t="shared" si="256"/>
        <v>-18.30763001830762</v>
      </c>
      <c r="AC93" s="10">
        <f t="shared" si="256"/>
        <v>-77.93031000000002</v>
      </c>
      <c r="AD93" s="10">
        <f t="shared" si="256"/>
        <v>-217.94625000000002</v>
      </c>
      <c r="AE93" s="10">
        <f t="shared" si="256"/>
        <v>80.384781853709228</v>
      </c>
      <c r="AF93" s="10">
        <f t="shared" si="256"/>
        <v>-3.6131499999999974</v>
      </c>
      <c r="AG93" s="10">
        <f t="shared" si="256"/>
        <v>-12.941802810591083</v>
      </c>
      <c r="AH93" s="10">
        <f t="shared" si="256"/>
        <v>5.7471103741796314</v>
      </c>
      <c r="AI93" s="10">
        <f t="shared" si="256"/>
        <v>-17.750499999999995</v>
      </c>
      <c r="AJ93" s="10">
        <f t="shared" si="256"/>
        <v>142.46488014246489</v>
      </c>
      <c r="AK93" s="10">
        <f t="shared" si="256"/>
        <v>-17.468855637179008</v>
      </c>
      <c r="AL93" s="10">
        <f t="shared" si="256"/>
        <v>-93.381799999999856</v>
      </c>
      <c r="AM93" s="10">
        <f t="shared" si="256"/>
        <v>129.54462999999996</v>
      </c>
      <c r="AN93" s="10">
        <f t="shared" si="256"/>
        <v>-24.525170000000003</v>
      </c>
      <c r="AO93" s="10">
        <f t="shared" si="256"/>
        <v>70.527749396186039</v>
      </c>
      <c r="AP93" s="10">
        <f t="shared" si="256"/>
        <v>-148.84950000000003</v>
      </c>
      <c r="AQ93" s="10">
        <f t="shared" si="256"/>
        <v>17.749439999999989</v>
      </c>
      <c r="AR93" s="10">
        <f t="shared" si="256"/>
        <v>29.720150000000046</v>
      </c>
      <c r="AS93" s="10">
        <f t="shared" si="256"/>
        <v>58.574759999999998</v>
      </c>
      <c r="AT93" s="10">
        <f t="shared" si="256"/>
        <v>0</v>
      </c>
      <c r="AU93" s="10">
        <f t="shared" si="256"/>
        <v>0</v>
      </c>
      <c r="AV93" s="10">
        <f t="shared" si="256"/>
        <v>0</v>
      </c>
      <c r="AW93" s="10">
        <f t="shared" si="256"/>
        <v>0</v>
      </c>
      <c r="AX93" s="10">
        <f t="shared" si="256"/>
        <v>0</v>
      </c>
      <c r="AY93" s="10">
        <f t="shared" si="256"/>
        <v>0</v>
      </c>
      <c r="AZ93" s="10">
        <f t="shared" ref="AZ93:BK93" si="257">SUM(AZ91:AZ92)</f>
        <v>-134.71373379770336</v>
      </c>
      <c r="BA93" s="10">
        <f t="shared" si="257"/>
        <v>-33.291986366524711</v>
      </c>
      <c r="BB93" s="10">
        <f t="shared" si="257"/>
        <v>-35.039594985849909</v>
      </c>
      <c r="BC93" s="10">
        <f t="shared" si="257"/>
        <v>-33.877932129814418</v>
      </c>
      <c r="BD93" s="10">
        <f t="shared" si="257"/>
        <v>-33.896103631635107</v>
      </c>
      <c r="BE93" s="10">
        <f t="shared" si="257"/>
        <v>-35.631597905141383</v>
      </c>
      <c r="BF93" s="10">
        <f t="shared" si="257"/>
        <v>-33.673746051837114</v>
      </c>
      <c r="BG93" s="10">
        <f t="shared" si="257"/>
        <v>-33.661331307393922</v>
      </c>
      <c r="BH93" s="10">
        <f t="shared" si="257"/>
        <v>-34.892185320842415</v>
      </c>
      <c r="BI93" s="10">
        <f t="shared" si="257"/>
        <v>-33.738127949571393</v>
      </c>
      <c r="BJ93" s="10">
        <f t="shared" si="257"/>
        <v>-33.738127949571393</v>
      </c>
      <c r="BK93" s="10">
        <f t="shared" si="257"/>
        <v>-35.312284890622706</v>
      </c>
      <c r="BO93" s="23">
        <f t="shared" ref="BO93:BT93" si="258">SUM(BO91:BO92)</f>
        <v>-102.846920603814</v>
      </c>
      <c r="BP93" s="23">
        <f t="shared" si="258"/>
        <v>-203.04531515007798</v>
      </c>
      <c r="BQ93" s="23">
        <f t="shared" si="258"/>
        <v>46.002579396186036</v>
      </c>
      <c r="BR93" s="23">
        <f t="shared" si="258"/>
        <v>-314.18419001830767</v>
      </c>
      <c r="BS93" s="23">
        <f t="shared" si="258"/>
        <v>122.01107987965767</v>
      </c>
      <c r="BT93" s="23">
        <f t="shared" si="258"/>
        <v>64.168499999999995</v>
      </c>
    </row>
    <row r="95" spans="1:72" hidden="1" outlineLevel="1" x14ac:dyDescent="0.25">
      <c r="A95" s="11" t="s">
        <v>82</v>
      </c>
      <c r="C95" s="2" t="s">
        <v>83</v>
      </c>
      <c r="D95" s="8">
        <f>Renta_Alta!D95+Masivo!D95+Consumo_Inicial!D95</f>
        <v>0</v>
      </c>
      <c r="E95" s="8">
        <f>Renta_Alta!E95+Masivo!E95+Consumo_Inicial!E95</f>
        <v>0</v>
      </c>
      <c r="F95" s="8">
        <f>Renta_Alta!F95+Masivo!F95+Consumo_Inicial!F95</f>
        <v>0</v>
      </c>
      <c r="G95" s="8">
        <f>Renta_Alta!G95+Masivo!G95+Consumo_Inicial!G95</f>
        <v>0</v>
      </c>
      <c r="H95" s="8">
        <f>Renta_Alta!H95+Masivo!H95+Consumo_Inicial!H95</f>
        <v>0</v>
      </c>
      <c r="I95" s="8">
        <f>Renta_Alta!I95+Masivo!I95+Consumo_Inicial!I95</f>
        <v>0</v>
      </c>
      <c r="J95" s="8">
        <f>Renta_Alta!J95+Masivo!J95+Consumo_Inicial!J95</f>
        <v>0</v>
      </c>
      <c r="K95" s="8">
        <f>Renta_Alta!K95+Masivo!K95+Consumo_Inicial!K95</f>
        <v>0</v>
      </c>
      <c r="L95" s="8">
        <f>Renta_Alta!L95+Masivo!L95+Consumo_Inicial!L95</f>
        <v>0</v>
      </c>
      <c r="M95" s="8">
        <f>Renta_Alta!M95+Masivo!M95+Consumo_Inicial!M95</f>
        <v>0</v>
      </c>
      <c r="N95" s="8">
        <f>Renta_Alta!N95+Masivo!N95+Consumo_Inicial!N95</f>
        <v>0</v>
      </c>
      <c r="O95" s="8">
        <f>Renta_Alta!O95+Masivo!O95+Consumo_Inicial!O95</f>
        <v>0</v>
      </c>
      <c r="P95" s="8">
        <f>Renta_Alta!P95+Masivo!P95+Consumo_Inicial!P95</f>
        <v>0</v>
      </c>
      <c r="Q95" s="8">
        <f>Renta_Alta!Q95+Masivo!Q95+Consumo_Inicial!Q95</f>
        <v>0</v>
      </c>
      <c r="R95" s="8">
        <f>Renta_Alta!R95+Masivo!R95+Consumo_Inicial!R95</f>
        <v>0</v>
      </c>
      <c r="S95" s="8">
        <f>Renta_Alta!S95+Masivo!S95+Consumo_Inicial!S95</f>
        <v>0</v>
      </c>
      <c r="T95" s="8">
        <f>Renta_Alta!T95+Masivo!T95+Consumo_Inicial!T95</f>
        <v>0</v>
      </c>
      <c r="U95" s="8">
        <f>Renta_Alta!U95+Masivo!U95+Consumo_Inicial!U95</f>
        <v>0</v>
      </c>
      <c r="V95" s="8">
        <f>Renta_Alta!V95+Masivo!V95+Consumo_Inicial!V95</f>
        <v>0</v>
      </c>
      <c r="W95" s="8">
        <f>Renta_Alta!W95+Masivo!W95+Consumo_Inicial!W95</f>
        <v>0</v>
      </c>
      <c r="X95" s="8">
        <f>Renta_Alta!X95+Masivo!X95+Consumo_Inicial!X95</f>
        <v>0</v>
      </c>
      <c r="Y95" s="8">
        <f>Renta_Alta!Y95+Masivo!Y95+Consumo_Inicial!Y95</f>
        <v>0</v>
      </c>
      <c r="Z95" s="8">
        <f>Renta_Alta!Z95+Masivo!Z95+Consumo_Inicial!Z95</f>
        <v>0</v>
      </c>
      <c r="AA95" s="8">
        <f>Renta_Alta!AA95+Masivo!AA95+Consumo_Inicial!AA95</f>
        <v>0</v>
      </c>
      <c r="AB95" s="8">
        <f>Renta_Alta!AB95+Masivo!AB95+Consumo_Inicial!AB95</f>
        <v>0</v>
      </c>
      <c r="AC95" s="8">
        <f>Renta_Alta!AC95+Masivo!AC95+Consumo_Inicial!AC95</f>
        <v>0</v>
      </c>
      <c r="AD95" s="8">
        <f>Renta_Alta!AD95+Masivo!AD95+Consumo_Inicial!AD95</f>
        <v>317.56934999999999</v>
      </c>
      <c r="AE95" s="8">
        <f>Renta_Alta!AE95+Masivo!AE95+Consumo_Inicial!AE95</f>
        <v>0</v>
      </c>
      <c r="AF95" s="8">
        <f>Renta_Alta!AF95+Masivo!AF95+Consumo_Inicial!AF95</f>
        <v>0</v>
      </c>
      <c r="AG95" s="8">
        <f>Renta_Alta!AG95+Masivo!AG95+Consumo_Inicial!AG95</f>
        <v>0</v>
      </c>
      <c r="AH95" s="8">
        <f>Renta_Alta!AH95+Masivo!AH95+Consumo_Inicial!AH95</f>
        <v>0</v>
      </c>
      <c r="AI95" s="8">
        <f>Renta_Alta!AI95+Masivo!AI95+Consumo_Inicial!AI95</f>
        <v>0</v>
      </c>
      <c r="AJ95" s="8">
        <f>Renta_Alta!AJ95+Masivo!AJ95+Consumo_Inicial!AJ95</f>
        <v>0</v>
      </c>
      <c r="AK95" s="8">
        <f>Renta_Alta!AK95+Masivo!AK95+Consumo_Inicial!AK95</f>
        <v>0</v>
      </c>
      <c r="AL95" s="8">
        <f>Renta_Alta!AL95+Masivo!AL95+Consumo_Inicial!AL95</f>
        <v>0</v>
      </c>
      <c r="AM95" s="8">
        <f>Renta_Alta!AM95+Masivo!AM95+Consumo_Inicial!AM95</f>
        <v>0</v>
      </c>
      <c r="AN95" s="8">
        <f>Renta_Alta!AN95+Masivo!AN95+Consumo_Inicial!AN95</f>
        <v>0</v>
      </c>
      <c r="AO95" s="8">
        <f>Renta_Alta!AO95+Masivo!AO95+Consumo_Inicial!AO95</f>
        <v>60.139999999999993</v>
      </c>
      <c r="AP95" s="8">
        <f>Renta_Alta!AP95+Masivo!AP95+Consumo_Inicial!AP95</f>
        <v>1018.0437500000002</v>
      </c>
      <c r="AQ95" s="8">
        <f>Renta_Alta!AQ95+Masivo!AQ95+Consumo_Inicial!AQ95</f>
        <v>0</v>
      </c>
      <c r="AR95" s="8">
        <f>Renta_Alta!AR95+Masivo!AR95+Consumo_Inicial!AR95</f>
        <v>0</v>
      </c>
      <c r="AS95" s="8">
        <f>Renta_Alta!AS95+Masivo!AS95+Consumo_Inicial!AS95</f>
        <v>0</v>
      </c>
      <c r="AT95" s="8">
        <f>Renta_Alta!AT95+Masivo!AT95+Consumo_Inicial!AT95</f>
        <v>0</v>
      </c>
      <c r="AU95" s="8">
        <f>Renta_Alta!AU95+Masivo!AU95+Consumo_Inicial!AU95</f>
        <v>0</v>
      </c>
      <c r="AV95" s="8">
        <f>Renta_Alta!AV95+Masivo!AV95+Consumo_Inicial!AV95</f>
        <v>0</v>
      </c>
      <c r="AW95" s="8">
        <f>Renta_Alta!AW95+Masivo!AW95+Consumo_Inicial!AW95</f>
        <v>0</v>
      </c>
      <c r="AX95" s="8">
        <f>Renta_Alta!AX95+Masivo!AX95+Consumo_Inicial!AX95</f>
        <v>0</v>
      </c>
      <c r="AY95" s="8">
        <f>Renta_Alta!AY95+Masivo!AY95+Consumo_Inicial!AY95</f>
        <v>0</v>
      </c>
      <c r="AZ95" s="8">
        <f>Renta_Alta!AZ95+Masivo!AZ95+Consumo_Inicial!AZ95</f>
        <v>0</v>
      </c>
      <c r="BA95" s="8">
        <f>Renta_Alta!BA95+Masivo!BA95+Consumo_Inicial!BA95</f>
        <v>0</v>
      </c>
      <c r="BB95" s="8">
        <f>Renta_Alta!BB95+Masivo!BB95+Consumo_Inicial!BB95</f>
        <v>0</v>
      </c>
      <c r="BC95" s="8">
        <f>Renta_Alta!BC95+Masivo!BC95+Consumo_Inicial!BC95</f>
        <v>0</v>
      </c>
      <c r="BD95" s="8">
        <f>Renta_Alta!BD95+Masivo!BD95+Consumo_Inicial!BD95</f>
        <v>0</v>
      </c>
      <c r="BE95" s="8">
        <f>Renta_Alta!BE95+Masivo!BE95+Consumo_Inicial!BE95</f>
        <v>0</v>
      </c>
      <c r="BF95" s="8">
        <f>Renta_Alta!BF95+Masivo!BF95+Consumo_Inicial!BF95</f>
        <v>0</v>
      </c>
      <c r="BG95" s="8">
        <f>Renta_Alta!BG95+Masivo!BG95+Consumo_Inicial!BG95</f>
        <v>0</v>
      </c>
      <c r="BH95" s="8">
        <f>Renta_Alta!BH95+Masivo!BH95+Consumo_Inicial!BH95</f>
        <v>0</v>
      </c>
      <c r="BI95" s="8">
        <f>Renta_Alta!BI95+Masivo!BI95+Consumo_Inicial!BI95</f>
        <v>0</v>
      </c>
      <c r="BJ95" s="8">
        <f>Renta_Alta!BJ95+Masivo!BJ95+Consumo_Inicial!BJ95</f>
        <v>0</v>
      </c>
      <c r="BK95" s="8">
        <f>Renta_Alta!BK95+Masivo!BK95+Consumo_Inicial!BK95</f>
        <v>0</v>
      </c>
      <c r="BO95" s="24">
        <f t="shared" ref="BO95:BT95" si="259">SUMIFS($D95:$BM95,$D$6:$BM$6,"&gt;="&amp;BO$2,$D$6:$BM$6,"&lt;="&amp;BO$6,$D$5:$BM$5,BO$5)</f>
        <v>1078.1837500000001</v>
      </c>
      <c r="BP95" s="24">
        <f t="shared" si="259"/>
        <v>0</v>
      </c>
      <c r="BQ95" s="24">
        <f t="shared" si="259"/>
        <v>60.139999999999993</v>
      </c>
      <c r="BR95" s="24">
        <f t="shared" si="259"/>
        <v>317.56934999999999</v>
      </c>
      <c r="BS95" s="24">
        <f t="shared" si="259"/>
        <v>0</v>
      </c>
      <c r="BT95" s="24">
        <f t="shared" si="259"/>
        <v>0</v>
      </c>
    </row>
    <row r="96" spans="1:72" collapsed="1" x14ac:dyDescent="0.25">
      <c r="C96" s="3" t="s">
        <v>82</v>
      </c>
      <c r="D96" s="10">
        <f>SUM(D95:D95)</f>
        <v>0</v>
      </c>
      <c r="E96" s="10">
        <f t="shared" ref="E96:AY96" si="260">SUM(E95:E95)</f>
        <v>0</v>
      </c>
      <c r="F96" s="10">
        <f t="shared" si="260"/>
        <v>0</v>
      </c>
      <c r="G96" s="10">
        <f t="shared" si="260"/>
        <v>0</v>
      </c>
      <c r="H96" s="10">
        <f t="shared" si="260"/>
        <v>0</v>
      </c>
      <c r="I96" s="10">
        <f t="shared" si="260"/>
        <v>0</v>
      </c>
      <c r="J96" s="10">
        <f t="shared" si="260"/>
        <v>0</v>
      </c>
      <c r="K96" s="10">
        <f t="shared" si="260"/>
        <v>0</v>
      </c>
      <c r="L96" s="10">
        <f t="shared" si="260"/>
        <v>0</v>
      </c>
      <c r="M96" s="10">
        <f t="shared" si="260"/>
        <v>0</v>
      </c>
      <c r="N96" s="10">
        <f t="shared" si="260"/>
        <v>0</v>
      </c>
      <c r="O96" s="10">
        <f t="shared" si="260"/>
        <v>0</v>
      </c>
      <c r="P96" s="10">
        <f t="shared" si="260"/>
        <v>0</v>
      </c>
      <c r="Q96" s="10">
        <f t="shared" si="260"/>
        <v>0</v>
      </c>
      <c r="R96" s="10">
        <f t="shared" si="260"/>
        <v>0</v>
      </c>
      <c r="S96" s="10">
        <f t="shared" si="260"/>
        <v>0</v>
      </c>
      <c r="T96" s="10">
        <f t="shared" si="260"/>
        <v>0</v>
      </c>
      <c r="U96" s="10">
        <f t="shared" si="260"/>
        <v>0</v>
      </c>
      <c r="V96" s="10">
        <f t="shared" si="260"/>
        <v>0</v>
      </c>
      <c r="W96" s="10">
        <f t="shared" si="260"/>
        <v>0</v>
      </c>
      <c r="X96" s="10">
        <f t="shared" si="260"/>
        <v>0</v>
      </c>
      <c r="Y96" s="10">
        <f t="shared" si="260"/>
        <v>0</v>
      </c>
      <c r="Z96" s="10">
        <f t="shared" si="260"/>
        <v>0</v>
      </c>
      <c r="AA96" s="10">
        <f t="shared" si="260"/>
        <v>0</v>
      </c>
      <c r="AB96" s="10">
        <f t="shared" si="260"/>
        <v>0</v>
      </c>
      <c r="AC96" s="10">
        <f t="shared" si="260"/>
        <v>0</v>
      </c>
      <c r="AD96" s="10">
        <f t="shared" si="260"/>
        <v>317.56934999999999</v>
      </c>
      <c r="AE96" s="10">
        <f t="shared" si="260"/>
        <v>0</v>
      </c>
      <c r="AF96" s="10">
        <f t="shared" si="260"/>
        <v>0</v>
      </c>
      <c r="AG96" s="10">
        <f t="shared" si="260"/>
        <v>0</v>
      </c>
      <c r="AH96" s="10">
        <f t="shared" si="260"/>
        <v>0</v>
      </c>
      <c r="AI96" s="10">
        <f t="shared" si="260"/>
        <v>0</v>
      </c>
      <c r="AJ96" s="10">
        <f t="shared" si="260"/>
        <v>0</v>
      </c>
      <c r="AK96" s="10">
        <f t="shared" si="260"/>
        <v>0</v>
      </c>
      <c r="AL96" s="10">
        <f t="shared" si="260"/>
        <v>0</v>
      </c>
      <c r="AM96" s="10">
        <f t="shared" si="260"/>
        <v>0</v>
      </c>
      <c r="AN96" s="10">
        <f t="shared" si="260"/>
        <v>0</v>
      </c>
      <c r="AO96" s="10">
        <f t="shared" si="260"/>
        <v>60.139999999999993</v>
      </c>
      <c r="AP96" s="10">
        <f t="shared" si="260"/>
        <v>1018.0437500000002</v>
      </c>
      <c r="AQ96" s="10">
        <f t="shared" si="260"/>
        <v>0</v>
      </c>
      <c r="AR96" s="10">
        <f t="shared" si="260"/>
        <v>0</v>
      </c>
      <c r="AS96" s="10">
        <f t="shared" si="260"/>
        <v>0</v>
      </c>
      <c r="AT96" s="10">
        <f t="shared" si="260"/>
        <v>0</v>
      </c>
      <c r="AU96" s="10">
        <f t="shared" si="260"/>
        <v>0</v>
      </c>
      <c r="AV96" s="10">
        <f t="shared" si="260"/>
        <v>0</v>
      </c>
      <c r="AW96" s="10">
        <f t="shared" si="260"/>
        <v>0</v>
      </c>
      <c r="AX96" s="10">
        <f t="shared" si="260"/>
        <v>0</v>
      </c>
      <c r="AY96" s="10">
        <f t="shared" si="260"/>
        <v>0</v>
      </c>
      <c r="AZ96" s="10">
        <f t="shared" ref="AZ96:BK96" si="261">SUM(AZ95:AZ95)</f>
        <v>0</v>
      </c>
      <c r="BA96" s="10">
        <f t="shared" si="261"/>
        <v>0</v>
      </c>
      <c r="BB96" s="10">
        <f t="shared" si="261"/>
        <v>0</v>
      </c>
      <c r="BC96" s="10">
        <f t="shared" si="261"/>
        <v>0</v>
      </c>
      <c r="BD96" s="10">
        <f t="shared" si="261"/>
        <v>0</v>
      </c>
      <c r="BE96" s="10">
        <f t="shared" si="261"/>
        <v>0</v>
      </c>
      <c r="BF96" s="10">
        <f t="shared" si="261"/>
        <v>0</v>
      </c>
      <c r="BG96" s="10">
        <f t="shared" si="261"/>
        <v>0</v>
      </c>
      <c r="BH96" s="10">
        <f t="shared" si="261"/>
        <v>0</v>
      </c>
      <c r="BI96" s="10">
        <f t="shared" si="261"/>
        <v>0</v>
      </c>
      <c r="BJ96" s="10">
        <f t="shared" si="261"/>
        <v>0</v>
      </c>
      <c r="BK96" s="10">
        <f t="shared" si="261"/>
        <v>0</v>
      </c>
      <c r="BO96" s="23">
        <f>SUM(BO95)</f>
        <v>1078.1837500000001</v>
      </c>
      <c r="BP96" s="23">
        <f t="shared" ref="BP96:BT96" si="262">SUM(BP95)</f>
        <v>0</v>
      </c>
      <c r="BQ96" s="23">
        <f t="shared" si="262"/>
        <v>60.139999999999993</v>
      </c>
      <c r="BR96" s="23">
        <f t="shared" si="262"/>
        <v>317.56934999999999</v>
      </c>
      <c r="BS96" s="23">
        <f t="shared" si="262"/>
        <v>0</v>
      </c>
      <c r="BT96" s="23">
        <f t="shared" si="262"/>
        <v>0</v>
      </c>
    </row>
    <row r="98" spans="3:72" x14ac:dyDescent="0.25">
      <c r="C98" s="3" t="s">
        <v>84</v>
      </c>
      <c r="D98" s="10">
        <f t="shared" ref="D98:AY98" si="263">D60+D83+D89+D93+D96</f>
        <v>10801.526850570664</v>
      </c>
      <c r="E98" s="10">
        <f t="shared" si="263"/>
        <v>5052.5455914312688</v>
      </c>
      <c r="F98" s="10">
        <f t="shared" si="263"/>
        <v>11908.709186619601</v>
      </c>
      <c r="G98" s="10">
        <f t="shared" si="263"/>
        <v>8161.8951516987481</v>
      </c>
      <c r="H98" s="10">
        <f t="shared" si="263"/>
        <v>8492.7729364087063</v>
      </c>
      <c r="I98" s="10">
        <f t="shared" si="263"/>
        <v>9021.4493833795786</v>
      </c>
      <c r="J98" s="10">
        <f t="shared" si="263"/>
        <v>15654.699350489385</v>
      </c>
      <c r="K98" s="10">
        <f t="shared" si="263"/>
        <v>11457.785433295612</v>
      </c>
      <c r="L98" s="10">
        <f t="shared" si="263"/>
        <v>3943.6504680660864</v>
      </c>
      <c r="M98" s="10">
        <f t="shared" si="263"/>
        <v>6517.8305416752482</v>
      </c>
      <c r="N98" s="10">
        <f t="shared" si="263"/>
        <v>5813.5508612551166</v>
      </c>
      <c r="O98" s="10">
        <f t="shared" si="263"/>
        <v>14456.742829499868</v>
      </c>
      <c r="P98" s="10">
        <f t="shared" si="263"/>
        <v>5471.3313747175971</v>
      </c>
      <c r="Q98" s="10">
        <f t="shared" si="263"/>
        <v>6170.7451846754238</v>
      </c>
      <c r="R98" s="10">
        <f t="shared" si="263"/>
        <v>11963.02829937826</v>
      </c>
      <c r="S98" s="10">
        <f t="shared" si="263"/>
        <v>2499.8184061709926</v>
      </c>
      <c r="T98" s="10">
        <f t="shared" si="263"/>
        <v>11932.137346359568</v>
      </c>
      <c r="U98" s="10">
        <f t="shared" si="263"/>
        <v>7699.8370556263981</v>
      </c>
      <c r="V98" s="10">
        <f t="shared" si="263"/>
        <v>8032.8545086424556</v>
      </c>
      <c r="W98" s="10">
        <f t="shared" si="263"/>
        <v>11850.144177965685</v>
      </c>
      <c r="X98" s="10">
        <f t="shared" si="263"/>
        <v>8661.2903163832816</v>
      </c>
      <c r="Y98" s="10">
        <f t="shared" si="263"/>
        <v>4195.3496943863001</v>
      </c>
      <c r="Z98" s="10">
        <f t="shared" si="263"/>
        <v>11063.643872691204</v>
      </c>
      <c r="AA98" s="10">
        <f t="shared" si="263"/>
        <v>12313.257971289651</v>
      </c>
      <c r="AB98" s="10">
        <f t="shared" si="263"/>
        <v>7252.7935911518725</v>
      </c>
      <c r="AC98" s="10">
        <f t="shared" si="263"/>
        <v>3121.1140752306815</v>
      </c>
      <c r="AD98" s="10">
        <f t="shared" si="263"/>
        <v>10612.373564301242</v>
      </c>
      <c r="AE98" s="10">
        <f t="shared" si="263"/>
        <v>2771.8185219037191</v>
      </c>
      <c r="AF98" s="10">
        <f t="shared" si="263"/>
        <v>16674.944883094959</v>
      </c>
      <c r="AG98" s="10">
        <f t="shared" si="263"/>
        <v>3949.4195193147907</v>
      </c>
      <c r="AH98" s="10">
        <f t="shared" si="263"/>
        <v>8909.2716434509784</v>
      </c>
      <c r="AI98" s="10">
        <f t="shared" si="263"/>
        <v>6154.9837494977364</v>
      </c>
      <c r="AJ98" s="10">
        <f t="shared" si="263"/>
        <v>3465.0406535461275</v>
      </c>
      <c r="AK98" s="10">
        <f t="shared" si="263"/>
        <v>2711.1614984662606</v>
      </c>
      <c r="AL98" s="10">
        <f t="shared" si="263"/>
        <v>13228.428936864198</v>
      </c>
      <c r="AM98" s="10">
        <f t="shared" si="263"/>
        <v>24374.698996765452</v>
      </c>
      <c r="AN98" s="10">
        <f t="shared" si="263"/>
        <v>13308.366016537231</v>
      </c>
      <c r="AO98" s="10">
        <f t="shared" si="263"/>
        <v>7393.3416116967401</v>
      </c>
      <c r="AP98" s="10">
        <f t="shared" si="263"/>
        <v>12052.727733154679</v>
      </c>
      <c r="AQ98" s="10">
        <f t="shared" si="263"/>
        <v>8072.8580724634958</v>
      </c>
      <c r="AR98" s="10">
        <f t="shared" si="263"/>
        <v>17972.305479097442</v>
      </c>
      <c r="AS98" s="10">
        <f t="shared" si="263"/>
        <v>4323.2933650759414</v>
      </c>
      <c r="AT98" s="10">
        <f t="shared" si="263"/>
        <v>0</v>
      </c>
      <c r="AU98" s="10">
        <f t="shared" si="263"/>
        <v>0</v>
      </c>
      <c r="AV98" s="10">
        <f t="shared" si="263"/>
        <v>0</v>
      </c>
      <c r="AW98" s="10">
        <f t="shared" si="263"/>
        <v>0</v>
      </c>
      <c r="AX98" s="10">
        <f t="shared" si="263"/>
        <v>0</v>
      </c>
      <c r="AY98" s="10">
        <f t="shared" si="263"/>
        <v>0</v>
      </c>
      <c r="AZ98" s="10">
        <f t="shared" ref="AZ98:BK98" si="264">AZ60+AZ83+AZ89+AZ93+AZ96</f>
        <v>9434.1023828703783</v>
      </c>
      <c r="BA98" s="10">
        <f t="shared" si="264"/>
        <v>1225.2534903490559</v>
      </c>
      <c r="BB98" s="10">
        <f t="shared" si="264"/>
        <v>6399.2068984462239</v>
      </c>
      <c r="BC98" s="10">
        <f t="shared" si="264"/>
        <v>4883.0347449277933</v>
      </c>
      <c r="BD98" s="10">
        <f t="shared" si="264"/>
        <v>10614.738156773259</v>
      </c>
      <c r="BE98" s="10">
        <f t="shared" si="264"/>
        <v>4923.9424186560555</v>
      </c>
      <c r="BF98" s="10">
        <f t="shared" si="264"/>
        <v>10388.110761091209</v>
      </c>
      <c r="BG98" s="10">
        <f t="shared" si="264"/>
        <v>8674.6282283492219</v>
      </c>
      <c r="BH98" s="10">
        <f t="shared" si="264"/>
        <v>7415.8888779598065</v>
      </c>
      <c r="BI98" s="10">
        <f t="shared" si="264"/>
        <v>10432.029016534616</v>
      </c>
      <c r="BJ98" s="10">
        <f t="shared" si="264"/>
        <v>9770.7629070498424</v>
      </c>
      <c r="BK98" s="10">
        <f t="shared" si="264"/>
        <v>13416.5902149099</v>
      </c>
      <c r="BO98" s="23">
        <f>BO60+BO83+BO89+BO93+BO96</f>
        <v>32754.435361388627</v>
      </c>
      <c r="BP98" s="23">
        <f t="shared" ref="BP98:BT98" si="265">BP60+BP83+BP89+BP93+BP96</f>
        <v>17058.562771665682</v>
      </c>
      <c r="BQ98" s="23">
        <f t="shared" si="265"/>
        <v>20701.707628233969</v>
      </c>
      <c r="BR98" s="23">
        <f t="shared" si="265"/>
        <v>20986.281230683777</v>
      </c>
      <c r="BS98" s="23">
        <f t="shared" si="265"/>
        <v>23605.104858771261</v>
      </c>
      <c r="BT98" s="23">
        <f t="shared" si="265"/>
        <v>27762.781628621557</v>
      </c>
    </row>
    <row r="102" spans="3:72" s="48" customFormat="1" x14ac:dyDescent="0.25">
      <c r="C102" s="46" t="s">
        <v>110</v>
      </c>
      <c r="D102" s="47">
        <f>D11</f>
        <v>9588231.7687435392</v>
      </c>
      <c r="E102" s="47">
        <f>IFERROR(AVERAGE(D11:E11),0)</f>
        <v>9607179.8369842395</v>
      </c>
      <c r="F102" s="47">
        <f t="shared" ref="F102:BK102" si="266">IFERROR(AVERAGE(E11:F11),0)</f>
        <v>9646118.4649334811</v>
      </c>
      <c r="G102" s="47">
        <f t="shared" si="266"/>
        <v>9690459.2124690842</v>
      </c>
      <c r="H102" s="47">
        <f t="shared" si="266"/>
        <v>9738036.0820278097</v>
      </c>
      <c r="I102" s="47">
        <f t="shared" si="266"/>
        <v>9786148.3410814442</v>
      </c>
      <c r="J102" s="48">
        <f t="shared" si="266"/>
        <v>9815021.2793019582</v>
      </c>
      <c r="K102" s="48">
        <f t="shared" si="266"/>
        <v>9851256.639256373</v>
      </c>
      <c r="L102" s="48">
        <f t="shared" si="266"/>
        <v>9927887.8115380891</v>
      </c>
      <c r="M102" s="48">
        <f t="shared" si="266"/>
        <v>10005567.196518354</v>
      </c>
      <c r="N102" s="48">
        <f t="shared" si="266"/>
        <v>10053214.60894594</v>
      </c>
      <c r="O102" s="48">
        <f t="shared" si="266"/>
        <v>10079457.522536486</v>
      </c>
      <c r="P102" s="48">
        <f t="shared" si="266"/>
        <v>10109648.355114065</v>
      </c>
      <c r="Q102" s="48">
        <f t="shared" si="266"/>
        <v>10160434.799980629</v>
      </c>
      <c r="R102" s="48">
        <f t="shared" si="266"/>
        <v>10217267.385610478</v>
      </c>
      <c r="S102" s="48">
        <f t="shared" si="266"/>
        <v>10273793.737691019</v>
      </c>
      <c r="T102" s="48">
        <f t="shared" si="266"/>
        <v>10325849.915534031</v>
      </c>
      <c r="U102" s="48">
        <f t="shared" si="266"/>
        <v>10374253.563300565</v>
      </c>
      <c r="V102" s="48">
        <f t="shared" si="266"/>
        <v>10431354.049252532</v>
      </c>
      <c r="W102" s="47">
        <f t="shared" si="266"/>
        <v>10497761.670698557</v>
      </c>
      <c r="X102" s="47">
        <f t="shared" si="266"/>
        <v>10574092.472777609</v>
      </c>
      <c r="Y102" s="47">
        <f t="shared" si="266"/>
        <v>10657190.111266728</v>
      </c>
      <c r="Z102" s="47">
        <f t="shared" si="266"/>
        <v>10728704.2136946</v>
      </c>
      <c r="AA102" s="47">
        <f t="shared" si="266"/>
        <v>10790335.185308792</v>
      </c>
      <c r="AB102" s="47">
        <f t="shared" si="266"/>
        <v>10842173.459929552</v>
      </c>
      <c r="AC102" s="48">
        <f t="shared" si="266"/>
        <v>10889863.477696622</v>
      </c>
      <c r="AD102" s="48">
        <f t="shared" si="266"/>
        <v>10940801.528675139</v>
      </c>
      <c r="AE102" s="48">
        <f t="shared" si="266"/>
        <v>10992420.064990984</v>
      </c>
      <c r="AF102" s="48">
        <f t="shared" si="266"/>
        <v>11058855.308444954</v>
      </c>
      <c r="AG102" s="48">
        <f t="shared" si="266"/>
        <v>11136393.60151073</v>
      </c>
      <c r="AH102" s="48">
        <f t="shared" si="266"/>
        <v>11210799.878232408</v>
      </c>
      <c r="AI102" s="48">
        <f t="shared" si="266"/>
        <v>11292629.870365033</v>
      </c>
      <c r="AJ102" s="48">
        <f t="shared" si="266"/>
        <v>11394743.999537624</v>
      </c>
      <c r="AK102" s="48">
        <f t="shared" si="266"/>
        <v>11499709.945155675</v>
      </c>
      <c r="AL102" s="48">
        <f t="shared" si="266"/>
        <v>11602397.577739004</v>
      </c>
      <c r="AM102" s="48">
        <f t="shared" si="266"/>
        <v>11684647.864128172</v>
      </c>
      <c r="AN102" s="48">
        <f t="shared" si="266"/>
        <v>11744207.975278441</v>
      </c>
      <c r="AO102" s="48">
        <f t="shared" si="266"/>
        <v>11810462.934999999</v>
      </c>
      <c r="AP102" s="48">
        <f t="shared" si="266"/>
        <v>11878155.98</v>
      </c>
      <c r="AQ102" s="48">
        <f t="shared" si="266"/>
        <v>11929205.585602153</v>
      </c>
      <c r="AR102" s="48">
        <f t="shared" si="266"/>
        <v>11985431.994216222</v>
      </c>
      <c r="AS102" s="48">
        <f t="shared" si="266"/>
        <v>12062401.829270368</v>
      </c>
      <c r="AT102" s="48">
        <f t="shared" si="266"/>
        <v>6052694.765656299</v>
      </c>
      <c r="AU102" s="48">
        <f t="shared" si="266"/>
        <v>0</v>
      </c>
      <c r="AV102" s="48">
        <f t="shared" si="266"/>
        <v>0</v>
      </c>
      <c r="AW102" s="48">
        <f t="shared" si="266"/>
        <v>0</v>
      </c>
      <c r="AX102" s="48">
        <f t="shared" si="266"/>
        <v>0</v>
      </c>
      <c r="AY102" s="48">
        <f t="shared" si="266"/>
        <v>0</v>
      </c>
      <c r="AZ102" s="48">
        <f>AZ11</f>
        <v>11728965.830039851</v>
      </c>
      <c r="BA102" s="48">
        <f t="shared" si="266"/>
        <v>11765257.191904254</v>
      </c>
      <c r="BB102" s="48">
        <f t="shared" si="266"/>
        <v>11822679.520630529</v>
      </c>
      <c r="BC102" s="48">
        <f t="shared" si="266"/>
        <v>11874078.437150517</v>
      </c>
      <c r="BD102" s="48">
        <f t="shared" si="266"/>
        <v>11939240.689046886</v>
      </c>
      <c r="BE102" s="48">
        <f t="shared" si="266"/>
        <v>12018630.60706285</v>
      </c>
      <c r="BF102" s="48">
        <f t="shared" si="266"/>
        <v>12098524.410038687</v>
      </c>
      <c r="BG102" s="48">
        <f t="shared" si="266"/>
        <v>12188337.277727013</v>
      </c>
      <c r="BH102" s="48">
        <f t="shared" si="266"/>
        <v>12292233.343788724</v>
      </c>
      <c r="BI102" s="48">
        <f t="shared" si="266"/>
        <v>12399295.236390935</v>
      </c>
      <c r="BJ102" s="48">
        <f t="shared" si="266"/>
        <v>12506581.545319807</v>
      </c>
      <c r="BK102" s="48">
        <f t="shared" si="266"/>
        <v>12597579.682977572</v>
      </c>
      <c r="BO102" s="48">
        <f>IFERROR(AVERAGEIFS($D11:$BM11,$D$6:$BM$6,"&gt;="&amp;EOMONTH(BO$2,-1),$D$6:$BM$6,"&lt;="&amp;BO$6,$D$5:$BM$5,BO$5,$D11:$BM11,"&lt;&gt;0"),0)</f>
        <v>11811181.977639221</v>
      </c>
      <c r="BP102" s="48">
        <f>IFERROR(AVERAGEIFS($D11:$BM11,$D$6:$BM$6,"&gt;="&amp;EOMONTH(BP$2,-1),$D$6:$BM$6,"&lt;="&amp;BP$6,$D$5:$BM$5,BP$5,$D11:$BM11,"&lt;&gt;0"),0)</f>
        <v>11791441.623766972</v>
      </c>
      <c r="BQ102" s="48">
        <f>IFERROR(AVERAGEIFS($D11:$BM11,$D$6:$BM$6,"&gt;="&amp;EOMONTH(BQ$2,-1),$D$6:$BM$6,"&lt;="&amp;BQ$6,$D$5:$BM$5,BQ$5,$D11:$BM11,"&lt;&gt;0"),0)</f>
        <v>11779255.533518961</v>
      </c>
      <c r="BR102" s="48">
        <f>IFERROR(AVERAGEIFS($D11:$BM11,$D$6:$BM$6,"&gt;="&amp;EOMONTH(BR$2,-1),$D$6:$BM$6,"&lt;="&amp;BR$6,$D$5:$BM$5,BR$5,$D11:$BM11,"&lt;&gt;0"),0)</f>
        <v>10891487.494302345</v>
      </c>
      <c r="BS102" s="48">
        <f t="shared" ref="BS102:BT102" si="267">IFERROR(AVERAGEIFS($D11:$BM11,$D$6:$BM$6,"&gt;="&amp;EOMONTH(BS$2,-1),$D$6:$BM$6,"&lt;="&amp;BS$6,$D$5:$BM$5,BS$5,$D11:$BM11,"&lt;&gt;0"),0)</f>
        <v>10163457.870362271</v>
      </c>
      <c r="BT102" s="48">
        <f t="shared" si="267"/>
        <v>9626822.8995368332</v>
      </c>
    </row>
  </sheetData>
  <mergeCells count="4">
    <mergeCell ref="BO1:BT1"/>
    <mergeCell ref="BW1:CB1"/>
    <mergeCell ref="D1:AY1"/>
    <mergeCell ref="AZ1:BK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85D81-59C3-41AE-8F5F-B922789C8D26}">
  <dimension ref="A1:CC104"/>
  <sheetViews>
    <sheetView showGridLines="0" zoomScale="80" zoomScaleNormal="80" workbookViewId="0">
      <pane xSplit="3" ySplit="6" topLeftCell="AS37" activePane="bottomRight" state="frozen"/>
      <selection activeCell="D4" sqref="D4"/>
      <selection pane="topRight" activeCell="D4" sqref="D4"/>
      <selection pane="bottomLeft" activeCell="D4" sqref="D4"/>
      <selection pane="bottomRight" activeCell="AS92" sqref="AS92"/>
    </sheetView>
  </sheetViews>
  <sheetFormatPr baseColWidth="10" defaultRowHeight="15" outlineLevelRow="1" outlineLevelCol="1" x14ac:dyDescent="0.25"/>
  <cols>
    <col min="1" max="1" width="7.140625" customWidth="1"/>
    <col min="2" max="2" width="6.28515625" customWidth="1"/>
    <col min="3" max="3" width="22.85546875" bestFit="1" customWidth="1"/>
    <col min="4" max="14" width="11.28515625" customWidth="1" outlineLevel="1"/>
    <col min="15" max="15" width="11.28515625" bestFit="1" customWidth="1"/>
    <col min="16" max="26" width="11.28515625" customWidth="1" outlineLevel="1"/>
    <col min="27" max="27" width="11.28515625" bestFit="1" customWidth="1"/>
    <col min="28" max="38" width="11.28515625" hidden="1" customWidth="1" outlineLevel="1"/>
    <col min="39" max="39" width="11.28515625" bestFit="1" customWidth="1" collapsed="1"/>
    <col min="40" max="40" width="12.28515625" bestFit="1" customWidth="1"/>
    <col min="41" max="41" width="11.28515625" bestFit="1" customWidth="1"/>
    <col min="42" max="45" width="12.28515625" bestFit="1" customWidth="1"/>
    <col min="46" max="51" width="10.5703125" customWidth="1"/>
    <col min="52" max="52" width="12.28515625" bestFit="1" customWidth="1"/>
    <col min="53" max="53" width="11.28515625" bestFit="1" customWidth="1"/>
    <col min="54" max="63" width="12.28515625" bestFit="1" customWidth="1"/>
  </cols>
  <sheetData>
    <row r="1" spans="1:81" ht="15.75" x14ac:dyDescent="0.25">
      <c r="D1" s="66" t="s">
        <v>92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7" t="s">
        <v>93</v>
      </c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O1" s="68" t="s">
        <v>90</v>
      </c>
      <c r="BP1" s="68"/>
      <c r="BQ1" s="68"/>
      <c r="BR1" s="68"/>
      <c r="BS1" s="68"/>
      <c r="BT1" s="68"/>
      <c r="BW1" s="68" t="s">
        <v>91</v>
      </c>
      <c r="BX1" s="68"/>
      <c r="BY1" s="68"/>
      <c r="BZ1" s="68"/>
      <c r="CA1" s="68"/>
      <c r="CB1" s="68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5">
        <f t="shared" ref="BO2:BT2" si="0">DATE(YEAR(BO6),1,1)</f>
        <v>46023</v>
      </c>
      <c r="BP2" s="25">
        <f t="shared" si="0"/>
        <v>46023</v>
      </c>
      <c r="BQ2" s="25">
        <f t="shared" si="0"/>
        <v>46023</v>
      </c>
      <c r="BR2" s="25">
        <f t="shared" si="0"/>
        <v>45658</v>
      </c>
      <c r="BS2" s="25">
        <f t="shared" si="0"/>
        <v>45292</v>
      </c>
      <c r="BT2" s="25">
        <f t="shared" si="0"/>
        <v>44927</v>
      </c>
    </row>
    <row r="3" spans="1:81" x14ac:dyDescent="0.25">
      <c r="C3" s="13" t="s">
        <v>61</v>
      </c>
      <c r="D3" s="12">
        <f>DAY(D6)</f>
        <v>31</v>
      </c>
      <c r="E3" s="12">
        <f t="shared" ref="E3:BK3" si="1">DAY(E6)</f>
        <v>28</v>
      </c>
      <c r="F3" s="12">
        <f t="shared" si="1"/>
        <v>31</v>
      </c>
      <c r="G3" s="12">
        <f t="shared" si="1"/>
        <v>30</v>
      </c>
      <c r="H3" s="12">
        <f t="shared" si="1"/>
        <v>31</v>
      </c>
      <c r="I3" s="12">
        <f t="shared" si="1"/>
        <v>30</v>
      </c>
      <c r="J3" s="12">
        <f t="shared" si="1"/>
        <v>31</v>
      </c>
      <c r="K3" s="12">
        <f t="shared" si="1"/>
        <v>31</v>
      </c>
      <c r="L3" s="12">
        <f t="shared" si="1"/>
        <v>30</v>
      </c>
      <c r="M3" s="12">
        <f t="shared" si="1"/>
        <v>31</v>
      </c>
      <c r="N3" s="12">
        <f t="shared" si="1"/>
        <v>30</v>
      </c>
      <c r="O3" s="12">
        <f t="shared" si="1"/>
        <v>31</v>
      </c>
      <c r="P3" s="12">
        <f t="shared" si="1"/>
        <v>31</v>
      </c>
      <c r="Q3" s="12">
        <f t="shared" si="1"/>
        <v>29</v>
      </c>
      <c r="R3" s="12">
        <f t="shared" si="1"/>
        <v>31</v>
      </c>
      <c r="S3" s="12">
        <f t="shared" si="1"/>
        <v>30</v>
      </c>
      <c r="T3" s="12">
        <f t="shared" si="1"/>
        <v>31</v>
      </c>
      <c r="U3" s="12">
        <f t="shared" si="1"/>
        <v>30</v>
      </c>
      <c r="V3" s="12">
        <f t="shared" si="1"/>
        <v>31</v>
      </c>
      <c r="W3" s="12">
        <f t="shared" si="1"/>
        <v>31</v>
      </c>
      <c r="X3" s="12">
        <f t="shared" si="1"/>
        <v>30</v>
      </c>
      <c r="Y3" s="12">
        <f t="shared" si="1"/>
        <v>31</v>
      </c>
      <c r="Z3" s="12">
        <f t="shared" si="1"/>
        <v>30</v>
      </c>
      <c r="AA3" s="12">
        <f t="shared" si="1"/>
        <v>31</v>
      </c>
      <c r="AB3" s="12">
        <f t="shared" si="1"/>
        <v>31</v>
      </c>
      <c r="AC3" s="12">
        <f t="shared" si="1"/>
        <v>28</v>
      </c>
      <c r="AD3" s="12">
        <f t="shared" si="1"/>
        <v>31</v>
      </c>
      <c r="AE3" s="12">
        <f t="shared" si="1"/>
        <v>30</v>
      </c>
      <c r="AF3" s="12">
        <f t="shared" si="1"/>
        <v>31</v>
      </c>
      <c r="AG3" s="12">
        <f t="shared" si="1"/>
        <v>30</v>
      </c>
      <c r="AH3" s="12">
        <f t="shared" si="1"/>
        <v>31</v>
      </c>
      <c r="AI3" s="12">
        <f t="shared" si="1"/>
        <v>31</v>
      </c>
      <c r="AJ3" s="12">
        <f t="shared" si="1"/>
        <v>30</v>
      </c>
      <c r="AK3" s="12">
        <f t="shared" si="1"/>
        <v>31</v>
      </c>
      <c r="AL3" s="12">
        <f t="shared" si="1"/>
        <v>30</v>
      </c>
      <c r="AM3" s="12">
        <f t="shared" si="1"/>
        <v>31</v>
      </c>
      <c r="AN3" s="12">
        <f t="shared" si="1"/>
        <v>31</v>
      </c>
      <c r="AO3" s="12">
        <f t="shared" si="1"/>
        <v>28</v>
      </c>
      <c r="AP3" s="12">
        <f t="shared" si="1"/>
        <v>31</v>
      </c>
      <c r="AQ3" s="12">
        <f t="shared" si="1"/>
        <v>30</v>
      </c>
      <c r="AR3" s="12">
        <f t="shared" si="1"/>
        <v>31</v>
      </c>
      <c r="AS3" s="12">
        <f t="shared" si="1"/>
        <v>30</v>
      </c>
      <c r="AT3" s="12">
        <f t="shared" si="1"/>
        <v>31</v>
      </c>
      <c r="AU3" s="12">
        <f t="shared" si="1"/>
        <v>31</v>
      </c>
      <c r="AV3" s="12">
        <f t="shared" si="1"/>
        <v>30</v>
      </c>
      <c r="AW3" s="12">
        <f t="shared" si="1"/>
        <v>31</v>
      </c>
      <c r="AX3" s="12">
        <f t="shared" si="1"/>
        <v>30</v>
      </c>
      <c r="AY3" s="12">
        <f t="shared" si="1"/>
        <v>31</v>
      </c>
      <c r="AZ3" s="12">
        <f t="shared" si="1"/>
        <v>31</v>
      </c>
      <c r="BA3" s="12">
        <f t="shared" si="1"/>
        <v>28</v>
      </c>
      <c r="BB3" s="12">
        <f t="shared" si="1"/>
        <v>31</v>
      </c>
      <c r="BC3" s="12">
        <f t="shared" si="1"/>
        <v>30</v>
      </c>
      <c r="BD3" s="12">
        <f t="shared" si="1"/>
        <v>31</v>
      </c>
      <c r="BE3" s="12">
        <f t="shared" si="1"/>
        <v>30</v>
      </c>
      <c r="BF3" s="12">
        <f t="shared" si="1"/>
        <v>31</v>
      </c>
      <c r="BG3" s="12">
        <f t="shared" si="1"/>
        <v>31</v>
      </c>
      <c r="BH3" s="12">
        <f t="shared" si="1"/>
        <v>30</v>
      </c>
      <c r="BI3" s="12">
        <f t="shared" si="1"/>
        <v>31</v>
      </c>
      <c r="BJ3" s="12">
        <f t="shared" si="1"/>
        <v>30</v>
      </c>
      <c r="BK3" s="12">
        <f t="shared" si="1"/>
        <v>31</v>
      </c>
      <c r="BO3" s="12">
        <f>AVERAGEIFS($D3:$BM3,$D$6:$BM$6,"&gt;="&amp;BO$2,$D$6:$BM$6,"&lt;="&amp;BO$6,$D$5:$BM$5,BO$5)</f>
        <v>30</v>
      </c>
      <c r="BP3" s="12">
        <f t="shared" ref="BP3:BT4" si="2">AVERAGEIFS($D3:$BM3,$D$6:$BM$6,"&gt;="&amp;BP$2,$D$6:$BM$6,"&lt;="&amp;BP$6,$D$5:$BM$5,BP$5)</f>
        <v>30</v>
      </c>
      <c r="BQ3" s="12">
        <f t="shared" si="2"/>
        <v>29.5</v>
      </c>
      <c r="BR3" s="12">
        <f t="shared" si="2"/>
        <v>30</v>
      </c>
      <c r="BS3" s="12">
        <f t="shared" si="2"/>
        <v>30.333333333333332</v>
      </c>
      <c r="BT3" s="12">
        <f t="shared" si="2"/>
        <v>30</v>
      </c>
    </row>
    <row r="4" spans="1:81" x14ac:dyDescent="0.25">
      <c r="C4" s="13" t="s">
        <v>62</v>
      </c>
      <c r="D4" s="12">
        <v>30</v>
      </c>
      <c r="E4" s="12">
        <v>30</v>
      </c>
      <c r="F4" s="12">
        <v>30</v>
      </c>
      <c r="G4" s="12">
        <v>30</v>
      </c>
      <c r="H4" s="12">
        <v>30</v>
      </c>
      <c r="I4" s="12">
        <v>30</v>
      </c>
      <c r="J4" s="12">
        <v>30</v>
      </c>
      <c r="K4" s="12">
        <v>30</v>
      </c>
      <c r="L4" s="12">
        <v>30</v>
      </c>
      <c r="M4" s="12">
        <v>30</v>
      </c>
      <c r="N4" s="12">
        <v>30</v>
      </c>
      <c r="O4" s="12">
        <v>30</v>
      </c>
      <c r="P4" s="12">
        <v>30</v>
      </c>
      <c r="Q4" s="12">
        <v>30</v>
      </c>
      <c r="R4" s="12">
        <v>30</v>
      </c>
      <c r="S4" s="12">
        <v>30</v>
      </c>
      <c r="T4" s="12">
        <v>30</v>
      </c>
      <c r="U4" s="12">
        <v>30</v>
      </c>
      <c r="V4" s="12">
        <v>30</v>
      </c>
      <c r="W4" s="12">
        <v>30</v>
      </c>
      <c r="X4" s="12">
        <v>30</v>
      </c>
      <c r="Y4" s="12">
        <v>30</v>
      </c>
      <c r="Z4" s="12">
        <v>30</v>
      </c>
      <c r="AA4" s="12">
        <v>30</v>
      </c>
      <c r="AB4" s="12">
        <v>30</v>
      </c>
      <c r="AC4" s="12">
        <v>30</v>
      </c>
      <c r="AD4" s="12">
        <v>30</v>
      </c>
      <c r="AE4" s="12">
        <v>30</v>
      </c>
      <c r="AF4" s="12">
        <v>30</v>
      </c>
      <c r="AG4" s="12">
        <v>30</v>
      </c>
      <c r="AH4" s="12">
        <v>30</v>
      </c>
      <c r="AI4" s="12">
        <v>30</v>
      </c>
      <c r="AJ4" s="12">
        <v>30</v>
      </c>
      <c r="AK4" s="12">
        <v>30</v>
      </c>
      <c r="AL4" s="12">
        <v>30</v>
      </c>
      <c r="AM4" s="12">
        <v>30</v>
      </c>
      <c r="AN4" s="12">
        <v>30</v>
      </c>
      <c r="AO4" s="12">
        <v>30</v>
      </c>
      <c r="AP4" s="12">
        <v>30</v>
      </c>
      <c r="AQ4" s="12">
        <v>30</v>
      </c>
      <c r="AR4" s="12">
        <v>30</v>
      </c>
      <c r="AS4" s="12">
        <v>30</v>
      </c>
      <c r="AT4" s="12">
        <v>30</v>
      </c>
      <c r="AU4" s="12">
        <v>30</v>
      </c>
      <c r="AV4" s="12">
        <v>30</v>
      </c>
      <c r="AW4" s="12">
        <v>30</v>
      </c>
      <c r="AX4" s="12">
        <v>30</v>
      </c>
      <c r="AY4" s="12">
        <v>30</v>
      </c>
      <c r="AZ4" s="12">
        <v>30</v>
      </c>
      <c r="BA4" s="12">
        <v>30</v>
      </c>
      <c r="BB4" s="12">
        <v>30</v>
      </c>
      <c r="BC4" s="12">
        <v>30</v>
      </c>
      <c r="BD4" s="12">
        <v>30</v>
      </c>
      <c r="BE4" s="12">
        <v>30</v>
      </c>
      <c r="BF4" s="12">
        <v>30</v>
      </c>
      <c r="BG4" s="12">
        <v>30</v>
      </c>
      <c r="BH4" s="12">
        <v>30</v>
      </c>
      <c r="BI4" s="12">
        <v>30</v>
      </c>
      <c r="BJ4" s="12">
        <v>30</v>
      </c>
      <c r="BK4" s="12">
        <v>30</v>
      </c>
      <c r="BO4" s="27">
        <f>AVERAGEIFS($D4:$BM4,$D$6:$BM$6,"&gt;="&amp;BO$2,$D$6:$BM$6,"&lt;="&amp;BO$6,$D$5:$BM$5,BO$5)</f>
        <v>30</v>
      </c>
      <c r="BP4" s="27">
        <f t="shared" si="2"/>
        <v>30</v>
      </c>
      <c r="BQ4" s="27">
        <f t="shared" si="2"/>
        <v>30</v>
      </c>
      <c r="BR4" s="27">
        <f t="shared" si="2"/>
        <v>30</v>
      </c>
      <c r="BS4" s="27">
        <f t="shared" si="2"/>
        <v>30</v>
      </c>
      <c r="BT4" s="27">
        <f t="shared" si="2"/>
        <v>30</v>
      </c>
    </row>
    <row r="5" spans="1:81" ht="15.75" thickBot="1" x14ac:dyDescent="0.3">
      <c r="C5" s="13" t="s">
        <v>86</v>
      </c>
      <c r="D5" s="12" t="s">
        <v>87</v>
      </c>
      <c r="E5" s="12" t="s">
        <v>87</v>
      </c>
      <c r="F5" s="12" t="s">
        <v>87</v>
      </c>
      <c r="G5" s="12" t="s">
        <v>87</v>
      </c>
      <c r="H5" s="12" t="s">
        <v>87</v>
      </c>
      <c r="I5" s="12" t="s">
        <v>87</v>
      </c>
      <c r="J5" s="12" t="s">
        <v>87</v>
      </c>
      <c r="K5" s="12" t="s">
        <v>87</v>
      </c>
      <c r="L5" s="12" t="s">
        <v>87</v>
      </c>
      <c r="M5" s="12" t="s">
        <v>87</v>
      </c>
      <c r="N5" s="12" t="s">
        <v>87</v>
      </c>
      <c r="O5" s="12" t="s">
        <v>87</v>
      </c>
      <c r="P5" s="12" t="s">
        <v>87</v>
      </c>
      <c r="Q5" s="12" t="s">
        <v>87</v>
      </c>
      <c r="R5" s="12" t="s">
        <v>87</v>
      </c>
      <c r="S5" s="12" t="s">
        <v>87</v>
      </c>
      <c r="T5" s="12" t="s">
        <v>87</v>
      </c>
      <c r="U5" s="12" t="s">
        <v>87</v>
      </c>
      <c r="V5" s="12" t="s">
        <v>87</v>
      </c>
      <c r="W5" s="12" t="s">
        <v>87</v>
      </c>
      <c r="X5" s="12" t="s">
        <v>87</v>
      </c>
      <c r="Y5" s="12" t="s">
        <v>87</v>
      </c>
      <c r="Z5" s="12" t="s">
        <v>87</v>
      </c>
      <c r="AA5" s="12" t="s">
        <v>87</v>
      </c>
      <c r="AB5" s="12" t="s">
        <v>87</v>
      </c>
      <c r="AC5" s="12" t="s">
        <v>87</v>
      </c>
      <c r="AD5" s="12" t="s">
        <v>87</v>
      </c>
      <c r="AE5" s="12" t="s">
        <v>87</v>
      </c>
      <c r="AF5" s="12" t="s">
        <v>87</v>
      </c>
      <c r="AG5" s="12" t="s">
        <v>87</v>
      </c>
      <c r="AH5" s="12" t="s">
        <v>87</v>
      </c>
      <c r="AI5" s="12" t="s">
        <v>87</v>
      </c>
      <c r="AJ5" s="12" t="s">
        <v>87</v>
      </c>
      <c r="AK5" s="12" t="s">
        <v>87</v>
      </c>
      <c r="AL5" s="12" t="s">
        <v>87</v>
      </c>
      <c r="AM5" s="12" t="s">
        <v>87</v>
      </c>
      <c r="AN5" s="12" t="s">
        <v>87</v>
      </c>
      <c r="AO5" s="12" t="s">
        <v>87</v>
      </c>
      <c r="AP5" s="12" t="s">
        <v>87</v>
      </c>
      <c r="AQ5" s="12" t="s">
        <v>87</v>
      </c>
      <c r="AR5" s="12" t="s">
        <v>87</v>
      </c>
      <c r="AS5" s="12" t="s">
        <v>87</v>
      </c>
      <c r="AT5" s="12" t="s">
        <v>87</v>
      </c>
      <c r="AU5" s="12" t="s">
        <v>87</v>
      </c>
      <c r="AV5" s="12" t="s">
        <v>87</v>
      </c>
      <c r="AW5" s="12" t="s">
        <v>87</v>
      </c>
      <c r="AX5" s="12" t="s">
        <v>87</v>
      </c>
      <c r="AY5" s="12" t="s">
        <v>87</v>
      </c>
      <c r="AZ5" s="12" t="s">
        <v>88</v>
      </c>
      <c r="BA5" s="12" t="s">
        <v>88</v>
      </c>
      <c r="BB5" s="12" t="s">
        <v>88</v>
      </c>
      <c r="BC5" s="12" t="s">
        <v>88</v>
      </c>
      <c r="BD5" s="12" t="s">
        <v>88</v>
      </c>
      <c r="BE5" s="12" t="s">
        <v>88</v>
      </c>
      <c r="BF5" s="12" t="s">
        <v>88</v>
      </c>
      <c r="BG5" s="12" t="s">
        <v>88</v>
      </c>
      <c r="BH5" s="12" t="s">
        <v>88</v>
      </c>
      <c r="BI5" s="12" t="s">
        <v>88</v>
      </c>
      <c r="BJ5" s="12" t="s">
        <v>88</v>
      </c>
      <c r="BK5" s="12" t="s">
        <v>88</v>
      </c>
      <c r="BO5" s="12" t="s">
        <v>87</v>
      </c>
      <c r="BP5" s="12" t="s">
        <v>88</v>
      </c>
      <c r="BQ5" s="12" t="s">
        <v>87</v>
      </c>
      <c r="BR5" s="12" t="s">
        <v>87</v>
      </c>
      <c r="BS5" s="12" t="s">
        <v>87</v>
      </c>
      <c r="BT5" s="12" t="s">
        <v>87</v>
      </c>
    </row>
    <row r="6" spans="1:81" ht="16.5" thickTop="1" thickBot="1" x14ac:dyDescent="0.3">
      <c r="C6" s="45" t="s">
        <v>49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30">
        <v>46053</v>
      </c>
      <c r="BA6" s="30">
        <v>46081</v>
      </c>
      <c r="BB6" s="30">
        <v>46112</v>
      </c>
      <c r="BC6" s="30">
        <v>46142</v>
      </c>
      <c r="BD6" s="30">
        <v>46173</v>
      </c>
      <c r="BE6" s="30">
        <v>46203</v>
      </c>
      <c r="BF6" s="30">
        <v>46234</v>
      </c>
      <c r="BG6" s="30">
        <v>46265</v>
      </c>
      <c r="BH6" s="30">
        <v>46295</v>
      </c>
      <c r="BI6" s="30">
        <v>46326</v>
      </c>
      <c r="BJ6" s="30">
        <v>46356</v>
      </c>
      <c r="BK6" s="30">
        <v>46387</v>
      </c>
      <c r="BO6" s="1">
        <f>Desempeño_Financiero!$B$1</f>
        <v>46112</v>
      </c>
      <c r="BP6" s="22">
        <f>BO6</f>
        <v>46112</v>
      </c>
      <c r="BQ6" s="1">
        <f>EOMONTH(BO6,-1)</f>
        <v>46081</v>
      </c>
      <c r="BR6" s="1">
        <f>EOMONTH(BO6,-12)</f>
        <v>45747</v>
      </c>
      <c r="BS6" s="1">
        <f>EOMONTH(BO6,-24)</f>
        <v>45382</v>
      </c>
      <c r="BT6" s="1">
        <f>EOMONTH(BO6,-36)</f>
        <v>45016</v>
      </c>
      <c r="BW6" s="1">
        <f>BO6</f>
        <v>46112</v>
      </c>
      <c r="BX6" s="22">
        <f t="shared" ref="BX6:CB6" si="3">BP6</f>
        <v>46112</v>
      </c>
      <c r="BY6" s="1">
        <f t="shared" si="3"/>
        <v>46081</v>
      </c>
      <c r="BZ6" s="1">
        <f t="shared" si="3"/>
        <v>45747</v>
      </c>
      <c r="CA6" s="1">
        <f t="shared" si="3"/>
        <v>45382</v>
      </c>
      <c r="CB6" s="1">
        <f t="shared" si="3"/>
        <v>45016</v>
      </c>
      <c r="CC6" s="26"/>
    </row>
    <row r="7" spans="1:81" ht="15.75" thickTop="1" x14ac:dyDescent="0.25"/>
    <row r="8" spans="1:81" hidden="1" outlineLevel="1" x14ac:dyDescent="0.25">
      <c r="A8" s="11" t="s">
        <v>51</v>
      </c>
      <c r="C8" s="2" t="s">
        <v>0</v>
      </c>
      <c r="D8" s="8">
        <f>IFERROR(
GETPIVOTDATA(
"[Base].[Importe]",
TDinamica_R!$A$5,
"[Calendario].[AñoMes]",
"[Calendario].[AñoMes].&amp;[" &amp; TEXT(D$6,"yyyymm") &amp; "]",
"[Base].[Metrica]",
"[Base].[Metrica].&amp;[" &amp; $A8 &amp; "]",
"[Base].[SEGMENTO_DESCRIP]",
"[Base].[SEGMENTO_DESCRIP].&amp;[" &amp; $C$6 &amp; "]",
"[Base].[SITUACION]",
"[Base].[SITUACION].&amp;[" &amp; $C8 &amp; "]"
),0)/1000</f>
        <v>4332357.0658384403</v>
      </c>
      <c r="E8" s="8">
        <f>IFERROR(
GETPIVOTDATA(
"[Base].[Importe]",
TDinamica_R!$A$5,
"[Calendario].[AñoMes]",
"[Calendario].[AñoMes].&amp;[" &amp; TEXT(E$6,"yyyymm") &amp; "]",
"[Base].[Metrica]",
"[Base].[Metrica].&amp;[" &amp; $A8 &amp; "]",
"[Base].[SEGMENTO_DESCRIP]",
"[Base].[SEGMENTO_DESCRIP].&amp;[" &amp; $C$6 &amp; "]",
"[Base].[SITUACION]",
"[Base].[SITUACION].&amp;[" &amp; $C8 &amp; "]"
),0)/1000</f>
        <v>4355229.4000272602</v>
      </c>
      <c r="F8" s="8">
        <f>IFERROR(
GETPIVOTDATA(
"[Base].[Importe]",
TDinamica_R!$A$5,
"[Calendario].[AñoMes]",
"[Calendario].[AñoMes].&amp;[" &amp; TEXT(F$6,"yyyymm") &amp; "]",
"[Base].[Metrica]",
"[Base].[Metrica].&amp;[" &amp; $A8 &amp; "]",
"[Base].[SEGMENTO_DESCRIP]",
"[Base].[SEGMENTO_DESCRIP].&amp;[" &amp; $C$6 &amp; "]",
"[Base].[SITUACION]",
"[Base].[SITUACION].&amp;[" &amp; $C8 &amp; "]"
),0)/1000</f>
        <v>4364328.7409601798</v>
      </c>
      <c r="G8" s="8">
        <f>IFERROR(
GETPIVOTDATA(
"[Base].[Importe]",
TDinamica_R!$A$5,
"[Calendario].[AñoMes]",
"[Calendario].[AñoMes].&amp;[" &amp; TEXT(G$6,"yyyymm") &amp; "]",
"[Base].[Metrica]",
"[Base].[Metrica].&amp;[" &amp; $A8 &amp; "]",
"[Base].[SEGMENTO_DESCRIP]",
"[Base].[SEGMENTO_DESCRIP].&amp;[" &amp; $C$6 &amp; "]",
"[Base].[SITUACION]",
"[Base].[SITUACION].&amp;[" &amp; $C8 &amp; "]"
),0)/1000</f>
        <v>4374873.295030701</v>
      </c>
      <c r="H8" s="8">
        <f>IFERROR(
GETPIVOTDATA(
"[Base].[Importe]",
TDinamica_R!$A$5,
"[Calendario].[AñoMes]",
"[Calendario].[AñoMes].&amp;[" &amp; TEXT(H$6,"yyyymm") &amp; "]",
"[Base].[Metrica]",
"[Base].[Metrica].&amp;[" &amp; $A8 &amp; "]",
"[Base].[SEGMENTO_DESCRIP]",
"[Base].[SEGMENTO_DESCRIP].&amp;[" &amp; $C$6 &amp; "]",
"[Base].[SITUACION]",
"[Base].[SITUACION].&amp;[" &amp; $C8 &amp; "]"
),0)/1000</f>
        <v>4394477.0080957599</v>
      </c>
      <c r="I8" s="8">
        <f>IFERROR(
GETPIVOTDATA(
"[Base].[Importe]",
TDinamica_R!$A$5,
"[Calendario].[AñoMes]",
"[Calendario].[AñoMes].&amp;[" &amp; TEXT(I$6,"yyyymm") &amp; "]",
"[Base].[Metrica]",
"[Base].[Metrica].&amp;[" &amp; $A8 &amp; "]",
"[Base].[SEGMENTO_DESCRIP]",
"[Base].[SEGMENTO_DESCRIP].&amp;[" &amp; $C$6 &amp; "]",
"[Base].[SITUACION]",
"[Base].[SITUACION].&amp;[" &amp; $C8 &amp; "]"
),0)/1000</f>
        <v>4419596.2251685001</v>
      </c>
      <c r="J8" s="8">
        <f>IFERROR(
GETPIVOTDATA(
"[Base].[Importe]",
TDinamica_R!$A$5,
"[Calendario].[AñoMes]",
"[Calendario].[AñoMes].&amp;[" &amp; TEXT(J$6,"yyyymm") &amp; "]",
"[Base].[Metrica]",
"[Base].[Metrica].&amp;[" &amp; $A8 &amp; "]",
"[Base].[SEGMENTO_DESCRIP]",
"[Base].[SEGMENTO_DESCRIP].&amp;[" &amp; $C$6 &amp; "]",
"[Base].[SITUACION]",
"[Base].[SITUACION].&amp;[" &amp; $C8 &amp; "]"
),0)/1000</f>
        <v>4426856.0772143602</v>
      </c>
      <c r="K8" s="8">
        <f>IFERROR(
GETPIVOTDATA(
"[Base].[Importe]",
TDinamica_R!$A$5,
"[Calendario].[AñoMes]",
"[Calendario].[AñoMes].&amp;[" &amp; TEXT(K$6,"yyyymm") &amp; "]",
"[Base].[Metrica]",
"[Base].[Metrica].&amp;[" &amp; $A8 &amp; "]",
"[Base].[SEGMENTO_DESCRIP]",
"[Base].[SEGMENTO_DESCRIP].&amp;[" &amp; $C$6 &amp; "]",
"[Base].[SITUACION]",
"[Base].[SITUACION].&amp;[" &amp; $C8 &amp; "]"
),0)/1000</f>
        <v>4464601.61406135</v>
      </c>
      <c r="L8" s="8">
        <f>IFERROR(
GETPIVOTDATA(
"[Base].[Importe]",
TDinamica_R!$A$5,
"[Calendario].[AñoMes]",
"[Calendario].[AñoMes].&amp;[" &amp; TEXT(L$6,"yyyymm") &amp; "]",
"[Base].[Metrica]",
"[Base].[Metrica].&amp;[" &amp; $A8 &amp; "]",
"[Base].[SEGMENTO_DESCRIP]",
"[Base].[SEGMENTO_DESCRIP].&amp;[" &amp; $C$6 &amp; "]",
"[Base].[SITUACION]",
"[Base].[SITUACION].&amp;[" &amp; $C8 &amp; "]"
),0)/1000</f>
        <v>4512447.6844509905</v>
      </c>
      <c r="M8" s="8">
        <f>IFERROR(
GETPIVOTDATA(
"[Base].[Importe]",
TDinamica_R!$A$5,
"[Calendario].[AñoMes]",
"[Calendario].[AñoMes].&amp;[" &amp; TEXT(M$6,"yyyymm") &amp; "]",
"[Base].[Metrica]",
"[Base].[Metrica].&amp;[" &amp; $A8 &amp; "]",
"[Base].[SEGMENTO_DESCRIP]",
"[Base].[SEGMENTO_DESCRIP].&amp;[" &amp; $C$6 &amp; "]",
"[Base].[SITUACION]",
"[Base].[SITUACION].&amp;[" &amp; $C8 &amp; "]"
),0)/1000</f>
        <v>4560385.8958420791</v>
      </c>
      <c r="N8" s="8">
        <f>IFERROR(
GETPIVOTDATA(
"[Base].[Importe]",
TDinamica_R!$A$5,
"[Calendario].[AñoMes]",
"[Calendario].[AñoMes].&amp;[" &amp; TEXT(N$6,"yyyymm") &amp; "]",
"[Base].[Metrica]",
"[Base].[Metrica].&amp;[" &amp; $A8 &amp; "]",
"[Base].[SEGMENTO_DESCRIP]",
"[Base].[SEGMENTO_DESCRIP].&amp;[" &amp; $C$6 &amp; "]",
"[Base].[SITUACION]",
"[Base].[SITUACION].&amp;[" &amp; $C8 &amp; "]"
),0)/1000</f>
        <v>4576352.2713604001</v>
      </c>
      <c r="O8" s="8">
        <f>IFERROR(
GETPIVOTDATA(
"[Base].[Importe]",
TDinamica_R!$A$5,
"[Calendario].[AñoMes]",
"[Calendario].[AñoMes].&amp;[" &amp; TEXT(O$6,"yyyymm") &amp; "]",
"[Base].[Metrica]",
"[Base].[Metrica].&amp;[" &amp; $A8 &amp; "]",
"[Base].[SEGMENTO_DESCRIP]",
"[Base].[SEGMENTO_DESCRIP].&amp;[" &amp; $C$6 &amp; "]",
"[Base].[SITUACION]",
"[Base].[SITUACION].&amp;[" &amp; $C8 &amp; "]"
),0)/1000</f>
        <v>4594864.0407329705</v>
      </c>
      <c r="P8" s="8">
        <f>IFERROR(
GETPIVOTDATA(
"[Base].[Importe]",
TDinamica_R!$A$5,
"[Calendario].[AñoMes]",
"[Calendario].[AñoMes].&amp;[" &amp; TEXT(P$6,"yyyymm") &amp; "]",
"[Base].[Metrica]",
"[Base].[Metrica].&amp;[" &amp; $A8 &amp; "]",
"[Base].[SEGMENTO_DESCRIP]",
"[Base].[SEGMENTO_DESCRIP].&amp;[" &amp; $C$6 &amp; "]",
"[Base].[SITUACION]",
"[Base].[SITUACION].&amp;[" &amp; $C8 &amp; "]"
),0)/1000</f>
        <v>4616492.5381930405</v>
      </c>
      <c r="Q8" s="8">
        <f>IFERROR(
GETPIVOTDATA(
"[Base].[Importe]",
TDinamica_R!$A$5,
"[Calendario].[AñoMes]",
"[Calendario].[AñoMes].&amp;[" &amp; TEXT(Q$6,"yyyymm") &amp; "]",
"[Base].[Metrica]",
"[Base].[Metrica].&amp;[" &amp; $A8 &amp; "]",
"[Base].[SEGMENTO_DESCRIP]",
"[Base].[SEGMENTO_DESCRIP].&amp;[" &amp; $C$6 &amp; "]",
"[Base].[SITUACION]",
"[Base].[SITUACION].&amp;[" &amp; $C8 &amp; "]"
),0)/1000</f>
        <v>4658448.0591813996</v>
      </c>
      <c r="R8" s="8">
        <f>IFERROR(
GETPIVOTDATA(
"[Base].[Importe]",
TDinamica_R!$A$5,
"[Calendario].[AñoMes]",
"[Calendario].[AñoMes].&amp;[" &amp; TEXT(R$6,"yyyymm") &amp; "]",
"[Base].[Metrica]",
"[Base].[Metrica].&amp;[" &amp; $A8 &amp; "]",
"[Base].[SEGMENTO_DESCRIP]",
"[Base].[SEGMENTO_DESCRIP].&amp;[" &amp; $C$6 &amp; "]",
"[Base].[SITUACION]",
"[Base].[SITUACION].&amp;[" &amp; $C8 &amp; "]"
),0)/1000</f>
        <v>4690999.4727996802</v>
      </c>
      <c r="S8" s="8">
        <f>IFERROR(
GETPIVOTDATA(
"[Base].[Importe]",
TDinamica_R!$A$5,
"[Calendario].[AñoMes]",
"[Calendario].[AñoMes].&amp;[" &amp; TEXT(S$6,"yyyymm") &amp; "]",
"[Base].[Metrica]",
"[Base].[Metrica].&amp;[" &amp; $A8 &amp; "]",
"[Base].[SEGMENTO_DESCRIP]",
"[Base].[SEGMENTO_DESCRIP].&amp;[" &amp; $C$6 &amp; "]",
"[Base].[SITUACION]",
"[Base].[SITUACION].&amp;[" &amp; $C8 &amp; "]"
),0)/1000</f>
        <v>4716431.3615829404</v>
      </c>
      <c r="T8" s="8">
        <f>IFERROR(
GETPIVOTDATA(
"[Base].[Importe]",
TDinamica_R!$A$5,
"[Calendario].[AñoMes]",
"[Calendario].[AñoMes].&amp;[" &amp; TEXT(T$6,"yyyymm") &amp; "]",
"[Base].[Metrica]",
"[Base].[Metrica].&amp;[" &amp; $A8 &amp; "]",
"[Base].[SEGMENTO_DESCRIP]",
"[Base].[SEGMENTO_DESCRIP].&amp;[" &amp; $C$6 &amp; "]",
"[Base].[SITUACION]",
"[Base].[SITUACION].&amp;[" &amp; $C8 &amp; "]"
),0)/1000</f>
        <v>4741857.1479981598</v>
      </c>
      <c r="U8" s="8">
        <f>IFERROR(
GETPIVOTDATA(
"[Base].[Importe]",
TDinamica_R!$A$5,
"[Calendario].[AñoMes]",
"[Calendario].[AñoMes].&amp;[" &amp; TEXT(U$6,"yyyymm") &amp; "]",
"[Base].[Metrica]",
"[Base].[Metrica].&amp;[" &amp; $A8 &amp; "]",
"[Base].[SEGMENTO_DESCRIP]",
"[Base].[SEGMENTO_DESCRIP].&amp;[" &amp; $C$6 &amp; "]",
"[Base].[SITUACION]",
"[Base].[SITUACION].&amp;[" &amp; $C8 &amp; "]"
),0)/1000</f>
        <v>4777371.3987887409</v>
      </c>
      <c r="V8" s="8">
        <f>IFERROR(
GETPIVOTDATA(
"[Base].[Importe]",
TDinamica_R!$A$5,
"[Calendario].[AñoMes]",
"[Calendario].[AñoMes].&amp;[" &amp; TEXT(V$6,"yyyymm") &amp; "]",
"[Base].[Metrica]",
"[Base].[Metrica].&amp;[" &amp; $A8 &amp; "]",
"[Base].[SEGMENTO_DESCRIP]",
"[Base].[SEGMENTO_DESCRIP].&amp;[" &amp; $C$6 &amp; "]",
"[Base].[SITUACION]",
"[Base].[SITUACION].&amp;[" &amp; $C8 &amp; "]"
),0)/1000</f>
        <v>4816823.5403318712</v>
      </c>
      <c r="W8" s="8">
        <f>IFERROR(
GETPIVOTDATA(
"[Base].[Importe]",
TDinamica_R!$A$5,
"[Calendario].[AñoMes]",
"[Calendario].[AñoMes].&amp;[" &amp; TEXT(W$6,"yyyymm") &amp; "]",
"[Base].[Metrica]",
"[Base].[Metrica].&amp;[" &amp; $A8 &amp; "]",
"[Base].[SEGMENTO_DESCRIP]",
"[Base].[SEGMENTO_DESCRIP].&amp;[" &amp; $C$6 &amp; "]",
"[Base].[SITUACION]",
"[Base].[SITUACION].&amp;[" &amp; $C8 &amp; "]"
),0)/1000</f>
        <v>4868692.8593730796</v>
      </c>
      <c r="X8" s="8">
        <f>IFERROR(
GETPIVOTDATA(
"[Base].[Importe]",
TDinamica_R!$A$5,
"[Calendario].[AñoMes]",
"[Calendario].[AñoMes].&amp;[" &amp; TEXT(X$6,"yyyymm") &amp; "]",
"[Base].[Metrica]",
"[Base].[Metrica].&amp;[" &amp; $A8 &amp; "]",
"[Base].[SEGMENTO_DESCRIP]",
"[Base].[SEGMENTO_DESCRIP].&amp;[" &amp; $C$6 &amp; "]",
"[Base].[SITUACION]",
"[Base].[SITUACION].&amp;[" &amp; $C8 &amp; "]"
),0)/1000</f>
        <v>4925843.1940716095</v>
      </c>
      <c r="Y8" s="8">
        <f>IFERROR(
GETPIVOTDATA(
"[Base].[Importe]",
TDinamica_R!$A$5,
"[Calendario].[AñoMes]",
"[Calendario].[AñoMes].&amp;[" &amp; TEXT(Y$6,"yyyymm") &amp; "]",
"[Base].[Metrica]",
"[Base].[Metrica].&amp;[" &amp; $A8 &amp; "]",
"[Base].[SEGMENTO_DESCRIP]",
"[Base].[SEGMENTO_DESCRIP].&amp;[" &amp; $C$6 &amp; "]",
"[Base].[SITUACION]",
"[Base].[SITUACION].&amp;[" &amp; $C8 &amp; "]"
),0)/1000</f>
        <v>4972931.014105319</v>
      </c>
      <c r="Z8" s="8">
        <f>IFERROR(
GETPIVOTDATA(
"[Base].[Importe]",
TDinamica_R!$A$5,
"[Calendario].[AñoMes]",
"[Calendario].[AñoMes].&amp;[" &amp; TEXT(Z$6,"yyyymm") &amp; "]",
"[Base].[Metrica]",
"[Base].[Metrica].&amp;[" &amp; $A8 &amp; "]",
"[Base].[SEGMENTO_DESCRIP]",
"[Base].[SEGMENTO_DESCRIP].&amp;[" &amp; $C$6 &amp; "]",
"[Base].[SITUACION]",
"[Base].[SITUACION].&amp;[" &amp; $C8 &amp; "]"
),0)/1000</f>
        <v>5001520.9729548404</v>
      </c>
      <c r="AA8" s="8">
        <f>IFERROR(
GETPIVOTDATA(
"[Base].[Importe]",
TDinamica_R!$A$5,
"[Calendario].[AñoMes]",
"[Calendario].[AñoMes].&amp;[" &amp; TEXT(AA$6,"yyyymm") &amp; "]",
"[Base].[Metrica]",
"[Base].[Metrica].&amp;[" &amp; $A8 &amp; "]",
"[Base].[SEGMENTO_DESCRIP]",
"[Base].[SEGMENTO_DESCRIP].&amp;[" &amp; $C$6 &amp; "]",
"[Base].[SITUACION]",
"[Base].[SITUACION].&amp;[" &amp; $C8 &amp; "]"
),0)/1000</f>
        <v>5038464.3152975217</v>
      </c>
      <c r="AB8" s="8">
        <f>IFERROR(
GETPIVOTDATA(
"[Base].[Importe]",
TDinamica_R!$A$5,
"[Calendario].[AñoMes]",
"[Calendario].[AñoMes].&amp;[" &amp; TEXT(AB$6,"yyyymm") &amp; "]",
"[Base].[Metrica]",
"[Base].[Metrica].&amp;[" &amp; $A8 &amp; "]",
"[Base].[SEGMENTO_DESCRIP]",
"[Base].[SEGMENTO_DESCRIP].&amp;[" &amp; $C$6 &amp; "]",
"[Base].[SITUACION]",
"[Base].[SITUACION].&amp;[" &amp; $C8 &amp; "]"
),0)/1000</f>
        <v>5055748.2513738805</v>
      </c>
      <c r="AC8" s="8">
        <f>IFERROR(
GETPIVOTDATA(
"[Base].[Importe]",
TDinamica_R!$A$5,
"[Calendario].[AñoMes]",
"[Calendario].[AñoMes].&amp;[" &amp; TEXT(AC$6,"yyyymm") &amp; "]",
"[Base].[Metrica]",
"[Base].[Metrica].&amp;[" &amp; $A8 &amp; "]",
"[Base].[SEGMENTO_DESCRIP]",
"[Base].[SEGMENTO_DESCRIP].&amp;[" &amp; $C$6 &amp; "]",
"[Base].[SITUACION]",
"[Base].[SITUACION].&amp;[" &amp; $C8 &amp; "]"
),0)/1000</f>
        <v>5071295.4405791694</v>
      </c>
      <c r="AD8" s="8">
        <f>IFERROR(
GETPIVOTDATA(
"[Base].[Importe]",
TDinamica_R!$A$5,
"[Calendario].[AñoMes]",
"[Calendario].[AñoMes].&amp;[" &amp; TEXT(AD$6,"yyyymm") &amp; "]",
"[Base].[Metrica]",
"[Base].[Metrica].&amp;[" &amp; $A8 &amp; "]",
"[Base].[SEGMENTO_DESCRIP]",
"[Base].[SEGMENTO_DESCRIP].&amp;[" &amp; $C$6 &amp; "]",
"[Base].[SITUACION]",
"[Base].[SITUACION].&amp;[" &amp; $C8 &amp; "]"
),0)/1000</f>
        <v>5066135.1307048015</v>
      </c>
      <c r="AE8" s="8">
        <f>IFERROR(
GETPIVOTDATA(
"[Base].[Importe]",
TDinamica_R!$A$5,
"[Calendario].[AñoMes]",
"[Calendario].[AñoMes].&amp;[" &amp; TEXT(AE$6,"yyyymm") &amp; "]",
"[Base].[Metrica]",
"[Base].[Metrica].&amp;[" &amp; $A8 &amp; "]",
"[Base].[SEGMENTO_DESCRIP]",
"[Base].[SEGMENTO_DESCRIP].&amp;[" &amp; $C$6 &amp; "]",
"[Base].[SITUACION]",
"[Base].[SITUACION].&amp;[" &amp; $C8 &amp; "]"
),0)/1000</f>
        <v>5095813.5960777998</v>
      </c>
      <c r="AF8" s="8">
        <f>IFERROR(
GETPIVOTDATA(
"[Base].[Importe]",
TDinamica_R!$A$5,
"[Calendario].[AñoMes]",
"[Calendario].[AñoMes].&amp;[" &amp; TEXT(AF$6,"yyyymm") &amp; "]",
"[Base].[Metrica]",
"[Base].[Metrica].&amp;[" &amp; $A8 &amp; "]",
"[Base].[SEGMENTO_DESCRIP]",
"[Base].[SEGMENTO_DESCRIP].&amp;[" &amp; $C$6 &amp; "]",
"[Base].[SITUACION]",
"[Base].[SITUACION].&amp;[" &amp; $C8 &amp; "]"
),0)/1000</f>
        <v>5099101.2322697984</v>
      </c>
      <c r="AG8" s="8">
        <f>IFERROR(
GETPIVOTDATA(
"[Base].[Importe]",
TDinamica_R!$A$5,
"[Calendario].[AñoMes]",
"[Calendario].[AñoMes].&amp;[" &amp; TEXT(AG$6,"yyyymm") &amp; "]",
"[Base].[Metrica]",
"[Base].[Metrica].&amp;[" &amp; $A8 &amp; "]",
"[Base].[SEGMENTO_DESCRIP]",
"[Base].[SEGMENTO_DESCRIP].&amp;[" &amp; $C$6 &amp; "]",
"[Base].[SITUACION]",
"[Base].[SITUACION].&amp;[" &amp; $C8 &amp; "]"
),0)/1000</f>
        <v>5155796.9112844011</v>
      </c>
      <c r="AH8" s="8">
        <f>IFERROR(
GETPIVOTDATA(
"[Base].[Importe]",
TDinamica_R!$A$5,
"[Calendario].[AñoMes]",
"[Calendario].[AñoMes].&amp;[" &amp; TEXT(AH$6,"yyyymm") &amp; "]",
"[Base].[Metrica]",
"[Base].[Metrica].&amp;[" &amp; $A8 &amp; "]",
"[Base].[SEGMENTO_DESCRIP]",
"[Base].[SEGMENTO_DESCRIP].&amp;[" &amp; $C$6 &amp; "]",
"[Base].[SITUACION]",
"[Base].[SITUACION].&amp;[" &amp; $C8 &amp; "]"
),0)/1000</f>
        <v>5170160.3337342888</v>
      </c>
      <c r="AI8" s="8">
        <f>IFERROR(
GETPIVOTDATA(
"[Base].[Importe]",
TDinamica_R!$A$5,
"[Calendario].[AñoMes]",
"[Calendario].[AñoMes].&amp;[" &amp; TEXT(AI$6,"yyyymm") &amp; "]",
"[Base].[Metrica]",
"[Base].[Metrica].&amp;[" &amp; $A8 &amp; "]",
"[Base].[SEGMENTO_DESCRIP]",
"[Base].[SEGMENTO_DESCRIP].&amp;[" &amp; $C$6 &amp; "]",
"[Base].[SITUACION]",
"[Base].[SITUACION].&amp;[" &amp; $C8 &amp; "]"
),0)/1000</f>
        <v>5201323.3517882992</v>
      </c>
      <c r="AJ8" s="8">
        <f>IFERROR(
GETPIVOTDATA(
"[Base].[Importe]",
TDinamica_R!$A$5,
"[Calendario].[AñoMes]",
"[Calendario].[AñoMes].&amp;[" &amp; TEXT(AJ$6,"yyyymm") &amp; "]",
"[Base].[Metrica]",
"[Base].[Metrica].&amp;[" &amp; $A8 &amp; "]",
"[Base].[SEGMENTO_DESCRIP]",
"[Base].[SEGMENTO_DESCRIP].&amp;[" &amp; $C$6 &amp; "]",
"[Base].[SITUACION]",
"[Base].[SITUACION].&amp;[" &amp; $C8 &amp; "]"
),0)/1000</f>
        <v>5239346.484189501</v>
      </c>
      <c r="AK8" s="8">
        <f>IFERROR(
GETPIVOTDATA(
"[Base].[Importe]",
TDinamica_R!$A$5,
"[Calendario].[AñoMes]",
"[Calendario].[AñoMes].&amp;[" &amp; TEXT(AK$6,"yyyymm") &amp; "]",
"[Base].[Metrica]",
"[Base].[Metrica].&amp;[" &amp; $A8 &amp; "]",
"[Base].[SEGMENTO_DESCRIP]",
"[Base].[SEGMENTO_DESCRIP].&amp;[" &amp; $C$6 &amp; "]",
"[Base].[SITUACION]",
"[Base].[SITUACION].&amp;[" &amp; $C8 &amp; "]"
),0)/1000</f>
        <v>5258310.3933667503</v>
      </c>
      <c r="AL8" s="8">
        <f>IFERROR(
GETPIVOTDATA(
"[Base].[Importe]",
TDinamica_R!$A$5,
"[Calendario].[AñoMes]",
"[Calendario].[AñoMes].&amp;[" &amp; TEXT(AL$6,"yyyymm") &amp; "]",
"[Base].[Metrica]",
"[Base].[Metrica].&amp;[" &amp; $A8 &amp; "]",
"[Base].[SEGMENTO_DESCRIP]",
"[Base].[SEGMENTO_DESCRIP].&amp;[" &amp; $C$6 &amp; "]",
"[Base].[SITUACION]",
"[Base].[SITUACION].&amp;[" &amp; $C8 &amp; "]"
),0)/1000</f>
        <v>5282507.4263412403</v>
      </c>
      <c r="AM8" s="8">
        <f>IFERROR(
GETPIVOTDATA(
"[Base].[Importe]",
TDinamica_R!$A$5,
"[Calendario].[AñoMes]",
"[Calendario].[AñoMes].&amp;[" &amp; TEXT(AM$6,"yyyymm") &amp; "]",
"[Base].[Metrica]",
"[Base].[Metrica].&amp;[" &amp; $A8 &amp; "]",
"[Base].[SEGMENTO_DESCRIP]",
"[Base].[SEGMENTO_DESCRIP].&amp;[" &amp; $C$6 &amp; "]",
"[Base].[SITUACION]",
"[Base].[SITUACION].&amp;[" &amp; $C8 &amp; "]"
),0)/1000</f>
        <v>5279661.6338785198</v>
      </c>
      <c r="AN8" s="8">
        <f>IFERROR(
GETPIVOTDATA(
"[Base].[Importe]",
TDinamica_R!$A$5,
"[Calendario].[AñoMes]",
"[Calendario].[AñoMes].&amp;[" &amp; TEXT(AN$6,"yyyymm") &amp; "]",
"[Base].[Metrica]",
"[Base].[Metrica].&amp;[" &amp; $A8 &amp; "]",
"[Base].[SEGMENTO_DESCRIP]",
"[Base].[SEGMENTO_DESCRIP].&amp;[" &amp; $C$6 &amp; "]",
"[Base].[SITUACION]",
"[Base].[SITUACION].&amp;[" &amp; $C8 &amp; "]"
),0)/1000</f>
        <v>5261303.6900000004</v>
      </c>
      <c r="AO8" s="8">
        <f>IFERROR(
GETPIVOTDATA(
"[Base].[Importe]",
TDinamica_R!$A$5,
"[Calendario].[AñoMes]",
"[Calendario].[AñoMes].&amp;[" &amp; TEXT(AO$6,"yyyymm") &amp; "]",
"[Base].[Metrica]",
"[Base].[Metrica].&amp;[" &amp; $A8 &amp; "]",
"[Base].[SEGMENTO_DESCRIP]",
"[Base].[SEGMENTO_DESCRIP].&amp;[" &amp; $C$6 &amp; "]",
"[Base].[SITUACION]",
"[Base].[SITUACION].&amp;[" &amp; $C8 &amp; "]"
),0)/1000</f>
        <v>5262193.1399999997</v>
      </c>
      <c r="AP8" s="8">
        <f>IFERROR(
GETPIVOTDATA(
"[Base].[Importe]",
TDinamica_R!$A$5,
"[Calendario].[AñoMes]",
"[Calendario].[AñoMes].&amp;[" &amp; TEXT(AP$6,"yyyymm") &amp; "]",
"[Base].[Metrica]",
"[Base].[Metrica].&amp;[" &amp; $A8 &amp; "]",
"[Base].[SEGMENTO_DESCRIP]",
"[Base].[SEGMENTO_DESCRIP].&amp;[" &amp; $C$6 &amp; "]",
"[Base].[SITUACION]",
"[Base].[SITUACION].&amp;[" &amp; $C8 &amp; "]"
),0)/1000</f>
        <v>5255521.01</v>
      </c>
      <c r="AQ8" s="8">
        <f>IFERROR(
GETPIVOTDATA(
"[Base].[Importe]",
TDinamica_R!$A$5,
"[Calendario].[AñoMes]",
"[Calendario].[AñoMes].&amp;[" &amp; TEXT(AQ$6,"yyyymm") &amp; "]",
"[Base].[Metrica]",
"[Base].[Metrica].&amp;[" &amp; $A8 &amp; "]",
"[Base].[SEGMENTO_DESCRIP]",
"[Base].[SEGMENTO_DESCRIP].&amp;[" &amp; $C$6 &amp; "]",
"[Base].[SITUACION]",
"[Base].[SITUACION].&amp;[" &amp; $C8 &amp; "]"
),0)/1000</f>
        <v>5245504.7966937888</v>
      </c>
      <c r="AR8" s="8">
        <f>IFERROR(
GETPIVOTDATA(
"[Base].[Importe]",
TDinamica_R!$A$5,
"[Calendario].[AñoMes]",
"[Calendario].[AñoMes].&amp;[" &amp; TEXT(AR$6,"yyyymm") &amp; "]",
"[Base].[Metrica]",
"[Base].[Metrica].&amp;[" &amp; $A8 &amp; "]",
"[Base].[SEGMENTO_DESCRIP]",
"[Base].[SEGMENTO_DESCRIP].&amp;[" &amp; $C$6 &amp; "]",
"[Base].[SITUACION]",
"[Base].[SITUACION].&amp;[" &amp; $C8 &amp; "]"
),0)/1000</f>
        <v>5242030.6215633806</v>
      </c>
      <c r="AS8" s="8">
        <f>IFERROR(
GETPIVOTDATA(
"[Base].[Importe]",
TDinamica_R!$A$5,
"[Calendario].[AñoMes]",
"[Calendario].[AñoMes].&amp;[" &amp; TEXT(AS$6,"yyyymm") &amp; "]",
"[Base].[Metrica]",
"[Base].[Metrica].&amp;[" &amp; $A8 &amp; "]",
"[Base].[SEGMENTO_DESCRIP]",
"[Base].[SEGMENTO_DESCRIP].&amp;[" &amp; $C$6 &amp; "]",
"[Base].[SITUACION]",
"[Base].[SITUACION].&amp;[" &amp; $C8 &amp; "]"
),0)/1000</f>
        <v>5236547.0609275009</v>
      </c>
      <c r="AT8" s="8">
        <f>IFERROR(
GETPIVOTDATA(
"[Base].[Importe]",
TDinamica_R!$A$5,
"[Calendario].[AñoMes]",
"[Calendario].[AñoMes].&amp;[" &amp; TEXT(AT$6,"yyyymm")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U8" s="8">
        <f>IFERROR(
GETPIVOTDATA(
"[Base].[Importe]",
TDinamica_R!$A$5,
"[Calendario].[AñoMes]",
"[Calendario].[AñoMes].&amp;[" &amp; TEXT(AU$6,"yyyymm")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V8" s="8">
        <f>IFERROR(
GETPIVOTDATA(
"[Base].[Importe]",
TDinamica_R!$A$5,
"[Calendario].[AñoMes]",
"[Calendario].[AñoMes].&amp;[" &amp; TEXT(AV$6,"yyyymm")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W8" s="8">
        <f>IFERROR(
GETPIVOTDATA(
"[Base].[Importe]",
TDinamica_R!$A$5,
"[Calendario].[AñoMes]",
"[Calendario].[AñoMes].&amp;[" &amp; TEXT(AW$6,"yyyymm")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X8" s="8">
        <f>IFERROR(
GETPIVOTDATA(
"[Base].[Importe]",
TDinamica_R!$A$5,
"[Calendario].[AñoMes]",
"[Calendario].[AñoMes].&amp;[" &amp; TEXT(AX$6,"yyyymm")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Y8" s="8">
        <f>IFERROR(
GETPIVOTDATA(
"[Base].[Importe]",
TDinamica_R!$A$5,
"[Calendario].[AñoMes]",
"[Calendario].[AñoMes].&amp;[" &amp; TEXT(AY$6,"yyyymm")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Z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"[BASE_HIPO_PPTO].[Periodo]","[BASE_HIPO_PPTO].[Periodo].&amp;["&amp;TEXT(AZ$6,"yyyymm")&amp;"]"),
0)/1000</f>
        <v>5292198.0361849377</v>
      </c>
      <c r="BA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"[BASE_HIPO_PPTO].[Periodo]","[BASE_HIPO_PPTO].[Periodo].&amp;["&amp;TEXT(BA$6,"yyyymm")&amp;"]"),
0)/1000</f>
        <v>5310084.4448582036</v>
      </c>
      <c r="BB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"[BASE_HIPO_PPTO].[Periodo]","[BASE_HIPO_PPTO].[Periodo].&amp;["&amp;TEXT(BB$6,"yyyymm")&amp;"]"),
0)/1000</f>
        <v>5305462.9996415954</v>
      </c>
      <c r="BC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"[BASE_HIPO_PPTO].[Periodo]","[BASE_HIPO_PPTO].[Periodo].&amp;["&amp;TEXT(BC$6,"yyyymm")&amp;"]"),
0)/1000</f>
        <v>5316410.6915539624</v>
      </c>
      <c r="BD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"[BASE_HIPO_PPTO].[Periodo]","[BASE_HIPO_PPTO].[Periodo].&amp;["&amp;TEXT(BD$6,"yyyymm")&amp;"]"),
0)/1000</f>
        <v>5332896.6378863547</v>
      </c>
      <c r="BE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"[BASE_HIPO_PPTO].[Periodo]","[BASE_HIPO_PPTO].[Periodo].&amp;["&amp;TEXT(BE$6,"yyyymm")&amp;"]"),
0)/1000</f>
        <v>5362021.8139859932</v>
      </c>
      <c r="BF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"[BASE_HIPO_PPTO].[Periodo]","[BASE_HIPO_PPTO].[Periodo].&amp;["&amp;TEXT(BF$6,"yyyymm")&amp;"]"),
0)/1000</f>
        <v>5383439.6244312022</v>
      </c>
      <c r="BG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"[BASE_HIPO_PPTO].[Periodo]","[BASE_HIPO_PPTO].[Periodo].&amp;["&amp;TEXT(BG$6,"yyyymm")&amp;"]"),
0)/1000</f>
        <v>5423377.3489425965</v>
      </c>
      <c r="BH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"[BASE_HIPO_PPTO].[Periodo]","[BASE_HIPO_PPTO].[Periodo].&amp;["&amp;TEXT(BH$6,"yyyymm")&amp;"]"),
0)/1000</f>
        <v>5458153.056105203</v>
      </c>
      <c r="BI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"[BASE_HIPO_PPTO].[Periodo]","[BASE_HIPO_PPTO].[Periodo].&amp;["&amp;TEXT(BI$6,"yyyymm")&amp;"]"),
0)/1000</f>
        <v>5499024.8692202363</v>
      </c>
      <c r="BJ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"[BASE_HIPO_PPTO].[Periodo]","[BASE_HIPO_PPTO].[Periodo].&amp;["&amp;TEXT(BJ$6,"yyyymm")&amp;"]"),
0)/1000</f>
        <v>5529566.2074635308</v>
      </c>
      <c r="BK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"[BASE_HIPO_PPTO].[Periodo]","[BASE_HIPO_PPTO].[Periodo].&amp;["&amp;TEXT(BK$6,"yyyymm")&amp;"]"),
0)/1000</f>
        <v>5556110.9256544504</v>
      </c>
      <c r="BO8" s="24">
        <f t="shared" ref="BO8:BO10" si="4">_xlfn.XLOOKUP(BO$6,$D$6:$BM$6,$D8:$BM8,,0,1)</f>
        <v>5255521.01</v>
      </c>
      <c r="BP8" s="24">
        <f>_xlfn.XLOOKUP(BP$6,$D$6:$BM$6,$D8:$BM8,,0,-1)</f>
        <v>5305462.9996415954</v>
      </c>
      <c r="BQ8" s="24">
        <f t="shared" ref="BQ8:BT10" si="5">_xlfn.XLOOKUP(BQ$6,$D$6:$BM$6,$D8:$BM8,,0,1)</f>
        <v>5262193.1399999997</v>
      </c>
      <c r="BR8" s="24">
        <f t="shared" si="5"/>
        <v>5066135.1307048015</v>
      </c>
      <c r="BS8" s="24">
        <f t="shared" si="5"/>
        <v>4690999.4727996802</v>
      </c>
      <c r="BT8" s="24">
        <f t="shared" si="5"/>
        <v>4364328.7409601798</v>
      </c>
    </row>
    <row r="9" spans="1:81" hidden="1" outlineLevel="1" x14ac:dyDescent="0.25">
      <c r="A9" s="11" t="s">
        <v>51</v>
      </c>
      <c r="C9" s="2" t="s">
        <v>1</v>
      </c>
      <c r="D9" s="8">
        <f>IFERROR(
GETPIVOTDATA(
"[Base].[Importe]",
TDinamica_R!$A$5,
"[Calendario].[AñoMes]",
"[Calendario].[AñoMes].&amp;[" &amp; TEXT(D$6,"yyyymm") &amp; "]",
"[Base].[Metrica]",
"[Base].[Metrica].&amp;[" &amp; $A9 &amp; "]",
"[Base].[SEGMENTO_DESCRIP]",
"[Base].[SEGMENTO_DESCRIP].&amp;[" &amp; $C$6 &amp; "]",
"[Base].[SITUACION]",
"[Base].[SITUACION].&amp;[" &amp; $C9 &amp; "]"
),0)/1000</f>
        <v>9051.4107590000021</v>
      </c>
      <c r="E9" s="8">
        <f>IFERROR(
GETPIVOTDATA(
"[Base].[Importe]",
TDinamica_R!$A$5,
"[Calendario].[AñoMes]",
"[Calendario].[AñoMes].&amp;[" &amp; TEXT(E$6,"yyyymm") &amp; "]",
"[Base].[Metrica]",
"[Base].[Metrica].&amp;[" &amp; $A9 &amp; "]",
"[Base].[SEGMENTO_DESCRIP]",
"[Base].[SEGMENTO_DESCRIP].&amp;[" &amp; $C$6 &amp; "]",
"[Base].[SITUACION]",
"[Base].[SITUACION].&amp;[" &amp; $C9 &amp; "]"
),0)/1000</f>
        <v>8962.0307869999997</v>
      </c>
      <c r="F9" s="8">
        <f>IFERROR(
GETPIVOTDATA(
"[Base].[Importe]",
TDinamica_R!$A$5,
"[Calendario].[AñoMes]",
"[Calendario].[AñoMes].&amp;[" &amp; TEXT(F$6,"yyyymm") &amp; "]",
"[Base].[Metrica]",
"[Base].[Metrica].&amp;[" &amp; $A9 &amp; "]",
"[Base].[SEGMENTO_DESCRIP]",
"[Base].[SEGMENTO_DESCRIP].&amp;[" &amp; $C$6 &amp; "]",
"[Base].[SITUACION]",
"[Base].[SITUACION].&amp;[" &amp; $C9 &amp; "]"
),0)/1000</f>
        <v>11233.021685</v>
      </c>
      <c r="G9" s="8">
        <f>IFERROR(
GETPIVOTDATA(
"[Base].[Importe]",
TDinamica_R!$A$5,
"[Calendario].[AñoMes]",
"[Calendario].[AñoMes].&amp;[" &amp; TEXT(G$6,"yyyymm") &amp; "]",
"[Base].[Metrica]",
"[Base].[Metrica].&amp;[" &amp; $A9 &amp; "]",
"[Base].[SEGMENTO_DESCRIP]",
"[Base].[SEGMENTO_DESCRIP].&amp;[" &amp; $C$6 &amp; "]",
"[Base].[SITUACION]",
"[Base].[SITUACION].&amp;[" &amp; $C9 &amp; "]"
),0)/1000</f>
        <v>8769.4448900000007</v>
      </c>
      <c r="H9" s="8">
        <f>IFERROR(
GETPIVOTDATA(
"[Base].[Importe]",
TDinamica_R!$A$5,
"[Calendario].[AñoMes]",
"[Calendario].[AñoMes].&amp;[" &amp; TEXT(H$6,"yyyymm") &amp; "]",
"[Base].[Metrica]",
"[Base].[Metrica].&amp;[" &amp; $A9 &amp; "]",
"[Base].[SEGMENTO_DESCRIP]",
"[Base].[SEGMENTO_DESCRIP].&amp;[" &amp; $C$6 &amp; "]",
"[Base].[SITUACION]",
"[Base].[SITUACION].&amp;[" &amp; $C9 &amp; "]"
),0)/1000</f>
        <v>8516.9288739999993</v>
      </c>
      <c r="I9" s="8">
        <f>IFERROR(
GETPIVOTDATA(
"[Base].[Importe]",
TDinamica_R!$A$5,
"[Calendario].[AñoMes]",
"[Calendario].[AñoMes].&amp;[" &amp; TEXT(I$6,"yyyymm") &amp; "]",
"[Base].[Metrica]",
"[Base].[Metrica].&amp;[" &amp; $A9 &amp; "]",
"[Base].[SEGMENTO_DESCRIP]",
"[Base].[SEGMENTO_DESCRIP].&amp;[" &amp; $C$6 &amp; "]",
"[Base].[SITUACION]",
"[Base].[SITUACION].&amp;[" &amp; $C9 &amp; "]"
),0)/1000</f>
        <v>8413.5524420000002</v>
      </c>
      <c r="J9" s="8">
        <f>IFERROR(
GETPIVOTDATA(
"[Base].[Importe]",
TDinamica_R!$A$5,
"[Calendario].[AñoMes]",
"[Calendario].[AñoMes].&amp;[" &amp; TEXT(J$6,"yyyymm") &amp; "]",
"[Base].[Metrica]",
"[Base].[Metrica].&amp;[" &amp; $A9 &amp; "]",
"[Base].[SEGMENTO_DESCRIP]",
"[Base].[SEGMENTO_DESCRIP].&amp;[" &amp; $C$6 &amp; "]",
"[Base].[SITUACION]",
"[Base].[SITUACION].&amp;[" &amp; $C9 &amp; "]"
),0)/1000</f>
        <v>8354.7625589999989</v>
      </c>
      <c r="K9" s="8">
        <f>IFERROR(
GETPIVOTDATA(
"[Base].[Importe]",
TDinamica_R!$A$5,
"[Calendario].[AñoMes]",
"[Calendario].[AñoMes].&amp;[" &amp; TEXT(K$6,"yyyymm") &amp; "]",
"[Base].[Metrica]",
"[Base].[Metrica].&amp;[" &amp; $A9 &amp; "]",
"[Base].[SEGMENTO_DESCRIP]",
"[Base].[SEGMENTO_DESCRIP].&amp;[" &amp; $C$6 &amp; "]",
"[Base].[SITUACION]",
"[Base].[SITUACION].&amp;[" &amp; $C9 &amp; "]"
),0)/1000</f>
        <v>8469.3653790000008</v>
      </c>
      <c r="L9" s="8">
        <f>IFERROR(
GETPIVOTDATA(
"[Base].[Importe]",
TDinamica_R!$A$5,
"[Calendario].[AñoMes]",
"[Calendario].[AñoMes].&amp;[" &amp; TEXT(L$6,"yyyymm") &amp; "]",
"[Base].[Metrica]",
"[Base].[Metrica].&amp;[" &amp; $A9 &amp; "]",
"[Base].[SEGMENTO_DESCRIP]",
"[Base].[SEGMENTO_DESCRIP].&amp;[" &amp; $C$6 &amp; "]",
"[Base].[SITUACION]",
"[Base].[SITUACION].&amp;[" &amp; $C9 &amp; "]"
),0)/1000</f>
        <v>8594.8570280000004</v>
      </c>
      <c r="M9" s="8">
        <f>IFERROR(
GETPIVOTDATA(
"[Base].[Importe]",
TDinamica_R!$A$5,
"[Calendario].[AñoMes]",
"[Calendario].[AñoMes].&amp;[" &amp; TEXT(M$6,"yyyymm") &amp; "]",
"[Base].[Metrica]",
"[Base].[Metrica].&amp;[" &amp; $A9 &amp; "]",
"[Base].[SEGMENTO_DESCRIP]",
"[Base].[SEGMENTO_DESCRIP].&amp;[" &amp; $C$6 &amp; "]",
"[Base].[SITUACION]",
"[Base].[SITUACION].&amp;[" &amp; $C9 &amp; "]"
),0)/1000</f>
        <v>11290.412745</v>
      </c>
      <c r="N9" s="8">
        <f>IFERROR(
GETPIVOTDATA(
"[Base].[Importe]",
TDinamica_R!$A$5,
"[Calendario].[AñoMes]",
"[Calendario].[AñoMes].&amp;[" &amp; TEXT(N$6,"yyyymm") &amp; "]",
"[Base].[Metrica]",
"[Base].[Metrica].&amp;[" &amp; $A9 &amp; "]",
"[Base].[SEGMENTO_DESCRIP]",
"[Base].[SEGMENTO_DESCRIP].&amp;[" &amp; $C$6 &amp; "]",
"[Base].[SITUACION]",
"[Base].[SITUACION].&amp;[" &amp; $C9 &amp; "]"
),0)/1000</f>
        <v>11051.075534</v>
      </c>
      <c r="O9" s="8">
        <f>IFERROR(
GETPIVOTDATA(
"[Base].[Importe]",
TDinamica_R!$A$5,
"[Calendario].[AñoMes]",
"[Calendario].[AñoMes].&amp;[" &amp; TEXT(O$6,"yyyymm") &amp; "]",
"[Base].[Metrica]",
"[Base].[Metrica].&amp;[" &amp; $A9 &amp; "]",
"[Base].[SEGMENTO_DESCRIP]",
"[Base].[SEGMENTO_DESCRIP].&amp;[" &amp; $C$6 &amp; "]",
"[Base].[SITUACION]",
"[Base].[SITUACION].&amp;[" &amp; $C9 &amp; "]"
),0)/1000</f>
        <v>10361.281523</v>
      </c>
      <c r="P9" s="8">
        <f>IFERROR(
GETPIVOTDATA(
"[Base].[Importe]",
TDinamica_R!$A$5,
"[Calendario].[AñoMes]",
"[Calendario].[AñoMes].&amp;[" &amp; TEXT(P$6,"yyyymm") &amp; "]",
"[Base].[Metrica]",
"[Base].[Metrica].&amp;[" &amp; $A9 &amp; "]",
"[Base].[SEGMENTO_DESCRIP]",
"[Base].[SEGMENTO_DESCRIP].&amp;[" &amp; $C$6 &amp; "]",
"[Base].[SITUACION]",
"[Base].[SITUACION].&amp;[" &amp; $C9 &amp; "]"
),0)/1000</f>
        <v>10519.789465</v>
      </c>
      <c r="Q9" s="8">
        <f>IFERROR(
GETPIVOTDATA(
"[Base].[Importe]",
TDinamica_R!$A$5,
"[Calendario].[AñoMes]",
"[Calendario].[AñoMes].&amp;[" &amp; TEXT(Q$6,"yyyymm") &amp; "]",
"[Base].[Metrica]",
"[Base].[Metrica].&amp;[" &amp; $A9 &amp; "]",
"[Base].[SEGMENTO_DESCRIP]",
"[Base].[SEGMENTO_DESCRIP].&amp;[" &amp; $C$6 &amp; "]",
"[Base].[SITUACION]",
"[Base].[SITUACION].&amp;[" &amp; $C9 &amp; "]"
),0)/1000</f>
        <v>10454.181133</v>
      </c>
      <c r="R9" s="8">
        <f>IFERROR(
GETPIVOTDATA(
"[Base].[Importe]",
TDinamica_R!$A$5,
"[Calendario].[AñoMes]",
"[Calendario].[AñoMes].&amp;[" &amp; TEXT(R$6,"yyyymm") &amp; "]",
"[Base].[Metrica]",
"[Base].[Metrica].&amp;[" &amp; $A9 &amp; "]",
"[Base].[SEGMENTO_DESCRIP]",
"[Base].[SEGMENTO_DESCRIP].&amp;[" &amp; $C$6 &amp; "]",
"[Base].[SITUACION]",
"[Base].[SITUACION].&amp;[" &amp; $C9 &amp; "]"
),0)/1000</f>
        <v>10945.219326999999</v>
      </c>
      <c r="S9" s="8">
        <f>IFERROR(
GETPIVOTDATA(
"[Base].[Importe]",
TDinamica_R!$A$5,
"[Calendario].[AñoMes]",
"[Calendario].[AñoMes].&amp;[" &amp; TEXT(S$6,"yyyymm") &amp; "]",
"[Base].[Metrica]",
"[Base].[Metrica].&amp;[" &amp; $A9 &amp; "]",
"[Base].[SEGMENTO_DESCRIP]",
"[Base].[SEGMENTO_DESCRIP].&amp;[" &amp; $C$6 &amp; "]",
"[Base].[SITUACION]",
"[Base].[SITUACION].&amp;[" &amp; $C9 &amp; "]"
),0)/1000</f>
        <v>10978.08792</v>
      </c>
      <c r="T9" s="8">
        <f>IFERROR(
GETPIVOTDATA(
"[Base].[Importe]",
TDinamica_R!$A$5,
"[Calendario].[AñoMes]",
"[Calendario].[AñoMes].&amp;[" &amp; TEXT(T$6,"yyyymm") &amp; "]",
"[Base].[Metrica]",
"[Base].[Metrica].&amp;[" &amp; $A9 &amp; "]",
"[Base].[SEGMENTO_DESCRIP]",
"[Base].[SEGMENTO_DESCRIP].&amp;[" &amp; $C$6 &amp; "]",
"[Base].[SITUACION]",
"[Base].[SITUACION].&amp;[" &amp; $C9 &amp; "]"
),0)/1000</f>
        <v>9929.5068269999992</v>
      </c>
      <c r="U9" s="8">
        <f>IFERROR(
GETPIVOTDATA(
"[Base].[Importe]",
TDinamica_R!$A$5,
"[Calendario].[AñoMes]",
"[Calendario].[AñoMes].&amp;[" &amp; TEXT(U$6,"yyyymm") &amp; "]",
"[Base].[Metrica]",
"[Base].[Metrica].&amp;[" &amp; $A9 &amp; "]",
"[Base].[SEGMENTO_DESCRIP]",
"[Base].[SEGMENTO_DESCRIP].&amp;[" &amp; $C$6 &amp; "]",
"[Base].[SITUACION]",
"[Base].[SITUACION].&amp;[" &amp; $C9 &amp; "]"
),0)/1000</f>
        <v>10066.270090999999</v>
      </c>
      <c r="V9" s="8">
        <f>IFERROR(
GETPIVOTDATA(
"[Base].[Importe]",
TDinamica_R!$A$5,
"[Calendario].[AñoMes]",
"[Calendario].[AñoMes].&amp;[" &amp; TEXT(V$6,"yyyymm") &amp; "]",
"[Base].[Metrica]",
"[Base].[Metrica].&amp;[" &amp; $A9 &amp; "]",
"[Base].[SEGMENTO_DESCRIP]",
"[Base].[SEGMENTO_DESCRIP].&amp;[" &amp; $C$6 &amp; "]",
"[Base].[SITUACION]",
"[Base].[SITUACION].&amp;[" &amp; $C9 &amp; "]"
),0)/1000</f>
        <v>9226.7899819999984</v>
      </c>
      <c r="W9" s="8">
        <f>IFERROR(
GETPIVOTDATA(
"[Base].[Importe]",
TDinamica_R!$A$5,
"[Calendario].[AñoMes]",
"[Calendario].[AñoMes].&amp;[" &amp; TEXT(W$6,"yyyymm") &amp; "]",
"[Base].[Metrica]",
"[Base].[Metrica].&amp;[" &amp; $A9 &amp; "]",
"[Base].[SEGMENTO_DESCRIP]",
"[Base].[SEGMENTO_DESCRIP].&amp;[" &amp; $C$6 &amp; "]",
"[Base].[SITUACION]",
"[Base].[SITUACION].&amp;[" &amp; $C9 &amp; "]"
),0)/1000</f>
        <v>9243.0816510000004</v>
      </c>
      <c r="X9" s="8">
        <f>IFERROR(
GETPIVOTDATA(
"[Base].[Importe]",
TDinamica_R!$A$5,
"[Calendario].[AñoMes]",
"[Calendario].[AñoMes].&amp;[" &amp; TEXT(X$6,"yyyymm") &amp; "]",
"[Base].[Metrica]",
"[Base].[Metrica].&amp;[" &amp; $A9 &amp; "]",
"[Base].[SEGMENTO_DESCRIP]",
"[Base].[SEGMENTO_DESCRIP].&amp;[" &amp; $C$6 &amp; "]",
"[Base].[SITUACION]",
"[Base].[SITUACION].&amp;[" &amp; $C9 &amp; "]"
),0)/1000</f>
        <v>9585.0966580000022</v>
      </c>
      <c r="Y9" s="8">
        <f>IFERROR(
GETPIVOTDATA(
"[Base].[Importe]",
TDinamica_R!$A$5,
"[Calendario].[AñoMes]",
"[Calendario].[AñoMes].&amp;[" &amp; TEXT(Y$6,"yyyymm") &amp; "]",
"[Base].[Metrica]",
"[Base].[Metrica].&amp;[" &amp; $A9 &amp; "]",
"[Base].[SEGMENTO_DESCRIP]",
"[Base].[SEGMENTO_DESCRIP].&amp;[" &amp; $C$6 &amp; "]",
"[Base].[SITUACION]",
"[Base].[SITUACION].&amp;[" &amp; $C9 &amp; "]"
),0)/1000</f>
        <v>9760.5525460000008</v>
      </c>
      <c r="Z9" s="8">
        <f>IFERROR(
GETPIVOTDATA(
"[Base].[Importe]",
TDinamica_R!$A$5,
"[Calendario].[AñoMes]",
"[Calendario].[AñoMes].&amp;[" &amp; TEXT(Z$6,"yyyymm") &amp; "]",
"[Base].[Metrica]",
"[Base].[Metrica].&amp;[" &amp; $A9 &amp; "]",
"[Base].[SEGMENTO_DESCRIP]",
"[Base].[SEGMENTO_DESCRIP].&amp;[" &amp; $C$6 &amp; "]",
"[Base].[SITUACION]",
"[Base].[SITUACION].&amp;[" &amp; $C9 &amp; "]"
),0)/1000</f>
        <v>9966.8700149999986</v>
      </c>
      <c r="AA9" s="8">
        <f>IFERROR(
GETPIVOTDATA(
"[Base].[Importe]",
TDinamica_R!$A$5,
"[Calendario].[AñoMes]",
"[Calendario].[AñoMes].&amp;[" &amp; TEXT(AA$6,"yyyymm") &amp; "]",
"[Base].[Metrica]",
"[Base].[Metrica].&amp;[" &amp; $A9 &amp; "]",
"[Base].[SEGMENTO_DESCRIP]",
"[Base].[SEGMENTO_DESCRIP].&amp;[" &amp; $C$6 &amp; "]",
"[Base].[SITUACION]",
"[Base].[SITUACION].&amp;[" &amp; $C9 &amp; "]"
),0)/1000</f>
        <v>10502.726086000001</v>
      </c>
      <c r="AB9" s="8">
        <f>IFERROR(
GETPIVOTDATA(
"[Base].[Importe]",
TDinamica_R!$A$5,
"[Calendario].[AñoMes]",
"[Calendario].[AñoMes].&amp;[" &amp; TEXT(AB$6,"yyyymm") &amp; "]",
"[Base].[Metrica]",
"[Base].[Metrica].&amp;[" &amp; $A9 &amp; "]",
"[Base].[SEGMENTO_DESCRIP]",
"[Base].[SEGMENTO_DESCRIP].&amp;[" &amp; $C$6 &amp; "]",
"[Base].[SITUACION]",
"[Base].[SITUACION].&amp;[" &amp; $C9 &amp; "]"
),0)/1000</f>
        <v>10945.398436000001</v>
      </c>
      <c r="AC9" s="8">
        <f>IFERROR(
GETPIVOTDATA(
"[Base].[Importe]",
TDinamica_R!$A$5,
"[Calendario].[AñoMes]",
"[Calendario].[AñoMes].&amp;[" &amp; TEXT(AC$6,"yyyymm") &amp; "]",
"[Base].[Metrica]",
"[Base].[Metrica].&amp;[" &amp; $A9 &amp; "]",
"[Base].[SEGMENTO_DESCRIP]",
"[Base].[SEGMENTO_DESCRIP].&amp;[" &amp; $C$6 &amp; "]",
"[Base].[SITUACION]",
"[Base].[SITUACION].&amp;[" &amp; $C9 &amp; "]"
),0)/1000</f>
        <v>10295.947616000001</v>
      </c>
      <c r="AD9" s="8">
        <f>IFERROR(
GETPIVOTDATA(
"[Base].[Importe]",
TDinamica_R!$A$5,
"[Calendario].[AñoMes]",
"[Calendario].[AñoMes].&amp;[" &amp; TEXT(AD$6,"yyyymm") &amp; "]",
"[Base].[Metrica]",
"[Base].[Metrica].&amp;[" &amp; $A9 &amp; "]",
"[Base].[SEGMENTO_DESCRIP]",
"[Base].[SEGMENTO_DESCRIP].&amp;[" &amp; $C$6 &amp; "]",
"[Base].[SITUACION]",
"[Base].[SITUACION].&amp;[" &amp; $C9 &amp; "]"
),0)/1000</f>
        <v>10442.101127</v>
      </c>
      <c r="AE9" s="8">
        <f>IFERROR(
GETPIVOTDATA(
"[Base].[Importe]",
TDinamica_R!$A$5,
"[Calendario].[AñoMes]",
"[Calendario].[AñoMes].&amp;[" &amp; TEXT(AE$6,"yyyymm") &amp; "]",
"[Base].[Metrica]",
"[Base].[Metrica].&amp;[" &amp; $A9 &amp; "]",
"[Base].[SEGMENTO_DESCRIP]",
"[Base].[SEGMENTO_DESCRIP].&amp;[" &amp; $C$6 &amp; "]",
"[Base].[SITUACION]",
"[Base].[SITUACION].&amp;[" &amp; $C9 &amp; "]"
),0)/1000</f>
        <v>10380.689913</v>
      </c>
      <c r="AF9" s="8">
        <f>IFERROR(
GETPIVOTDATA(
"[Base].[Importe]",
TDinamica_R!$A$5,
"[Calendario].[AñoMes]",
"[Calendario].[AñoMes].&amp;[" &amp; TEXT(AF$6,"yyyymm") &amp; "]",
"[Base].[Metrica]",
"[Base].[Metrica].&amp;[" &amp; $A9 &amp; "]",
"[Base].[SEGMENTO_DESCRIP]",
"[Base].[SEGMENTO_DESCRIP].&amp;[" &amp; $C$6 &amp; "]",
"[Base].[SITUACION]",
"[Base].[SITUACION].&amp;[" &amp; $C9 &amp; "]"
),0)/1000</f>
        <v>10021.245612999999</v>
      </c>
      <c r="AG9" s="8">
        <f>IFERROR(
GETPIVOTDATA(
"[Base].[Importe]",
TDinamica_R!$A$5,
"[Calendario].[AñoMes]",
"[Calendario].[AñoMes].&amp;[" &amp; TEXT(AG$6,"yyyymm") &amp; "]",
"[Base].[Metrica]",
"[Base].[Metrica].&amp;[" &amp; $A9 &amp; "]",
"[Base].[SEGMENTO_DESCRIP]",
"[Base].[SEGMENTO_DESCRIP].&amp;[" &amp; $C$6 &amp; "]",
"[Base].[SITUACION]",
"[Base].[SITUACION].&amp;[" &amp; $C9 &amp; "]"
),0)/1000</f>
        <v>9557.5780780000005</v>
      </c>
      <c r="AH9" s="8">
        <f>IFERROR(
GETPIVOTDATA(
"[Base].[Importe]",
TDinamica_R!$A$5,
"[Calendario].[AñoMes]",
"[Calendario].[AñoMes].&amp;[" &amp; TEXT(AH$6,"yyyymm") &amp; "]",
"[Base].[Metrica]",
"[Base].[Metrica].&amp;[" &amp; $A9 &amp; "]",
"[Base].[SEGMENTO_DESCRIP]",
"[Base].[SEGMENTO_DESCRIP].&amp;[" &amp; $C$6 &amp; "]",
"[Base].[SITUACION]",
"[Base].[SITUACION].&amp;[" &amp; $C9 &amp; "]"
),0)/1000</f>
        <v>10263.840819000001</v>
      </c>
      <c r="AI9" s="8">
        <f>IFERROR(
GETPIVOTDATA(
"[Base].[Importe]",
TDinamica_R!$A$5,
"[Calendario].[AñoMes]",
"[Calendario].[AñoMes].&amp;[" &amp; TEXT(AI$6,"yyyymm") &amp; "]",
"[Base].[Metrica]",
"[Base].[Metrica].&amp;[" &amp; $A9 &amp; "]",
"[Base].[SEGMENTO_DESCRIP]",
"[Base].[SEGMENTO_DESCRIP].&amp;[" &amp; $C$6 &amp; "]",
"[Base].[SITUACION]",
"[Base].[SITUACION].&amp;[" &amp; $C9 &amp; "]"
),0)/1000</f>
        <v>10117.043657</v>
      </c>
      <c r="AJ9" s="8">
        <f>IFERROR(
GETPIVOTDATA(
"[Base].[Importe]",
TDinamica_R!$A$5,
"[Calendario].[AñoMes]",
"[Calendario].[AñoMes].&amp;[" &amp; TEXT(AJ$6,"yyyymm") &amp; "]",
"[Base].[Metrica]",
"[Base].[Metrica].&amp;[" &amp; $A9 &amp; "]",
"[Base].[SEGMENTO_DESCRIP]",
"[Base].[SEGMENTO_DESCRIP].&amp;[" &amp; $C$6 &amp; "]",
"[Base].[SITUACION]",
"[Base].[SITUACION].&amp;[" &amp; $C9 &amp; "]"
),0)/1000</f>
        <v>10087.150414999998</v>
      </c>
      <c r="AK9" s="8">
        <f>IFERROR(
GETPIVOTDATA(
"[Base].[Importe]",
TDinamica_R!$A$5,
"[Calendario].[AñoMes]",
"[Calendario].[AñoMes].&amp;[" &amp; TEXT(AK$6,"yyyymm") &amp; "]",
"[Base].[Metrica]",
"[Base].[Metrica].&amp;[" &amp; $A9 &amp; "]",
"[Base].[SEGMENTO_DESCRIP]",
"[Base].[SEGMENTO_DESCRIP].&amp;[" &amp; $C$6 &amp; "]",
"[Base].[SITUACION]",
"[Base].[SITUACION].&amp;[" &amp; $C9 &amp; "]"
),0)/1000</f>
        <v>9891.3757399999995</v>
      </c>
      <c r="AL9" s="8">
        <f>IFERROR(
GETPIVOTDATA(
"[Base].[Importe]",
TDinamica_R!$A$5,
"[Calendario].[AñoMes]",
"[Calendario].[AñoMes].&amp;[" &amp; TEXT(AL$6,"yyyymm") &amp; "]",
"[Base].[Metrica]",
"[Base].[Metrica].&amp;[" &amp; $A9 &amp; "]",
"[Base].[SEGMENTO_DESCRIP]",
"[Base].[SEGMENTO_DESCRIP].&amp;[" &amp; $C$6 &amp; "]",
"[Base].[SITUACION]",
"[Base].[SITUACION].&amp;[" &amp; $C9 &amp; "]"
),0)/1000</f>
        <v>9736.1158629999991</v>
      </c>
      <c r="AM9" s="8">
        <f>IFERROR(
GETPIVOTDATA(
"[Base].[Importe]",
TDinamica_R!$A$5,
"[Calendario].[AñoMes]",
"[Calendario].[AñoMes].&amp;[" &amp; TEXT(AM$6,"yyyymm") &amp; "]",
"[Base].[Metrica]",
"[Base].[Metrica].&amp;[" &amp; $A9 &amp; "]",
"[Base].[SEGMENTO_DESCRIP]",
"[Base].[SEGMENTO_DESCRIP].&amp;[" &amp; $C$6 &amp; "]",
"[Base].[SITUACION]",
"[Base].[SITUACION].&amp;[" &amp; $C9 &amp; "]"
),0)/1000</f>
        <v>9698.3699270000016</v>
      </c>
      <c r="AN9" s="8">
        <f>IFERROR(
GETPIVOTDATA(
"[Base].[Importe]",
TDinamica_R!$A$5,
"[Calendario].[AñoMes]",
"[Calendario].[AñoMes].&amp;[" &amp; TEXT(AN$6,"yyyymm") &amp; "]",
"[Base].[Metrica]",
"[Base].[Metrica].&amp;[" &amp; $A9 &amp; "]",
"[Base].[SEGMENTO_DESCRIP]",
"[Base].[SEGMENTO_DESCRIP].&amp;[" &amp; $C$6 &amp; "]",
"[Base].[SITUACION]",
"[Base].[SITUACION].&amp;[" &amp; $C9 &amp; "]"
),0)/1000</f>
        <v>10442.790000000001</v>
      </c>
      <c r="AO9" s="8">
        <f>IFERROR(
GETPIVOTDATA(
"[Base].[Importe]",
TDinamica_R!$A$5,
"[Calendario].[AñoMes]",
"[Calendario].[AñoMes].&amp;[" &amp; TEXT(AO$6,"yyyymm") &amp; "]",
"[Base].[Metrica]",
"[Base].[Metrica].&amp;[" &amp; $A9 &amp; "]",
"[Base].[SEGMENTO_DESCRIP]",
"[Base].[SEGMENTO_DESCRIP].&amp;[" &amp; $C$6 &amp; "]",
"[Base].[SITUACION]",
"[Base].[SITUACION].&amp;[" &amp; $C9 &amp; "]"
),0)/1000</f>
        <v>9290.39</v>
      </c>
      <c r="AP9" s="8">
        <f>IFERROR(
GETPIVOTDATA(
"[Base].[Importe]",
TDinamica_R!$A$5,
"[Calendario].[AñoMes]",
"[Calendario].[AñoMes].&amp;[" &amp; TEXT(AP$6,"yyyymm") &amp; "]",
"[Base].[Metrica]",
"[Base].[Metrica].&amp;[" &amp; $A9 &amp; "]",
"[Base].[SEGMENTO_DESCRIP]",
"[Base].[SEGMENTO_DESCRIP].&amp;[" &amp; $C$6 &amp; "]",
"[Base].[SITUACION]",
"[Base].[SITUACION].&amp;[" &amp; $C9 &amp; "]"
),0)/1000</f>
        <v>10865.46</v>
      </c>
      <c r="AQ9" s="8">
        <f>IFERROR(
GETPIVOTDATA(
"[Base].[Importe]",
TDinamica_R!$A$5,
"[Calendario].[AñoMes]",
"[Calendario].[AñoMes].&amp;[" &amp; TEXT(AQ$6,"yyyymm") &amp; "]",
"[Base].[Metrica]",
"[Base].[Metrica].&amp;[" &amp; $A9 &amp; "]",
"[Base].[SEGMENTO_DESCRIP]",
"[Base].[SEGMENTO_DESCRIP].&amp;[" &amp; $C$6 &amp; "]",
"[Base].[SITUACION]",
"[Base].[SITUACION].&amp;[" &amp; $C9 &amp; "]"
),0)/1000</f>
        <v>10242.780786829999</v>
      </c>
      <c r="AR9" s="8">
        <f>IFERROR(
GETPIVOTDATA(
"[Base].[Importe]",
TDinamica_R!$A$5,
"[Calendario].[AñoMes]",
"[Calendario].[AñoMes].&amp;[" &amp; TEXT(AR$6,"yyyymm") &amp; "]",
"[Base].[Metrica]",
"[Base].[Metrica].&amp;[" &amp; $A9 &amp; "]",
"[Base].[SEGMENTO_DESCRIP]",
"[Base].[SEGMENTO_DESCRIP].&amp;[" &amp; $C$6 &amp; "]",
"[Base].[SITUACION]",
"[Base].[SITUACION].&amp;[" &amp; $C9 &amp; "]"
),0)/1000</f>
        <v>10035.872341639999</v>
      </c>
      <c r="AS9" s="8">
        <f>IFERROR(
GETPIVOTDATA(
"[Base].[Importe]",
TDinamica_R!$A$5,
"[Calendario].[AñoMes]",
"[Calendario].[AñoMes].&amp;[" &amp; TEXT(AS$6,"yyyymm") &amp; "]",
"[Base].[Metrica]",
"[Base].[Metrica].&amp;[" &amp; $A9 &amp; "]",
"[Base].[SEGMENTO_DESCRIP]",
"[Base].[SEGMENTO_DESCRIP].&amp;[" &amp; $C$6 &amp; "]",
"[Base].[SITUACION]",
"[Base].[SITUACION].&amp;[" &amp; $C9 &amp; "]"
),0)/1000</f>
        <v>10126.9305929</v>
      </c>
      <c r="AT9" s="8">
        <f>IFERROR(
GETPIVOTDATA(
"[Base].[Importe]",
TDinamica_R!$A$5,
"[Calendario].[AñoMes]",
"[Calendario].[AñoMes].&amp;[" &amp; TEXT(AT$6,"yyyymm")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U9" s="8">
        <f>IFERROR(
GETPIVOTDATA(
"[Base].[Importe]",
TDinamica_R!$A$5,
"[Calendario].[AñoMes]",
"[Calendario].[AñoMes].&amp;[" &amp; TEXT(AU$6,"yyyymm")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V9" s="8">
        <f>IFERROR(
GETPIVOTDATA(
"[Base].[Importe]",
TDinamica_R!$A$5,
"[Calendario].[AñoMes]",
"[Calendario].[AñoMes].&amp;[" &amp; TEXT(AV$6,"yyyymm")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W9" s="8">
        <f>IFERROR(
GETPIVOTDATA(
"[Base].[Importe]",
TDinamica_R!$A$5,
"[Calendario].[AñoMes]",
"[Calendario].[AñoMes].&amp;[" &amp; TEXT(AW$6,"yyyymm")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X9" s="8">
        <f>IFERROR(
GETPIVOTDATA(
"[Base].[Importe]",
TDinamica_R!$A$5,
"[Calendario].[AñoMes]",
"[Calendario].[AñoMes].&amp;[" &amp; TEXT(AX$6,"yyyymm")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Y9" s="8">
        <f>IFERROR(
GETPIVOTDATA(
"[Base].[Importe]",
TDinamica_R!$A$5,
"[Calendario].[AñoMes]",
"[Calendario].[AñoMes].&amp;[" &amp; TEXT(AY$6,"yyyymm")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Z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"[BASE_HIPO_PPTO].[Periodo]","[BASE_HIPO_PPTO].[Periodo].&amp;["&amp;TEXT(AZ$6,"yyyymm")&amp;"]"),
0)/1000</f>
        <v>10367.09015706482</v>
      </c>
      <c r="BA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"[BASE_HIPO_PPTO].[Periodo]","[BASE_HIPO_PPTO].[Periodo].&amp;["&amp;TEXT(BA$6,"yyyymm")&amp;"]"),
0)/1000</f>
        <v>10105.590132153149</v>
      </c>
      <c r="BB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"[BASE_HIPO_PPTO].[Periodo]","[BASE_HIPO_PPTO].[Periodo].&amp;["&amp;TEXT(BB$6,"yyyymm")&amp;"]"),
0)/1000</f>
        <v>10214.482961417718</v>
      </c>
      <c r="BC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"[BASE_HIPO_PPTO].[Periodo]","[BASE_HIPO_PPTO].[Periodo].&amp;["&amp;TEXT(BC$6,"yyyymm")&amp;"]"),
0)/1000</f>
        <v>8803.1698027646362</v>
      </c>
      <c r="BD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"[BASE_HIPO_PPTO].[Periodo]","[BASE_HIPO_PPTO].[Periodo].&amp;["&amp;TEXT(BD$6,"yyyymm")&amp;"]"),
0)/1000</f>
        <v>8629.3689796951512</v>
      </c>
      <c r="BE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"[BASE_HIPO_PPTO].[Periodo]","[BASE_HIPO_PPTO].[Periodo].&amp;["&amp;TEXT(BE$6,"yyyymm")&amp;"]"),
0)/1000</f>
        <v>8439.6896898946306</v>
      </c>
      <c r="BF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"[BASE_HIPO_PPTO].[Periodo]","[BASE_HIPO_PPTO].[Periodo].&amp;["&amp;TEXT(BF$6,"yyyymm")&amp;"]"),
0)/1000</f>
        <v>8853.8783484702799</v>
      </c>
      <c r="BG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"[BASE_HIPO_PPTO].[Periodo]","[BASE_HIPO_PPTO].[Periodo].&amp;["&amp;TEXT(BG$6,"yyyymm")&amp;"]"),
0)/1000</f>
        <v>8807.4821296326081</v>
      </c>
      <c r="BH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"[BASE_HIPO_PPTO].[Periodo]","[BASE_HIPO_PPTO].[Periodo].&amp;["&amp;TEXT(BH$6,"yyyymm")&amp;"]"),
0)/1000</f>
        <v>8915.4939162491573</v>
      </c>
      <c r="BI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"[BASE_HIPO_PPTO].[Periodo]","[BASE_HIPO_PPTO].[Periodo].&amp;["&amp;TEXT(BI$6,"yyyymm")&amp;"]"),
0)/1000</f>
        <v>6084.2082945833627</v>
      </c>
      <c r="BJ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"[BASE_HIPO_PPTO].[Periodo]","[BASE_HIPO_PPTO].[Periodo].&amp;["&amp;TEXT(BJ$6,"yyyymm")&amp;"]"),
0)/1000</f>
        <v>6147.6999424921796</v>
      </c>
      <c r="BK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"[BASE_HIPO_PPTO].[Periodo]","[BASE_HIPO_PPTO].[Periodo].&amp;["&amp;TEXT(BK$6,"yyyymm")&amp;"]"),
0)/1000</f>
        <v>6281.1377660680355</v>
      </c>
      <c r="BO9" s="24">
        <f t="shared" si="4"/>
        <v>10865.46</v>
      </c>
      <c r="BP9" s="24">
        <f t="shared" ref="BP9:BP10" si="6">_xlfn.XLOOKUP(BP$6,$D$6:$BM$6,$D9:$BM9,,0,-1)</f>
        <v>10214.482961417718</v>
      </c>
      <c r="BQ9" s="24">
        <f t="shared" si="5"/>
        <v>9290.39</v>
      </c>
      <c r="BR9" s="24">
        <f t="shared" si="5"/>
        <v>10442.101127</v>
      </c>
      <c r="BS9" s="24">
        <f t="shared" si="5"/>
        <v>10945.219326999999</v>
      </c>
      <c r="BT9" s="24">
        <f t="shared" si="5"/>
        <v>11233.021685</v>
      </c>
    </row>
    <row r="10" spans="1:81" ht="14.45" hidden="1" customHeight="1" outlineLevel="1" x14ac:dyDescent="0.25">
      <c r="A10" s="11" t="s">
        <v>51</v>
      </c>
      <c r="C10" s="2" t="s">
        <v>45</v>
      </c>
      <c r="D10" s="8">
        <f>IFERROR(
GETPIVOTDATA(
"[Base].[Importe]",
TDinamica_R!$A$5,
"[Calendario].[AñoMes]",
"[Calendario].[AñoMes].&amp;[" &amp; TEXT(D$6,"yyyymm") &amp; "]",
"[Base].[Metrica]",
"[Base].[Metrica].&amp;[" &amp; $A10 &amp; "]",
"[Base].[SEGMENTO_DESCRIP]",
"[Base].[SEGMENTO_DESCRIP].&amp;[" &amp; $C$6 &amp; "]",
"[Base].[SITUACION]",
"[Base].[SITUACION].&amp;[" &amp; $C10 &amp; "]"
),0)/1000</f>
        <v>30750.291705719999</v>
      </c>
      <c r="E10" s="8">
        <f>IFERROR(
GETPIVOTDATA(
"[Base].[Importe]",
TDinamica_R!$A$5,
"[Calendario].[AñoMes]",
"[Calendario].[AñoMes].&amp;[" &amp; TEXT(E$6,"yyyymm") &amp; "]",
"[Base].[Metrica]",
"[Base].[Metrica].&amp;[" &amp; $A10 &amp; "]",
"[Base].[SEGMENTO_DESCRIP]",
"[Base].[SEGMENTO_DESCRIP].&amp;[" &amp; $C$6 &amp; "]",
"[Base].[SITUACION]",
"[Base].[SITUACION].&amp;[" &amp; $C10 &amp; "]"
),0)/1000</f>
        <v>30665.567507059997</v>
      </c>
      <c r="F10" s="8">
        <f>IFERROR(
GETPIVOTDATA(
"[Base].[Importe]",
TDinamica_R!$A$5,
"[Calendario].[AñoMes]",
"[Calendario].[AñoMes].&amp;[" &amp; TEXT(F$6,"yyyymm") &amp; "]",
"[Base].[Metrica]",
"[Base].[Metrica].&amp;[" &amp; $A10 &amp; "]",
"[Base].[SEGMENTO_DESCRIP]",
"[Base].[SEGMENTO_DESCRIP].&amp;[" &amp; $C$6 &amp; "]",
"[Base].[SITUACION]",
"[Base].[SITUACION].&amp;[" &amp; $C10 &amp; "]"
),0)/1000</f>
        <v>27911.386193719998</v>
      </c>
      <c r="G10" s="8">
        <f>IFERROR(
GETPIVOTDATA(
"[Base].[Importe]",
TDinamica_R!$A$5,
"[Calendario].[AñoMes]",
"[Calendario].[AñoMes].&amp;[" &amp; TEXT(G$6,"yyyymm") &amp; "]",
"[Base].[Metrica]",
"[Base].[Metrica].&amp;[" &amp; $A10 &amp; "]",
"[Base].[SEGMENTO_DESCRIP]",
"[Base].[SEGMENTO_DESCRIP].&amp;[" &amp; $C$6 &amp; "]",
"[Base].[SITUACION]",
"[Base].[SITUACION].&amp;[" &amp; $C10 &amp; "]"
),0)/1000</f>
        <v>32228.846793550001</v>
      </c>
      <c r="H10" s="8">
        <f>IFERROR(
GETPIVOTDATA(
"[Base].[Importe]",
TDinamica_R!$A$5,
"[Calendario].[AñoMes]",
"[Calendario].[AñoMes].&amp;[" &amp; TEXT(H$6,"yyyymm") &amp; "]",
"[Base].[Metrica]",
"[Base].[Metrica].&amp;[" &amp; $A10 &amp; "]",
"[Base].[SEGMENTO_DESCRIP]",
"[Base].[SEGMENTO_DESCRIP].&amp;[" &amp; $C$6 &amp; "]",
"[Base].[SITUACION]",
"[Base].[SITUACION].&amp;[" &amp; $C10 &amp; "]"
),0)/1000</f>
        <v>32739.402669440002</v>
      </c>
      <c r="I10" s="8">
        <f>IFERROR(
GETPIVOTDATA(
"[Base].[Importe]",
TDinamica_R!$A$5,
"[Calendario].[AñoMes]",
"[Calendario].[AñoMes].&amp;[" &amp; TEXT(I$6,"yyyymm") &amp; "]",
"[Base].[Metrica]",
"[Base].[Metrica].&amp;[" &amp; $A10 &amp; "]",
"[Base].[SEGMENTO_DESCRIP]",
"[Base].[SEGMENTO_DESCRIP].&amp;[" &amp; $C$6 &amp; "]",
"[Base].[SITUACION]",
"[Base].[SITUACION].&amp;[" &amp; $C10 &amp; "]"
),0)/1000</f>
        <v>33593.173202940001</v>
      </c>
      <c r="J10" s="8">
        <f>IFERROR(
GETPIVOTDATA(
"[Base].[Importe]",
TDinamica_R!$A$5,
"[Calendario].[AñoMes]",
"[Calendario].[AñoMes].&amp;[" &amp; TEXT(J$6,"yyyymm") &amp; "]",
"[Base].[Metrica]",
"[Base].[Metrica].&amp;[" &amp; $A10 &amp; "]",
"[Base].[SEGMENTO_DESCRIP]",
"[Base].[SEGMENTO_DESCRIP].&amp;[" &amp; $C$6 &amp; "]",
"[Base].[SITUACION]",
"[Base].[SITUACION].&amp;[" &amp; $C10 &amp; "]"
),0)/1000</f>
        <v>33711.013276759993</v>
      </c>
      <c r="K10" s="8">
        <f>IFERROR(
GETPIVOTDATA(
"[Base].[Importe]",
TDinamica_R!$A$5,
"[Calendario].[AñoMes]",
"[Calendario].[AñoMes].&amp;[" &amp; TEXT(K$6,"yyyymm") &amp; "]",
"[Base].[Metrica]",
"[Base].[Metrica].&amp;[" &amp; $A10 &amp; "]",
"[Base].[SEGMENTO_DESCRIP]",
"[Base].[SEGMENTO_DESCRIP].&amp;[" &amp; $C$6 &amp; "]",
"[Base].[SITUACION]",
"[Base].[SITUACION].&amp;[" &amp; $C10 &amp; "]"
),0)/1000</f>
        <v>34691.07432095</v>
      </c>
      <c r="L10" s="8">
        <f>IFERROR(
GETPIVOTDATA(
"[Base].[Importe]",
TDinamica_R!$A$5,
"[Calendario].[AñoMes]",
"[Calendario].[AñoMes].&amp;[" &amp; TEXT(L$6,"yyyymm") &amp; "]",
"[Base].[Metrica]",
"[Base].[Metrica].&amp;[" &amp; $A10 &amp; "]",
"[Base].[SEGMENTO_DESCRIP]",
"[Base].[SEGMENTO_DESCRIP].&amp;[" &amp; $C$6 &amp; "]",
"[Base].[SITUACION]",
"[Base].[SITUACION].&amp;[" &amp; $C10 &amp; "]"
),0)/1000</f>
        <v>38227.023857980006</v>
      </c>
      <c r="M10" s="8">
        <f>IFERROR(
GETPIVOTDATA(
"[Base].[Importe]",
TDinamica_R!$A$5,
"[Calendario].[AñoMes]",
"[Calendario].[AñoMes].&amp;[" &amp; TEXT(M$6,"yyyymm") &amp; "]",
"[Base].[Metrica]",
"[Base].[Metrica].&amp;[" &amp; $A10 &amp; "]",
"[Base].[SEGMENTO_DESCRIP]",
"[Base].[SEGMENTO_DESCRIP].&amp;[" &amp; $C$6 &amp; "]",
"[Base].[SITUACION]",
"[Base].[SITUACION].&amp;[" &amp; $C10 &amp; "]"
),0)/1000</f>
        <v>35437.291948979997</v>
      </c>
      <c r="N10" s="8">
        <f>IFERROR(
GETPIVOTDATA(
"[Base].[Importe]",
TDinamica_R!$A$5,
"[Calendario].[AñoMes]",
"[Calendario].[AñoMes].&amp;[" &amp; TEXT(N$6,"yyyymm") &amp; "]",
"[Base].[Metrica]",
"[Base].[Metrica].&amp;[" &amp; $A10 &amp; "]",
"[Base].[SEGMENTO_DESCRIP]",
"[Base].[SEGMENTO_DESCRIP].&amp;[" &amp; $C$6 &amp; "]",
"[Base].[SITUACION]",
"[Base].[SITUACION].&amp;[" &amp; $C10 &amp; "]"
),0)/1000</f>
        <v>35525.146590879995</v>
      </c>
      <c r="O10" s="8">
        <f>IFERROR(
GETPIVOTDATA(
"[Base].[Importe]",
TDinamica_R!$A$5,
"[Calendario].[AñoMes]",
"[Calendario].[AñoMes].&amp;[" &amp; TEXT(O$6,"yyyymm") &amp; "]",
"[Base].[Metrica]",
"[Base].[Metrica].&amp;[" &amp; $A10 &amp; "]",
"[Base].[SEGMENTO_DESCRIP]",
"[Base].[SEGMENTO_DESCRIP].&amp;[" &amp; $C$6 &amp; "]",
"[Base].[SITUACION]",
"[Base].[SITUACION].&amp;[" &amp; $C10 &amp; "]"
),0)/1000</f>
        <v>36097.654021659997</v>
      </c>
      <c r="P10" s="8">
        <f>IFERROR(
GETPIVOTDATA(
"[Base].[Importe]",
TDinamica_R!$A$5,
"[Calendario].[AñoMes]",
"[Calendario].[AñoMes].&amp;[" &amp; TEXT(P$6,"yyyymm") &amp; "]",
"[Base].[Metrica]",
"[Base].[Metrica].&amp;[" &amp; $A10 &amp; "]",
"[Base].[SEGMENTO_DESCRIP]",
"[Base].[SEGMENTO_DESCRIP].&amp;[" &amp; $C$6 &amp; "]",
"[Base].[SITUACION]",
"[Base].[SITUACION].&amp;[" &amp; $C10 &amp; "]"
),0)/1000</f>
        <v>37772.396142759993</v>
      </c>
      <c r="Q10" s="8">
        <f>IFERROR(
GETPIVOTDATA(
"[Base].[Importe]",
TDinamica_R!$A$5,
"[Calendario].[AñoMes]",
"[Calendario].[AñoMes].&amp;[" &amp; TEXT(Q$6,"yyyymm") &amp; "]",
"[Base].[Metrica]",
"[Base].[Metrica].&amp;[" &amp; $A10 &amp; "]",
"[Base].[SEGMENTO_DESCRIP]",
"[Base].[SEGMENTO_DESCRIP].&amp;[" &amp; $C$6 &amp; "]",
"[Base].[SITUACION]",
"[Base].[SITUACION].&amp;[" &amp; $C10 &amp; "]"
),0)/1000</f>
        <v>37627.905691399996</v>
      </c>
      <c r="R10" s="8">
        <f>IFERROR(
GETPIVOTDATA(
"[Base].[Importe]",
TDinamica_R!$A$5,
"[Calendario].[AñoMes]",
"[Calendario].[AñoMes].&amp;[" &amp; TEXT(R$6,"yyyymm") &amp; "]",
"[Base].[Metrica]",
"[Base].[Metrica].&amp;[" &amp; $A10 &amp; "]",
"[Base].[SEGMENTO_DESCRIP]",
"[Base].[SEGMENTO_DESCRIP].&amp;[" &amp; $C$6 &amp; "]",
"[Base].[SITUACION]",
"[Base].[SITUACION].&amp;[" &amp; $C10 &amp; "]"
),0)/1000</f>
        <v>37859.356096299998</v>
      </c>
      <c r="S10" s="8">
        <f>IFERROR(
GETPIVOTDATA(
"[Base].[Importe]",
TDinamica_R!$A$5,
"[Calendario].[AñoMes]",
"[Calendario].[AñoMes].&amp;[" &amp; TEXT(S$6,"yyyymm") &amp; "]",
"[Base].[Metrica]",
"[Base].[Metrica].&amp;[" &amp; $A10 &amp; "]",
"[Base].[SEGMENTO_DESCRIP]",
"[Base].[SEGMENTO_DESCRIP].&amp;[" &amp; $C$6 &amp; "]",
"[Base].[SITUACION]",
"[Base].[SITUACION].&amp;[" &amp; $C10 &amp; "]"
),0)/1000</f>
        <v>39597.539387459998</v>
      </c>
      <c r="T10" s="8">
        <f>IFERROR(
GETPIVOTDATA(
"[Base].[Importe]",
TDinamica_R!$A$5,
"[Calendario].[AñoMes]",
"[Calendario].[AñoMes].&amp;[" &amp; TEXT(T$6,"yyyymm") &amp; "]",
"[Base].[Metrica]",
"[Base].[Metrica].&amp;[" &amp; $A10 &amp; "]",
"[Base].[SEGMENTO_DESCRIP]",
"[Base].[SEGMENTO_DESCRIP].&amp;[" &amp; $C$6 &amp; "]",
"[Base].[SITUACION]",
"[Base].[SITUACION].&amp;[" &amp; $C10 &amp; "]"
),0)/1000</f>
        <v>41055.238369959996</v>
      </c>
      <c r="U10" s="8">
        <f>IFERROR(
GETPIVOTDATA(
"[Base].[Importe]",
TDinamica_R!$A$5,
"[Calendario].[AñoMes]",
"[Calendario].[AñoMes].&amp;[" &amp; TEXT(U$6,"yyyymm") &amp; "]",
"[Base].[Metrica]",
"[Base].[Metrica].&amp;[" &amp; $A10 &amp; "]",
"[Base].[SEGMENTO_DESCRIP]",
"[Base].[SEGMENTO_DESCRIP].&amp;[" &amp; $C$6 &amp; "]",
"[Base].[SITUACION]",
"[Base].[SITUACION].&amp;[" &amp; $C10 &amp; "]"
),0)/1000</f>
        <v>39973.737595070008</v>
      </c>
      <c r="V10" s="8">
        <f>IFERROR(
GETPIVOTDATA(
"[Base].[Importe]",
TDinamica_R!$A$5,
"[Calendario].[AñoMes]",
"[Calendario].[AñoMes].&amp;[" &amp; TEXT(V$6,"yyyymm") &amp; "]",
"[Base].[Metrica]",
"[Base].[Metrica].&amp;[" &amp; $A10 &amp; "]",
"[Base].[SEGMENTO_DESCRIP]",
"[Base].[SEGMENTO_DESCRIP].&amp;[" &amp; $C$6 &amp; "]",
"[Base].[SITUACION]",
"[Base].[SITUACION].&amp;[" &amp; $C10 &amp; "]"
),0)/1000</f>
        <v>42543.18744473</v>
      </c>
      <c r="W10" s="8">
        <f>IFERROR(
GETPIVOTDATA(
"[Base].[Importe]",
TDinamica_R!$A$5,
"[Calendario].[AñoMes]",
"[Calendario].[AñoMes].&amp;[" &amp; TEXT(W$6,"yyyymm") &amp; "]",
"[Base].[Metrica]",
"[Base].[Metrica].&amp;[" &amp; $A10 &amp; "]",
"[Base].[SEGMENTO_DESCRIP]",
"[Base].[SEGMENTO_DESCRIP].&amp;[" &amp; $C$6 &amp; "]",
"[Base].[SITUACION]",
"[Base].[SITUACION].&amp;[" &amp; $C10 &amp; "]"
),0)/1000</f>
        <v>43430.986796839999</v>
      </c>
      <c r="X10" s="8">
        <f>IFERROR(
GETPIVOTDATA(
"[Base].[Importe]",
TDinamica_R!$A$5,
"[Calendario].[AñoMes]",
"[Calendario].[AñoMes].&amp;[" &amp; TEXT(X$6,"yyyymm") &amp; "]",
"[Base].[Metrica]",
"[Base].[Metrica].&amp;[" &amp; $A10 &amp; "]",
"[Base].[SEGMENTO_DESCRIP]",
"[Base].[SEGMENTO_DESCRIP].&amp;[" &amp; $C$6 &amp; "]",
"[Base].[SITUACION]",
"[Base].[SITUACION].&amp;[" &amp; $C10 &amp; "]"
),0)/1000</f>
        <v>42316.52540518999</v>
      </c>
      <c r="Y10" s="8">
        <f>IFERROR(
GETPIVOTDATA(
"[Base].[Importe]",
TDinamica_R!$A$5,
"[Calendario].[AñoMes]",
"[Calendario].[AñoMes].&amp;[" &amp; TEXT(Y$6,"yyyymm") &amp; "]",
"[Base].[Metrica]",
"[Base].[Metrica].&amp;[" &amp; $A10 &amp; "]",
"[Base].[SEGMENTO_DESCRIP]",
"[Base].[SEGMENTO_DESCRIP].&amp;[" &amp; $C$6 &amp; "]",
"[Base].[SITUACION]",
"[Base].[SITUACION].&amp;[" &amp; $C10 &amp; "]"
),0)/1000</f>
        <v>43748.595809039994</v>
      </c>
      <c r="Z10" s="8">
        <f>IFERROR(
GETPIVOTDATA(
"[Base].[Importe]",
TDinamica_R!$A$5,
"[Calendario].[AñoMes]",
"[Calendario].[AñoMes].&amp;[" &amp; TEXT(Z$6,"yyyymm") &amp; "]",
"[Base].[Metrica]",
"[Base].[Metrica].&amp;[" &amp; $A10 &amp; "]",
"[Base].[SEGMENTO_DESCRIP]",
"[Base].[SEGMENTO_DESCRIP].&amp;[" &amp; $C$6 &amp; "]",
"[Base].[SITUACION]",
"[Base].[SITUACION].&amp;[" &amp; $C10 &amp; "]"
),0)/1000</f>
        <v>42538.195953980001</v>
      </c>
      <c r="AA10" s="8">
        <f>IFERROR(
GETPIVOTDATA(
"[Base].[Importe]",
TDinamica_R!$A$5,
"[Calendario].[AñoMes]",
"[Calendario].[AñoMes].&amp;[" &amp; TEXT(AA$6,"yyyymm") &amp; "]",
"[Base].[Metrica]",
"[Base].[Metrica].&amp;[" &amp; $A10 &amp; "]",
"[Base].[SEGMENTO_DESCRIP]",
"[Base].[SEGMENTO_DESCRIP].&amp;[" &amp; $C$6 &amp; "]",
"[Base].[SITUACION]",
"[Base].[SITUACION].&amp;[" &amp; $C10 &amp; "]"
),0)/1000</f>
        <v>45505.370339559995</v>
      </c>
      <c r="AB10" s="8">
        <f>IFERROR(
GETPIVOTDATA(
"[Base].[Importe]",
TDinamica_R!$A$5,
"[Calendario].[AñoMes]",
"[Calendario].[AñoMes].&amp;[" &amp; TEXT(AB$6,"yyyymm") &amp; "]",
"[Base].[Metrica]",
"[Base].[Metrica].&amp;[" &amp; $A10 &amp; "]",
"[Base].[SEGMENTO_DESCRIP]",
"[Base].[SEGMENTO_DESCRIP].&amp;[" &amp; $C$6 &amp; "]",
"[Base].[SITUACION]",
"[Base].[SITUACION].&amp;[" &amp; $C10 &amp; "]"
),0)/1000</f>
        <v>41292.774633479996</v>
      </c>
      <c r="AC10" s="8">
        <f>IFERROR(
GETPIVOTDATA(
"[Base].[Importe]",
TDinamica_R!$A$5,
"[Calendario].[AñoMes]",
"[Calendario].[AñoMes].&amp;[" &amp; TEXT(AC$6,"yyyymm") &amp; "]",
"[Base].[Metrica]",
"[Base].[Metrica].&amp;[" &amp; $A10 &amp; "]",
"[Base].[SEGMENTO_DESCRIP]",
"[Base].[SEGMENTO_DESCRIP].&amp;[" &amp; $C$6 &amp; "]",
"[Base].[SITUACION]",
"[Base].[SITUACION].&amp;[" &amp; $C10 &amp; "]"
),0)/1000</f>
        <v>43380.249618859998</v>
      </c>
      <c r="AD10" s="8">
        <f>IFERROR(
GETPIVOTDATA(
"[Base].[Importe]",
TDinamica_R!$A$5,
"[Calendario].[AñoMes]",
"[Calendario].[AñoMes].&amp;[" &amp; TEXT(AD$6,"yyyymm") &amp; "]",
"[Base].[Metrica]",
"[Base].[Metrica].&amp;[" &amp; $A10 &amp; "]",
"[Base].[SEGMENTO_DESCRIP]",
"[Base].[SEGMENTO_DESCRIP].&amp;[" &amp; $C$6 &amp; "]",
"[Base].[SITUACION]",
"[Base].[SITUACION].&amp;[" &amp; $C10 &amp; "]"
),0)/1000</f>
        <v>44933.021172119996</v>
      </c>
      <c r="AE10" s="8">
        <f>IFERROR(
GETPIVOTDATA(
"[Base].[Importe]",
TDinamica_R!$A$5,
"[Calendario].[AñoMes]",
"[Calendario].[AñoMes].&amp;[" &amp; TEXT(AE$6,"yyyymm") &amp; "]",
"[Base].[Metrica]",
"[Base].[Metrica].&amp;[" &amp; $A10 &amp; "]",
"[Base].[SEGMENTO_DESCRIP]",
"[Base].[SEGMENTO_DESCRIP].&amp;[" &amp; $C$6 &amp; "]",
"[Base].[SITUACION]",
"[Base].[SITUACION].&amp;[" &amp; $C10 &amp; "]"
),0)/1000</f>
        <v>41769.161896599995</v>
      </c>
      <c r="AF10" s="8">
        <f>IFERROR(
GETPIVOTDATA(
"[Base].[Importe]",
TDinamica_R!$A$5,
"[Calendario].[AñoMes]",
"[Calendario].[AñoMes].&amp;[" &amp; TEXT(AF$6,"yyyymm") &amp; "]",
"[Base].[Metrica]",
"[Base].[Metrica].&amp;[" &amp; $A10 &amp; "]",
"[Base].[SEGMENTO_DESCRIP]",
"[Base].[SEGMENTO_DESCRIP].&amp;[" &amp; $C$6 &amp; "]",
"[Base].[SITUACION]",
"[Base].[SITUACION].&amp;[" &amp; $C10 &amp; "]"
),0)/1000</f>
        <v>51837.75094564</v>
      </c>
      <c r="AG10" s="8">
        <f>IFERROR(
GETPIVOTDATA(
"[Base].[Importe]",
TDinamica_R!$A$5,
"[Calendario].[AñoMes]",
"[Calendario].[AñoMes].&amp;[" &amp; TEXT(AG$6,"yyyymm") &amp; "]",
"[Base].[Metrica]",
"[Base].[Metrica].&amp;[" &amp; $A10 &amp; "]",
"[Base].[SEGMENTO_DESCRIP]",
"[Base].[SEGMENTO_DESCRIP].&amp;[" &amp; $C$6 &amp; "]",
"[Base].[SITUACION]",
"[Base].[SITUACION].&amp;[" &amp; $C10 &amp; "]"
),0)/1000</f>
        <v>48927.730566859995</v>
      </c>
      <c r="AH10" s="8">
        <f>IFERROR(
GETPIVOTDATA(
"[Base].[Importe]",
TDinamica_R!$A$5,
"[Calendario].[AñoMes]",
"[Calendario].[AñoMes].&amp;[" &amp; TEXT(AH$6,"yyyymm") &amp; "]",
"[Base].[Metrica]",
"[Base].[Metrica].&amp;[" &amp; $A10 &amp; "]",
"[Base].[SEGMENTO_DESCRIP]",
"[Base].[SEGMENTO_DESCRIP].&amp;[" &amp; $C$6 &amp; "]",
"[Base].[SITUACION]",
"[Base].[SITUACION].&amp;[" &amp; $C10 &amp; "]"
),0)/1000</f>
        <v>52254.418044609993</v>
      </c>
      <c r="AI10" s="8">
        <f>IFERROR(
GETPIVOTDATA(
"[Base].[Importe]",
TDinamica_R!$A$5,
"[Calendario].[AñoMes]",
"[Calendario].[AñoMes].&amp;[" &amp; TEXT(AI$6,"yyyymm") &amp; "]",
"[Base].[Metrica]",
"[Base].[Metrica].&amp;[" &amp; $A10 &amp; "]",
"[Base].[SEGMENTO_DESCRIP]",
"[Base].[SEGMENTO_DESCRIP].&amp;[" &amp; $C$6 &amp; "]",
"[Base].[SITUACION]",
"[Base].[SITUACION].&amp;[" &amp; $C10 &amp; "]"
),0)/1000</f>
        <v>52361.943831150013</v>
      </c>
      <c r="AJ10" s="8">
        <f>IFERROR(
GETPIVOTDATA(
"[Base].[Importe]",
TDinamica_R!$A$5,
"[Calendario].[AñoMes]",
"[Calendario].[AñoMes].&amp;[" &amp; TEXT(AJ$6,"yyyymm") &amp; "]",
"[Base].[Metrica]",
"[Base].[Metrica].&amp;[" &amp; $A10 &amp; "]",
"[Base].[SEGMENTO_DESCRIP]",
"[Base].[SEGMENTO_DESCRIP].&amp;[" &amp; $C$6 &amp; "]",
"[Base].[SITUACION]",
"[Base].[SITUACION].&amp;[" &amp; $C10 &amp; "]"
),0)/1000</f>
        <v>49755.248781100003</v>
      </c>
      <c r="AK10" s="8">
        <f>IFERROR(
GETPIVOTDATA(
"[Base].[Importe]",
TDinamica_R!$A$5,
"[Calendario].[AñoMes]",
"[Calendario].[AñoMes].&amp;[" &amp; TEXT(AK$6,"yyyymm") &amp; "]",
"[Base].[Metrica]",
"[Base].[Metrica].&amp;[" &amp; $A10 &amp; "]",
"[Base].[SEGMENTO_DESCRIP]",
"[Base].[SEGMENTO_DESCRIP].&amp;[" &amp; $C$6 &amp; "]",
"[Base].[SITUACION]",
"[Base].[SITUACION].&amp;[" &amp; $C10 &amp; "]"
),0)/1000</f>
        <v>52129.638300250001</v>
      </c>
      <c r="AL10" s="8">
        <f>IFERROR(
GETPIVOTDATA(
"[Base].[Importe]",
TDinamica_R!$A$5,
"[Calendario].[AñoMes]",
"[Calendario].[AñoMes].&amp;[" &amp; TEXT(AL$6,"yyyymm") &amp; "]",
"[Base].[Metrica]",
"[Base].[Metrica].&amp;[" &amp; $A10 &amp; "]",
"[Base].[SEGMENTO_DESCRIP]",
"[Base].[SEGMENTO_DESCRIP].&amp;[" &amp; $C$6 &amp; "]",
"[Base].[SITUACION]",
"[Base].[SITUACION].&amp;[" &amp; $C10 &amp; "]"
),0)/1000</f>
        <v>52176.800994420002</v>
      </c>
      <c r="AM10" s="8">
        <f>IFERROR(
GETPIVOTDATA(
"[Base].[Importe]",
TDinamica_R!$A$5,
"[Calendario].[AñoMes]",
"[Calendario].[AñoMes].&amp;[" &amp; TEXT(AM$6,"yyyymm") &amp; "]",
"[Base].[Metrica]",
"[Base].[Metrica].&amp;[" &amp; $A10 &amp; "]",
"[Base].[SEGMENTO_DESCRIP]",
"[Base].[SEGMENTO_DESCRIP].&amp;[" &amp; $C$6 &amp; "]",
"[Base].[SITUACION]",
"[Base].[SITUACION].&amp;[" &amp; $C10 &amp; "]"
),0)/1000</f>
        <v>58232.568797389991</v>
      </c>
      <c r="AN10" s="8">
        <f>IFERROR(
GETPIVOTDATA(
"[Base].[Importe]",
TDinamica_R!$A$5,
"[Calendario].[AñoMes]",
"[Calendario].[AñoMes].&amp;[" &amp; TEXT(AN$6,"yyyymm") &amp; "]",
"[Base].[Metrica]",
"[Base].[Metrica].&amp;[" &amp; $A10 &amp; "]",
"[Base].[SEGMENTO_DESCRIP]",
"[Base].[SEGMENTO_DESCRIP].&amp;[" &amp; $C$6 &amp; "]",
"[Base].[SITUACION]",
"[Base].[SITUACION].&amp;[" &amp; $C10 &amp; "]"
),0)/1000</f>
        <v>59237.27</v>
      </c>
      <c r="AO10" s="8">
        <f>IFERROR(
GETPIVOTDATA(
"[Base].[Importe]",
TDinamica_R!$A$5,
"[Calendario].[AñoMes]",
"[Calendario].[AñoMes].&amp;[" &amp; TEXT(AO$6,"yyyymm") &amp; "]",
"[Base].[Metrica]",
"[Base].[Metrica].&amp;[" &amp; $A10 &amp; "]",
"[Base].[SEGMENTO_DESCRIP]",
"[Base].[SEGMENTO_DESCRIP].&amp;[" &amp; $C$6 &amp; "]",
"[Base].[SITUACION]",
"[Base].[SITUACION].&amp;[" &amp; $C10 &amp; "]"
),0)/1000</f>
        <v>58212.36</v>
      </c>
      <c r="AP10" s="8">
        <f>IFERROR(
GETPIVOTDATA(
"[Base].[Importe]",
TDinamica_R!$A$5,
"[Calendario].[AñoMes]",
"[Calendario].[AñoMes].&amp;[" &amp; TEXT(AP$6,"yyyymm") &amp; "]",
"[Base].[Metrica]",
"[Base].[Metrica].&amp;[" &amp; $A10 &amp; "]",
"[Base].[SEGMENTO_DESCRIP]",
"[Base].[SEGMENTO_DESCRIP].&amp;[" &amp; $C$6 &amp; "]",
"[Base].[SITUACION]",
"[Base].[SITUACION].&amp;[" &amp; $C10 &amp; "]"
),0)/1000</f>
        <v>59099.87</v>
      </c>
      <c r="AQ10" s="8">
        <f>IFERROR(
GETPIVOTDATA(
"[Base].[Importe]",
TDinamica_R!$A$5,
"[Calendario].[AñoMes]",
"[Calendario].[AñoMes].&amp;[" &amp; TEXT(AQ$6,"yyyymm") &amp; "]",
"[Base].[Metrica]",
"[Base].[Metrica].&amp;[" &amp; $A10 &amp; "]",
"[Base].[SEGMENTO_DESCRIP]",
"[Base].[SEGMENTO_DESCRIP].&amp;[" &amp; $C$6 &amp; "]",
"[Base].[SITUACION]",
"[Base].[SITUACION].&amp;[" &amp; $C10 &amp; "]"
),0)/1000</f>
        <v>60576.449112989991</v>
      </c>
      <c r="AR10" s="8">
        <f>IFERROR(
GETPIVOTDATA(
"[Base].[Importe]",
TDinamica_R!$A$5,
"[Calendario].[AñoMes]",
"[Calendario].[AñoMes].&amp;[" &amp; TEXT(AR$6,"yyyymm") &amp; "]",
"[Base].[Metrica]",
"[Base].[Metrica].&amp;[" &amp; $A10 &amp; "]",
"[Base].[SEGMENTO_DESCRIP]",
"[Base].[SEGMENTO_DESCRIP].&amp;[" &amp; $C$6 &amp; "]",
"[Base].[SITUACION]",
"[Base].[SITUACION].&amp;[" &amp; $C10 &amp; "]"
),0)/1000</f>
        <v>61520.12198584</v>
      </c>
      <c r="AS10" s="8">
        <f>IFERROR(
GETPIVOTDATA(
"[Base].[Importe]",
TDinamica_R!$A$5,
"[Calendario].[AñoMes]",
"[Calendario].[AñoMes].&amp;[" &amp; TEXT(AS$6,"yyyymm") &amp; "]",
"[Base].[Metrica]",
"[Base].[Metrica].&amp;[" &amp; $A10 &amp; "]",
"[Base].[SEGMENTO_DESCRIP]",
"[Base].[SEGMENTO_DESCRIP].&amp;[" &amp; $C$6 &amp; "]",
"[Base].[SITUACION]",
"[Base].[SITUACION].&amp;[" &amp; $C10 &amp; "]"
),0)/1000</f>
        <v>65663.070606499998</v>
      </c>
      <c r="AT10" s="8">
        <f>IFERROR(
GETPIVOTDATA(
"[Base].[Importe]",
TDinamica_R!$A$5,
"[Calendario].[AñoMes]",
"[Calendario].[AñoMes].&amp;[" &amp; TEXT(AT$6,"yyyymm")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U10" s="8">
        <f>IFERROR(
GETPIVOTDATA(
"[Base].[Importe]",
TDinamica_R!$A$5,
"[Calendario].[AñoMes]",
"[Calendario].[AñoMes].&amp;[" &amp; TEXT(AU$6,"yyyymm")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V10" s="8">
        <f>IFERROR(
GETPIVOTDATA(
"[Base].[Importe]",
TDinamica_R!$A$5,
"[Calendario].[AñoMes]",
"[Calendario].[AñoMes].&amp;[" &amp; TEXT(AV$6,"yyyymm")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W10" s="8">
        <f>IFERROR(
GETPIVOTDATA(
"[Base].[Importe]",
TDinamica_R!$A$5,
"[Calendario].[AñoMes]",
"[Calendario].[AñoMes].&amp;[" &amp; TEXT(AW$6,"yyyymm")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X10" s="8">
        <f>IFERROR(
GETPIVOTDATA(
"[Base].[Importe]",
TDinamica_R!$A$5,
"[Calendario].[AñoMes]",
"[Calendario].[AñoMes].&amp;[" &amp; TEXT(AX$6,"yyyymm")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Y10" s="8">
        <f>IFERROR(
GETPIVOTDATA(
"[Base].[Importe]",
TDinamica_R!$A$5,
"[Calendario].[AñoMes]",
"[Calendario].[AñoMes].&amp;[" &amp; TEXT(AY$6,"yyyymm")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Z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"[BASE_HIPO_PPTO].[Periodo]","[BASE_HIPO_PPTO].[Periodo].&amp;["&amp;TEXT(AZ$6,"yyyymm")&amp;"]"),
0)/1000</f>
        <v>57098.772363122931</v>
      </c>
      <c r="BA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"[BASE_HIPO_PPTO].[Periodo]","[BASE_HIPO_PPTO].[Periodo].&amp;["&amp;TEXT(BA$6,"yyyymm")&amp;"]"),
0)/1000</f>
        <v>58591.448755276797</v>
      </c>
      <c r="BB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"[BASE_HIPO_PPTO].[Periodo]","[BASE_HIPO_PPTO].[Periodo].&amp;["&amp;TEXT(BB$6,"yyyymm")&amp;"]"),
0)/1000</f>
        <v>60969.028110684667</v>
      </c>
      <c r="BC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"[BASE_HIPO_PPTO].[Periodo]","[BASE_HIPO_PPTO].[Periodo].&amp;["&amp;TEXT(BC$6,"yyyymm")&amp;"]"),
0)/1000</f>
        <v>62471.614977733967</v>
      </c>
      <c r="BD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"[BASE_HIPO_PPTO].[Periodo]","[BASE_HIPO_PPTO].[Periodo].&amp;["&amp;TEXT(BD$6,"yyyymm")&amp;"]"),
0)/1000</f>
        <v>62617.030015276847</v>
      </c>
      <c r="BE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"[BASE_HIPO_PPTO].[Periodo]","[BASE_HIPO_PPTO].[Periodo].&amp;["&amp;TEXT(BE$6,"yyyymm")&amp;"]"),
0)/1000</f>
        <v>65087.033016987079</v>
      </c>
      <c r="BF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"[BASE_HIPO_PPTO].[Periodo]","[BASE_HIPO_PPTO].[Periodo].&amp;["&amp;TEXT(BF$6,"yyyymm")&amp;"]"),
0)/1000</f>
        <v>65026.967696089967</v>
      </c>
      <c r="BG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"[BASE_HIPO_PPTO].[Periodo]","[BASE_HIPO_PPTO].[Periodo].&amp;["&amp;TEXT(BG$6,"yyyymm")&amp;"]"),
0)/1000</f>
        <v>68255.28827097168</v>
      </c>
      <c r="BH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"[BASE_HIPO_PPTO].[Periodo]","[BASE_HIPO_PPTO].[Periodo].&amp;["&amp;TEXT(BH$6,"yyyymm")&amp;"]"),
0)/1000</f>
        <v>69033.092195366189</v>
      </c>
      <c r="BI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"[BASE_HIPO_PPTO].[Periodo]","[BASE_HIPO_PPTO].[Periodo].&amp;["&amp;TEXT(BI$6,"yyyymm")&amp;"]"),
0)/1000</f>
        <v>70502.427686516879</v>
      </c>
      <c r="BJ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"[BASE_HIPO_PPTO].[Periodo]","[BASE_HIPO_PPTO].[Periodo].&amp;["&amp;TEXT(BJ$6,"yyyymm")&amp;"]"),
0)/1000</f>
        <v>74198.59047516869</v>
      </c>
      <c r="BK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"[BASE_HIPO_PPTO].[Periodo]","[BASE_HIPO_PPTO].[Periodo].&amp;["&amp;TEXT(BK$6,"yyyymm")&amp;"]"),
0)/1000</f>
        <v>74355.572346054192</v>
      </c>
      <c r="BO10" s="24">
        <f t="shared" si="4"/>
        <v>59099.87</v>
      </c>
      <c r="BP10" s="24">
        <f t="shared" si="6"/>
        <v>60969.028110684667</v>
      </c>
      <c r="BQ10" s="24">
        <f t="shared" si="5"/>
        <v>58212.36</v>
      </c>
      <c r="BR10" s="24">
        <f t="shared" si="5"/>
        <v>44933.021172119996</v>
      </c>
      <c r="BS10" s="24">
        <f t="shared" si="5"/>
        <v>37859.356096299998</v>
      </c>
      <c r="BT10" s="24">
        <f t="shared" si="5"/>
        <v>27911.386193719998</v>
      </c>
    </row>
    <row r="11" spans="1:81" collapsed="1" x14ac:dyDescent="0.25">
      <c r="C11" s="3" t="s">
        <v>2</v>
      </c>
      <c r="D11" s="10">
        <f>SUM(D8:D10)</f>
        <v>4372158.7683031606</v>
      </c>
      <c r="E11" s="10">
        <f t="shared" ref="E11:BK11" si="7">SUM(E8:E10)</f>
        <v>4394856.9983213209</v>
      </c>
      <c r="F11" s="10">
        <f t="shared" si="7"/>
        <v>4403473.1488388991</v>
      </c>
      <c r="G11" s="10">
        <f t="shared" si="7"/>
        <v>4415871.586714251</v>
      </c>
      <c r="H11" s="10">
        <f t="shared" si="7"/>
        <v>4435733.3396391999</v>
      </c>
      <c r="I11" s="10">
        <f t="shared" si="7"/>
        <v>4461602.9508134406</v>
      </c>
      <c r="J11" s="10">
        <f t="shared" si="7"/>
        <v>4468921.8530501202</v>
      </c>
      <c r="K11" s="10">
        <f t="shared" si="7"/>
        <v>4507762.0537612997</v>
      </c>
      <c r="L11" s="10">
        <f t="shared" si="7"/>
        <v>4559269.5653369706</v>
      </c>
      <c r="M11" s="10">
        <f t="shared" si="7"/>
        <v>4607113.6005360587</v>
      </c>
      <c r="N11" s="10">
        <f t="shared" si="7"/>
        <v>4622928.4934852803</v>
      </c>
      <c r="O11" s="10">
        <f t="shared" si="7"/>
        <v>4641322.9762776308</v>
      </c>
      <c r="P11" s="10">
        <f t="shared" si="7"/>
        <v>4664784.7238008007</v>
      </c>
      <c r="Q11" s="10">
        <f t="shared" si="7"/>
        <v>4706530.1460058</v>
      </c>
      <c r="R11" s="10">
        <f t="shared" si="7"/>
        <v>4739804.0482229805</v>
      </c>
      <c r="S11" s="10">
        <f t="shared" si="7"/>
        <v>4767006.9888904002</v>
      </c>
      <c r="T11" s="10">
        <f t="shared" si="7"/>
        <v>4792841.8931951197</v>
      </c>
      <c r="U11" s="10">
        <f t="shared" si="7"/>
        <v>4827411.406474811</v>
      </c>
      <c r="V11" s="10">
        <f t="shared" si="7"/>
        <v>4868593.5177586013</v>
      </c>
      <c r="W11" s="10">
        <f t="shared" si="7"/>
        <v>4921366.92782092</v>
      </c>
      <c r="X11" s="10">
        <f t="shared" si="7"/>
        <v>4977744.8161347993</v>
      </c>
      <c r="Y11" s="10">
        <f t="shared" si="7"/>
        <v>5026440.1624603588</v>
      </c>
      <c r="Z11" s="10">
        <f t="shared" si="7"/>
        <v>5054026.0389238205</v>
      </c>
      <c r="AA11" s="10">
        <f t="shared" si="7"/>
        <v>5094472.411723082</v>
      </c>
      <c r="AB11" s="10">
        <f t="shared" si="7"/>
        <v>5107986.4244433604</v>
      </c>
      <c r="AC11" s="10">
        <f t="shared" si="7"/>
        <v>5124971.6378140291</v>
      </c>
      <c r="AD11" s="10">
        <f t="shared" si="7"/>
        <v>5121510.2530039214</v>
      </c>
      <c r="AE11" s="10">
        <f t="shared" si="7"/>
        <v>5147963.4478874002</v>
      </c>
      <c r="AF11" s="10">
        <f t="shared" si="7"/>
        <v>5160960.2288284386</v>
      </c>
      <c r="AG11" s="10">
        <f t="shared" si="7"/>
        <v>5214282.2199292611</v>
      </c>
      <c r="AH11" s="10">
        <f t="shared" si="7"/>
        <v>5232678.592597899</v>
      </c>
      <c r="AI11" s="10">
        <f t="shared" si="7"/>
        <v>5263802.3392764498</v>
      </c>
      <c r="AJ11" s="10">
        <f t="shared" si="7"/>
        <v>5299188.8833856005</v>
      </c>
      <c r="AK11" s="10">
        <f t="shared" si="7"/>
        <v>5320331.4074070007</v>
      </c>
      <c r="AL11" s="10">
        <f t="shared" si="7"/>
        <v>5344420.3431986608</v>
      </c>
      <c r="AM11" s="10">
        <f t="shared" si="7"/>
        <v>5347592.57260291</v>
      </c>
      <c r="AN11" s="10">
        <f t="shared" si="7"/>
        <v>5330983.75</v>
      </c>
      <c r="AO11" s="10">
        <f t="shared" si="7"/>
        <v>5329695.8899999997</v>
      </c>
      <c r="AP11" s="10">
        <f t="shared" si="7"/>
        <v>5325486.34</v>
      </c>
      <c r="AQ11" s="10">
        <f t="shared" si="7"/>
        <v>5316324.0265936088</v>
      </c>
      <c r="AR11" s="10">
        <f t="shared" si="7"/>
        <v>5313586.6158908606</v>
      </c>
      <c r="AS11" s="10">
        <f t="shared" si="7"/>
        <v>5312337.062126901</v>
      </c>
      <c r="AT11" s="10">
        <f t="shared" si="7"/>
        <v>0</v>
      </c>
      <c r="AU11" s="10">
        <f t="shared" si="7"/>
        <v>0</v>
      </c>
      <c r="AV11" s="10">
        <f t="shared" si="7"/>
        <v>0</v>
      </c>
      <c r="AW11" s="10">
        <f t="shared" si="7"/>
        <v>0</v>
      </c>
      <c r="AX11" s="10">
        <f t="shared" si="7"/>
        <v>0</v>
      </c>
      <c r="AY11" s="10">
        <f t="shared" si="7"/>
        <v>0</v>
      </c>
      <c r="AZ11" s="10">
        <f t="shared" si="7"/>
        <v>5359663.8987051249</v>
      </c>
      <c r="BA11" s="10">
        <f t="shared" si="7"/>
        <v>5378781.4837456336</v>
      </c>
      <c r="BB11" s="10">
        <f t="shared" si="7"/>
        <v>5376646.5107136983</v>
      </c>
      <c r="BC11" s="10">
        <f t="shared" si="7"/>
        <v>5387685.476334461</v>
      </c>
      <c r="BD11" s="10">
        <f t="shared" si="7"/>
        <v>5404143.0368813267</v>
      </c>
      <c r="BE11" s="10">
        <f t="shared" si="7"/>
        <v>5435548.5366928745</v>
      </c>
      <c r="BF11" s="10">
        <f t="shared" si="7"/>
        <v>5457320.4704757631</v>
      </c>
      <c r="BG11" s="10">
        <f t="shared" si="7"/>
        <v>5500440.1193432007</v>
      </c>
      <c r="BH11" s="10">
        <f t="shared" si="7"/>
        <v>5536101.6422168184</v>
      </c>
      <c r="BI11" s="10">
        <f t="shared" si="7"/>
        <v>5575611.5052013369</v>
      </c>
      <c r="BJ11" s="10">
        <f t="shared" si="7"/>
        <v>5609912.4978811918</v>
      </c>
      <c r="BK11" s="10">
        <f t="shared" si="7"/>
        <v>5636747.6357665723</v>
      </c>
      <c r="BO11" s="23">
        <f>SUM(BO8:BO10)</f>
        <v>5325486.34</v>
      </c>
      <c r="BP11" s="23">
        <f>SUM(BP8:BP10)</f>
        <v>5376646.5107136983</v>
      </c>
      <c r="BQ11" s="23">
        <f t="shared" ref="BQ11:BT11" si="8">SUM(BQ8:BQ10)</f>
        <v>5329695.8899999997</v>
      </c>
      <c r="BR11" s="23">
        <f t="shared" si="8"/>
        <v>5121510.2530039214</v>
      </c>
      <c r="BS11" s="23">
        <f t="shared" si="8"/>
        <v>4739804.0482229805</v>
      </c>
      <c r="BT11" s="23">
        <f t="shared" si="8"/>
        <v>4403473.1488388991</v>
      </c>
    </row>
    <row r="14" spans="1:81" hidden="1" outlineLevel="1" x14ac:dyDescent="0.25">
      <c r="A14" s="11" t="s">
        <v>52</v>
      </c>
      <c r="C14" s="2" t="s">
        <v>0</v>
      </c>
      <c r="D14" s="8">
        <f>IFERROR(
GETPIVOTDATA(
"[Base].[Importe]",
TDinamica_R!$A$5,
"[Calendario].[AñoMes]",
"[Calendario].[AñoMes].&amp;[" &amp; TEXT(D$6,"yyyymm") &amp; "]",
"[Base].[Metrica]",
"[Base].[Metrica].&amp;[" &amp; $A14 &amp; "]",
"[Base].[SEGMENTO_DESCRIP]",
"[Base].[SEGMENTO_DESCRIP].&amp;[" &amp; $C$6 &amp; "]",
"[Base].[SITUACION]",
"[Base].[SITUACION].&amp;[" &amp; $C14 &amp; "]"
),0)/1000</f>
        <v>4314956.88426896</v>
      </c>
      <c r="E14" s="8">
        <f>IFERROR(
GETPIVOTDATA(
"[Base].[Importe]",
TDinamica_R!$A$5,
"[Calendario].[AñoMes]",
"[Calendario].[AñoMes].&amp;[" &amp; TEXT(E$6,"yyyymm") &amp; "]",
"[Base].[Metrica]",
"[Base].[Metrica].&amp;[" &amp; $A14 &amp; "]",
"[Base].[SEGMENTO_DESCRIP]",
"[Base].[SEGMENTO_DESCRIP].&amp;[" &amp; $C$6 &amp; "]",
"[Base].[SITUACION]",
"[Base].[SITUACION].&amp;[" &amp; $C14 &amp; "]"
),0)/1000</f>
        <v>4336379.7155385688</v>
      </c>
      <c r="F14" s="8">
        <f>IFERROR(
GETPIVOTDATA(
"[Base].[Importe]",
TDinamica_R!$A$5,
"[Calendario].[AñoMes]",
"[Calendario].[AñoMes].&amp;[" &amp; TEXT(F$6,"yyyymm") &amp; "]",
"[Base].[Metrica]",
"[Base].[Metrica].&amp;[" &amp; $A14 &amp; "]",
"[Base].[SEGMENTO_DESCRIP]",
"[Base].[SEGMENTO_DESCRIP].&amp;[" &amp; $C$6 &amp; "]",
"[Base].[SITUACION]",
"[Base].[SITUACION].&amp;[" &amp; $C14 &amp; "]"
),0)/1000</f>
        <v>4350066.8149262005</v>
      </c>
      <c r="G14" s="8">
        <f>IFERROR(
GETPIVOTDATA(
"[Base].[Importe]",
TDinamica_R!$A$5,
"[Calendario].[AñoMes]",
"[Calendario].[AñoMes].&amp;[" &amp; TEXT(G$6,"yyyymm") &amp; "]",
"[Base].[Metrica]",
"[Base].[Metrica].&amp;[" &amp; $A14 &amp; "]",
"[Base].[SEGMENTO_DESCRIP]",
"[Base].[SEGMENTO_DESCRIP].&amp;[" &amp; $C$6 &amp; "]",
"[Base].[SITUACION]",
"[Base].[SITUACION].&amp;[" &amp; $C14 &amp; "]"
),0)/1000</f>
        <v>4359924.8296034001</v>
      </c>
      <c r="H14" s="8">
        <f>IFERROR(
GETPIVOTDATA(
"[Base].[Importe]",
TDinamica_R!$A$5,
"[Calendario].[AñoMes]",
"[Calendario].[AñoMes].&amp;[" &amp; TEXT(H$6,"yyyymm") &amp; "]",
"[Base].[Metrica]",
"[Base].[Metrica].&amp;[" &amp; $A14 &amp; "]",
"[Base].[SEGMENTO_DESCRIP]",
"[Base].[SEGMENTO_DESCRIP].&amp;[" &amp; $C$6 &amp; "]",
"[Base].[SITUACION]",
"[Base].[SITUACION].&amp;[" &amp; $C14 &amp; "]"
),0)/1000</f>
        <v>4375699.4805130204</v>
      </c>
      <c r="I14" s="8">
        <f>IFERROR(
GETPIVOTDATA(
"[Base].[Importe]",
TDinamica_R!$A$5,
"[Calendario].[AñoMes]",
"[Calendario].[AñoMes].&amp;[" &amp; TEXT(I$6,"yyyymm") &amp; "]",
"[Base].[Metrica]",
"[Base].[Metrica].&amp;[" &amp; $A14 &amp; "]",
"[Base].[SEGMENTO_DESCRIP]",
"[Base].[SEGMENTO_DESCRIP].&amp;[" &amp; $C$6 &amp; "]",
"[Base].[SITUACION]",
"[Base].[SITUACION].&amp;[" &amp; $C14 &amp; "]"
),0)/1000</f>
        <v>4401763.6385444989</v>
      </c>
      <c r="J14" s="8">
        <f>IFERROR(
GETPIVOTDATA(
"[Base].[Importe]",
TDinamica_R!$A$5,
"[Calendario].[AñoMes]",
"[Calendario].[AñoMes].&amp;[" &amp; TEXT(J$6,"yyyymm") &amp; "]",
"[Base].[Metrica]",
"[Base].[Metrica].&amp;[" &amp; $A14 &amp; "]",
"[Base].[SEGMENTO_DESCRIP]",
"[Base].[SEGMENTO_DESCRIP].&amp;[" &amp; $C$6 &amp; "]",
"[Base].[SITUACION]",
"[Base].[SITUACION].&amp;[" &amp; $C14 &amp; "]"
),0)/1000</f>
        <v>4421446.481091979</v>
      </c>
      <c r="K14" s="8">
        <f>IFERROR(
GETPIVOTDATA(
"[Base].[Importe]",
TDinamica_R!$A$5,
"[Calendario].[AñoMes]",
"[Calendario].[AñoMes].&amp;[" &amp; TEXT(K$6,"yyyymm") &amp; "]",
"[Base].[Metrica]",
"[Base].[Metrica].&amp;[" &amp; $A14 &amp; "]",
"[Base].[SEGMENTO_DESCRIP]",
"[Base].[SEGMENTO_DESCRIP].&amp;[" &amp; $C$6 &amp; "]",
"[Base].[SITUACION]",
"[Base].[SITUACION].&amp;[" &amp; $C14 &amp; "]"
),0)/1000</f>
        <v>4438978.7092734203</v>
      </c>
      <c r="L14" s="8">
        <f>IFERROR(
GETPIVOTDATA(
"[Base].[Importe]",
TDinamica_R!$A$5,
"[Calendario].[AñoMes]",
"[Calendario].[AñoMes].&amp;[" &amp; TEXT(L$6,"yyyymm") &amp; "]",
"[Base].[Metrica]",
"[Base].[Metrica].&amp;[" &amp; $A14 &amp; "]",
"[Base].[SEGMENTO_DESCRIP]",
"[Base].[SEGMENTO_DESCRIP].&amp;[" &amp; $C$6 &amp; "]",
"[Base].[SITUACION]",
"[Base].[SITUACION].&amp;[" &amp; $C14 &amp; "]"
),0)/1000</f>
        <v>4480133.4513214203</v>
      </c>
      <c r="M14" s="8">
        <f>IFERROR(
GETPIVOTDATA(
"[Base].[Importe]",
TDinamica_R!$A$5,
"[Calendario].[AñoMes]",
"[Calendario].[AñoMes].&amp;[" &amp; TEXT(M$6,"yyyymm") &amp; "]",
"[Base].[Metrica]",
"[Base].[Metrica].&amp;[" &amp; $A14 &amp; "]",
"[Base].[SEGMENTO_DESCRIP]",
"[Base].[SEGMENTO_DESCRIP].&amp;[" &amp; $C$6 &amp; "]",
"[Base].[SITUACION]",
"[Base].[SITUACION].&amp;[" &amp; $C14 &amp; "]"
),0)/1000</f>
        <v>4531926.7939835489</v>
      </c>
      <c r="N14" s="8">
        <f>IFERROR(
GETPIVOTDATA(
"[Base].[Importe]",
TDinamica_R!$A$5,
"[Calendario].[AñoMes]",
"[Calendario].[AñoMes].&amp;[" &amp; TEXT(N$6,"yyyymm") &amp; "]",
"[Base].[Metrica]",
"[Base].[Metrica].&amp;[" &amp; $A14 &amp; "]",
"[Base].[SEGMENTO_DESCRIP]",
"[Base].[SEGMENTO_DESCRIP].&amp;[" &amp; $C$6 &amp; "]",
"[Base].[SITUACION]",
"[Base].[SITUACION].&amp;[" &amp; $C14 &amp; "]"
),0)/1000</f>
        <v>4559016.6347464407</v>
      </c>
      <c r="O14" s="8">
        <f>IFERROR(
GETPIVOTDATA(
"[Base].[Importe]",
TDinamica_R!$A$5,
"[Calendario].[AñoMes]",
"[Calendario].[AñoMes].&amp;[" &amp; TEXT(O$6,"yyyymm") &amp; "]",
"[Base].[Metrica]",
"[Base].[Metrica].&amp;[" &amp; $A14 &amp; "]",
"[Base].[SEGMENTO_DESCRIP]",
"[Base].[SEGMENTO_DESCRIP].&amp;[" &amp; $C$6 &amp; "]",
"[Base].[SITUACION]",
"[Base].[SITUACION].&amp;[" &amp; $C14 &amp; "]"
),0)/1000</f>
        <v>4582285.4161169911</v>
      </c>
      <c r="P14" s="8">
        <f>IFERROR(
GETPIVOTDATA(
"[Base].[Importe]",
TDinamica_R!$A$5,
"[Calendario].[AñoMes]",
"[Calendario].[AñoMes].&amp;[" &amp; TEXT(P$6,"yyyymm") &amp; "]",
"[Base].[Metrica]",
"[Base].[Metrica].&amp;[" &amp; $A14 &amp; "]",
"[Base].[SEGMENTO_DESCRIP]",
"[Base].[SEGMENTO_DESCRIP].&amp;[" &amp; $C$6 &amp; "]",
"[Base].[SITUACION]",
"[Base].[SITUACION].&amp;[" &amp; $C14 &amp; "]"
),0)/1000</f>
        <v>4594627.1680018408</v>
      </c>
      <c r="Q14" s="8">
        <f>IFERROR(
GETPIVOTDATA(
"[Base].[Importe]",
TDinamica_R!$A$5,
"[Calendario].[AñoMes]",
"[Calendario].[AñoMes].&amp;[" &amp; TEXT(Q$6,"yyyymm") &amp; "]",
"[Base].[Metrica]",
"[Base].[Metrica].&amp;[" &amp; $A14 &amp; "]",
"[Base].[SEGMENTO_DESCRIP]",
"[Base].[SEGMENTO_DESCRIP].&amp;[" &amp; $C$6 &amp; "]",
"[Base].[SITUACION]",
"[Base].[SITUACION].&amp;[" &amp; $C14 &amp; "]"
),0)/1000</f>
        <v>4627923.9204205004</v>
      </c>
      <c r="R14" s="8">
        <f>IFERROR(
GETPIVOTDATA(
"[Base].[Importe]",
TDinamica_R!$A$5,
"[Calendario].[AñoMes]",
"[Calendario].[AñoMes].&amp;[" &amp; TEXT(R$6,"yyyymm") &amp; "]",
"[Base].[Metrica]",
"[Base].[Metrica].&amp;[" &amp; $A14 &amp; "]",
"[Base].[SEGMENTO_DESCRIP]",
"[Base].[SEGMENTO_DESCRIP].&amp;[" &amp; $C$6 &amp; "]",
"[Base].[SITUACION]",
"[Base].[SITUACION].&amp;[" &amp; $C14 &amp; "]"
),0)/1000</f>
        <v>4663821.9046119209</v>
      </c>
      <c r="S14" s="8">
        <f>IFERROR(
GETPIVOTDATA(
"[Base].[Importe]",
TDinamica_R!$A$5,
"[Calendario].[AñoMes]",
"[Calendario].[AñoMes].&amp;[" &amp; TEXT(S$6,"yyyymm") &amp; "]",
"[Base].[Metrica]",
"[Base].[Metrica].&amp;[" &amp; $A14 &amp; "]",
"[Base].[SEGMENTO_DESCRIP]",
"[Base].[SEGMENTO_DESCRIP].&amp;[" &amp; $C$6 &amp; "]",
"[Base].[SITUACION]",
"[Base].[SITUACION].&amp;[" &amp; $C14 &amp; "]"
),0)/1000</f>
        <v>4686564.5871698391</v>
      </c>
      <c r="T14" s="8">
        <f>IFERROR(
GETPIVOTDATA(
"[Base].[Importe]",
TDinamica_R!$A$5,
"[Calendario].[AñoMes]",
"[Calendario].[AñoMes].&amp;[" &amp; TEXT(T$6,"yyyymm") &amp; "]",
"[Base].[Metrica]",
"[Base].[Metrica].&amp;[" &amp; $A14 &amp; "]",
"[Base].[SEGMENTO_DESCRIP]",
"[Base].[SEGMENTO_DESCRIP].&amp;[" &amp; $C$6 &amp; "]",
"[Base].[SITUACION]",
"[Base].[SITUACION].&amp;[" &amp; $C14 &amp; "]"
),0)/1000</f>
        <v>4707361.2365481015</v>
      </c>
      <c r="U14" s="8">
        <f>IFERROR(
GETPIVOTDATA(
"[Base].[Importe]",
TDinamica_R!$A$5,
"[Calendario].[AñoMes]",
"[Calendario].[AñoMes].&amp;[" &amp; TEXT(U$6,"yyyymm") &amp; "]",
"[Base].[Metrica]",
"[Base].[Metrica].&amp;[" &amp; $A14 &amp; "]",
"[Base].[SEGMENTO_DESCRIP]",
"[Base].[SEGMENTO_DESCRIP].&amp;[" &amp; $C$6 &amp; "]",
"[Base].[SITUACION]",
"[Base].[SITUACION].&amp;[" &amp; $C14 &amp; "]"
),0)/1000</f>
        <v>4745745.3842721898</v>
      </c>
      <c r="V14" s="8">
        <f>IFERROR(
GETPIVOTDATA(
"[Base].[Importe]",
TDinamica_R!$A$5,
"[Calendario].[AñoMes]",
"[Calendario].[AñoMes].&amp;[" &amp; TEXT(V$6,"yyyymm") &amp; "]",
"[Base].[Metrica]",
"[Base].[Metrica].&amp;[" &amp; $A14 &amp; "]",
"[Base].[SEGMENTO_DESCRIP]",
"[Base].[SEGMENTO_DESCRIP].&amp;[" &amp; $C$6 &amp; "]",
"[Base].[SITUACION]",
"[Base].[SITUACION].&amp;[" &amp; $C14 &amp; "]"
),0)/1000</f>
        <v>4786600.3249513619</v>
      </c>
      <c r="W14" s="8">
        <f>IFERROR(
GETPIVOTDATA(
"[Base].[Importe]",
TDinamica_R!$A$5,
"[Calendario].[AñoMes]",
"[Calendario].[AñoMes].&amp;[" &amp; TEXT(W$6,"yyyymm") &amp; "]",
"[Base].[Metrica]",
"[Base].[Metrica].&amp;[" &amp; $A14 &amp; "]",
"[Base].[SEGMENTO_DESCRIP]",
"[Base].[SEGMENTO_DESCRIP].&amp;[" &amp; $C$6 &amp; "]",
"[Base].[SITUACION]",
"[Base].[SITUACION].&amp;[" &amp; $C14 &amp; "]"
),0)/1000</f>
        <v>4824527.6514649</v>
      </c>
      <c r="X14" s="8">
        <f>IFERROR(
GETPIVOTDATA(
"[Base].[Importe]",
TDinamica_R!$A$5,
"[Calendario].[AñoMes]",
"[Calendario].[AñoMes].&amp;[" &amp; TEXT(X$6,"yyyymm") &amp; "]",
"[Base].[Metrica]",
"[Base].[Metrica].&amp;[" &amp; $A14 &amp; "]",
"[Base].[SEGMENTO_DESCRIP]",
"[Base].[SEGMENTO_DESCRIP].&amp;[" &amp; $C$6 &amp; "]",
"[Base].[SITUACION]",
"[Base].[SITUACION].&amp;[" &amp; $C14 &amp; "]"
),0)/1000</f>
        <v>4883299.6741688196</v>
      </c>
      <c r="Y14" s="8">
        <f>IFERROR(
GETPIVOTDATA(
"[Base].[Importe]",
TDinamica_R!$A$5,
"[Calendario].[AñoMes]",
"[Calendario].[AñoMes].&amp;[" &amp; TEXT(Y$6,"yyyymm") &amp; "]",
"[Base].[Metrica]",
"[Base].[Metrica].&amp;[" &amp; $A14 &amp; "]",
"[Base].[SEGMENTO_DESCRIP]",
"[Base].[SEGMENTO_DESCRIP].&amp;[" &amp; $C$6 &amp; "]",
"[Base].[SITUACION]",
"[Base].[SITUACION].&amp;[" &amp; $C14 &amp; "]"
),0)/1000</f>
        <v>4933589.4507187381</v>
      </c>
      <c r="Z14" s="8">
        <f>IFERROR(
GETPIVOTDATA(
"[Base].[Importe]",
TDinamica_R!$A$5,
"[Calendario].[AñoMes]",
"[Calendario].[AñoMes].&amp;[" &amp; TEXT(Z$6,"yyyymm") &amp; "]",
"[Base].[Metrica]",
"[Base].[Metrica].&amp;[" &amp; $A14 &amp; "]",
"[Base].[SEGMENTO_DESCRIP]",
"[Base].[SEGMENTO_DESCRIP].&amp;[" &amp; $C$6 &amp; "]",
"[Base].[SITUACION]",
"[Base].[SITUACION].&amp;[" &amp; $C14 &amp; "]"
),0)/1000</f>
        <v>4967225.7636904195</v>
      </c>
      <c r="AA14" s="8">
        <f>IFERROR(
GETPIVOTDATA(
"[Base].[Importe]",
TDinamica_R!$A$5,
"[Calendario].[AñoMes]",
"[Calendario].[AñoMes].&amp;[" &amp; TEXT(AA$6,"yyyymm") &amp; "]",
"[Base].[Metrica]",
"[Base].[Metrica].&amp;[" &amp; $A14 &amp; "]",
"[Base].[SEGMENTO_DESCRIP]",
"[Base].[SEGMENTO_DESCRIP].&amp;[" &amp; $C$6 &amp; "]",
"[Base].[SITUACION]",
"[Base].[SITUACION].&amp;[" &amp; $C14 &amp; "]"
),0)/1000</f>
        <v>5000101.2012503501</v>
      </c>
      <c r="AB14" s="8">
        <f>IFERROR(
GETPIVOTDATA(
"[Base].[Importe]",
TDinamica_R!$A$5,
"[Calendario].[AñoMes]",
"[Calendario].[AñoMes].&amp;[" &amp; TEXT(AB$6,"yyyymm") &amp; "]",
"[Base].[Metrica]",
"[Base].[Metrica].&amp;[" &amp; $A14 &amp; "]",
"[Base].[SEGMENTO_DESCRIP]",
"[Base].[SEGMENTO_DESCRIP].&amp;[" &amp; $C$6 &amp; "]",
"[Base].[SITUACION]",
"[Base].[SITUACION].&amp;[" &amp; $C14 &amp; "]"
),0)/1000</f>
        <v>5027739.7054372104</v>
      </c>
      <c r="AC14" s="8">
        <f>IFERROR(
GETPIVOTDATA(
"[Base].[Importe]",
TDinamica_R!$A$5,
"[Calendario].[AñoMes]",
"[Calendario].[AñoMes].&amp;[" &amp; TEXT(AC$6,"yyyymm") &amp; "]",
"[Base].[Metrica]",
"[Base].[Metrica].&amp;[" &amp; $A14 &amp; "]",
"[Base].[SEGMENTO_DESCRIP]",
"[Base].[SEGMENTO_DESCRIP].&amp;[" &amp; $C$6 &amp; "]",
"[Base].[SITUACION]",
"[Base].[SITUACION].&amp;[" &amp; $C14 &amp; "]"
),0)/1000</f>
        <v>5043872.4814919997</v>
      </c>
      <c r="AD14" s="8">
        <f>IFERROR(
GETPIVOTDATA(
"[Base].[Importe]",
TDinamica_R!$A$5,
"[Calendario].[AñoMes]",
"[Calendario].[AñoMes].&amp;[" &amp; TEXT(AD$6,"yyyymm") &amp; "]",
"[Base].[Metrica]",
"[Base].[Metrica].&amp;[" &amp; $A14 &amp; "]",
"[Base].[SEGMENTO_DESCRIP]",
"[Base].[SEGMENTO_DESCRIP].&amp;[" &amp; $C$6 &amp; "]",
"[Base].[SITUACION]",
"[Base].[SITUACION].&amp;[" &amp; $C14 &amp; "]"
),0)/1000</f>
        <v>5055249.1661000596</v>
      </c>
      <c r="AE14" s="8">
        <f>IFERROR(
GETPIVOTDATA(
"[Base].[Importe]",
TDinamica_R!$A$5,
"[Calendario].[AñoMes]",
"[Calendario].[AñoMes].&amp;[" &amp; TEXT(AE$6,"yyyymm") &amp; "]",
"[Base].[Metrica]",
"[Base].[Metrica].&amp;[" &amp; $A14 &amp; "]",
"[Base].[SEGMENTO_DESCRIP]",
"[Base].[SEGMENTO_DESCRIP].&amp;[" &amp; $C$6 &amp; "]",
"[Base].[SITUACION]",
"[Base].[SITUACION].&amp;[" &amp; $C14 &amp; "]"
),0)/1000</f>
        <v>5065016.2644659998</v>
      </c>
      <c r="AF14" s="8">
        <f>IFERROR(
GETPIVOTDATA(
"[Base].[Importe]",
TDinamica_R!$A$5,
"[Calendario].[AñoMes]",
"[Calendario].[AñoMes].&amp;[" &amp; TEXT(AF$6,"yyyymm") &amp; "]",
"[Base].[Metrica]",
"[Base].[Metrica].&amp;[" &amp; $A14 &amp; "]",
"[Base].[SEGMENTO_DESCRIP]",
"[Base].[SEGMENTO_DESCRIP].&amp;[" &amp; $C$6 &amp; "]",
"[Base].[SITUACION]",
"[Base].[SITUACION].&amp;[" &amp; $C14 &amp; "]"
),0)/1000</f>
        <v>5078495.8898968007</v>
      </c>
      <c r="AG14" s="8">
        <f>IFERROR(
GETPIVOTDATA(
"[Base].[Importe]",
TDinamica_R!$A$5,
"[Calendario].[AñoMes]",
"[Calendario].[AñoMes].&amp;[" &amp; TEXT(AG$6,"yyyymm") &amp; "]",
"[Base].[Metrica]",
"[Base].[Metrica].&amp;[" &amp; $A14 &amp; "]",
"[Base].[SEGMENTO_DESCRIP]",
"[Base].[SEGMENTO_DESCRIP].&amp;[" &amp; $C$6 &amp; "]",
"[Base].[SITUACION]",
"[Base].[SITUACION].&amp;[" &amp; $C14 &amp; "]"
),0)/1000</f>
        <v>5118217.5542704007</v>
      </c>
      <c r="AH14" s="8">
        <f>IFERROR(
GETPIVOTDATA(
"[Base].[Importe]",
TDinamica_R!$A$5,
"[Calendario].[AñoMes]",
"[Calendario].[AñoMes].&amp;[" &amp; TEXT(AH$6,"yyyymm") &amp; "]",
"[Base].[Metrica]",
"[Base].[Metrica].&amp;[" &amp; $A14 &amp; "]",
"[Base].[SEGMENTO_DESCRIP]",
"[Base].[SEGMENTO_DESCRIP].&amp;[" &amp; $C$6 &amp; "]",
"[Base].[SITUACION]",
"[Base].[SITUACION].&amp;[" &amp; $C14 &amp; "]"
),0)/1000</f>
        <v>5142652.8657740001</v>
      </c>
      <c r="AI14" s="8">
        <f>IFERROR(
GETPIVOTDATA(
"[Base].[Importe]",
TDinamica_R!$A$5,
"[Calendario].[AñoMes]",
"[Calendario].[AñoMes].&amp;[" &amp; TEXT(AI$6,"yyyymm") &amp; "]",
"[Base].[Metrica]",
"[Base].[Metrica].&amp;[" &amp; $A14 &amp; "]",
"[Base].[SEGMENTO_DESCRIP]",
"[Base].[SEGMENTO_DESCRIP].&amp;[" &amp; $C$6 &amp; "]",
"[Base].[SITUACION]",
"[Base].[SITUACION].&amp;[" &amp; $C14 &amp; "]"
),0)/1000</f>
        <v>5164010.3411265509</v>
      </c>
      <c r="AJ14" s="8">
        <f>IFERROR(
GETPIVOTDATA(
"[Base].[Importe]",
TDinamica_R!$A$5,
"[Calendario].[AñoMes]",
"[Calendario].[AñoMes].&amp;[" &amp; TEXT(AJ$6,"yyyymm") &amp; "]",
"[Base].[Metrica]",
"[Base].[Metrica].&amp;[" &amp; $A14 &amp; "]",
"[Base].[SEGMENTO_DESCRIP]",
"[Base].[SEGMENTO_DESCRIP].&amp;[" &amp; $C$6 &amp; "]",
"[Base].[SITUACION]",
"[Base].[SITUACION].&amp;[" &amp; $C14 &amp; "]"
),0)/1000</f>
        <v>5195904.2059015399</v>
      </c>
      <c r="AK14" s="8">
        <f>IFERROR(
GETPIVOTDATA(
"[Base].[Importe]",
TDinamica_R!$A$5,
"[Calendario].[AñoMes]",
"[Calendario].[AñoMes].&amp;[" &amp; TEXT(AK$6,"yyyymm") &amp; "]",
"[Base].[Metrica]",
"[Base].[Metrica].&amp;[" &amp; $A14 &amp; "]",
"[Base].[SEGMENTO_DESCRIP]",
"[Base].[SEGMENTO_DESCRIP].&amp;[" &amp; $C$6 &amp; "]",
"[Base].[SITUACION]",
"[Base].[SITUACION].&amp;[" &amp; $C14 &amp; "]"
),0)/1000</f>
        <v>5222118.4572387207</v>
      </c>
      <c r="AL14" s="8">
        <f>IFERROR(
GETPIVOTDATA(
"[Base].[Importe]",
TDinamica_R!$A$5,
"[Calendario].[AñoMes]",
"[Calendario].[AñoMes].&amp;[" &amp; TEXT(AL$6,"yyyymm") &amp; "]",
"[Base].[Metrica]",
"[Base].[Metrica].&amp;[" &amp; $A14 &amp; "]",
"[Base].[SEGMENTO_DESCRIP]",
"[Base].[SEGMENTO_DESCRIP].&amp;[" &amp; $C$6 &amp; "]",
"[Base].[SITUACION]",
"[Base].[SITUACION].&amp;[" &amp; $C14 &amp; "]"
),0)/1000</f>
        <v>5246247.7393268095</v>
      </c>
      <c r="AM14" s="8">
        <f>IFERROR(
GETPIVOTDATA(
"[Base].[Importe]",
TDinamica_R!$A$5,
"[Calendario].[AñoMes]",
"[Calendario].[AñoMes].&amp;[" &amp; TEXT(AM$6,"yyyymm") &amp; "]",
"[Base].[Metrica]",
"[Base].[Metrica].&amp;[" &amp; $A14 &amp; "]",
"[Base].[SEGMENTO_DESCRIP]",
"[Base].[SEGMENTO_DESCRIP].&amp;[" &amp; $C$6 &amp; "]",
"[Base].[SITUACION]",
"[Base].[SITUACION].&amp;[" &amp; $C14 &amp; "]"
),0)/1000</f>
        <v>5262870.3096673395</v>
      </c>
      <c r="AN14" s="8">
        <f>IFERROR(
GETPIVOTDATA(
"[Base].[Importe]",
TDinamica_R!$A$5,
"[Calendario].[AñoMes]",
"[Calendario].[AñoMes].&amp;[" &amp; TEXT(AN$6,"yyyymm") &amp; "]",
"[Base].[Metrica]",
"[Base].[Metrica].&amp;[" &amp; $A14 &amp; "]",
"[Base].[SEGMENTO_DESCRIP]",
"[Base].[SEGMENTO_DESCRIP].&amp;[" &amp; $C$6 &amp; "]",
"[Base].[SITUACION]",
"[Base].[SITUACION].&amp;[" &amp; $C14 &amp; "]"
),0)/1000</f>
        <v>5248813.3499999996</v>
      </c>
      <c r="AO14" s="8">
        <f>IFERROR(
GETPIVOTDATA(
"[Base].[Importe]",
TDinamica_R!$A$5,
"[Calendario].[AñoMes]",
"[Calendario].[AñoMes].&amp;[" &amp; TEXT(AO$6,"yyyymm") &amp; "]",
"[Base].[Metrica]",
"[Base].[Metrica].&amp;[" &amp; $A14 &amp; "]",
"[Base].[SEGMENTO_DESCRIP]",
"[Base].[SEGMENTO_DESCRIP].&amp;[" &amp; $C$6 &amp; "]",
"[Base].[SITUACION]",
"[Base].[SITUACION].&amp;[" &amp; $C14 &amp; "]"
),0)/1000</f>
        <v>5238473.5599999996</v>
      </c>
      <c r="AP14" s="8">
        <f>IFERROR(
GETPIVOTDATA(
"[Base].[Importe]",
TDinamica_R!$A$5,
"[Calendario].[AñoMes]",
"[Calendario].[AñoMes].&amp;[" &amp; TEXT(AP$6,"yyyymm") &amp; "]",
"[Base].[Metrica]",
"[Base].[Metrica].&amp;[" &amp; $A14 &amp; "]",
"[Base].[SEGMENTO_DESCRIP]",
"[Base].[SEGMENTO_DESCRIP].&amp;[" &amp; $C$6 &amp; "]",
"[Base].[SITUACION]",
"[Base].[SITUACION].&amp;[" &amp; $C14 &amp; "]"
),0)/1000</f>
        <v>5244244.7699999996</v>
      </c>
      <c r="AQ14" s="8">
        <f>IFERROR(
GETPIVOTDATA(
"[Base].[Importe]",
TDinamica_R!$A$5,
"[Calendario].[AñoMes]",
"[Calendario].[AñoMes].&amp;[" &amp; TEXT(AQ$6,"yyyymm") &amp; "]",
"[Base].[Metrica]",
"[Base].[Metrica].&amp;[" &amp; $A14 &amp; "]",
"[Base].[SEGMENTO_DESCRIP]",
"[Base].[SEGMENTO_DESCRIP].&amp;[" &amp; $C$6 &amp; "]",
"[Base].[SITUACION]",
"[Base].[SITUACION].&amp;[" &amp; $C14 &amp; "]"
),0)/1000</f>
        <v>5222347.3912562095</v>
      </c>
      <c r="AR14" s="8">
        <f>IFERROR(
GETPIVOTDATA(
"[Base].[Importe]",
TDinamica_R!$A$5,
"[Calendario].[AñoMes]",
"[Calendario].[AñoMes].&amp;[" &amp; TEXT(AR$6,"yyyymm") &amp; "]",
"[Base].[Metrica]",
"[Base].[Metrica].&amp;[" &amp; $A14 &amp; "]",
"[Base].[SEGMENTO_DESCRIP]",
"[Base].[SEGMENTO_DESCRIP].&amp;[" &amp; $C$6 &amp; "]",
"[Base].[SITUACION]",
"[Base].[SITUACION].&amp;[" &amp; $C14 &amp; "]"
),0)/1000</f>
        <v>5218374.4831528198</v>
      </c>
      <c r="AS14" s="8">
        <f>IFERROR(
GETPIVOTDATA(
"[Base].[Importe]",
TDinamica_R!$A$5,
"[Calendario].[AñoMes]",
"[Calendario].[AñoMes].&amp;[" &amp; TEXT(AS$6,"yyyymm") &amp; "]",
"[Base].[Metrica]",
"[Base].[Metrica].&amp;[" &amp; $A14 &amp; "]",
"[Base].[SEGMENTO_DESCRIP]",
"[Base].[SEGMENTO_DESCRIP].&amp;[" &amp; $C$6 &amp; "]",
"[Base].[SITUACION]",
"[Base].[SITUACION].&amp;[" &amp; $C14 &amp; "]"
),0)/1000</f>
        <v>5221509.287643902</v>
      </c>
      <c r="AT14" s="8">
        <f>IFERROR(
GETPIVOTDATA(
"[Base].[Importe]",
TDinamica_R!$A$5,
"[Calendario].[AñoMes]",
"[Calendario].[AñoMes].&amp;[" &amp; TEXT(AT$6,"yyyymm")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U14" s="8">
        <f>IFERROR(
GETPIVOTDATA(
"[Base].[Importe]",
TDinamica_R!$A$5,
"[Calendario].[AñoMes]",
"[Calendario].[AñoMes].&amp;[" &amp; TEXT(AU$6,"yyyymm")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V14" s="8">
        <f>IFERROR(
GETPIVOTDATA(
"[Base].[Importe]",
TDinamica_R!$A$5,
"[Calendario].[AñoMes]",
"[Calendario].[AñoMes].&amp;[" &amp; TEXT(AV$6,"yyyymm")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W14" s="8">
        <f>IFERROR(
GETPIVOTDATA(
"[Base].[Importe]",
TDinamica_R!$A$5,
"[Calendario].[AñoMes]",
"[Calendario].[AñoMes].&amp;[" &amp; TEXT(AW$6,"yyyymm")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X14" s="8">
        <f>IFERROR(
GETPIVOTDATA(
"[Base].[Importe]",
TDinamica_R!$A$5,
"[Calendario].[AñoMes]",
"[Calendario].[AñoMes].&amp;[" &amp; TEXT(AX$6,"yyyymm")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Y14" s="8">
        <f>IFERROR(
GETPIVOTDATA(
"[Base].[Importe]",
TDinamica_R!$A$5,
"[Calendario].[AñoMes]",
"[Calendario].[AñoMes].&amp;[" &amp; TEXT(AY$6,"yyyymm")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Z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"[BASE_HIPO_PPTO].[Periodo]","[BASE_HIPO_PPTO].[Periodo].&amp;["&amp;TEXT(AZ$6,"yyyymm")&amp;"]"),
0)/1000</f>
        <v>5255195.0329068294</v>
      </c>
      <c r="BA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"[BASE_HIPO_PPTO].[Periodo]","[BASE_HIPO_PPTO].[Periodo].&amp;["&amp;TEXT(BA$6,"yyyymm")&amp;"]"),
0)/1000</f>
        <v>5271355.0069804341</v>
      </c>
      <c r="BB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"[BASE_HIPO_PPTO].[Periodo]","[BASE_HIPO_PPTO].[Periodo].&amp;["&amp;TEXT(BB$6,"yyyymm")&amp;"]"),
0)/1000</f>
        <v>5266723.6401648615</v>
      </c>
      <c r="BC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"[BASE_HIPO_PPTO].[Periodo]","[BASE_HIPO_PPTO].[Periodo].&amp;["&amp;TEXT(BC$6,"yyyymm")&amp;"]"),
0)/1000</f>
        <v>5279037.2897323789</v>
      </c>
      <c r="BD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"[BASE_HIPO_PPTO].[Periodo]","[BASE_HIPO_PPTO].[Periodo].&amp;["&amp;TEXT(BD$6,"yyyymm")&amp;"]"),
0)/1000</f>
        <v>5295068.5686075576</v>
      </c>
      <c r="BE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"[BASE_HIPO_PPTO].[Periodo]","[BASE_HIPO_PPTO].[Periodo].&amp;["&amp;TEXT(BE$6,"yyyymm")&amp;"]"),
0)/1000</f>
        <v>5323726.1469844338</v>
      </c>
      <c r="BF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"[BASE_HIPO_PPTO].[Periodo]","[BASE_HIPO_PPTO].[Periodo].&amp;["&amp;TEXT(BF$6,"yyyymm")&amp;"]"),
0)/1000</f>
        <v>5344976.255953772</v>
      </c>
      <c r="BG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"[BASE_HIPO_PPTO].[Periodo]","[BASE_HIPO_PPTO].[Periodo].&amp;["&amp;TEXT(BG$6,"yyyymm")&amp;"]"),
0)/1000</f>
        <v>5384484.1506970096</v>
      </c>
      <c r="BH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"[BASE_HIPO_PPTO].[Periodo]","[BASE_HIPO_PPTO].[Periodo].&amp;["&amp;TEXT(BH$6,"yyyymm")&amp;"]"),
0)/1000</f>
        <v>5419122.5611185757</v>
      </c>
      <c r="BI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"[BASE_HIPO_PPTO].[Periodo]","[BASE_HIPO_PPTO].[Periodo].&amp;["&amp;TEXT(BI$6,"yyyymm")&amp;"]"),
0)/1000</f>
        <v>5459834.2720660605</v>
      </c>
      <c r="BJ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"[BASE_HIPO_PPTO].[Periodo]","[BASE_HIPO_PPTO].[Periodo].&amp;["&amp;TEXT(BJ$6,"yyyymm")&amp;"]"),
0)/1000</f>
        <v>5490066.8175577475</v>
      </c>
      <c r="BK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"[BASE_HIPO_PPTO].[Periodo]","[BASE_HIPO_PPTO].[Periodo].&amp;["&amp;TEXT(BK$6,"yyyymm")&amp;"]"),
0)/1000</f>
        <v>5516369.4312602179</v>
      </c>
      <c r="BO14" s="24">
        <f t="shared" ref="BO14:BT16" si="9">IFERROR(AVERAGEIFS($D14:$BM14,$D$6:$BM$6,"&gt;="&amp;BO$2,$D$6:$BM$6,"&lt;="&amp;BO$6,$D$5:$BM$5,BO$5,$D14:$BM14,"&lt;&gt;0"),0)</f>
        <v>5243843.8933333335</v>
      </c>
      <c r="BP14" s="24">
        <f t="shared" si="9"/>
        <v>5264424.5600173753</v>
      </c>
      <c r="BQ14" s="24">
        <f t="shared" si="9"/>
        <v>5243643.4550000001</v>
      </c>
      <c r="BR14" s="24">
        <f t="shared" si="9"/>
        <v>5042287.1176764229</v>
      </c>
      <c r="BS14" s="24">
        <f t="shared" si="9"/>
        <v>4628790.9976780871</v>
      </c>
      <c r="BT14" s="24">
        <f t="shared" si="9"/>
        <v>4333801.1382445768</v>
      </c>
      <c r="BW14" s="24">
        <f t="shared" ref="BW14:CB16" si="10">SUMIFS($D14:$BM14,$D$6:$BM$6,"&gt;="&amp;BO$2,$D$6:$BM$6,"&lt;="&amp;BO$6,$D$5:$BM$5,BO$5)</f>
        <v>15731531.68</v>
      </c>
      <c r="BX14" s="24">
        <f t="shared" si="10"/>
        <v>15793273.680052126</v>
      </c>
      <c r="BY14" s="24">
        <f t="shared" si="10"/>
        <v>10487286.91</v>
      </c>
      <c r="BZ14" s="24">
        <f t="shared" si="10"/>
        <v>15126861.35302927</v>
      </c>
      <c r="CA14" s="24">
        <f t="shared" si="10"/>
        <v>13886372.993034262</v>
      </c>
      <c r="CB14" s="24">
        <f t="shared" si="10"/>
        <v>13001403.41473373</v>
      </c>
    </row>
    <row r="15" spans="1:81" hidden="1" outlineLevel="1" x14ac:dyDescent="0.25">
      <c r="A15" s="11" t="s">
        <v>52</v>
      </c>
      <c r="C15" s="2" t="s">
        <v>1</v>
      </c>
      <c r="D15" s="8">
        <f>IFERROR(
GETPIVOTDATA(
"[Base].[Importe]",
TDinamica_R!$A$5,
"[Calendario].[AñoMes]",
"[Calendario].[AñoMes].&amp;[" &amp; TEXT(D$6,"yyyymm") &amp; "]",
"[Base].[Metrica]",
"[Base].[Metrica].&amp;[" &amp; $A15 &amp; "]",
"[Base].[SEGMENTO_DESCRIP]",
"[Base].[SEGMENTO_DESCRIP].&amp;[" &amp; $C$6 &amp; "]",
"[Base].[SITUACION]",
"[Base].[SITUACION].&amp;[" &amp; $C15 &amp; "]"
),0)/1000</f>
        <v>9029.1589199999999</v>
      </c>
      <c r="E15" s="8">
        <f>IFERROR(
GETPIVOTDATA(
"[Base].[Importe]",
TDinamica_R!$A$5,
"[Calendario].[AñoMes]",
"[Calendario].[AñoMes].&amp;[" &amp; TEXT(E$6,"yyyymm") &amp; "]",
"[Base].[Metrica]",
"[Base].[Metrica].&amp;[" &amp; $A15 &amp; "]",
"[Base].[SEGMENTO_DESCRIP]",
"[Base].[SEGMENTO_DESCRIP].&amp;[" &amp; $C$6 &amp; "]",
"[Base].[SITUACION]",
"[Base].[SITUACION].&amp;[" &amp; $C15 &amp; "]"
),0)/1000</f>
        <v>9021.2739710000005</v>
      </c>
      <c r="F15" s="8">
        <f>IFERROR(
GETPIVOTDATA(
"[Base].[Importe]",
TDinamica_R!$A$5,
"[Calendario].[AñoMes]",
"[Calendario].[AñoMes].&amp;[" &amp; TEXT(F$6,"yyyymm") &amp; "]",
"[Base].[Metrica]",
"[Base].[Metrica].&amp;[" &amp; $A15 &amp; "]",
"[Base].[SEGMENTO_DESCRIP]",
"[Base].[SEGMENTO_DESCRIP].&amp;[" &amp; $C$6 &amp; "]",
"[Base].[SITUACION]",
"[Base].[SITUACION].&amp;[" &amp; $C15 &amp; "]"
),0)/1000</f>
        <v>9053.747588000002</v>
      </c>
      <c r="G15" s="8">
        <f>IFERROR(
GETPIVOTDATA(
"[Base].[Importe]",
TDinamica_R!$A$5,
"[Calendario].[AñoMes]",
"[Calendario].[AñoMes].&amp;[" &amp; TEXT(G$6,"yyyymm") &amp; "]",
"[Base].[Metrica]",
"[Base].[Metrica].&amp;[" &amp; $A15 &amp; "]",
"[Base].[SEGMENTO_DESCRIP]",
"[Base].[SEGMENTO_DESCRIP].&amp;[" &amp; $C$6 &amp; "]",
"[Base].[SITUACION]",
"[Base].[SITUACION].&amp;[" &amp; $C15 &amp; "]"
),0)/1000</f>
        <v>10983.639981</v>
      </c>
      <c r="H15" s="8">
        <f>IFERROR(
GETPIVOTDATA(
"[Base].[Importe]",
TDinamica_R!$A$5,
"[Calendario].[AñoMes]",
"[Calendario].[AñoMes].&amp;[" &amp; TEXT(H$6,"yyyymm") &amp; "]",
"[Base].[Metrica]",
"[Base].[Metrica].&amp;[" &amp; $A15 &amp; "]",
"[Base].[SEGMENTO_DESCRIP]",
"[Base].[SEGMENTO_DESCRIP].&amp;[" &amp; $C$6 &amp; "]",
"[Base].[SITUACION]",
"[Base].[SITUACION].&amp;[" &amp; $C15 &amp; "]"
),0)/1000</f>
        <v>8542.0787140000011</v>
      </c>
      <c r="I15" s="8">
        <f>IFERROR(
GETPIVOTDATA(
"[Base].[Importe]",
TDinamica_R!$A$5,
"[Calendario].[AñoMes]",
"[Calendario].[AñoMes].&amp;[" &amp; TEXT(I$6,"yyyymm") &amp; "]",
"[Base].[Metrica]",
"[Base].[Metrica].&amp;[" &amp; $A15 &amp; "]",
"[Base].[SEGMENTO_DESCRIP]",
"[Base].[SEGMENTO_DESCRIP].&amp;[" &amp; $C$6 &amp; "]",
"[Base].[SITUACION]",
"[Base].[SITUACION].&amp;[" &amp; $C15 &amp; "]"
),0)/1000</f>
        <v>8454.6713230000005</v>
      </c>
      <c r="J15" s="8">
        <f>IFERROR(
GETPIVOTDATA(
"[Base].[Importe]",
TDinamica_R!$A$5,
"[Calendario].[AñoMes]",
"[Calendario].[AñoMes].&amp;[" &amp; TEXT(J$6,"yyyymm") &amp; "]",
"[Base].[Metrica]",
"[Base].[Metrica].&amp;[" &amp; $A15 &amp; "]",
"[Base].[SEGMENTO_DESCRIP]",
"[Base].[SEGMENTO_DESCRIP].&amp;[" &amp; $C$6 &amp; "]",
"[Base].[SITUACION]",
"[Base].[SITUACION].&amp;[" &amp; $C15 &amp; "]"
),0)/1000</f>
        <v>8352.9964229999987</v>
      </c>
      <c r="K15" s="8">
        <f>IFERROR(
GETPIVOTDATA(
"[Base].[Importe]",
TDinamica_R!$A$5,
"[Calendario].[AñoMes]",
"[Calendario].[AñoMes].&amp;[" &amp; TEXT(K$6,"yyyymm") &amp; "]",
"[Base].[Metrica]",
"[Base].[Metrica].&amp;[" &amp; $A15 &amp; "]",
"[Base].[SEGMENTO_DESCRIP]",
"[Base].[SEGMENTO_DESCRIP].&amp;[" &amp; $C$6 &amp; "]",
"[Base].[SITUACION]",
"[Base].[SITUACION].&amp;[" &amp; $C15 &amp; "]"
),0)/1000</f>
        <v>8476.6333610000001</v>
      </c>
      <c r="L15" s="8">
        <f>IFERROR(
GETPIVOTDATA(
"[Base].[Importe]",
TDinamica_R!$A$5,
"[Calendario].[AñoMes]",
"[Calendario].[AñoMes].&amp;[" &amp; TEXT(L$6,"yyyymm") &amp; "]",
"[Base].[Metrica]",
"[Base].[Metrica].&amp;[" &amp; $A15 &amp; "]",
"[Base].[SEGMENTO_DESCRIP]",
"[Base].[SEGMENTO_DESCRIP].&amp;[" &amp; $C$6 &amp; "]",
"[Base].[SITUACION]",
"[Base].[SITUACION].&amp;[" &amp; $C15 &amp; "]"
),0)/1000</f>
        <v>8503.5001570000004</v>
      </c>
      <c r="M15" s="8">
        <f>IFERROR(
GETPIVOTDATA(
"[Base].[Importe]",
TDinamica_R!$A$5,
"[Calendario].[AñoMes]",
"[Calendario].[AñoMes].&amp;[" &amp; TEXT(M$6,"yyyymm") &amp; "]",
"[Base].[Metrica]",
"[Base].[Metrica].&amp;[" &amp; $A15 &amp; "]",
"[Base].[SEGMENTO_DESCRIP]",
"[Base].[SEGMENTO_DESCRIP].&amp;[" &amp; $C$6 &amp; "]",
"[Base].[SITUACION]",
"[Base].[SITUACION].&amp;[" &amp; $C15 &amp; "]"
),0)/1000</f>
        <v>10256.333866000001</v>
      </c>
      <c r="N15" s="8">
        <f>IFERROR(
GETPIVOTDATA(
"[Base].[Importe]",
TDinamica_R!$A$5,
"[Calendario].[AñoMes]",
"[Calendario].[AñoMes].&amp;[" &amp; TEXT(N$6,"yyyymm") &amp; "]",
"[Base].[Metrica]",
"[Base].[Metrica].&amp;[" &amp; $A15 &amp; "]",
"[Base].[SEGMENTO_DESCRIP]",
"[Base].[SEGMENTO_DESCRIP].&amp;[" &amp; $C$6 &amp; "]",
"[Base].[SITUACION]",
"[Base].[SITUACION].&amp;[" &amp; $C15 &amp; "]"
),0)/1000</f>
        <v>11120.541117000001</v>
      </c>
      <c r="O15" s="8">
        <f>IFERROR(
GETPIVOTDATA(
"[Base].[Importe]",
TDinamica_R!$A$5,
"[Calendario].[AñoMes]",
"[Calendario].[AñoMes].&amp;[" &amp; TEXT(O$6,"yyyymm") &amp; "]",
"[Base].[Metrica]",
"[Base].[Metrica].&amp;[" &amp; $A15 &amp; "]",
"[Base].[SEGMENTO_DESCRIP]",
"[Base].[SEGMENTO_DESCRIP].&amp;[" &amp; $C$6 &amp; "]",
"[Base].[SITUACION]",
"[Base].[SITUACION].&amp;[" &amp; $C15 &amp; "]"
),0)/1000</f>
        <v>10748.229344000001</v>
      </c>
      <c r="P15" s="8">
        <f>IFERROR(
GETPIVOTDATA(
"[Base].[Importe]",
TDinamica_R!$A$5,
"[Calendario].[AñoMes]",
"[Calendario].[AñoMes].&amp;[" &amp; TEXT(P$6,"yyyymm") &amp; "]",
"[Base].[Metrica]",
"[Base].[Metrica].&amp;[" &amp; $A15 &amp; "]",
"[Base].[SEGMENTO_DESCRIP]",
"[Base].[SEGMENTO_DESCRIP].&amp;[" &amp; $C$6 &amp; "]",
"[Base].[SITUACION]",
"[Base].[SITUACION].&amp;[" &amp; $C15 &amp; "]"
),0)/1000</f>
        <v>10400.001154</v>
      </c>
      <c r="Q15" s="8">
        <f>IFERROR(
GETPIVOTDATA(
"[Base].[Importe]",
TDinamica_R!$A$5,
"[Calendario].[AñoMes]",
"[Calendario].[AñoMes].&amp;[" &amp; TEXT(Q$6,"yyyymm") &amp; "]",
"[Base].[Metrica]",
"[Base].[Metrica].&amp;[" &amp; $A15 &amp; "]",
"[Base].[SEGMENTO_DESCRIP]",
"[Base].[SEGMENTO_DESCRIP].&amp;[" &amp; $C$6 &amp; "]",
"[Base].[SITUACION]",
"[Base].[SITUACION].&amp;[" &amp; $C15 &amp; "]"
),0)/1000</f>
        <v>10594.128188999999</v>
      </c>
      <c r="R15" s="8">
        <f>IFERROR(
GETPIVOTDATA(
"[Base].[Importe]",
TDinamica_R!$A$5,
"[Calendario].[AñoMes]",
"[Calendario].[AñoMes].&amp;[" &amp; TEXT(R$6,"yyyymm") &amp; "]",
"[Base].[Metrica]",
"[Base].[Metrica].&amp;[" &amp; $A15 &amp; "]",
"[Base].[SEGMENTO_DESCRIP]",
"[Base].[SEGMENTO_DESCRIP].&amp;[" &amp; $C$6 &amp; "]",
"[Base].[SITUACION]",
"[Base].[SITUACION].&amp;[" &amp; $C15 &amp; "]"
),0)/1000</f>
        <v>10650.794625</v>
      </c>
      <c r="S15" s="8">
        <f>IFERROR(
GETPIVOTDATA(
"[Base].[Importe]",
TDinamica_R!$A$5,
"[Calendario].[AñoMes]",
"[Calendario].[AñoMes].&amp;[" &amp; TEXT(S$6,"yyyymm") &amp; "]",
"[Base].[Metrica]",
"[Base].[Metrica].&amp;[" &amp; $A15 &amp; "]",
"[Base].[SEGMENTO_DESCRIP]",
"[Base].[SEGMENTO_DESCRIP].&amp;[" &amp; $C$6 &amp; "]",
"[Base].[SITUACION]",
"[Base].[SITUACION].&amp;[" &amp; $C15 &amp; "]"
),0)/1000</f>
        <v>10916.210358</v>
      </c>
      <c r="T15" s="8">
        <f>IFERROR(
GETPIVOTDATA(
"[Base].[Importe]",
TDinamica_R!$A$5,
"[Calendario].[AñoMes]",
"[Calendario].[AñoMes].&amp;[" &amp; TEXT(T$6,"yyyymm") &amp; "]",
"[Base].[Metrica]",
"[Base].[Metrica].&amp;[" &amp; $A15 &amp; "]",
"[Base].[SEGMENTO_DESCRIP]",
"[Base].[SEGMENTO_DESCRIP].&amp;[" &amp; $C$6 &amp; "]",
"[Base].[SITUACION]",
"[Base].[SITUACION].&amp;[" &amp; $C15 &amp; "]"
),0)/1000</f>
        <v>9990.2494409999999</v>
      </c>
      <c r="U15" s="8">
        <f>IFERROR(
GETPIVOTDATA(
"[Base].[Importe]",
TDinamica_R!$A$5,
"[Calendario].[AñoMes]",
"[Calendario].[AñoMes].&amp;[" &amp; TEXT(U$6,"yyyymm") &amp; "]",
"[Base].[Metrica]",
"[Base].[Metrica].&amp;[" &amp; $A15 &amp; "]",
"[Base].[SEGMENTO_DESCRIP]",
"[Base].[SEGMENTO_DESCRIP].&amp;[" &amp; $C$6 &amp; "]",
"[Base].[SITUACION]",
"[Base].[SITUACION].&amp;[" &amp; $C15 &amp; "]"
),0)/1000</f>
        <v>9986.036054000002</v>
      </c>
      <c r="V15" s="8">
        <f>IFERROR(
GETPIVOTDATA(
"[Base].[Importe]",
TDinamica_R!$A$5,
"[Calendario].[AñoMes]",
"[Calendario].[AñoMes].&amp;[" &amp; TEXT(V$6,"yyyymm") &amp; "]",
"[Base].[Metrica]",
"[Base].[Metrica].&amp;[" &amp; $A15 &amp; "]",
"[Base].[SEGMENTO_DESCRIP]",
"[Base].[SEGMENTO_DESCRIP].&amp;[" &amp; $C$6 &amp; "]",
"[Base].[SITUACION]",
"[Base].[SITUACION].&amp;[" &amp; $C15 &amp; "]"
),0)/1000</f>
        <v>9362.1348549999984</v>
      </c>
      <c r="W15" s="8">
        <f>IFERROR(
GETPIVOTDATA(
"[Base].[Importe]",
TDinamica_R!$A$5,
"[Calendario].[AñoMes]",
"[Calendario].[AñoMes].&amp;[" &amp; TEXT(W$6,"yyyymm") &amp; "]",
"[Base].[Metrica]",
"[Base].[Metrica].&amp;[" &amp; $A15 &amp; "]",
"[Base].[SEGMENTO_DESCRIP]",
"[Base].[SEGMENTO_DESCRIP].&amp;[" &amp; $C$6 &amp; "]",
"[Base].[SITUACION]",
"[Base].[SITUACION].&amp;[" &amp; $C15 &amp; "]"
),0)/1000</f>
        <v>9249.771385</v>
      </c>
      <c r="X15" s="8">
        <f>IFERROR(
GETPIVOTDATA(
"[Base].[Importe]",
TDinamica_R!$A$5,
"[Calendario].[AñoMes]",
"[Calendario].[AñoMes].&amp;[" &amp; TEXT(X$6,"yyyymm") &amp; "]",
"[Base].[Metrica]",
"[Base].[Metrica].&amp;[" &amp; $A15 &amp; "]",
"[Base].[SEGMENTO_DESCRIP]",
"[Base].[SEGMENTO_DESCRIP].&amp;[" &amp; $C$6 &amp; "]",
"[Base].[SITUACION]",
"[Base].[SITUACION].&amp;[" &amp; $C15 &amp; "]"
),0)/1000</f>
        <v>9060.3357820000001</v>
      </c>
      <c r="Y15" s="8">
        <f>IFERROR(
GETPIVOTDATA(
"[Base].[Importe]",
TDinamica_R!$A$5,
"[Calendario].[AñoMes]",
"[Calendario].[AñoMes].&amp;[" &amp; TEXT(Y$6,"yyyymm") &amp; "]",
"[Base].[Metrica]",
"[Base].[Metrica].&amp;[" &amp; $A15 &amp; "]",
"[Base].[SEGMENTO_DESCRIP]",
"[Base].[SEGMENTO_DESCRIP].&amp;[" &amp; $C$6 &amp; "]",
"[Base].[SITUACION]",
"[Base].[SITUACION].&amp;[" &amp; $C15 &amp; "]"
),0)/1000</f>
        <v>9133.1336810000012</v>
      </c>
      <c r="Z15" s="8">
        <f>IFERROR(
GETPIVOTDATA(
"[Base].[Importe]",
TDinamica_R!$A$5,
"[Calendario].[AñoMes]",
"[Calendario].[AñoMes].&amp;[" &amp; TEXT(Z$6,"yyyymm") &amp; "]",
"[Base].[Metrica]",
"[Base].[Metrica].&amp;[" &amp; $A15 &amp; "]",
"[Base].[SEGMENTO_DESCRIP]",
"[Base].[SEGMENTO_DESCRIP].&amp;[" &amp; $C$6 &amp; "]",
"[Base].[SITUACION]",
"[Base].[SITUACION].&amp;[" &amp; $C15 &amp; "]"
),0)/1000</f>
        <v>9419.3532120000018</v>
      </c>
      <c r="AA15" s="8">
        <f>IFERROR(
GETPIVOTDATA(
"[Base].[Importe]",
TDinamica_R!$A$5,
"[Calendario].[AñoMes]",
"[Calendario].[AñoMes].&amp;[" &amp; TEXT(AA$6,"yyyymm") &amp; "]",
"[Base].[Metrica]",
"[Base].[Metrica].&amp;[" &amp; $A15 &amp; "]",
"[Base].[SEGMENTO_DESCRIP]",
"[Base].[SEGMENTO_DESCRIP].&amp;[" &amp; $C$6 &amp; "]",
"[Base].[SITUACION]",
"[Base].[SITUACION].&amp;[" &amp; $C15 &amp; "]"
),0)/1000</f>
        <v>10032.508711999999</v>
      </c>
      <c r="AB15" s="8">
        <f>IFERROR(
GETPIVOTDATA(
"[Base].[Importe]",
TDinamica_R!$A$5,
"[Calendario].[AñoMes]",
"[Calendario].[AñoMes].&amp;[" &amp; TEXT(AB$6,"yyyymm") &amp; "]",
"[Base].[Metrica]",
"[Base].[Metrica].&amp;[" &amp; $A15 &amp; "]",
"[Base].[SEGMENTO_DESCRIP]",
"[Base].[SEGMENTO_DESCRIP].&amp;[" &amp; $C$6 &amp; "]",
"[Base].[SITUACION]",
"[Base].[SITUACION].&amp;[" &amp; $C15 &amp; "]"
),0)/1000</f>
        <v>10882.051536000001</v>
      </c>
      <c r="AC15" s="8">
        <f>IFERROR(
GETPIVOTDATA(
"[Base].[Importe]",
TDinamica_R!$A$5,
"[Calendario].[AñoMes]",
"[Calendario].[AñoMes].&amp;[" &amp; TEXT(AC$6,"yyyymm") &amp; "]",
"[Base].[Metrica]",
"[Base].[Metrica].&amp;[" &amp; $A15 &amp; "]",
"[Base].[SEGMENTO_DESCRIP]",
"[Base].[SEGMENTO_DESCRIP].&amp;[" &amp; $C$6 &amp; "]",
"[Base].[SITUACION]",
"[Base].[SITUACION].&amp;[" &amp; $C15 &amp; "]"
),0)/1000</f>
        <v>10396.949629000001</v>
      </c>
      <c r="AD15" s="8">
        <f>IFERROR(
GETPIVOTDATA(
"[Base].[Importe]",
TDinamica_R!$A$5,
"[Calendario].[AñoMes]",
"[Calendario].[AñoMes].&amp;[" &amp; TEXT(AD$6,"yyyymm") &amp; "]",
"[Base].[Metrica]",
"[Base].[Metrica].&amp;[" &amp; $A15 &amp; "]",
"[Base].[SEGMENTO_DESCRIP]",
"[Base].[SEGMENTO_DESCRIP].&amp;[" &amp; $C$6 &amp; "]",
"[Base].[SITUACION]",
"[Base].[SITUACION].&amp;[" &amp; $C15 &amp; "]"
),0)/1000</f>
        <v>10299.80811</v>
      </c>
      <c r="AE15" s="8">
        <f>IFERROR(
GETPIVOTDATA(
"[Base].[Importe]",
TDinamica_R!$A$5,
"[Calendario].[AñoMes]",
"[Calendario].[AñoMes].&amp;[" &amp; TEXT(AE$6,"yyyymm") &amp; "]",
"[Base].[Metrica]",
"[Base].[Metrica].&amp;[" &amp; $A15 &amp; "]",
"[Base].[SEGMENTO_DESCRIP]",
"[Base].[SEGMENTO_DESCRIP].&amp;[" &amp; $C$6 &amp; "]",
"[Base].[SITUACION]",
"[Base].[SITUACION].&amp;[" &amp; $C15 &amp; "]"
),0)/1000</f>
        <v>10461.550622000001</v>
      </c>
      <c r="AF15" s="8">
        <f>IFERROR(
GETPIVOTDATA(
"[Base].[Importe]",
TDinamica_R!$A$5,
"[Calendario].[AñoMes]",
"[Calendario].[AñoMes].&amp;[" &amp; TEXT(AF$6,"yyyymm") &amp; "]",
"[Base].[Metrica]",
"[Base].[Metrica].&amp;[" &amp; $A15 &amp; "]",
"[Base].[SEGMENTO_DESCRIP]",
"[Base].[SEGMENTO_DESCRIP].&amp;[" &amp; $C$6 &amp; "]",
"[Base].[SITUACION]",
"[Base].[SITUACION].&amp;[" &amp; $C15 &amp; "]"
),0)/1000</f>
        <v>10251.788025</v>
      </c>
      <c r="AG15" s="8">
        <f>IFERROR(
GETPIVOTDATA(
"[Base].[Importe]",
TDinamica_R!$A$5,
"[Calendario].[AñoMes]",
"[Calendario].[AñoMes].&amp;[" &amp; TEXT(AG$6,"yyyymm") &amp; "]",
"[Base].[Metrica]",
"[Base].[Metrica].&amp;[" &amp; $A15 &amp; "]",
"[Base].[SEGMENTO_DESCRIP]",
"[Base].[SEGMENTO_DESCRIP].&amp;[" &amp; $C$6 &amp; "]",
"[Base].[SITUACION]",
"[Base].[SITUACION].&amp;[" &amp; $C15 &amp; "]"
),0)/1000</f>
        <v>9723.6531810000015</v>
      </c>
      <c r="AH15" s="8">
        <f>IFERROR(
GETPIVOTDATA(
"[Base].[Importe]",
TDinamica_R!$A$5,
"[Calendario].[AñoMes]",
"[Calendario].[AñoMes].&amp;[" &amp; TEXT(AH$6,"yyyymm") &amp; "]",
"[Base].[Metrica]",
"[Base].[Metrica].&amp;[" &amp; $A15 &amp; "]",
"[Base].[SEGMENTO_DESCRIP]",
"[Base].[SEGMENTO_DESCRIP].&amp;[" &amp; $C$6 &amp; "]",
"[Base].[SITUACION]",
"[Base].[SITUACION].&amp;[" &amp; $C15 &amp; "]"
),0)/1000</f>
        <v>10193.280735</v>
      </c>
      <c r="AI15" s="8">
        <f>IFERROR(
GETPIVOTDATA(
"[Base].[Importe]",
TDinamica_R!$A$5,
"[Calendario].[AñoMes]",
"[Calendario].[AñoMes].&amp;[" &amp; TEXT(AI$6,"yyyymm") &amp; "]",
"[Base].[Metrica]",
"[Base].[Metrica].&amp;[" &amp; $A15 &amp; "]",
"[Base].[SEGMENTO_DESCRIP]",
"[Base].[SEGMENTO_DESCRIP].&amp;[" &amp; $C$6 &amp; "]",
"[Base].[SITUACION]",
"[Base].[SITUACION].&amp;[" &amp; $C15 &amp; "]"
),0)/1000</f>
        <v>10245.162103000001</v>
      </c>
      <c r="AJ15" s="8">
        <f>IFERROR(
GETPIVOTDATA(
"[Base].[Importe]",
TDinamica_R!$A$5,
"[Calendario].[AñoMes]",
"[Calendario].[AñoMes].&amp;[" &amp; TEXT(AJ$6,"yyyymm") &amp; "]",
"[Base].[Metrica]",
"[Base].[Metrica].&amp;[" &amp; $A15 &amp; "]",
"[Base].[SEGMENTO_DESCRIP]",
"[Base].[SEGMENTO_DESCRIP].&amp;[" &amp; $C$6 &amp; "]",
"[Base].[SITUACION]",
"[Base].[SITUACION].&amp;[" &amp; $C15 &amp; "]"
),0)/1000</f>
        <v>10150.911837</v>
      </c>
      <c r="AK15" s="8">
        <f>IFERROR(
GETPIVOTDATA(
"[Base].[Importe]",
TDinamica_R!$A$5,
"[Calendario].[AñoMes]",
"[Calendario].[AñoMes].&amp;[" &amp; TEXT(AK$6,"yyyymm") &amp; "]",
"[Base].[Metrica]",
"[Base].[Metrica].&amp;[" &amp; $A15 &amp; "]",
"[Base].[SEGMENTO_DESCRIP]",
"[Base].[SEGMENTO_DESCRIP].&amp;[" &amp; $C$6 &amp; "]",
"[Base].[SITUACION]",
"[Base].[SITUACION].&amp;[" &amp; $C15 &amp; "]"
),0)/1000</f>
        <v>9974.5988900000011</v>
      </c>
      <c r="AL15" s="8">
        <f>IFERROR(
GETPIVOTDATA(
"[Base].[Importe]",
TDinamica_R!$A$5,
"[Calendario].[AñoMes]",
"[Calendario].[AñoMes].&amp;[" &amp; TEXT(AL$6,"yyyymm") &amp; "]",
"[Base].[Metrica]",
"[Base].[Metrica].&amp;[" &amp; $A15 &amp; "]",
"[Base].[SEGMENTO_DESCRIP]",
"[Base].[SEGMENTO_DESCRIP].&amp;[" &amp; $C$6 &amp; "]",
"[Base].[SITUACION]",
"[Base].[SITUACION].&amp;[" &amp; $C15 &amp; "]"
),0)/1000</f>
        <v>9900.7786130000022</v>
      </c>
      <c r="AM15" s="8">
        <f>IFERROR(
GETPIVOTDATA(
"[Base].[Importe]",
TDinamica_R!$A$5,
"[Calendario].[AñoMes]",
"[Calendario].[AñoMes].&amp;[" &amp; TEXT(AM$6,"yyyymm") &amp; "]",
"[Base].[Metrica]",
"[Base].[Metrica].&amp;[" &amp; $A15 &amp; "]",
"[Base].[SEGMENTO_DESCRIP]",
"[Base].[SEGMENTO_DESCRIP].&amp;[" &amp; $C$6 &amp; "]",
"[Base].[SITUACION]",
"[Base].[SITUACION].&amp;[" &amp; $C15 &amp; "]"
),0)/1000</f>
        <v>9662.8534519999994</v>
      </c>
      <c r="AN15" s="8">
        <f>IFERROR(
GETPIVOTDATA(
"[Base].[Importe]",
TDinamica_R!$A$5,
"[Calendario].[AñoMes]",
"[Calendario].[AñoMes].&amp;[" &amp; TEXT(AN$6,"yyyymm") &amp; "]",
"[Base].[Metrica]",
"[Base].[Metrica].&amp;[" &amp; $A15 &amp; "]",
"[Base].[SEGMENTO_DESCRIP]",
"[Base].[SEGMENTO_DESCRIP].&amp;[" &amp; $C$6 &amp; "]",
"[Base].[SITUACION]",
"[Base].[SITUACION].&amp;[" &amp; $C15 &amp; "]"
),0)/1000</f>
        <v>10093.5</v>
      </c>
      <c r="AO15" s="8">
        <f>IFERROR(
GETPIVOTDATA(
"[Base].[Importe]",
TDinamica_R!$A$5,
"[Calendario].[AñoMes]",
"[Calendario].[AñoMes].&amp;[" &amp; TEXT(AO$6,"yyyymm") &amp; "]",
"[Base].[Metrica]",
"[Base].[Metrica].&amp;[" &amp; $A15 &amp; "]",
"[Base].[SEGMENTO_DESCRIP]",
"[Base].[SEGMENTO_DESCRIP].&amp;[" &amp; $C$6 &amp; "]",
"[Base].[SITUACION]",
"[Base].[SITUACION].&amp;[" &amp; $C15 &amp; "]"
),0)/1000</f>
        <v>9344.3700000000008</v>
      </c>
      <c r="AP15" s="8">
        <f>IFERROR(
GETPIVOTDATA(
"[Base].[Importe]",
TDinamica_R!$A$5,
"[Calendario].[AñoMes]",
"[Calendario].[AñoMes].&amp;[" &amp; TEXT(AP$6,"yyyymm") &amp; "]",
"[Base].[Metrica]",
"[Base].[Metrica].&amp;[" &amp; $A15 &amp; "]",
"[Base].[SEGMENTO_DESCRIP]",
"[Base].[SEGMENTO_DESCRIP].&amp;[" &amp; $C$6 &amp; "]",
"[Base].[SITUACION]",
"[Base].[SITUACION].&amp;[" &amp; $C15 &amp; "]"
),0)/1000</f>
        <v>10128.07</v>
      </c>
      <c r="AQ15" s="8">
        <f>IFERROR(
GETPIVOTDATA(
"[Base].[Importe]",
TDinamica_R!$A$5,
"[Calendario].[AñoMes]",
"[Calendario].[AñoMes].&amp;[" &amp; TEXT(AQ$6,"yyyymm") &amp; "]",
"[Base].[Metrica]",
"[Base].[Metrica].&amp;[" &amp; $A15 &amp; "]",
"[Base].[SEGMENTO_DESCRIP]",
"[Base].[SEGMENTO_DESCRIP].&amp;[" &amp; $C$6 &amp; "]",
"[Base].[SITUACION]",
"[Base].[SITUACION].&amp;[" &amp; $C15 &amp; "]"
),0)/1000</f>
        <v>10423.88417483</v>
      </c>
      <c r="AR15" s="8">
        <f>IFERROR(
GETPIVOTDATA(
"[Base].[Importe]",
TDinamica_R!$A$5,
"[Calendario].[AñoMes]",
"[Calendario].[AñoMes].&amp;[" &amp; TEXT(AR$6,"yyyymm") &amp; "]",
"[Base].[Metrica]",
"[Base].[Metrica].&amp;[" &amp; $A15 &amp; "]",
"[Base].[SEGMENTO_DESCRIP]",
"[Base].[SEGMENTO_DESCRIP].&amp;[" &amp; $C$6 &amp; "]",
"[Base].[SITUACION]",
"[Base].[SITUACION].&amp;[" &amp; $C15 &amp; "]"
),0)/1000</f>
        <v>10134.75987238</v>
      </c>
      <c r="AS15" s="8">
        <f>IFERROR(
GETPIVOTDATA(
"[Base].[Importe]",
TDinamica_R!$A$5,
"[Calendario].[AñoMes]",
"[Calendario].[AñoMes].&amp;[" &amp; TEXT(AS$6,"yyyymm") &amp; "]",
"[Base].[Metrica]",
"[Base].[Metrica].&amp;[" &amp; $A15 &amp; "]",
"[Base].[SEGMENTO_DESCRIP]",
"[Base].[SEGMENTO_DESCRIP].&amp;[" &amp; $C$6 &amp; "]",
"[Base].[SITUACION]",
"[Base].[SITUACION].&amp;[" &amp; $C15 &amp; "]"
),0)/1000</f>
        <v>9266.3762656500003</v>
      </c>
      <c r="AT15" s="8">
        <f>IFERROR(
GETPIVOTDATA(
"[Base].[Importe]",
TDinamica_R!$A$5,
"[Calendario].[AñoMes]",
"[Calendario].[AñoMes].&amp;[" &amp; TEXT(AT$6,"yyyymm")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U15" s="8">
        <f>IFERROR(
GETPIVOTDATA(
"[Base].[Importe]",
TDinamica_R!$A$5,
"[Calendario].[AñoMes]",
"[Calendario].[AñoMes].&amp;[" &amp; TEXT(AU$6,"yyyymm")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V15" s="8">
        <f>IFERROR(
GETPIVOTDATA(
"[Base].[Importe]",
TDinamica_R!$A$5,
"[Calendario].[AñoMes]",
"[Calendario].[AñoMes].&amp;[" &amp; TEXT(AV$6,"yyyymm")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W15" s="8">
        <f>IFERROR(
GETPIVOTDATA(
"[Base].[Importe]",
TDinamica_R!$A$5,
"[Calendario].[AñoMes]",
"[Calendario].[AñoMes].&amp;[" &amp; TEXT(AW$6,"yyyymm")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X15" s="8">
        <f>IFERROR(
GETPIVOTDATA(
"[Base].[Importe]",
TDinamica_R!$A$5,
"[Calendario].[AñoMes]",
"[Calendario].[AñoMes].&amp;[" &amp; TEXT(AX$6,"yyyymm")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Y15" s="8">
        <f>IFERROR(
GETPIVOTDATA(
"[Base].[Importe]",
TDinamica_R!$A$5,
"[Calendario].[AñoMes]",
"[Calendario].[AñoMes].&amp;[" &amp; TEXT(AY$6,"yyyymm")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Z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"[BASE_HIPO_PPTO].[Periodo]","[BASE_HIPO_PPTO].[Periodo].&amp;["&amp;TEXT(AZ$6,"yyyymm")&amp;"]"),
0)/1000</f>
        <v>10332.002592170944</v>
      </c>
      <c r="BA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"[BASE_HIPO_PPTO].[Periodo]","[BASE_HIPO_PPTO].[Periodo].&amp;["&amp;TEXT(BA$6,"yyyymm")&amp;"]"),
0)/1000</f>
        <v>10063.854311252837</v>
      </c>
      <c r="BB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"[BASE_HIPO_PPTO].[Periodo]","[BASE_HIPO_PPTO].[Periodo].&amp;["&amp;TEXT(BB$6,"yyyymm")&amp;"]"),
0)/1000</f>
        <v>10175.675122327211</v>
      </c>
      <c r="BC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"[BASE_HIPO_PPTO].[Periodo]","[BASE_HIPO_PPTO].[Periodo].&amp;["&amp;TEXT(BC$6,"yyyymm")&amp;"]"),
0)/1000</f>
        <v>8767.4971569070221</v>
      </c>
      <c r="BD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"[BASE_HIPO_PPTO].[Periodo]","[BASE_HIPO_PPTO].[Periodo].&amp;["&amp;TEXT(BD$6,"yyyymm")&amp;"]"),
0)/1000</f>
        <v>8595.7519137650088</v>
      </c>
      <c r="BE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"[BASE_HIPO_PPTO].[Periodo]","[BASE_HIPO_PPTO].[Periodo].&amp;["&amp;TEXT(BE$6,"yyyymm")&amp;"]"),
0)/1000</f>
        <v>8407.663891764636</v>
      </c>
      <c r="BF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"[BASE_HIPO_PPTO].[Periodo]","[BASE_HIPO_PPTO].[Periodo].&amp;["&amp;TEXT(BF$6,"yyyymm")&amp;"]"),
0)/1000</f>
        <v>8820.1308692892271</v>
      </c>
      <c r="BG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"[BASE_HIPO_PPTO].[Periodo]","[BASE_HIPO_PPTO].[Periodo].&amp;["&amp;TEXT(BG$6,"yyyymm")&amp;"]"),
0)/1000</f>
        <v>8773.2648600461325</v>
      </c>
      <c r="BH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"[BASE_HIPO_PPTO].[Periodo]","[BASE_HIPO_PPTO].[Periodo].&amp;["&amp;TEXT(BH$6,"yyyymm")&amp;"]"),
0)/1000</f>
        <v>8881.2282377943557</v>
      </c>
      <c r="BI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"[BASE_HIPO_PPTO].[Periodo]","[BASE_HIPO_PPTO].[Periodo].&amp;["&amp;TEXT(BI$6,"yyyymm")&amp;"]"),
0)/1000</f>
        <v>6060.7304823744416</v>
      </c>
      <c r="BJ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"[BASE_HIPO_PPTO].[Periodo]","[BASE_HIPO_PPTO].[Periodo].&amp;["&amp;TEXT(BJ$6,"yyyymm")&amp;"]"),
0)/1000</f>
        <v>6124.1840332597767</v>
      </c>
      <c r="BK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"[BASE_HIPO_PPTO].[Periodo]","[BASE_HIPO_PPTO].[Periodo].&amp;["&amp;TEXT(BK$6,"yyyymm")&amp;"]"),
0)/1000</f>
        <v>6257.1532121995679</v>
      </c>
      <c r="BO15" s="24">
        <f t="shared" si="9"/>
        <v>9855.3133333333335</v>
      </c>
      <c r="BP15" s="24">
        <f t="shared" si="9"/>
        <v>10190.510675250331</v>
      </c>
      <c r="BQ15" s="24">
        <f t="shared" si="9"/>
        <v>9718.9350000000013</v>
      </c>
      <c r="BR15" s="24">
        <f t="shared" si="9"/>
        <v>10526.269758333334</v>
      </c>
      <c r="BS15" s="24">
        <f t="shared" si="9"/>
        <v>10548.307989333334</v>
      </c>
      <c r="BT15" s="24">
        <f t="shared" si="9"/>
        <v>9034.7268263333335</v>
      </c>
      <c r="BW15" s="24">
        <f t="shared" si="10"/>
        <v>29565.940000000002</v>
      </c>
      <c r="BX15" s="24">
        <f t="shared" si="10"/>
        <v>30571.532025750992</v>
      </c>
      <c r="BY15" s="24">
        <f t="shared" si="10"/>
        <v>19437.870000000003</v>
      </c>
      <c r="BZ15" s="24">
        <f t="shared" si="10"/>
        <v>31578.809275</v>
      </c>
      <c r="CA15" s="24">
        <f t="shared" si="10"/>
        <v>31644.923968000003</v>
      </c>
      <c r="CB15" s="24">
        <f t="shared" si="10"/>
        <v>27104.180479000002</v>
      </c>
    </row>
    <row r="16" spans="1:81" hidden="1" outlineLevel="1" x14ac:dyDescent="0.25">
      <c r="A16" s="11" t="s">
        <v>52</v>
      </c>
      <c r="C16" s="2" t="s">
        <v>45</v>
      </c>
      <c r="D16" s="8">
        <f>IFERROR(
GETPIVOTDATA(
"[Base].[Importe]",
TDinamica_R!$A$5,
"[Calendario].[AñoMes]",
"[Calendario].[AñoMes].&amp;[" &amp; TEXT(D$6,"yyyymm") &amp; "]",
"[Base].[Metrica]",
"[Base].[Metrica].&amp;[" &amp; $A16 &amp; "]",
"[Base].[SEGMENTO_DESCRIP]",
"[Base].[SEGMENTO_DESCRIP].&amp;[" &amp; $C$6 &amp; "]",
"[Base].[SITUACION]",
"[Base].[SITUACION].&amp;[" &amp; $C16 &amp; "]"
),0)/1000</f>
        <v>31997.378533159997</v>
      </c>
      <c r="E16" s="8">
        <f>IFERROR(
GETPIVOTDATA(
"[Base].[Importe]",
TDinamica_R!$A$5,
"[Calendario].[AñoMes]",
"[Calendario].[AñoMes].&amp;[" &amp; TEXT(E$6,"yyyymm") &amp; "]",
"[Base].[Metrica]",
"[Base].[Metrica].&amp;[" &amp; $A16 &amp; "]",
"[Base].[SEGMENTO_DESCRIP]",
"[Base].[SEGMENTO_DESCRIP].&amp;[" &amp; $C$6 &amp; "]",
"[Base].[SITUACION]",
"[Base].[SITUACION].&amp;[" &amp; $C16 &amp; "]"
),0)/1000</f>
        <v>31121.920621290003</v>
      </c>
      <c r="F16" s="8">
        <f>IFERROR(
GETPIVOTDATA(
"[Base].[Importe]",
TDinamica_R!$A$5,
"[Calendario].[AñoMes]",
"[Calendario].[AñoMes].&amp;[" &amp; TEXT(F$6,"yyyymm") &amp; "]",
"[Base].[Metrica]",
"[Base].[Metrica].&amp;[" &amp; $A16 &amp; "]",
"[Base].[SEGMENTO_DESCRIP]",
"[Base].[SEGMENTO_DESCRIP].&amp;[" &amp; $C$6 &amp; "]",
"[Base].[SITUACION]",
"[Base].[SITUACION].&amp;[" &amp; $C16 &amp; "]"
),0)/1000</f>
        <v>32527.804395800002</v>
      </c>
      <c r="G16" s="8">
        <f>IFERROR(
GETPIVOTDATA(
"[Base].[Importe]",
TDinamica_R!$A$5,
"[Calendario].[AñoMes]",
"[Calendario].[AñoMes].&amp;[" &amp; TEXT(G$6,"yyyymm") &amp; "]",
"[Base].[Metrica]",
"[Base].[Metrica].&amp;[" &amp; $A16 &amp; "]",
"[Base].[SEGMENTO_DESCRIP]",
"[Base].[SEGMENTO_DESCRIP].&amp;[" &amp; $C$6 &amp; "]",
"[Base].[SITUACION]",
"[Base].[SITUACION].&amp;[" &amp; $C16 &amp; "]"
),0)/1000</f>
        <v>30974.1973067</v>
      </c>
      <c r="H16" s="8">
        <f>IFERROR(
GETPIVOTDATA(
"[Base].[Importe]",
TDinamica_R!$A$5,
"[Calendario].[AñoMes]",
"[Calendario].[AñoMes].&amp;[" &amp; TEXT(H$6,"yyyymm") &amp; "]",
"[Base].[Metrica]",
"[Base].[Metrica].&amp;[" &amp; $A16 &amp; "]",
"[Base].[SEGMENTO_DESCRIP]",
"[Base].[SEGMENTO_DESCRIP].&amp;[" &amp; $C$6 &amp; "]",
"[Base].[SITUACION]",
"[Base].[SITUACION].&amp;[" &amp; $C16 &amp; "]"
),0)/1000</f>
        <v>33298.137669660005</v>
      </c>
      <c r="I16" s="8">
        <f>IFERROR(
GETPIVOTDATA(
"[Base].[Importe]",
TDinamica_R!$A$5,
"[Calendario].[AñoMes]",
"[Calendario].[AñoMes].&amp;[" &amp; TEXT(I$6,"yyyymm") &amp; "]",
"[Base].[Metrica]",
"[Base].[Metrica].&amp;[" &amp; $A16 &amp; "]",
"[Base].[SEGMENTO_DESCRIP]",
"[Base].[SEGMENTO_DESCRIP].&amp;[" &amp; $C$6 &amp; "]",
"[Base].[SITUACION]",
"[Base].[SITUACION].&amp;[" &amp; $C16 &amp; "]"
),0)/1000</f>
        <v>33841.930626000001</v>
      </c>
      <c r="J16" s="8">
        <f>IFERROR(
GETPIVOTDATA(
"[Base].[Importe]",
TDinamica_R!$A$5,
"[Calendario].[AñoMes]",
"[Calendario].[AñoMes].&amp;[" &amp; TEXT(J$6,"yyyymm") &amp; "]",
"[Base].[Metrica]",
"[Base].[Metrica].&amp;[" &amp; $A16 &amp; "]",
"[Base].[SEGMENTO_DESCRIP]",
"[Base].[SEGMENTO_DESCRIP].&amp;[" &amp; $C$6 &amp; "]",
"[Base].[SITUACION]",
"[Base].[SITUACION].&amp;[" &amp; $C16 &amp; "]"
),0)/1000</f>
        <v>33369.377175180001</v>
      </c>
      <c r="K16" s="8">
        <f>IFERROR(
GETPIVOTDATA(
"[Base].[Importe]",
TDinamica_R!$A$5,
"[Calendario].[AñoMes]",
"[Calendario].[AñoMes].&amp;[" &amp; TEXT(K$6,"yyyymm") &amp; "]",
"[Base].[Metrica]",
"[Base].[Metrica].&amp;[" &amp; $A16 &amp; "]",
"[Base].[SEGMENTO_DESCRIP]",
"[Base].[SEGMENTO_DESCRIP].&amp;[" &amp; $C$6 &amp; "]",
"[Base].[SITUACION]",
"[Base].[SITUACION].&amp;[" &amp; $C16 &amp; "]"
),0)/1000</f>
        <v>33849.654495279996</v>
      </c>
      <c r="L16" s="8">
        <f>IFERROR(
GETPIVOTDATA(
"[Base].[Importe]",
TDinamica_R!$A$5,
"[Calendario].[AñoMes]",
"[Calendario].[AñoMes].&amp;[" &amp; TEXT(L$6,"yyyymm") &amp; "]",
"[Base].[Metrica]",
"[Base].[Metrica].&amp;[" &amp; $A16 &amp; "]",
"[Base].[SEGMENTO_DESCRIP]",
"[Base].[SEGMENTO_DESCRIP].&amp;[" &amp; $C$6 &amp; "]",
"[Base].[SITUACION]",
"[Base].[SITUACION].&amp;[" &amp; $C16 &amp; "]"
),0)/1000</f>
        <v>38471.228811820001</v>
      </c>
      <c r="M16" s="8">
        <f>IFERROR(
GETPIVOTDATA(
"[Base].[Importe]",
TDinamica_R!$A$5,
"[Calendario].[AñoMes]",
"[Calendario].[AñoMes].&amp;[" &amp; TEXT(M$6,"yyyymm") &amp; "]",
"[Base].[Metrica]",
"[Base].[Metrica].&amp;[" &amp; $A16 &amp; "]",
"[Base].[SEGMENTO_DESCRIP]",
"[Base].[SEGMENTO_DESCRIP].&amp;[" &amp; $C$6 &amp; "]",
"[Base].[SITUACION]",
"[Base].[SITUACION].&amp;[" &amp; $C16 &amp; "]"
),0)/1000</f>
        <v>37637.639245849998</v>
      </c>
      <c r="N16" s="8">
        <f>IFERROR(
GETPIVOTDATA(
"[Base].[Importe]",
TDinamica_R!$A$5,
"[Calendario].[AñoMes]",
"[Calendario].[AñoMes].&amp;[" &amp; TEXT(N$6,"yyyymm") &amp; "]",
"[Base].[Metrica]",
"[Base].[Metrica].&amp;[" &amp; $A16 &amp; "]",
"[Base].[SEGMENTO_DESCRIP]",
"[Base].[SEGMENTO_DESCRIP].&amp;[" &amp; $C$6 &amp; "]",
"[Base].[SITUACION]",
"[Base].[SITUACION].&amp;[" &amp; $C16 &amp; "]"
),0)/1000</f>
        <v>36221.13826706</v>
      </c>
      <c r="O16" s="8">
        <f>IFERROR(
GETPIVOTDATA(
"[Base].[Importe]",
TDinamica_R!$A$5,
"[Calendario].[AñoMes]",
"[Calendario].[AñoMes].&amp;[" &amp; TEXT(O$6,"yyyymm") &amp; "]",
"[Base].[Metrica]",
"[Base].[Metrica].&amp;[" &amp; $A16 &amp; "]",
"[Base].[SEGMENTO_DESCRIP]",
"[Base].[SEGMENTO_DESCRIP].&amp;[" &amp; $C$6 &amp; "]",
"[Base].[SITUACION]",
"[Base].[SITUACION].&amp;[" &amp; $C16 &amp; "]"
),0)/1000</f>
        <v>36390.083608829998</v>
      </c>
      <c r="P16" s="8">
        <f>IFERROR(
GETPIVOTDATA(
"[Base].[Importe]",
TDinamica_R!$A$5,
"[Calendario].[AñoMes]",
"[Calendario].[AñoMes].&amp;[" &amp; TEXT(P$6,"yyyymm") &amp; "]",
"[Base].[Metrica]",
"[Base].[Metrica].&amp;[" &amp; $A16 &amp; "]",
"[Base].[SEGMENTO_DESCRIP]",
"[Base].[SEGMENTO_DESCRIP].&amp;[" &amp; $C$6 &amp; "]",
"[Base].[SITUACION]",
"[Base].[SITUACION].&amp;[" &amp; $C16 &amp; "]"
),0)/1000</f>
        <v>37852.715714220001</v>
      </c>
      <c r="Q16" s="8">
        <f>IFERROR(
GETPIVOTDATA(
"[Base].[Importe]",
TDinamica_R!$A$5,
"[Calendario].[AñoMes]",
"[Calendario].[AñoMes].&amp;[" &amp; TEXT(Q$6,"yyyymm") &amp; "]",
"[Base].[Metrica]",
"[Base].[Metrica].&amp;[" &amp; $A16 &amp; "]",
"[Base].[SEGMENTO_DESCRIP]",
"[Base].[SEGMENTO_DESCRIP].&amp;[" &amp; $C$6 &amp; "]",
"[Base].[SITUACION]",
"[Base].[SITUACION].&amp;[" &amp; $C16 &amp; "]"
),0)/1000</f>
        <v>39184.853168280002</v>
      </c>
      <c r="R16" s="8">
        <f>IFERROR(
GETPIVOTDATA(
"[Base].[Importe]",
TDinamica_R!$A$5,
"[Calendario].[AñoMes]",
"[Calendario].[AñoMes].&amp;[" &amp; TEXT(R$6,"yyyymm") &amp; "]",
"[Base].[Metrica]",
"[Base].[Metrica].&amp;[" &amp; $A16 &amp; "]",
"[Base].[SEGMENTO_DESCRIP]",
"[Base].[SEGMENTO_DESCRIP].&amp;[" &amp; $C$6 &amp; "]",
"[Base].[SITUACION]",
"[Base].[SITUACION].&amp;[" &amp; $C16 &amp; "]"
),0)/1000</f>
        <v>37464.665880949993</v>
      </c>
      <c r="S16" s="8">
        <f>IFERROR(
GETPIVOTDATA(
"[Base].[Importe]",
TDinamica_R!$A$5,
"[Calendario].[AñoMes]",
"[Calendario].[AñoMes].&amp;[" &amp; TEXT(S$6,"yyyymm") &amp; "]",
"[Base].[Metrica]",
"[Base].[Metrica].&amp;[" &amp; $A16 &amp; "]",
"[Base].[SEGMENTO_DESCRIP]",
"[Base].[SEGMENTO_DESCRIP].&amp;[" &amp; $C$6 &amp; "]",
"[Base].[SITUACION]",
"[Base].[SITUACION].&amp;[" &amp; $C16 &amp; "]"
),0)/1000</f>
        <v>39255.162620939998</v>
      </c>
      <c r="T16" s="8">
        <f>IFERROR(
GETPIVOTDATA(
"[Base].[Importe]",
TDinamica_R!$A$5,
"[Calendario].[AñoMes]",
"[Calendario].[AñoMes].&amp;[" &amp; TEXT(T$6,"yyyymm") &amp; "]",
"[Base].[Metrica]",
"[Base].[Metrica].&amp;[" &amp; $A16 &amp; "]",
"[Base].[SEGMENTO_DESCRIP]",
"[Base].[SEGMENTO_DESCRIP].&amp;[" &amp; $C$6 &amp; "]",
"[Base].[SITUACION]",
"[Base].[SITUACION].&amp;[" &amp; $C16 &amp; "]"
),0)/1000</f>
        <v>41831.196079500005</v>
      </c>
      <c r="U16" s="8">
        <f>IFERROR(
GETPIVOTDATA(
"[Base].[Importe]",
TDinamica_R!$A$5,
"[Calendario].[AñoMes]",
"[Calendario].[AñoMes].&amp;[" &amp; TEXT(U$6,"yyyymm") &amp; "]",
"[Base].[Metrica]",
"[Base].[Metrica].&amp;[" &amp; $A16 &amp; "]",
"[Base].[SEGMENTO_DESCRIP]",
"[Base].[SEGMENTO_DESCRIP].&amp;[" &amp; $C$6 &amp; "]",
"[Base].[SITUACION]",
"[Base].[SITUACION].&amp;[" &amp; $C16 &amp; "]"
),0)/1000</f>
        <v>41954.38645451</v>
      </c>
      <c r="V16" s="8">
        <f>IFERROR(
GETPIVOTDATA(
"[Base].[Importe]",
TDinamica_R!$A$5,
"[Calendario].[AñoMes]",
"[Calendario].[AñoMes].&amp;[" &amp; TEXT(V$6,"yyyymm") &amp; "]",
"[Base].[Metrica]",
"[Base].[Metrica].&amp;[" &amp; $A16 &amp; "]",
"[Base].[SEGMENTO_DESCRIP]",
"[Base].[SEGMENTO_DESCRIP].&amp;[" &amp; $C$6 &amp; "]",
"[Base].[SITUACION]",
"[Base].[SITUACION].&amp;[" &amp; $C16 &amp; "]"
),0)/1000</f>
        <v>43793.068250019998</v>
      </c>
      <c r="W16" s="8">
        <f>IFERROR(
GETPIVOTDATA(
"[Base].[Importe]",
TDinamica_R!$A$5,
"[Calendario].[AñoMes]",
"[Calendario].[AñoMes].&amp;[" &amp; TEXT(W$6,"yyyymm") &amp; "]",
"[Base].[Metrica]",
"[Base].[Metrica].&amp;[" &amp; $A16 &amp; "]",
"[Base].[SEGMENTO_DESCRIP]",
"[Base].[SEGMENTO_DESCRIP].&amp;[" &amp; $C$6 &amp; "]",
"[Base].[SITUACION]",
"[Base].[SITUACION].&amp;[" &amp; $C16 &amp; "]"
),0)/1000</f>
        <v>44871.405067710002</v>
      </c>
      <c r="X16" s="8">
        <f>IFERROR(
GETPIVOTDATA(
"[Base].[Importe]",
TDinamica_R!$A$5,
"[Calendario].[AñoMes]",
"[Calendario].[AñoMes].&amp;[" &amp; TEXT(X$6,"yyyymm") &amp; "]",
"[Base].[Metrica]",
"[Base].[Metrica].&amp;[" &amp; $A16 &amp; "]",
"[Base].[SEGMENTO_DESCRIP]",
"[Base].[SEGMENTO_DESCRIP].&amp;[" &amp; $C$6 &amp; "]",
"[Base].[SITUACION]",
"[Base].[SITUACION].&amp;[" &amp; $C16 &amp; "]"
),0)/1000</f>
        <v>44512.747521400001</v>
      </c>
      <c r="Y16" s="8">
        <f>IFERROR(
GETPIVOTDATA(
"[Base].[Importe]",
TDinamica_R!$A$5,
"[Calendario].[AñoMes]",
"[Calendario].[AñoMes].&amp;[" &amp; TEXT(Y$6,"yyyymm") &amp; "]",
"[Base].[Metrica]",
"[Base].[Metrica].&amp;[" &amp; $A16 &amp; "]",
"[Base].[SEGMENTO_DESCRIP]",
"[Base].[SEGMENTO_DESCRIP].&amp;[" &amp; $C$6 &amp; "]",
"[Base].[SITUACION]",
"[Base].[SITUACION].&amp;[" &amp; $C16 &amp; "]"
),0)/1000</f>
        <v>44411.005231060015</v>
      </c>
      <c r="Z16" s="8">
        <f>IFERROR(
GETPIVOTDATA(
"[Base].[Importe]",
TDinamica_R!$A$5,
"[Calendario].[AñoMes]",
"[Calendario].[AñoMes].&amp;[" &amp; TEXT(Z$6,"yyyymm") &amp; "]",
"[Base].[Metrica]",
"[Base].[Metrica].&amp;[" &amp; $A16 &amp; "]",
"[Base].[SEGMENTO_DESCRIP]",
"[Base].[SEGMENTO_DESCRIP].&amp;[" &amp; $C$6 &amp; "]",
"[Base].[SITUACION]",
"[Base].[SITUACION].&amp;[" &amp; $C16 &amp; "]"
),0)/1000</f>
        <v>45047.296307819997</v>
      </c>
      <c r="AA16" s="8">
        <f>IFERROR(
GETPIVOTDATA(
"[Base].[Importe]",
TDinamica_R!$A$5,
"[Calendario].[AñoMes]",
"[Calendario].[AñoMes].&amp;[" &amp; TEXT(AA$6,"yyyymm") &amp; "]",
"[Base].[Metrica]",
"[Base].[Metrica].&amp;[" &amp; $A16 &amp; "]",
"[Base].[SEGMENTO_DESCRIP]",
"[Base].[SEGMENTO_DESCRIP].&amp;[" &amp; $C$6 &amp; "]",
"[Base].[SITUACION]",
"[Base].[SITUACION].&amp;[" &amp; $C16 &amp; "]"
),0)/1000</f>
        <v>45728.389177599995</v>
      </c>
      <c r="AB16" s="8">
        <f>IFERROR(
GETPIVOTDATA(
"[Base].[Importe]",
TDinamica_R!$A$5,
"[Calendario].[AñoMes]",
"[Calendario].[AñoMes].&amp;[" &amp; TEXT(AB$6,"yyyymm") &amp; "]",
"[Base].[Metrica]",
"[Base].[Metrica].&amp;[" &amp; $A16 &amp; "]",
"[Base].[SEGMENTO_DESCRIP]",
"[Base].[SEGMENTO_DESCRIP].&amp;[" &amp; $C$6 &amp; "]",
"[Base].[SITUACION]",
"[Base].[SITUACION].&amp;[" &amp; $C16 &amp; "]"
),0)/1000</f>
        <v>43952.817878269998</v>
      </c>
      <c r="AC16" s="8">
        <f>IFERROR(
GETPIVOTDATA(
"[Base].[Importe]",
TDinamica_R!$A$5,
"[Calendario].[AñoMes]",
"[Calendario].[AñoMes].&amp;[" &amp; TEXT(AC$6,"yyyymm") &amp; "]",
"[Base].[Metrica]",
"[Base].[Metrica].&amp;[" &amp; $A16 &amp; "]",
"[Base].[SEGMENTO_DESCRIP]",
"[Base].[SEGMENTO_DESCRIP].&amp;[" &amp; $C$6 &amp; "]",
"[Base].[SITUACION]",
"[Base].[SITUACION].&amp;[" &amp; $C16 &amp; "]"
),0)/1000</f>
        <v>45072.323223999992</v>
      </c>
      <c r="AD16" s="8">
        <f>IFERROR(
GETPIVOTDATA(
"[Base].[Importe]",
TDinamica_R!$A$5,
"[Calendario].[AñoMes]",
"[Calendario].[AñoMes].&amp;[" &amp; TEXT(AD$6,"yyyymm") &amp; "]",
"[Base].[Metrica]",
"[Base].[Metrica].&amp;[" &amp; $A16 &amp; "]",
"[Base].[SEGMENTO_DESCRIP]",
"[Base].[SEGMENTO_DESCRIP].&amp;[" &amp; $C$6 &amp; "]",
"[Base].[SITUACION]",
"[Base].[SITUACION].&amp;[" &amp; $C16 &amp; "]"
),0)/1000</f>
        <v>46913.817827289997</v>
      </c>
      <c r="AE16" s="8">
        <f>IFERROR(
GETPIVOTDATA(
"[Base].[Importe]",
TDinamica_R!$A$5,
"[Calendario].[AñoMes]",
"[Calendario].[AñoMes].&amp;[" &amp; TEXT(AE$6,"yyyymm") &amp; "]",
"[Base].[Metrica]",
"[Base].[Metrica].&amp;[" &amp; $A16 &amp; "]",
"[Base].[SEGMENTO_DESCRIP]",
"[Base].[SEGMENTO_DESCRIP].&amp;[" &amp; $C$6 &amp; "]",
"[Base].[SITUACION]",
"[Base].[SITUACION].&amp;[" &amp; $C16 &amp; "]"
),0)/1000</f>
        <v>45363.888646840009</v>
      </c>
      <c r="AF16" s="8">
        <f>IFERROR(
GETPIVOTDATA(
"[Base].[Importe]",
TDinamica_R!$A$5,
"[Calendario].[AñoMes]",
"[Calendario].[AñoMes].&amp;[" &amp; TEXT(AF$6,"yyyymm") &amp; "]",
"[Base].[Metrica]",
"[Base].[Metrica].&amp;[" &amp; $A16 &amp; "]",
"[Base].[SEGMENTO_DESCRIP]",
"[Base].[SEGMENTO_DESCRIP].&amp;[" &amp; $C$6 &amp; "]",
"[Base].[SITUACION]",
"[Base].[SITUACION].&amp;[" &amp; $C16 &amp; "]"
),0)/1000</f>
        <v>51273.923494799994</v>
      </c>
      <c r="AG16" s="8">
        <f>IFERROR(
GETPIVOTDATA(
"[Base].[Importe]",
TDinamica_R!$A$5,
"[Calendario].[AñoMes]",
"[Calendario].[AñoMes].&amp;[" &amp; TEXT(AG$6,"yyyymm") &amp; "]",
"[Base].[Metrica]",
"[Base].[Metrica].&amp;[" &amp; $A16 &amp; "]",
"[Base].[SEGMENTO_DESCRIP]",
"[Base].[SEGMENTO_DESCRIP].&amp;[" &amp; $C$6 &amp; "]",
"[Base].[SITUACION]",
"[Base].[SITUACION].&amp;[" &amp; $C16 &amp; "]"
),0)/1000</f>
        <v>53431.468019519998</v>
      </c>
      <c r="AH16" s="8">
        <f>IFERROR(
GETPIVOTDATA(
"[Base].[Importe]",
TDinamica_R!$A$5,
"[Calendario].[AñoMes]",
"[Calendario].[AñoMes].&amp;[" &amp; TEXT(AH$6,"yyyymm") &amp; "]",
"[Base].[Metrica]",
"[Base].[Metrica].&amp;[" &amp; $A16 &amp; "]",
"[Base].[SEGMENTO_DESCRIP]",
"[Base].[SEGMENTO_DESCRIP].&amp;[" &amp; $C$6 &amp; "]",
"[Base].[SITUACION]",
"[Base].[SITUACION].&amp;[" &amp; $C16 &amp; "]"
),0)/1000</f>
        <v>50318.96152094</v>
      </c>
      <c r="AI16" s="8">
        <f>IFERROR(
GETPIVOTDATA(
"[Base].[Importe]",
TDinamica_R!$A$5,
"[Calendario].[AñoMes]",
"[Calendario].[AñoMes].&amp;[" &amp; TEXT(AI$6,"yyyymm") &amp; "]",
"[Base].[Metrica]",
"[Base].[Metrica].&amp;[" &amp; $A16 &amp; "]",
"[Base].[SEGMENTO_DESCRIP]",
"[Base].[SEGMENTO_DESCRIP].&amp;[" &amp; $C$6 &amp; "]",
"[Base].[SITUACION]",
"[Base].[SITUACION].&amp;[" &amp; $C16 &amp; "]"
),0)/1000</f>
        <v>52989.110327100003</v>
      </c>
      <c r="AJ16" s="8">
        <f>IFERROR(
GETPIVOTDATA(
"[Base].[Importe]",
TDinamica_R!$A$5,
"[Calendario].[AñoMes]",
"[Calendario].[AñoMes].&amp;[" &amp; TEXT(AJ$6,"yyyymm") &amp; "]",
"[Base].[Metrica]",
"[Base].[Metrica].&amp;[" &amp; $A16 &amp; "]",
"[Base].[SEGMENTO_DESCRIP]",
"[Base].[SEGMENTO_DESCRIP].&amp;[" &amp; $C$6 &amp; "]",
"[Base].[SITUACION]",
"[Base].[SITUACION].&amp;[" &amp; $C16 &amp; "]"
),0)/1000</f>
        <v>50705.07514898001</v>
      </c>
      <c r="AK16" s="8">
        <f>IFERROR(
GETPIVOTDATA(
"[Base].[Importe]",
TDinamica_R!$A$5,
"[Calendario].[AñoMes]",
"[Calendario].[AñoMes].&amp;[" &amp; TEXT(AK$6,"yyyymm") &amp; "]",
"[Base].[Metrica]",
"[Base].[Metrica].&amp;[" &amp; $A16 &amp; "]",
"[Base].[SEGMENTO_DESCRIP]",
"[Base].[SEGMENTO_DESCRIP].&amp;[" &amp; $C$6 &amp; "]",
"[Base].[SITUACION]",
"[Base].[SITUACION].&amp;[" &amp; $C16 &amp; "]"
),0)/1000</f>
        <v>52098.344960440008</v>
      </c>
      <c r="AL16" s="8">
        <f>IFERROR(
GETPIVOTDATA(
"[Base].[Importe]",
TDinamica_R!$A$5,
"[Calendario].[AñoMes]",
"[Calendario].[AñoMes].&amp;[" &amp; TEXT(AL$6,"yyyymm") &amp; "]",
"[Base].[Metrica]",
"[Base].[Metrica].&amp;[" &amp; $A16 &amp; "]",
"[Base].[SEGMENTO_DESCRIP]",
"[Base].[SEGMENTO_DESCRIP].&amp;[" &amp; $C$6 &amp; "]",
"[Base].[SITUACION]",
"[Base].[SITUACION].&amp;[" &amp; $C16 &amp; "]"
),0)/1000</f>
        <v>53955.221063369994</v>
      </c>
      <c r="AM16" s="8">
        <f>IFERROR(
GETPIVOTDATA(
"[Base].[Importe]",
TDinamica_R!$A$5,
"[Calendario].[AñoMes]",
"[Calendario].[AñoMes].&amp;[" &amp; TEXT(AM$6,"yyyymm") &amp; "]",
"[Base].[Metrica]",
"[Base].[Metrica].&amp;[" &amp; $A16 &amp; "]",
"[Base].[SEGMENTO_DESCRIP]",
"[Base].[SEGMENTO_DESCRIP].&amp;[" &amp; $C$6 &amp; "]",
"[Base].[SITUACION]",
"[Base].[SITUACION].&amp;[" &amp; $C16 &amp; "]"
),0)/1000</f>
        <v>59011.161749699997</v>
      </c>
      <c r="AN16" s="8">
        <f>IFERROR(
GETPIVOTDATA(
"[Base].[Importe]",
TDinamica_R!$A$5,
"[Calendario].[AñoMes]",
"[Calendario].[AñoMes].&amp;[" &amp; TEXT(AN$6,"yyyymm") &amp; "]",
"[Base].[Metrica]",
"[Base].[Metrica].&amp;[" &amp; $A16 &amp; "]",
"[Base].[SEGMENTO_DESCRIP]",
"[Base].[SEGMENTO_DESCRIP].&amp;[" &amp; $C$6 &amp; "]",
"[Base].[SITUACION]",
"[Base].[SITUACION].&amp;[" &amp; $C16 &amp; "]"
),0)/1000</f>
        <v>61859.62</v>
      </c>
      <c r="AO16" s="8">
        <f>IFERROR(
GETPIVOTDATA(
"[Base].[Importe]",
TDinamica_R!$A$5,
"[Calendario].[AñoMes]",
"[Calendario].[AñoMes].&amp;[" &amp; TEXT(AO$6,"yyyymm") &amp; "]",
"[Base].[Metrica]",
"[Base].[Metrica].&amp;[" &amp; $A16 &amp; "]",
"[Base].[SEGMENTO_DESCRIP]",
"[Base].[SEGMENTO_DESCRIP].&amp;[" &amp; $C$6 &amp; "]",
"[Base].[SITUACION]",
"[Base].[SITUACION].&amp;[" &amp; $C16 &amp; "]"
),0)/1000</f>
        <v>63175.35</v>
      </c>
      <c r="AP16" s="8">
        <f>IFERROR(
GETPIVOTDATA(
"[Base].[Importe]",
TDinamica_R!$A$5,
"[Calendario].[AñoMes]",
"[Calendario].[AñoMes].&amp;[" &amp; TEXT(AP$6,"yyyymm") &amp; "]",
"[Base].[Metrica]",
"[Base].[Metrica].&amp;[" &amp; $A16 &amp; "]",
"[Base].[SEGMENTO_DESCRIP]",
"[Base].[SEGMENTO_DESCRIP].&amp;[" &amp; $C$6 &amp; "]",
"[Base].[SITUACION]",
"[Base].[SITUACION].&amp;[" &amp; $C16 &amp; "]"
),0)/1000</f>
        <v>60763.05</v>
      </c>
      <c r="AQ16" s="8">
        <f>IFERROR(
GETPIVOTDATA(
"[Base].[Importe]",
TDinamica_R!$A$5,
"[Calendario].[AñoMes]",
"[Calendario].[AñoMes].&amp;[" &amp; TEXT(AQ$6,"yyyymm") &amp; "]",
"[Base].[Metrica]",
"[Base].[Metrica].&amp;[" &amp; $A16 &amp; "]",
"[Base].[SEGMENTO_DESCRIP]",
"[Base].[SEGMENTO_DESCRIP].&amp;[" &amp; $C$6 &amp; "]",
"[Base].[SITUACION]",
"[Base].[SITUACION].&amp;[" &amp; $C16 &amp; "]"
),0)/1000</f>
        <v>62119.218290989986</v>
      </c>
      <c r="AR16" s="8">
        <f>IFERROR(
GETPIVOTDATA(
"[Base].[Importe]",
TDinamica_R!$A$5,
"[Calendario].[AñoMes]",
"[Calendario].[AñoMes].&amp;[" &amp; TEXT(AR$6,"yyyymm") &amp; "]",
"[Base].[Metrica]",
"[Base].[Metrica].&amp;[" &amp; $A16 &amp; "]",
"[Base].[SEGMENTO_DESCRIP]",
"[Base].[SEGMENTO_DESCRIP].&amp;[" &amp; $C$6 &amp; "]",
"[Base].[SITUACION]",
"[Base].[SITUACION].&amp;[" &amp; $C16 &amp; "]"
),0)/1000</f>
        <v>64518.211181189981</v>
      </c>
      <c r="AS16" s="8">
        <f>IFERROR(
GETPIVOTDATA(
"[Base].[Importe]",
TDinamica_R!$A$5,
"[Calendario].[AñoMes]",
"[Calendario].[AñoMes].&amp;[" &amp; TEXT(AS$6,"yyyymm") &amp; "]",
"[Base].[Metrica]",
"[Base].[Metrica].&amp;[" &amp; $A16 &amp; "]",
"[Base].[SEGMENTO_DESCRIP]",
"[Base].[SEGMENTO_DESCRIP].&amp;[" &amp; $C$6 &amp; "]",
"[Base].[SITUACION]",
"[Base].[SITUACION].&amp;[" &amp; $C16 &amp; "]"
),0)/1000</f>
        <v>66283.281047399956</v>
      </c>
      <c r="AT16" s="8">
        <f>IFERROR(
GETPIVOTDATA(
"[Base].[Importe]",
TDinamica_R!$A$5,
"[Calendario].[AñoMes]",
"[Calendario].[AñoMes].&amp;[" &amp; TEXT(AT$6,"yyyymm")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U16" s="8">
        <f>IFERROR(
GETPIVOTDATA(
"[Base].[Importe]",
TDinamica_R!$A$5,
"[Calendario].[AñoMes]",
"[Calendario].[AñoMes].&amp;[" &amp; TEXT(AU$6,"yyyymm")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V16" s="8">
        <f>IFERROR(
GETPIVOTDATA(
"[Base].[Importe]",
TDinamica_R!$A$5,
"[Calendario].[AñoMes]",
"[Calendario].[AñoMes].&amp;[" &amp; TEXT(AV$6,"yyyymm")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W16" s="8">
        <f>IFERROR(
GETPIVOTDATA(
"[Base].[Importe]",
TDinamica_R!$A$5,
"[Calendario].[AñoMes]",
"[Calendario].[AñoMes].&amp;[" &amp; TEXT(AW$6,"yyyymm")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X16" s="8">
        <f>IFERROR(
GETPIVOTDATA(
"[Base].[Importe]",
TDinamica_R!$A$5,
"[Calendario].[AñoMes]",
"[Calendario].[AñoMes].&amp;[" &amp; TEXT(AX$6,"yyyymm")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Y16" s="8">
        <f>IFERROR(
GETPIVOTDATA(
"[Base].[Importe]",
TDinamica_R!$A$5,
"[Calendario].[AñoMes]",
"[Calendario].[AñoMes].&amp;[" &amp; TEXT(AY$6,"yyyymm")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Z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"[BASE_HIPO_PPTO].[Periodo]","[BASE_HIPO_PPTO].[Periodo].&amp;["&amp;TEXT(AZ$6,"yyyymm")&amp;"]"),
0)/1000</f>
        <v>56799.49585012129</v>
      </c>
      <c r="BA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"[BASE_HIPO_PPTO].[Periodo]","[BASE_HIPO_PPTO].[Periodo].&amp;["&amp;TEXT(BA$6,"yyyymm")&amp;"]"),
0)/1000</f>
        <v>58253.790035376129</v>
      </c>
      <c r="BB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"[BASE_HIPO_PPTO].[Periodo]","[BASE_HIPO_PPTO].[Periodo].&amp;["&amp;TEXT(BB$6,"yyyymm")&amp;"]"),
0)/1000</f>
        <v>60628.215375455431</v>
      </c>
      <c r="BC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"[BASE_HIPO_PPTO].[Periodo]","[BASE_HIPO_PPTO].[Periodo].&amp;["&amp;TEXT(BC$6,"yyyymm")&amp;"]"),
0)/1000</f>
        <v>62122.484027657774</v>
      </c>
      <c r="BD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"[BASE_HIPO_PPTO].[Periodo]","[BASE_HIPO_PPTO].[Periodo].&amp;["&amp;TEXT(BD$6,"yyyymm")&amp;"]"),
0)/1000</f>
        <v>62270.419603548507</v>
      </c>
      <c r="BE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"[BASE_HIPO_PPTO].[Periodo]","[BASE_HIPO_PPTO].[Periodo].&amp;["&amp;TEXT(BE$6,"yyyymm")&amp;"]"),
0)/1000</f>
        <v>64728.780458888759</v>
      </c>
      <c r="BF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"[BASE_HIPO_PPTO].[Periodo]","[BASE_HIPO_PPTO].[Periodo].&amp;["&amp;TEXT(BF$6,"yyyymm")&amp;"]"),
0)/1000</f>
        <v>64668.738585476422</v>
      </c>
      <c r="BG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"[BASE_HIPO_PPTO].[Periodo]","[BASE_HIPO_PPTO].[Periodo].&amp;["&amp;TEXT(BG$6,"yyyymm")&amp;"]"),
0)/1000</f>
        <v>67875.906236535098</v>
      </c>
      <c r="BH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"[BASE_HIPO_PPTO].[Periodo]","[BASE_HIPO_PPTO].[Periodo].&amp;["&amp;TEXT(BH$6,"yyyymm")&amp;"]"),
0)/1000</f>
        <v>68651.846033848225</v>
      </c>
      <c r="BI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"[BASE_HIPO_PPTO].[Periodo]","[BASE_HIPO_PPTO].[Periodo].&amp;["&amp;TEXT(BI$6,"yyyymm")&amp;"]"),
0)/1000</f>
        <v>70113.335869431074</v>
      </c>
      <c r="BJ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"[BASE_HIPO_PPTO].[Periodo]","[BASE_HIPO_PPTO].[Periodo].&amp;["&amp;TEXT(BJ$6,"yyyymm")&amp;"]"),
0)/1000</f>
        <v>73789.977103436046</v>
      </c>
      <c r="BK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"[BASE_HIPO_PPTO].[Periodo]","[BASE_HIPO_PPTO].[Periodo].&amp;["&amp;TEXT(BK$6,"yyyymm")&amp;"]"),
0)/1000</f>
        <v>73946.136791615281</v>
      </c>
      <c r="BO16" s="24">
        <f t="shared" si="9"/>
        <v>61932.67333333334</v>
      </c>
      <c r="BP16" s="24">
        <f t="shared" si="9"/>
        <v>58560.500420317614</v>
      </c>
      <c r="BQ16" s="24">
        <f t="shared" si="9"/>
        <v>62517.485000000001</v>
      </c>
      <c r="BR16" s="24">
        <f t="shared" si="9"/>
        <v>45312.986309853324</v>
      </c>
      <c r="BS16" s="24">
        <f t="shared" si="9"/>
        <v>38167.411587816663</v>
      </c>
      <c r="BT16" s="24">
        <f t="shared" si="9"/>
        <v>31882.367850083334</v>
      </c>
      <c r="BW16" s="24">
        <f t="shared" si="10"/>
        <v>185798.02000000002</v>
      </c>
      <c r="BX16" s="24">
        <f t="shared" si="10"/>
        <v>175681.50126095285</v>
      </c>
      <c r="BY16" s="24">
        <f t="shared" si="10"/>
        <v>125034.97</v>
      </c>
      <c r="BZ16" s="24">
        <f t="shared" si="10"/>
        <v>135938.95892955997</v>
      </c>
      <c r="CA16" s="24">
        <f t="shared" si="10"/>
        <v>114502.23476344999</v>
      </c>
      <c r="CB16" s="24">
        <f t="shared" si="10"/>
        <v>95647.103550250002</v>
      </c>
    </row>
    <row r="17" spans="1:80" collapsed="1" x14ac:dyDescent="0.25">
      <c r="C17" s="3" t="s">
        <v>56</v>
      </c>
      <c r="D17" s="10">
        <f>SUM(D14:D16)</f>
        <v>4355983.4217221206</v>
      </c>
      <c r="E17" s="10">
        <f t="shared" ref="E17:BK17" si="11">SUM(E14:E16)</f>
        <v>4376522.9101308584</v>
      </c>
      <c r="F17" s="10">
        <f t="shared" si="11"/>
        <v>4391648.3669100013</v>
      </c>
      <c r="G17" s="10">
        <f t="shared" si="11"/>
        <v>4401882.6668910999</v>
      </c>
      <c r="H17" s="10">
        <f t="shared" si="11"/>
        <v>4417539.6968966806</v>
      </c>
      <c r="I17" s="10">
        <f t="shared" si="11"/>
        <v>4444060.2404934997</v>
      </c>
      <c r="J17" s="10">
        <f t="shared" si="11"/>
        <v>4463168.8546901587</v>
      </c>
      <c r="K17" s="10">
        <f t="shared" si="11"/>
        <v>4481304.9971297001</v>
      </c>
      <c r="L17" s="10">
        <f t="shared" si="11"/>
        <v>4527108.1802902399</v>
      </c>
      <c r="M17" s="10">
        <f t="shared" si="11"/>
        <v>4579820.7670953991</v>
      </c>
      <c r="N17" s="10">
        <f t="shared" si="11"/>
        <v>4606358.3141305009</v>
      </c>
      <c r="O17" s="10">
        <f t="shared" si="11"/>
        <v>4629423.7290698215</v>
      </c>
      <c r="P17" s="10">
        <f t="shared" si="11"/>
        <v>4642879.8848700607</v>
      </c>
      <c r="Q17" s="10">
        <f t="shared" si="11"/>
        <v>4677702.9017777806</v>
      </c>
      <c r="R17" s="10">
        <f t="shared" si="11"/>
        <v>4711937.3651178712</v>
      </c>
      <c r="S17" s="10">
        <f t="shared" si="11"/>
        <v>4736735.9601487797</v>
      </c>
      <c r="T17" s="10">
        <f t="shared" si="11"/>
        <v>4759182.6820686013</v>
      </c>
      <c r="U17" s="10">
        <f t="shared" si="11"/>
        <v>4797685.8067806996</v>
      </c>
      <c r="V17" s="10">
        <f t="shared" si="11"/>
        <v>4839755.5280563822</v>
      </c>
      <c r="W17" s="10">
        <f t="shared" si="11"/>
        <v>4878648.8279176103</v>
      </c>
      <c r="X17" s="10">
        <f t="shared" si="11"/>
        <v>4936872.7574722199</v>
      </c>
      <c r="Y17" s="10">
        <f t="shared" si="11"/>
        <v>4987133.5896307984</v>
      </c>
      <c r="Z17" s="10">
        <f t="shared" si="11"/>
        <v>5021692.4132102393</v>
      </c>
      <c r="AA17" s="10">
        <f t="shared" si="11"/>
        <v>5055862.0991399502</v>
      </c>
      <c r="AB17" s="10">
        <f t="shared" si="11"/>
        <v>5082574.5748514803</v>
      </c>
      <c r="AC17" s="10">
        <f t="shared" si="11"/>
        <v>5099341.7543449998</v>
      </c>
      <c r="AD17" s="10">
        <f t="shared" si="11"/>
        <v>5112462.7920373492</v>
      </c>
      <c r="AE17" s="10">
        <f t="shared" si="11"/>
        <v>5120841.7037348403</v>
      </c>
      <c r="AF17" s="10">
        <f t="shared" si="11"/>
        <v>5140021.6014166009</v>
      </c>
      <c r="AG17" s="10">
        <f t="shared" si="11"/>
        <v>5181372.6754709203</v>
      </c>
      <c r="AH17" s="10">
        <f t="shared" si="11"/>
        <v>5203165.1080299402</v>
      </c>
      <c r="AI17" s="10">
        <f t="shared" si="11"/>
        <v>5227244.6135566514</v>
      </c>
      <c r="AJ17" s="10">
        <f t="shared" si="11"/>
        <v>5256760.1928875204</v>
      </c>
      <c r="AK17" s="10">
        <f t="shared" si="11"/>
        <v>5284191.4010891607</v>
      </c>
      <c r="AL17" s="10">
        <f t="shared" si="11"/>
        <v>5310103.7390031796</v>
      </c>
      <c r="AM17" s="10">
        <f t="shared" si="11"/>
        <v>5331544.3248690395</v>
      </c>
      <c r="AN17" s="10">
        <f t="shared" si="11"/>
        <v>5320766.47</v>
      </c>
      <c r="AO17" s="10">
        <f t="shared" si="11"/>
        <v>5310993.2799999993</v>
      </c>
      <c r="AP17" s="10">
        <f t="shared" si="11"/>
        <v>5315135.8899999997</v>
      </c>
      <c r="AQ17" s="10">
        <f t="shared" si="11"/>
        <v>5294890.49372203</v>
      </c>
      <c r="AR17" s="10">
        <f t="shared" si="11"/>
        <v>5293027.4542063894</v>
      </c>
      <c r="AS17" s="10">
        <f t="shared" si="11"/>
        <v>5297058.9449569518</v>
      </c>
      <c r="AT17" s="10">
        <f t="shared" si="11"/>
        <v>0</v>
      </c>
      <c r="AU17" s="10">
        <f t="shared" si="11"/>
        <v>0</v>
      </c>
      <c r="AV17" s="10">
        <f t="shared" si="11"/>
        <v>0</v>
      </c>
      <c r="AW17" s="10">
        <f t="shared" si="11"/>
        <v>0</v>
      </c>
      <c r="AX17" s="10">
        <f t="shared" si="11"/>
        <v>0</v>
      </c>
      <c r="AY17" s="10">
        <f t="shared" si="11"/>
        <v>0</v>
      </c>
      <c r="AZ17" s="10">
        <f t="shared" si="11"/>
        <v>5322326.5313491216</v>
      </c>
      <c r="BA17" s="10">
        <f t="shared" si="11"/>
        <v>5339672.6513270633</v>
      </c>
      <c r="BB17" s="10">
        <f t="shared" si="11"/>
        <v>5337527.5306626437</v>
      </c>
      <c r="BC17" s="10">
        <f t="shared" si="11"/>
        <v>5349927.2709169434</v>
      </c>
      <c r="BD17" s="10">
        <f t="shared" si="11"/>
        <v>5365934.740124872</v>
      </c>
      <c r="BE17" s="10">
        <f t="shared" si="11"/>
        <v>5396862.5913350871</v>
      </c>
      <c r="BF17" s="10">
        <f t="shared" si="11"/>
        <v>5418465.1254085377</v>
      </c>
      <c r="BG17" s="10">
        <f t="shared" si="11"/>
        <v>5461133.3217935907</v>
      </c>
      <c r="BH17" s="10">
        <f t="shared" si="11"/>
        <v>5496655.6353902183</v>
      </c>
      <c r="BI17" s="10">
        <f t="shared" si="11"/>
        <v>5536008.3384178663</v>
      </c>
      <c r="BJ17" s="10">
        <f t="shared" si="11"/>
        <v>5569980.9786944436</v>
      </c>
      <c r="BK17" s="10">
        <f t="shared" si="11"/>
        <v>5596572.7212640326</v>
      </c>
      <c r="BO17" s="23">
        <f>SUM(BO14:BO16)</f>
        <v>5315631.8800000008</v>
      </c>
      <c r="BP17" s="23">
        <f t="shared" ref="BP17:BT17" si="12">SUM(BP14:BP16)</f>
        <v>5333175.5711129438</v>
      </c>
      <c r="BQ17" s="23">
        <f t="shared" si="12"/>
        <v>5315879.875</v>
      </c>
      <c r="BR17" s="23">
        <f t="shared" si="12"/>
        <v>5098126.3737446098</v>
      </c>
      <c r="BS17" s="23">
        <f t="shared" si="12"/>
        <v>4677506.7172552375</v>
      </c>
      <c r="BT17" s="23">
        <f t="shared" si="12"/>
        <v>4374718.2329209931</v>
      </c>
      <c r="BW17" s="23">
        <f>SUM(BW14:BW16)</f>
        <v>15946895.639999999</v>
      </c>
      <c r="BX17" s="23">
        <f t="shared" ref="BX17:CB17" si="13">SUM(BX14:BX16)</f>
        <v>15999526.71333883</v>
      </c>
      <c r="BY17" s="23">
        <f t="shared" si="13"/>
        <v>10631759.75</v>
      </c>
      <c r="BZ17" s="23">
        <f t="shared" si="13"/>
        <v>15294379.121233828</v>
      </c>
      <c r="CA17" s="23">
        <f t="shared" si="13"/>
        <v>14032520.151765712</v>
      </c>
      <c r="CB17" s="23">
        <f t="shared" si="13"/>
        <v>13124154.698762979</v>
      </c>
    </row>
    <row r="18" spans="1:80" x14ac:dyDescent="0.25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80" x14ac:dyDescent="0.25"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spans="1:80" hidden="1" outlineLevel="1" x14ac:dyDescent="0.25">
      <c r="A20" s="11"/>
      <c r="C20" s="2" t="s">
        <v>0</v>
      </c>
      <c r="D20" s="14">
        <f>IFERROR(((1+D38/D14)^(360/D$3))-1,0)</f>
        <v>6.4883447789770399E-2</v>
      </c>
      <c r="E20" s="14">
        <f t="shared" ref="E20:AY23" si="14">IFERROR(((1+E38/E14)^(360/E$3))-1,0)</f>
        <v>6.5159862371891863E-2</v>
      </c>
      <c r="F20" s="14">
        <f t="shared" si="14"/>
        <v>6.5831909312767722E-2</v>
      </c>
      <c r="G20" s="14">
        <f t="shared" si="14"/>
        <v>6.6036863251789146E-2</v>
      </c>
      <c r="H20" s="14">
        <f t="shared" si="14"/>
        <v>6.6665300634994651E-2</v>
      </c>
      <c r="I20" s="14">
        <f t="shared" si="14"/>
        <v>6.6560545126492121E-2</v>
      </c>
      <c r="J20" s="14">
        <f t="shared" si="14"/>
        <v>6.6981086995245631E-2</v>
      </c>
      <c r="K20" s="14">
        <f t="shared" si="14"/>
        <v>6.7228240525115446E-2</v>
      </c>
      <c r="L20" s="14">
        <f t="shared" si="14"/>
        <v>6.7733577531811751E-2</v>
      </c>
      <c r="M20" s="14">
        <f t="shared" si="14"/>
        <v>6.8096018984176387E-2</v>
      </c>
      <c r="N20" s="14">
        <f t="shared" si="14"/>
        <v>6.8116784261752716E-2</v>
      </c>
      <c r="O20" s="14">
        <f t="shared" si="14"/>
        <v>6.8695041252867961E-2</v>
      </c>
      <c r="P20" s="14">
        <f t="shared" si="14"/>
        <v>6.8967336518716227E-2</v>
      </c>
      <c r="Q20" s="14">
        <f t="shared" si="14"/>
        <v>6.8778771057682375E-2</v>
      </c>
      <c r="R20" s="14">
        <f t="shared" si="14"/>
        <v>6.9386846012064129E-2</v>
      </c>
      <c r="S20" s="14">
        <f t="shared" si="14"/>
        <v>6.9297552465218182E-2</v>
      </c>
      <c r="T20" s="14">
        <f t="shared" si="14"/>
        <v>6.9540297787965333E-2</v>
      </c>
      <c r="U20" s="14">
        <f t="shared" si="14"/>
        <v>7.0001315712760803E-2</v>
      </c>
      <c r="V20" s="14">
        <f t="shared" si="14"/>
        <v>6.9915905578140425E-2</v>
      </c>
      <c r="W20" s="14">
        <f t="shared" si="14"/>
        <v>7.0263767618864659E-2</v>
      </c>
      <c r="X20" s="14">
        <f t="shared" si="14"/>
        <v>7.0271954221797994E-2</v>
      </c>
      <c r="Y20" s="14">
        <f t="shared" si="14"/>
        <v>7.0520848004070658E-2</v>
      </c>
      <c r="Z20" s="14">
        <f t="shared" si="14"/>
        <v>7.0493224006926036E-2</v>
      </c>
      <c r="AA20" s="14">
        <f t="shared" si="14"/>
        <v>7.057101754304318E-2</v>
      </c>
      <c r="AB20" s="14">
        <f t="shared" si="14"/>
        <v>7.0219404939927621E-2</v>
      </c>
      <c r="AC20" s="14">
        <f t="shared" si="14"/>
        <v>7.0536234614634985E-2</v>
      </c>
      <c r="AD20" s="14">
        <f t="shared" si="14"/>
        <v>7.0304174839521671E-2</v>
      </c>
      <c r="AE20" s="14">
        <f t="shared" si="14"/>
        <v>6.999428216110104E-2</v>
      </c>
      <c r="AF20" s="14">
        <f t="shared" si="14"/>
        <v>7.0426753727951263E-2</v>
      </c>
      <c r="AG20" s="14">
        <f t="shared" si="14"/>
        <v>6.9971087799999498E-2</v>
      </c>
      <c r="AH20" s="14">
        <f t="shared" si="14"/>
        <v>7.0382076743027655E-2</v>
      </c>
      <c r="AI20" s="14">
        <f t="shared" si="14"/>
        <v>7.0201027624253509E-2</v>
      </c>
      <c r="AJ20" s="14">
        <f t="shared" si="14"/>
        <v>6.9979160277014785E-2</v>
      </c>
      <c r="AK20" s="14">
        <f t="shared" si="14"/>
        <v>7.0023470901681151E-2</v>
      </c>
      <c r="AL20" s="14">
        <f t="shared" si="14"/>
        <v>7.0084325664140579E-2</v>
      </c>
      <c r="AM20" s="14">
        <f t="shared" si="14"/>
        <v>7.0237636956260729E-2</v>
      </c>
      <c r="AN20" s="14">
        <f t="shared" si="14"/>
        <v>7.0289582965606945E-2</v>
      </c>
      <c r="AO20" s="14">
        <f t="shared" si="14"/>
        <v>7.0080075653539131E-2</v>
      </c>
      <c r="AP20" s="14">
        <f t="shared" si="14"/>
        <v>7.0212815154343522E-2</v>
      </c>
      <c r="AQ20" s="14">
        <f t="shared" si="14"/>
        <v>7.0078733750047251E-2</v>
      </c>
      <c r="AR20" s="14">
        <f t="shared" si="14"/>
        <v>7.0055118992677246E-2</v>
      </c>
      <c r="AS20" s="14">
        <f t="shared" si="14"/>
        <v>6.9922785925500719E-2</v>
      </c>
      <c r="AT20" s="14">
        <f t="shared" si="14"/>
        <v>0</v>
      </c>
      <c r="AU20" s="14">
        <f t="shared" si="14"/>
        <v>0</v>
      </c>
      <c r="AV20" s="14">
        <f t="shared" si="14"/>
        <v>0</v>
      </c>
      <c r="AW20" s="14">
        <f t="shared" si="14"/>
        <v>0</v>
      </c>
      <c r="AX20" s="14">
        <f t="shared" si="14"/>
        <v>0</v>
      </c>
      <c r="AY20" s="14">
        <f t="shared" si="14"/>
        <v>0</v>
      </c>
      <c r="AZ20" s="14">
        <f t="shared" ref="AZ20:BK23" si="15">IFERROR(((1+AZ38/AZ14)^(360/AZ$3))-1,0)</f>
        <v>7.0042998465054351E-2</v>
      </c>
      <c r="BA20" s="14">
        <f t="shared" si="15"/>
        <v>7.0380408055561894E-2</v>
      </c>
      <c r="BB20" s="14">
        <f t="shared" si="15"/>
        <v>7.0038316859376115E-2</v>
      </c>
      <c r="BC20" s="14">
        <f t="shared" si="15"/>
        <v>7.0219865270601423E-2</v>
      </c>
      <c r="BD20" s="14">
        <f t="shared" si="15"/>
        <v>7.0745005056090271E-2</v>
      </c>
      <c r="BE20" s="14">
        <f t="shared" si="15"/>
        <v>7.0375338349557337E-2</v>
      </c>
      <c r="BF20" s="14">
        <f t="shared" si="15"/>
        <v>7.0816682070534043E-2</v>
      </c>
      <c r="BG20" s="14">
        <f t="shared" si="15"/>
        <v>7.078040759190829E-2</v>
      </c>
      <c r="BH20" s="14">
        <f t="shared" si="15"/>
        <v>7.0923805380534333E-2</v>
      </c>
      <c r="BI20" s="14">
        <f t="shared" si="15"/>
        <v>7.0834267481508117E-2</v>
      </c>
      <c r="BJ20" s="14">
        <f t="shared" si="15"/>
        <v>7.1063240057103627E-2</v>
      </c>
      <c r="BK20" s="14">
        <f t="shared" si="15"/>
        <v>7.0910873607318958E-2</v>
      </c>
      <c r="BO20" s="28">
        <f>IFERROR(((1+BO38/BW14)^(360/BO$3))-1,0)</f>
        <v>7.0200980544712799E-2</v>
      </c>
      <c r="BP20" s="28">
        <f t="shared" ref="BP20:BT23" si="16">IFERROR(((1+BP38/BX14)^(360/BP$3))-1,0)</f>
        <v>7.0143720009406607E-2</v>
      </c>
      <c r="BQ20" s="28">
        <f t="shared" si="16"/>
        <v>7.0194444812312629E-2</v>
      </c>
      <c r="BR20" s="28">
        <f t="shared" si="16"/>
        <v>7.0346934783709347E-2</v>
      </c>
      <c r="BS20" s="28">
        <f t="shared" si="16"/>
        <v>6.9051738848948441E-2</v>
      </c>
      <c r="BT20" s="28">
        <f t="shared" si="16"/>
        <v>6.5296432020358175E-2</v>
      </c>
    </row>
    <row r="21" spans="1:80" hidden="1" outlineLevel="1" x14ac:dyDescent="0.25">
      <c r="A21" s="11"/>
      <c r="C21" s="2" t="s">
        <v>1</v>
      </c>
      <c r="D21" s="14">
        <f t="shared" ref="D21:S23" si="17">IFERROR(((1+D39/D15)^(360/D$3))-1,0)</f>
        <v>0</v>
      </c>
      <c r="E21" s="14">
        <f t="shared" si="17"/>
        <v>0</v>
      </c>
      <c r="F21" s="14">
        <f t="shared" si="17"/>
        <v>0</v>
      </c>
      <c r="G21" s="14">
        <f t="shared" si="17"/>
        <v>0</v>
      </c>
      <c r="H21" s="14">
        <f t="shared" si="17"/>
        <v>0</v>
      </c>
      <c r="I21" s="14">
        <f t="shared" si="17"/>
        <v>0</v>
      </c>
      <c r="J21" s="14">
        <f t="shared" si="17"/>
        <v>0</v>
      </c>
      <c r="K21" s="14">
        <f t="shared" si="17"/>
        <v>0</v>
      </c>
      <c r="L21" s="14">
        <f t="shared" si="17"/>
        <v>0</v>
      </c>
      <c r="M21" s="14">
        <f t="shared" si="17"/>
        <v>0</v>
      </c>
      <c r="N21" s="14">
        <f t="shared" si="17"/>
        <v>0</v>
      </c>
      <c r="O21" s="14">
        <f t="shared" si="17"/>
        <v>0</v>
      </c>
      <c r="P21" s="14">
        <f t="shared" si="17"/>
        <v>0</v>
      </c>
      <c r="Q21" s="14">
        <f t="shared" si="17"/>
        <v>0</v>
      </c>
      <c r="R21" s="14">
        <f t="shared" si="17"/>
        <v>0</v>
      </c>
      <c r="S21" s="14">
        <f t="shared" si="17"/>
        <v>0</v>
      </c>
      <c r="T21" s="14">
        <f t="shared" si="14"/>
        <v>0</v>
      </c>
      <c r="U21" s="14">
        <f t="shared" si="14"/>
        <v>0</v>
      </c>
      <c r="V21" s="14">
        <f t="shared" si="14"/>
        <v>0</v>
      </c>
      <c r="W21" s="14">
        <f t="shared" si="14"/>
        <v>0</v>
      </c>
      <c r="X21" s="14">
        <f t="shared" si="14"/>
        <v>0</v>
      </c>
      <c r="Y21" s="14">
        <f t="shared" si="14"/>
        <v>0</v>
      </c>
      <c r="Z21" s="14">
        <f t="shared" si="14"/>
        <v>0</v>
      </c>
      <c r="AA21" s="14">
        <f t="shared" si="14"/>
        <v>0</v>
      </c>
      <c r="AB21" s="14">
        <f t="shared" si="14"/>
        <v>0</v>
      </c>
      <c r="AC21" s="14">
        <f t="shared" si="14"/>
        <v>0</v>
      </c>
      <c r="AD21" s="14">
        <f t="shared" si="14"/>
        <v>0</v>
      </c>
      <c r="AE21" s="14">
        <f t="shared" si="14"/>
        <v>0</v>
      </c>
      <c r="AF21" s="14">
        <f t="shared" si="14"/>
        <v>0</v>
      </c>
      <c r="AG21" s="14">
        <f t="shared" si="14"/>
        <v>0</v>
      </c>
      <c r="AH21" s="14">
        <f t="shared" si="14"/>
        <v>0</v>
      </c>
      <c r="AI21" s="14">
        <f t="shared" si="14"/>
        <v>0</v>
      </c>
      <c r="AJ21" s="14">
        <f t="shared" si="14"/>
        <v>0</v>
      </c>
      <c r="AK21" s="14">
        <f t="shared" si="14"/>
        <v>0</v>
      </c>
      <c r="AL21" s="14">
        <f t="shared" si="14"/>
        <v>0</v>
      </c>
      <c r="AM21" s="14">
        <f t="shared" si="14"/>
        <v>0</v>
      </c>
      <c r="AN21" s="14">
        <f t="shared" si="14"/>
        <v>0</v>
      </c>
      <c r="AO21" s="14">
        <f t="shared" si="14"/>
        <v>0</v>
      </c>
      <c r="AP21" s="14">
        <f t="shared" si="14"/>
        <v>0</v>
      </c>
      <c r="AQ21" s="14">
        <f t="shared" si="14"/>
        <v>0</v>
      </c>
      <c r="AR21" s="14">
        <f t="shared" si="14"/>
        <v>0</v>
      </c>
      <c r="AS21" s="14">
        <f t="shared" si="14"/>
        <v>0</v>
      </c>
      <c r="AT21" s="14">
        <f t="shared" si="14"/>
        <v>0</v>
      </c>
      <c r="AU21" s="14">
        <f t="shared" si="14"/>
        <v>0</v>
      </c>
      <c r="AV21" s="14">
        <f t="shared" si="14"/>
        <v>0</v>
      </c>
      <c r="AW21" s="14">
        <f t="shared" si="14"/>
        <v>0</v>
      </c>
      <c r="AX21" s="14">
        <f t="shared" si="14"/>
        <v>0</v>
      </c>
      <c r="AY21" s="14">
        <f t="shared" si="14"/>
        <v>0</v>
      </c>
      <c r="AZ21" s="14">
        <f t="shared" si="15"/>
        <v>0</v>
      </c>
      <c r="BA21" s="14">
        <f t="shared" si="15"/>
        <v>0</v>
      </c>
      <c r="BB21" s="14">
        <f t="shared" si="15"/>
        <v>0</v>
      </c>
      <c r="BC21" s="14">
        <f t="shared" si="15"/>
        <v>0</v>
      </c>
      <c r="BD21" s="14">
        <f t="shared" si="15"/>
        <v>0</v>
      </c>
      <c r="BE21" s="14">
        <f t="shared" si="15"/>
        <v>0</v>
      </c>
      <c r="BF21" s="14">
        <f t="shared" si="15"/>
        <v>0</v>
      </c>
      <c r="BG21" s="14">
        <f t="shared" si="15"/>
        <v>0</v>
      </c>
      <c r="BH21" s="14">
        <f t="shared" si="15"/>
        <v>0</v>
      </c>
      <c r="BI21" s="14">
        <f t="shared" si="15"/>
        <v>0</v>
      </c>
      <c r="BJ21" s="14">
        <f t="shared" si="15"/>
        <v>0</v>
      </c>
      <c r="BK21" s="14">
        <f t="shared" si="15"/>
        <v>0</v>
      </c>
      <c r="BO21" s="28">
        <f t="shared" ref="BO21:BO23" si="18">IFERROR(((1+BO39/BW15)^(360/BO$3))-1,0)</f>
        <v>0</v>
      </c>
      <c r="BP21" s="28">
        <f t="shared" si="16"/>
        <v>0</v>
      </c>
      <c r="BQ21" s="28">
        <f t="shared" si="16"/>
        <v>0</v>
      </c>
      <c r="BR21" s="28">
        <f t="shared" si="16"/>
        <v>0</v>
      </c>
      <c r="BS21" s="28">
        <f t="shared" si="16"/>
        <v>0</v>
      </c>
      <c r="BT21" s="28">
        <f t="shared" si="16"/>
        <v>0</v>
      </c>
    </row>
    <row r="22" spans="1:80" hidden="1" outlineLevel="1" x14ac:dyDescent="0.25">
      <c r="A22" s="11"/>
      <c r="C22" s="2" t="s">
        <v>45</v>
      </c>
      <c r="D22" s="14">
        <f t="shared" si="17"/>
        <v>9.8846776925392454E-2</v>
      </c>
      <c r="E22" s="14">
        <f t="shared" si="14"/>
        <v>0.11801120220848005</v>
      </c>
      <c r="F22" s="14">
        <f t="shared" si="14"/>
        <v>0.10998224693894976</v>
      </c>
      <c r="G22" s="14">
        <f t="shared" si="14"/>
        <v>8.8599027968691235E-2</v>
      </c>
      <c r="H22" s="14">
        <f t="shared" si="14"/>
        <v>8.3266012012487511E-2</v>
      </c>
      <c r="I22" s="14">
        <f t="shared" si="14"/>
        <v>8.8059839786423844E-2</v>
      </c>
      <c r="J22" s="14">
        <f t="shared" si="14"/>
        <v>0.13171972403033427</v>
      </c>
      <c r="K22" s="14">
        <f t="shared" si="14"/>
        <v>0.10542892946120808</v>
      </c>
      <c r="L22" s="14">
        <f t="shared" si="14"/>
        <v>9.524812138321348E-2</v>
      </c>
      <c r="M22" s="14">
        <f t="shared" si="14"/>
        <v>0.17414032839259153</v>
      </c>
      <c r="N22" s="14">
        <f t="shared" si="14"/>
        <v>7.9160357900684986E-2</v>
      </c>
      <c r="O22" s="14">
        <f t="shared" si="14"/>
        <v>6.2288592526683173E-2</v>
      </c>
      <c r="P22" s="14">
        <f t="shared" si="14"/>
        <v>0.14271674602386297</v>
      </c>
      <c r="Q22" s="14">
        <f t="shared" si="14"/>
        <v>0.10907125244757276</v>
      </c>
      <c r="R22" s="14">
        <f t="shared" si="14"/>
        <v>8.311989764254224E-2</v>
      </c>
      <c r="S22" s="14">
        <f t="shared" si="14"/>
        <v>0.10135689565507899</v>
      </c>
      <c r="T22" s="14">
        <f t="shared" si="14"/>
        <v>8.0316014987330542E-2</v>
      </c>
      <c r="U22" s="14">
        <f t="shared" si="14"/>
        <v>9.4513210924209501E-2</v>
      </c>
      <c r="V22" s="14">
        <f t="shared" si="14"/>
        <v>9.1267128187858093E-2</v>
      </c>
      <c r="W22" s="14">
        <f t="shared" si="14"/>
        <v>9.01412689861667E-2</v>
      </c>
      <c r="X22" s="14">
        <f t="shared" si="14"/>
        <v>0.11637221309430368</v>
      </c>
      <c r="Y22" s="14">
        <f t="shared" si="14"/>
        <v>0.11136265408333679</v>
      </c>
      <c r="Z22" s="14">
        <f t="shared" si="14"/>
        <v>0.12011917414680906</v>
      </c>
      <c r="AA22" s="14">
        <f t="shared" si="14"/>
        <v>9.9641351838532177E-2</v>
      </c>
      <c r="AB22" s="14">
        <f t="shared" si="14"/>
        <v>0.1353371093028366</v>
      </c>
      <c r="AC22" s="14">
        <f t="shared" si="14"/>
        <v>7.9498994638232512E-2</v>
      </c>
      <c r="AD22" s="14">
        <f t="shared" si="14"/>
        <v>0.11128208294715991</v>
      </c>
      <c r="AE22" s="14">
        <f t="shared" si="14"/>
        <v>0.11145768183918947</v>
      </c>
      <c r="AF22" s="14">
        <f t="shared" si="14"/>
        <v>9.9927557928982225E-2</v>
      </c>
      <c r="AG22" s="14">
        <f t="shared" si="14"/>
        <v>9.1093394030286934E-2</v>
      </c>
      <c r="AH22" s="14">
        <f t="shared" si="14"/>
        <v>7.0972092835977163E-2</v>
      </c>
      <c r="AI22" s="14">
        <f t="shared" si="14"/>
        <v>9.4709660142786145E-2</v>
      </c>
      <c r="AJ22" s="14">
        <f t="shared" si="14"/>
        <v>0.18394012105535085</v>
      </c>
      <c r="AK22" s="14">
        <f t="shared" si="14"/>
        <v>0.10867247890679965</v>
      </c>
      <c r="AL22" s="14">
        <f t="shared" si="14"/>
        <v>9.0256306904838546E-2</v>
      </c>
      <c r="AM22" s="14">
        <f t="shared" si="14"/>
        <v>0.10219705808138957</v>
      </c>
      <c r="AN22" s="14">
        <f t="shared" si="14"/>
        <v>9.1774204725735276E-2</v>
      </c>
      <c r="AO22" s="14">
        <f t="shared" si="14"/>
        <v>4.9706704156463388E-2</v>
      </c>
      <c r="AP22" s="14">
        <f t="shared" si="14"/>
        <v>0.11795220316524357</v>
      </c>
      <c r="AQ22" s="14">
        <f t="shared" si="14"/>
        <v>6.659924982933263E-2</v>
      </c>
      <c r="AR22" s="14">
        <f t="shared" si="14"/>
        <v>8.9658281678456353E-2</v>
      </c>
      <c r="AS22" s="14">
        <f t="shared" si="14"/>
        <v>8.3211409194240415E-2</v>
      </c>
      <c r="AT22" s="14">
        <f t="shared" si="14"/>
        <v>0</v>
      </c>
      <c r="AU22" s="14">
        <f t="shared" si="14"/>
        <v>0</v>
      </c>
      <c r="AV22" s="14">
        <f t="shared" si="14"/>
        <v>0</v>
      </c>
      <c r="AW22" s="14">
        <f t="shared" si="14"/>
        <v>0</v>
      </c>
      <c r="AX22" s="14">
        <f t="shared" si="14"/>
        <v>0</v>
      </c>
      <c r="AY22" s="14">
        <f t="shared" si="14"/>
        <v>0</v>
      </c>
      <c r="AZ22" s="14">
        <f t="shared" si="15"/>
        <v>0.1392108977463189</v>
      </c>
      <c r="BA22" s="14">
        <f t="shared" si="15"/>
        <v>0.1375672359109168</v>
      </c>
      <c r="BB22" s="14">
        <f t="shared" si="15"/>
        <v>0.13180892418570322</v>
      </c>
      <c r="BC22" s="14">
        <f t="shared" si="15"/>
        <v>0.12983052057149558</v>
      </c>
      <c r="BD22" s="14">
        <f t="shared" si="15"/>
        <v>0.13116026282173476</v>
      </c>
      <c r="BE22" s="14">
        <f t="shared" si="15"/>
        <v>0.12659619530243282</v>
      </c>
      <c r="BF22" s="14">
        <f t="shared" si="15"/>
        <v>0.12878321702140028</v>
      </c>
      <c r="BG22" s="14">
        <f t="shared" si="15"/>
        <v>0.12380258858518234</v>
      </c>
      <c r="BH22" s="14">
        <f t="shared" si="15"/>
        <v>0.12383412910905767</v>
      </c>
      <c r="BI22" s="14">
        <f t="shared" si="15"/>
        <v>0.1223133796239384</v>
      </c>
      <c r="BJ22" s="14">
        <f t="shared" si="15"/>
        <v>0.117490104400372</v>
      </c>
      <c r="BK22" s="14">
        <f t="shared" si="15"/>
        <v>0.11780339690130215</v>
      </c>
      <c r="BO22" s="28">
        <f t="shared" si="18"/>
        <v>8.6887310694018893E-2</v>
      </c>
      <c r="BP22" s="28">
        <f t="shared" si="16"/>
        <v>0.1360854705770107</v>
      </c>
      <c r="BQ22" s="28">
        <f t="shared" si="16"/>
        <v>7.1366672883262927E-2</v>
      </c>
      <c r="BR22" s="28">
        <f t="shared" si="16"/>
        <v>0.10930457525851045</v>
      </c>
      <c r="BS22" s="28">
        <f t="shared" si="16"/>
        <v>0.11144784116830531</v>
      </c>
      <c r="BT22" s="28">
        <f t="shared" si="16"/>
        <v>0.108636730692381</v>
      </c>
    </row>
    <row r="23" spans="1:80" collapsed="1" x14ac:dyDescent="0.25">
      <c r="C23" s="3" t="s">
        <v>59</v>
      </c>
      <c r="D23" s="15">
        <f t="shared" si="17"/>
        <v>6.4990982365592087E-2</v>
      </c>
      <c r="E23" s="15">
        <f t="shared" si="14"/>
        <v>6.5389124215191163E-2</v>
      </c>
      <c r="F23" s="15">
        <f t="shared" si="14"/>
        <v>6.6013196172529431E-2</v>
      </c>
      <c r="G23" s="15">
        <f t="shared" si="14"/>
        <v>6.6024455870592691E-2</v>
      </c>
      <c r="H23" s="15">
        <f t="shared" si="14"/>
        <v>6.6656806723767836E-2</v>
      </c>
      <c r="I23" s="15">
        <f t="shared" si="14"/>
        <v>6.6592368850163286E-2</v>
      </c>
      <c r="J23" s="15">
        <f t="shared" si="14"/>
        <v>6.7323136046301579E-2</v>
      </c>
      <c r="K23" s="15">
        <f t="shared" si="14"/>
        <v>6.7381205465315341E-2</v>
      </c>
      <c r="L23" s="15">
        <f t="shared" si="14"/>
        <v>6.7833598786232185E-2</v>
      </c>
      <c r="M23" s="15">
        <f t="shared" si="14"/>
        <v>6.8773371601343003E-2</v>
      </c>
      <c r="N23" s="15">
        <f t="shared" si="14"/>
        <v>6.8033759570559793E-2</v>
      </c>
      <c r="O23" s="15">
        <f t="shared" si="14"/>
        <v>6.8480187079637433E-2</v>
      </c>
      <c r="P23" s="15">
        <f t="shared" si="14"/>
        <v>6.9391283577256102E-2</v>
      </c>
      <c r="Q23" s="15">
        <f t="shared" si="14"/>
        <v>6.8950020378745203E-2</v>
      </c>
      <c r="R23" s="15">
        <f t="shared" si="14"/>
        <v>6.9333710095841994E-2</v>
      </c>
      <c r="S23" s="15">
        <f t="shared" si="14"/>
        <v>6.9395010251601441E-2</v>
      </c>
      <c r="T23" s="15">
        <f t="shared" si="14"/>
        <v>6.9484078370941393E-2</v>
      </c>
      <c r="U23" s="15">
        <f t="shared" si="14"/>
        <v>7.0063185300561326E-2</v>
      </c>
      <c r="V23" s="15">
        <f t="shared" si="14"/>
        <v>6.9967903801730236E-2</v>
      </c>
      <c r="W23" s="15">
        <f t="shared" si="14"/>
        <v>7.0307668289838032E-2</v>
      </c>
      <c r="X23" s="15">
        <f t="shared" si="14"/>
        <v>7.0546639512302223E-2</v>
      </c>
      <c r="Y23" s="15">
        <f t="shared" si="14"/>
        <v>7.0745173499076719E-2</v>
      </c>
      <c r="Z23" s="15">
        <f t="shared" si="14"/>
        <v>7.079285261581858E-2</v>
      </c>
      <c r="AA23" s="15">
        <f t="shared" si="14"/>
        <v>7.0686305793103532E-2</v>
      </c>
      <c r="AB23" s="15">
        <f t="shared" si="14"/>
        <v>7.0612468963071162E-2</v>
      </c>
      <c r="AC23" s="15">
        <f t="shared" si="14"/>
        <v>7.0466774807128596E-2</v>
      </c>
      <c r="AD23" s="15">
        <f t="shared" si="14"/>
        <v>7.0527725702830724E-2</v>
      </c>
      <c r="AE23" s="15">
        <f t="shared" si="14"/>
        <v>7.0207776639062525E-2</v>
      </c>
      <c r="AF23" s="15">
        <f t="shared" si="14"/>
        <v>7.0572528338521234E-2</v>
      </c>
      <c r="AG23" s="15">
        <f t="shared" si="14"/>
        <v>7.0051542053420457E-2</v>
      </c>
      <c r="AH23" s="15">
        <f t="shared" si="14"/>
        <v>7.024558155649907E-2</v>
      </c>
      <c r="AI23" s="15">
        <f t="shared" si="14"/>
        <v>7.0305020019255204E-2</v>
      </c>
      <c r="AJ23" s="15">
        <f t="shared" si="14"/>
        <v>7.0889116581333456E-2</v>
      </c>
      <c r="AK23" s="15">
        <f t="shared" si="14"/>
        <v>7.0262094588150026E-2</v>
      </c>
      <c r="AL23" s="15">
        <f t="shared" si="14"/>
        <v>7.0152774109380589E-2</v>
      </c>
      <c r="AM23" s="15">
        <f t="shared" si="14"/>
        <v>7.0455373449476832E-2</v>
      </c>
      <c r="AN23" s="15">
        <f t="shared" si="14"/>
        <v>7.0399590780557242E-2</v>
      </c>
      <c r="AO23" s="15">
        <f t="shared" si="14"/>
        <v>6.9708446580867722E-2</v>
      </c>
      <c r="AP23" s="15">
        <f t="shared" si="14"/>
        <v>7.060984645817725E-2</v>
      </c>
      <c r="AQ23" s="15">
        <f t="shared" si="14"/>
        <v>6.9895581303004883E-2</v>
      </c>
      <c r="AR23" s="15">
        <f t="shared" si="14"/>
        <v>7.0153768454419563E-2</v>
      </c>
      <c r="AS23" s="15">
        <f t="shared" si="14"/>
        <v>6.9961987429138395E-2</v>
      </c>
      <c r="AT23" s="15">
        <f t="shared" si="14"/>
        <v>0</v>
      </c>
      <c r="AU23" s="15">
        <f t="shared" si="14"/>
        <v>0</v>
      </c>
      <c r="AV23" s="15">
        <f t="shared" si="14"/>
        <v>0</v>
      </c>
      <c r="AW23" s="15">
        <f t="shared" si="14"/>
        <v>0</v>
      </c>
      <c r="AX23" s="15">
        <f t="shared" si="14"/>
        <v>0</v>
      </c>
      <c r="AY23" s="15">
        <f t="shared" si="14"/>
        <v>0</v>
      </c>
      <c r="AZ23" s="15">
        <f t="shared" si="15"/>
        <v>7.0620134709231674E-2</v>
      </c>
      <c r="BA23" s="15">
        <f t="shared" si="15"/>
        <v>7.0956286290769333E-2</v>
      </c>
      <c r="BB23" s="15">
        <f t="shared" si="15"/>
        <v>7.0584541303046811E-2</v>
      </c>
      <c r="BC23" s="15">
        <f t="shared" si="15"/>
        <v>7.0776430809533109E-2</v>
      </c>
      <c r="BD23" s="15">
        <f t="shared" si="15"/>
        <v>7.1311895781765333E-2</v>
      </c>
      <c r="BE23" s="15">
        <f t="shared" si="15"/>
        <v>7.092097216775306E-2</v>
      </c>
      <c r="BF23" s="15">
        <f t="shared" si="15"/>
        <v>7.1373180983876239E-2</v>
      </c>
      <c r="BG23" s="15">
        <f t="shared" si="15"/>
        <v>7.1307782569196787E-2</v>
      </c>
      <c r="BH23" s="15">
        <f t="shared" si="15"/>
        <v>7.1452024703869021E-2</v>
      </c>
      <c r="BI23" s="15">
        <f t="shared" si="15"/>
        <v>7.139248759813932E-2</v>
      </c>
      <c r="BJ23" s="15">
        <f t="shared" si="15"/>
        <v>7.1585903492238145E-2</v>
      </c>
      <c r="BK23" s="15">
        <f t="shared" si="15"/>
        <v>7.1436723743050656E-2</v>
      </c>
      <c r="BO23" s="29">
        <f t="shared" si="18"/>
        <v>7.0259779900410102E-2</v>
      </c>
      <c r="BP23" s="29">
        <f t="shared" si="16"/>
        <v>7.0710013912313352E-2</v>
      </c>
      <c r="BQ23" s="29">
        <f t="shared" si="16"/>
        <v>7.0075860481670471E-2</v>
      </c>
      <c r="BR23" s="29">
        <f t="shared" si="16"/>
        <v>7.0537750815218292E-2</v>
      </c>
      <c r="BS23" s="29">
        <f t="shared" si="16"/>
        <v>6.9231044108473583E-2</v>
      </c>
      <c r="BT23" s="29">
        <f t="shared" si="16"/>
        <v>6.5467767193256643E-2</v>
      </c>
    </row>
    <row r="26" spans="1:80" hidden="1" outlineLevel="1" x14ac:dyDescent="0.25">
      <c r="A26" s="11"/>
      <c r="C26" s="2" t="s">
        <v>0</v>
      </c>
      <c r="D26" s="14">
        <f>-IFERROR(((1-D44/D14)^(360/D$4))-1,0)</f>
        <v>-4.636220527808077E-2</v>
      </c>
      <c r="E26" s="14">
        <f t="shared" ref="E26:AY29" si="19">-IFERROR(((1-E44/E14)^(360/E$4))-1,0)</f>
        <v>-4.6777631842366274E-2</v>
      </c>
      <c r="F26" s="14">
        <f t="shared" si="19"/>
        <v>-4.727004275638369E-2</v>
      </c>
      <c r="G26" s="14">
        <f t="shared" si="19"/>
        <v>-4.7882933426804497E-2</v>
      </c>
      <c r="H26" s="14">
        <f t="shared" si="19"/>
        <v>-4.8096775292935323E-2</v>
      </c>
      <c r="I26" s="14">
        <f t="shared" si="19"/>
        <v>-4.8523460230857962E-2</v>
      </c>
      <c r="J26" s="14">
        <f t="shared" si="19"/>
        <v>-4.8875427625552526E-2</v>
      </c>
      <c r="K26" s="14">
        <f t="shared" si="19"/>
        <v>-4.912014660006947E-2</v>
      </c>
      <c r="L26" s="14">
        <f t="shared" si="19"/>
        <v>-4.9371543302178855E-2</v>
      </c>
      <c r="M26" s="14">
        <f t="shared" si="19"/>
        <v>-4.9647158756974674E-2</v>
      </c>
      <c r="N26" s="14">
        <f t="shared" si="19"/>
        <v>-4.9969117871116575E-2</v>
      </c>
      <c r="O26" s="14">
        <f t="shared" si="19"/>
        <v>-5.0324991280090936E-2</v>
      </c>
      <c r="P26" s="14">
        <f t="shared" si="19"/>
        <v>-5.0794978114966582E-2</v>
      </c>
      <c r="Q26" s="14">
        <f t="shared" si="19"/>
        <v>-5.0784301434402712E-2</v>
      </c>
      <c r="R26" s="14">
        <f t="shared" si="19"/>
        <v>-5.1314431892752088E-2</v>
      </c>
      <c r="S26" s="14">
        <f t="shared" si="19"/>
        <v>-5.133246232906008E-2</v>
      </c>
      <c r="T26" s="14">
        <f t="shared" si="19"/>
        <v>-5.1807961528295143E-2</v>
      </c>
      <c r="U26" s="14">
        <f t="shared" si="19"/>
        <v>-5.1866697896629788E-2</v>
      </c>
      <c r="V26" s="14">
        <f t="shared" si="19"/>
        <v>-5.2380441882659889E-2</v>
      </c>
      <c r="W26" s="14">
        <f t="shared" si="19"/>
        <v>-5.2624444567188622E-2</v>
      </c>
      <c r="X26" s="14">
        <f t="shared" si="19"/>
        <v>-5.2869260500397752E-2</v>
      </c>
      <c r="Y26" s="14">
        <f t="shared" si="19"/>
        <v>-5.290932700537887E-2</v>
      </c>
      <c r="Z26" s="14">
        <f t="shared" si="19"/>
        <v>-5.3135274206597138E-2</v>
      </c>
      <c r="AA26" s="14">
        <f t="shared" si="19"/>
        <v>-5.320727754824639E-2</v>
      </c>
      <c r="AB26" s="14">
        <f t="shared" si="19"/>
        <v>-5.338107993716168E-2</v>
      </c>
      <c r="AC26" s="14">
        <f t="shared" si="19"/>
        <v>-5.3454829021469585E-2</v>
      </c>
      <c r="AD26" s="14">
        <f t="shared" si="19"/>
        <v>-5.3618680435822741E-2</v>
      </c>
      <c r="AE26" s="14">
        <f t="shared" si="19"/>
        <v>-5.3609946868992564E-2</v>
      </c>
      <c r="AF26" s="14">
        <f t="shared" si="19"/>
        <v>-5.3720453081518293E-2</v>
      </c>
      <c r="AG26" s="14">
        <f t="shared" si="19"/>
        <v>-5.3840435978405932E-2</v>
      </c>
      <c r="AH26" s="14">
        <f t="shared" si="19"/>
        <v>-5.3980786244476109E-2</v>
      </c>
      <c r="AI26" s="14">
        <f t="shared" si="19"/>
        <v>-5.413221637283061E-2</v>
      </c>
      <c r="AJ26" s="14">
        <f t="shared" si="19"/>
        <v>-5.4133344401069872E-2</v>
      </c>
      <c r="AK26" s="14">
        <f t="shared" si="19"/>
        <v>-5.4122117596467234E-2</v>
      </c>
      <c r="AL26" s="14">
        <f t="shared" si="19"/>
        <v>-5.4125782903041264E-2</v>
      </c>
      <c r="AM26" s="14">
        <f t="shared" si="19"/>
        <v>-5.410677273624187E-2</v>
      </c>
      <c r="AN26" s="14">
        <f t="shared" si="19"/>
        <v>-5.4160465942014069E-2</v>
      </c>
      <c r="AO26" s="14">
        <f t="shared" si="19"/>
        <v>-5.4107485535114686E-2</v>
      </c>
      <c r="AP26" s="14">
        <f t="shared" si="19"/>
        <v>-5.4119821966838177E-2</v>
      </c>
      <c r="AQ26" s="14">
        <f t="shared" si="19"/>
        <v>-5.4016998779461867E-2</v>
      </c>
      <c r="AR26" s="14">
        <f t="shared" si="19"/>
        <v>-5.4127262523938402E-2</v>
      </c>
      <c r="AS26" s="14">
        <f t="shared" si="19"/>
        <v>-5.411714549054869E-2</v>
      </c>
      <c r="AT26" s="14">
        <f t="shared" si="19"/>
        <v>0</v>
      </c>
      <c r="AU26" s="14">
        <f t="shared" si="19"/>
        <v>0</v>
      </c>
      <c r="AV26" s="14">
        <f t="shared" si="19"/>
        <v>0</v>
      </c>
      <c r="AW26" s="14">
        <f t="shared" si="19"/>
        <v>0</v>
      </c>
      <c r="AX26" s="14">
        <f t="shared" si="19"/>
        <v>0</v>
      </c>
      <c r="AY26" s="14">
        <f t="shared" si="19"/>
        <v>0</v>
      </c>
      <c r="AZ26" s="14">
        <f t="shared" ref="AZ26:BK29" si="20">-IFERROR(((1-AZ44/AZ14)^(360/AZ$4))-1,0)</f>
        <v>-5.4323561983004476E-2</v>
      </c>
      <c r="BA26" s="14">
        <f t="shared" si="20"/>
        <v>-5.4326708453307893E-2</v>
      </c>
      <c r="BB26" s="14">
        <f t="shared" si="20"/>
        <v>-5.4344737013686917E-2</v>
      </c>
      <c r="BC26" s="14">
        <f t="shared" si="20"/>
        <v>-5.4336576338418707E-2</v>
      </c>
      <c r="BD26" s="14">
        <f t="shared" si="20"/>
        <v>-5.433097343686466E-2</v>
      </c>
      <c r="BE26" s="14">
        <f t="shared" si="20"/>
        <v>-5.4345008902374037E-2</v>
      </c>
      <c r="BF26" s="14">
        <f t="shared" si="20"/>
        <v>-5.4333930330325853E-2</v>
      </c>
      <c r="BG26" s="14">
        <f t="shared" si="20"/>
        <v>-5.4349651309619329E-2</v>
      </c>
      <c r="BH26" s="14">
        <f t="shared" si="20"/>
        <v>-5.4339543551078062E-2</v>
      </c>
      <c r="BI26" s="14">
        <f t="shared" si="20"/>
        <v>-5.4308517012102708E-2</v>
      </c>
      <c r="BJ26" s="14">
        <f t="shared" si="20"/>
        <v>-5.4324891800765496E-2</v>
      </c>
      <c r="BK26" s="14">
        <f t="shared" si="20"/>
        <v>-5.430768109676376E-2</v>
      </c>
      <c r="BO26" s="28">
        <f>-IFERROR(((1-BO44/BW14)^(360/BO$4))-1,0)</f>
        <v>-5.4129274642251035E-2</v>
      </c>
      <c r="BP26" s="28">
        <f t="shared" ref="BP26:BT29" si="21">-IFERROR(((1-BP44/BX14)^(360/BP$4))-1,0)</f>
        <v>-5.4331673575430006E-2</v>
      </c>
      <c r="BQ26" s="28">
        <f t="shared" si="21"/>
        <v>-5.4134001551090716E-2</v>
      </c>
      <c r="BR26" s="28">
        <f t="shared" si="21"/>
        <v>-5.3485070166271909E-2</v>
      </c>
      <c r="BS26" s="28">
        <f t="shared" si="21"/>
        <v>-5.0965854766162444E-2</v>
      </c>
      <c r="BT26" s="28">
        <f t="shared" si="21"/>
        <v>-4.6804451172605122E-2</v>
      </c>
    </row>
    <row r="27" spans="1:80" hidden="1" outlineLevel="1" x14ac:dyDescent="0.25">
      <c r="A27" s="11"/>
      <c r="C27" s="2" t="s">
        <v>1</v>
      </c>
      <c r="D27" s="14">
        <f t="shared" ref="D27:S29" si="22">-IFERROR(((1-D45/D15)^(360/D$4))-1,0)</f>
        <v>-4.6843244103147885E-2</v>
      </c>
      <c r="E27" s="14">
        <f t="shared" si="22"/>
        <v>-4.4537113344204293E-2</v>
      </c>
      <c r="F27" s="14">
        <f t="shared" si="22"/>
        <v>-4.4467487306469877E-2</v>
      </c>
      <c r="G27" s="14">
        <f t="shared" si="22"/>
        <v>-4.5685959416408295E-2</v>
      </c>
      <c r="H27" s="14">
        <f t="shared" si="22"/>
        <v>-4.4767040055959217E-2</v>
      </c>
      <c r="I27" s="14">
        <f t="shared" si="22"/>
        <v>-4.4796371946555391E-2</v>
      </c>
      <c r="J27" s="14">
        <f t="shared" si="22"/>
        <v>-4.4825382933737279E-2</v>
      </c>
      <c r="K27" s="14">
        <f t="shared" si="22"/>
        <v>-4.474100190971142E-2</v>
      </c>
      <c r="L27" s="14">
        <f t="shared" si="22"/>
        <v>-4.4730968483251532E-2</v>
      </c>
      <c r="M27" s="14">
        <f t="shared" si="22"/>
        <v>-4.4418792891552483E-2</v>
      </c>
      <c r="N27" s="14">
        <f t="shared" si="22"/>
        <v>-4.385089297871847E-2</v>
      </c>
      <c r="O27" s="14">
        <f t="shared" si="22"/>
        <v>-4.3805701942256636E-2</v>
      </c>
      <c r="P27" s="14">
        <f t="shared" si="22"/>
        <v>-4.373258963440696E-2</v>
      </c>
      <c r="Q27" s="14">
        <f t="shared" si="22"/>
        <v>-4.3613238021342315E-2</v>
      </c>
      <c r="R27" s="14">
        <f t="shared" si="22"/>
        <v>-4.508292939644698E-2</v>
      </c>
      <c r="S27" s="14">
        <f t="shared" si="22"/>
        <v>-4.5061920109465303E-2</v>
      </c>
      <c r="T27" s="14">
        <f t="shared" si="19"/>
        <v>-4.576415381410448E-2</v>
      </c>
      <c r="U27" s="14">
        <f t="shared" si="19"/>
        <v>-4.482763500297593E-2</v>
      </c>
      <c r="V27" s="14">
        <f t="shared" si="19"/>
        <v>-4.5461658647736325E-2</v>
      </c>
      <c r="W27" s="14">
        <f t="shared" si="19"/>
        <v>-4.4632425387475028E-2</v>
      </c>
      <c r="X27" s="14">
        <f t="shared" si="19"/>
        <v>-4.498507418515052E-2</v>
      </c>
      <c r="Y27" s="14">
        <f t="shared" si="19"/>
        <v>-4.4415994093267575E-2</v>
      </c>
      <c r="Z27" s="14">
        <f t="shared" si="19"/>
        <v>-4.5505708961575575E-2</v>
      </c>
      <c r="AA27" s="14">
        <f t="shared" si="19"/>
        <v>-4.5478241278487097E-2</v>
      </c>
      <c r="AB27" s="14">
        <f t="shared" si="19"/>
        <v>-4.7088358075514369E-2</v>
      </c>
      <c r="AC27" s="14">
        <f t="shared" si="19"/>
        <v>-4.6107726631787971E-2</v>
      </c>
      <c r="AD27" s="14">
        <f t="shared" si="19"/>
        <v>-4.6876201795947425E-2</v>
      </c>
      <c r="AE27" s="14">
        <f t="shared" si="19"/>
        <v>-4.6328208800896276E-2</v>
      </c>
      <c r="AF27" s="14">
        <f t="shared" si="19"/>
        <v>-4.6702144630497155E-2</v>
      </c>
      <c r="AG27" s="14">
        <f t="shared" si="19"/>
        <v>-4.6357780214577815E-2</v>
      </c>
      <c r="AH27" s="14">
        <f t="shared" si="19"/>
        <v>-4.8496038678987663E-2</v>
      </c>
      <c r="AI27" s="14">
        <f t="shared" si="19"/>
        <v>-4.9178623897522478E-2</v>
      </c>
      <c r="AJ27" s="14">
        <f t="shared" si="19"/>
        <v>-4.9084033648245429E-2</v>
      </c>
      <c r="AK27" s="14">
        <f t="shared" si="19"/>
        <v>-4.8778724626306058E-2</v>
      </c>
      <c r="AL27" s="14">
        <f t="shared" si="19"/>
        <v>-4.927345195739341E-2</v>
      </c>
      <c r="AM27" s="14">
        <f t="shared" si="19"/>
        <v>-4.8617934090467552E-2</v>
      </c>
      <c r="AN27" s="14">
        <f t="shared" si="19"/>
        <v>-4.9677315950435563E-2</v>
      </c>
      <c r="AO27" s="14">
        <f t="shared" si="19"/>
        <v>-4.7414186647416923E-2</v>
      </c>
      <c r="AP27" s="14">
        <f t="shared" si="19"/>
        <v>-4.8986606296486768E-2</v>
      </c>
      <c r="AQ27" s="14">
        <f t="shared" si="19"/>
        <v>-4.93273674820911E-2</v>
      </c>
      <c r="AR27" s="14">
        <f t="shared" si="19"/>
        <v>-4.9861126138839751E-2</v>
      </c>
      <c r="AS27" s="14">
        <f t="shared" si="19"/>
        <v>-4.8311492099890163E-2</v>
      </c>
      <c r="AT27" s="14">
        <f t="shared" si="19"/>
        <v>0</v>
      </c>
      <c r="AU27" s="14">
        <f t="shared" si="19"/>
        <v>0</v>
      </c>
      <c r="AV27" s="14">
        <f t="shared" si="19"/>
        <v>0</v>
      </c>
      <c r="AW27" s="14">
        <f t="shared" si="19"/>
        <v>0</v>
      </c>
      <c r="AX27" s="14">
        <f t="shared" si="19"/>
        <v>0</v>
      </c>
      <c r="AY27" s="14">
        <f t="shared" si="19"/>
        <v>0</v>
      </c>
      <c r="AZ27" s="14">
        <f t="shared" si="20"/>
        <v>-4.7406892700175174E-2</v>
      </c>
      <c r="BA27" s="14">
        <f t="shared" si="20"/>
        <v>-4.9092056468777789E-2</v>
      </c>
      <c r="BB27" s="14">
        <f t="shared" si="20"/>
        <v>-4.8759689632691172E-2</v>
      </c>
      <c r="BC27" s="14">
        <f t="shared" si="20"/>
        <v>-5.7163332015640833E-2</v>
      </c>
      <c r="BD27" s="14">
        <f t="shared" si="20"/>
        <v>-5.860507068975318E-2</v>
      </c>
      <c r="BE27" s="14">
        <f t="shared" si="20"/>
        <v>-6.0574994107570612E-2</v>
      </c>
      <c r="BF27" s="14">
        <f t="shared" si="20"/>
        <v>-5.8140266732933155E-2</v>
      </c>
      <c r="BG27" s="14">
        <f t="shared" si="20"/>
        <v>-5.9147104467171641E-2</v>
      </c>
      <c r="BH27" s="14">
        <f t="shared" si="20"/>
        <v>-5.9030251402779399E-2</v>
      </c>
      <c r="BI27" s="14">
        <f t="shared" si="20"/>
        <v>-8.8375639701752107E-2</v>
      </c>
      <c r="BJ27" s="14">
        <f t="shared" si="20"/>
        <v>-8.827648644064312E-2</v>
      </c>
      <c r="BK27" s="14">
        <f t="shared" si="20"/>
        <v>-8.6933239070522639E-2</v>
      </c>
      <c r="BO27" s="28">
        <f t="shared" ref="BO27:BO29" si="23">-IFERROR(((1-BO45/BW15)^(360/BO$4))-1,0)</f>
        <v>-4.8725058148050726E-2</v>
      </c>
      <c r="BP27" s="28">
        <f t="shared" si="21"/>
        <v>-4.8411674773640723E-2</v>
      </c>
      <c r="BQ27" s="28">
        <f t="shared" si="21"/>
        <v>-4.8588802607772763E-2</v>
      </c>
      <c r="BR27" s="28">
        <f t="shared" si="21"/>
        <v>-4.6696221674720206E-2</v>
      </c>
      <c r="BS27" s="28">
        <f t="shared" si="21"/>
        <v>-4.4146923469011057E-2</v>
      </c>
      <c r="BT27" s="28">
        <f t="shared" si="21"/>
        <v>-4.5281558382574527E-2</v>
      </c>
    </row>
    <row r="28" spans="1:80" hidden="1" outlineLevel="1" x14ac:dyDescent="0.25">
      <c r="A28" s="11"/>
      <c r="C28" s="2" t="s">
        <v>45</v>
      </c>
      <c r="D28" s="14">
        <f t="shared" si="22"/>
        <v>-4.0361842665202374E-2</v>
      </c>
      <c r="E28" s="14">
        <f t="shared" si="19"/>
        <v>-3.9275829692547504E-2</v>
      </c>
      <c r="F28" s="14">
        <f t="shared" si="19"/>
        <v>-4.0143786082994515E-2</v>
      </c>
      <c r="G28" s="14">
        <f t="shared" si="19"/>
        <v>-4.0065497955847018E-2</v>
      </c>
      <c r="H28" s="14">
        <f t="shared" si="19"/>
        <v>-3.8165709300429729E-2</v>
      </c>
      <c r="I28" s="14">
        <f t="shared" si="19"/>
        <v>-3.805262489515604E-2</v>
      </c>
      <c r="J28" s="14">
        <f t="shared" si="19"/>
        <v>-3.7867995750835881E-2</v>
      </c>
      <c r="K28" s="14">
        <f t="shared" si="19"/>
        <v>-3.933807912074383E-2</v>
      </c>
      <c r="L28" s="14">
        <f t="shared" si="19"/>
        <v>-3.886765005550874E-2</v>
      </c>
      <c r="M28" s="14">
        <f t="shared" si="19"/>
        <v>-4.1241912006753978E-2</v>
      </c>
      <c r="N28" s="14">
        <f t="shared" si="19"/>
        <v>-4.3299589302775887E-2</v>
      </c>
      <c r="O28" s="14">
        <f t="shared" si="19"/>
        <v>-4.3376022535612346E-2</v>
      </c>
      <c r="P28" s="14">
        <f t="shared" si="19"/>
        <v>-4.3288100960188425E-2</v>
      </c>
      <c r="Q28" s="14">
        <f t="shared" si="19"/>
        <v>-4.2846797051055763E-2</v>
      </c>
      <c r="R28" s="14">
        <f t="shared" si="19"/>
        <v>-4.3244034778114449E-2</v>
      </c>
      <c r="S28" s="14">
        <f t="shared" si="19"/>
        <v>-4.3015167023952694E-2</v>
      </c>
      <c r="T28" s="14">
        <f t="shared" si="19"/>
        <v>-4.3672176650173977E-2</v>
      </c>
      <c r="U28" s="14">
        <f t="shared" si="19"/>
        <v>-4.3292289614264456E-2</v>
      </c>
      <c r="V28" s="14">
        <f t="shared" si="19"/>
        <v>-4.4358697123420221E-2</v>
      </c>
      <c r="W28" s="14">
        <f t="shared" si="19"/>
        <v>-4.3298615861345535E-2</v>
      </c>
      <c r="X28" s="14">
        <f t="shared" si="19"/>
        <v>-4.340422433307678E-2</v>
      </c>
      <c r="Y28" s="14">
        <f t="shared" si="19"/>
        <v>-4.3557307091840469E-2</v>
      </c>
      <c r="Z28" s="14">
        <f t="shared" si="19"/>
        <v>-4.4870772469480569E-2</v>
      </c>
      <c r="AA28" s="14">
        <f t="shared" si="19"/>
        <v>-4.5989697839690091E-2</v>
      </c>
      <c r="AB28" s="14">
        <f t="shared" si="19"/>
        <v>-4.7110562560558122E-2</v>
      </c>
      <c r="AC28" s="14">
        <f t="shared" si="19"/>
        <v>-4.6916788307370894E-2</v>
      </c>
      <c r="AD28" s="14">
        <f t="shared" si="19"/>
        <v>-4.5653169132094051E-2</v>
      </c>
      <c r="AE28" s="14">
        <f t="shared" si="19"/>
        <v>-4.7649969520003221E-2</v>
      </c>
      <c r="AF28" s="14">
        <f t="shared" si="19"/>
        <v>-4.9772498542701715E-2</v>
      </c>
      <c r="AG28" s="14">
        <f t="shared" si="19"/>
        <v>-4.9093156767967994E-2</v>
      </c>
      <c r="AH28" s="14">
        <f t="shared" si="19"/>
        <v>-4.8474612363986092E-2</v>
      </c>
      <c r="AI28" s="14">
        <f t="shared" si="19"/>
        <v>-5.1958740926273617E-2</v>
      </c>
      <c r="AJ28" s="14">
        <f t="shared" si="19"/>
        <v>-4.8702056366055402E-2</v>
      </c>
      <c r="AK28" s="14">
        <f t="shared" si="19"/>
        <v>-4.9437118176318906E-2</v>
      </c>
      <c r="AL28" s="14">
        <f t="shared" si="19"/>
        <v>-4.9891965024113194E-2</v>
      </c>
      <c r="AM28" s="14">
        <f t="shared" si="19"/>
        <v>-4.9957858426290747E-2</v>
      </c>
      <c r="AN28" s="14">
        <f t="shared" si="19"/>
        <v>-4.9908522046779202E-2</v>
      </c>
      <c r="AO28" s="14">
        <f t="shared" si="19"/>
        <v>-4.9606643299027864E-2</v>
      </c>
      <c r="AP28" s="14">
        <f t="shared" si="19"/>
        <v>-4.887215162295333E-2</v>
      </c>
      <c r="AQ28" s="14">
        <f t="shared" si="19"/>
        <v>-4.8665046811778856E-2</v>
      </c>
      <c r="AR28" s="14">
        <f t="shared" si="19"/>
        <v>-5.0204363118959261E-2</v>
      </c>
      <c r="AS28" s="14">
        <f t="shared" si="19"/>
        <v>-4.9784933946933618E-2</v>
      </c>
      <c r="AT28" s="14">
        <f t="shared" si="19"/>
        <v>0</v>
      </c>
      <c r="AU28" s="14">
        <f t="shared" si="19"/>
        <v>0</v>
      </c>
      <c r="AV28" s="14">
        <f t="shared" si="19"/>
        <v>0</v>
      </c>
      <c r="AW28" s="14">
        <f t="shared" si="19"/>
        <v>0</v>
      </c>
      <c r="AX28" s="14">
        <f t="shared" si="19"/>
        <v>0</v>
      </c>
      <c r="AY28" s="14">
        <f t="shared" si="19"/>
        <v>0</v>
      </c>
      <c r="AZ28" s="14">
        <f t="shared" si="20"/>
        <v>-4.3376133158621544E-2</v>
      </c>
      <c r="BA28" s="14">
        <f t="shared" si="20"/>
        <v>-4.2514301258508524E-2</v>
      </c>
      <c r="BB28" s="14">
        <f t="shared" si="20"/>
        <v>-4.0899904510940388E-2</v>
      </c>
      <c r="BC28" s="14">
        <f t="shared" si="20"/>
        <v>-4.0074657252038071E-2</v>
      </c>
      <c r="BD28" s="14">
        <f t="shared" si="20"/>
        <v>-4.0133943304337283E-2</v>
      </c>
      <c r="BE28" s="14">
        <f t="shared" si="20"/>
        <v>-3.8893894530876771E-2</v>
      </c>
      <c r="BF28" s="14">
        <f t="shared" si="20"/>
        <v>-3.9167614050884092E-2</v>
      </c>
      <c r="BG28" s="14">
        <f t="shared" si="20"/>
        <v>-3.7651744143341492E-2</v>
      </c>
      <c r="BH28" s="14">
        <f t="shared" si="20"/>
        <v>-3.753637326323056E-2</v>
      </c>
      <c r="BI28" s="14">
        <f t="shared" si="20"/>
        <v>-3.7038919881062782E-2</v>
      </c>
      <c r="BJ28" s="14">
        <f t="shared" si="20"/>
        <v>-3.543868950965301E-2</v>
      </c>
      <c r="BK28" s="14">
        <f t="shared" si="20"/>
        <v>-3.5567475062768139E-2</v>
      </c>
      <c r="BO28" s="28">
        <f t="shared" si="23"/>
        <v>-4.9466862227667496E-2</v>
      </c>
      <c r="BP28" s="28">
        <f t="shared" si="21"/>
        <v>-4.2235339383734027E-2</v>
      </c>
      <c r="BQ28" s="28">
        <f t="shared" si="21"/>
        <v>-4.9755984407535259E-2</v>
      </c>
      <c r="BR28" s="28">
        <f t="shared" si="21"/>
        <v>-4.6543168348581077E-2</v>
      </c>
      <c r="BS28" s="28">
        <f t="shared" si="21"/>
        <v>-4.3122642514401566E-2</v>
      </c>
      <c r="BT28" s="28">
        <f t="shared" si="21"/>
        <v>-3.9934220022539435E-2</v>
      </c>
    </row>
    <row r="29" spans="1:80" collapsed="1" x14ac:dyDescent="0.25">
      <c r="C29" s="3" t="s">
        <v>60</v>
      </c>
      <c r="D29" s="15">
        <f t="shared" si="22"/>
        <v>-4.631901036293673E-2</v>
      </c>
      <c r="E29" s="15">
        <f t="shared" si="19"/>
        <v>-4.6719488286520949E-2</v>
      </c>
      <c r="F29" s="15">
        <f t="shared" si="19"/>
        <v>-4.7211311789849164E-2</v>
      </c>
      <c r="G29" s="15">
        <f t="shared" si="19"/>
        <v>-4.7822250847449288E-2</v>
      </c>
      <c r="H29" s="15">
        <f t="shared" si="19"/>
        <v>-4.8015145609366483E-2</v>
      </c>
      <c r="I29" s="15">
        <f t="shared" si="19"/>
        <v>-4.8436257636123914E-2</v>
      </c>
      <c r="J29" s="15">
        <f t="shared" si="19"/>
        <v>-4.8785141108064867E-2</v>
      </c>
      <c r="K29" s="15">
        <f t="shared" si="19"/>
        <v>-4.9037643528887287E-2</v>
      </c>
      <c r="L29" s="15">
        <f t="shared" si="19"/>
        <v>-4.9273139264503385E-2</v>
      </c>
      <c r="M29" s="15">
        <f t="shared" si="19"/>
        <v>-4.9566095707827662E-2</v>
      </c>
      <c r="N29" s="15">
        <f t="shared" si="19"/>
        <v>-4.990171205604077E-2</v>
      </c>
      <c r="O29" s="15">
        <f t="shared" si="19"/>
        <v>-5.0255024759398026E-2</v>
      </c>
      <c r="P29" s="15">
        <f t="shared" si="19"/>
        <v>-5.0717708322589372E-2</v>
      </c>
      <c r="Q29" s="15">
        <f t="shared" si="19"/>
        <v>-5.0701288938787892E-2</v>
      </c>
      <c r="R29" s="15">
        <f t="shared" si="19"/>
        <v>-5.1235915873986571E-2</v>
      </c>
      <c r="S29" s="15">
        <f t="shared" si="19"/>
        <v>-5.1248794882456927E-2</v>
      </c>
      <c r="T29" s="15">
        <f t="shared" si="19"/>
        <v>-5.1723479353568358E-2</v>
      </c>
      <c r="U29" s="15">
        <f t="shared" si="19"/>
        <v>-5.1776742642770213E-2</v>
      </c>
      <c r="V29" s="15">
        <f t="shared" si="19"/>
        <v>-5.2294180287392633E-2</v>
      </c>
      <c r="W29" s="15">
        <f t="shared" si="19"/>
        <v>-5.2523118767934474E-2</v>
      </c>
      <c r="X29" s="15">
        <f t="shared" si="19"/>
        <v>-5.2769051539836687E-2</v>
      </c>
      <c r="Y29" s="15">
        <f t="shared" si="19"/>
        <v>-5.2810097518405152E-2</v>
      </c>
      <c r="Z29" s="15">
        <f t="shared" si="19"/>
        <v>-5.3046513820771635E-2</v>
      </c>
      <c r="AA29" s="15">
        <f t="shared" si="19"/>
        <v>-5.3126405328489668E-2</v>
      </c>
      <c r="AB29" s="15">
        <f t="shared" si="19"/>
        <v>-5.3313197514570643E-2</v>
      </c>
      <c r="AC29" s="15">
        <f t="shared" si="19"/>
        <v>-5.3381849568002293E-2</v>
      </c>
      <c r="AD29" s="15">
        <f t="shared" si="19"/>
        <v>-5.3531711070556209E-2</v>
      </c>
      <c r="AE29" s="15">
        <f t="shared" si="19"/>
        <v>-5.3542090513344798E-2</v>
      </c>
      <c r="AF29" s="15">
        <f t="shared" si="19"/>
        <v>-5.3666963040881477E-2</v>
      </c>
      <c r="AG29" s="15">
        <f t="shared" si="19"/>
        <v>-5.3777293068497878E-2</v>
      </c>
      <c r="AH29" s="15">
        <f t="shared" si="19"/>
        <v>-5.3916640166906671E-2</v>
      </c>
      <c r="AI29" s="15">
        <f t="shared" si="19"/>
        <v>-5.4100433431278239E-2</v>
      </c>
      <c r="AJ29" s="15">
        <f t="shared" si="19"/>
        <v>-5.4071061652288588E-2</v>
      </c>
      <c r="AK29" s="15">
        <f t="shared" si="19"/>
        <v>-5.4065724018359296E-2</v>
      </c>
      <c r="AL29" s="15">
        <f t="shared" si="19"/>
        <v>-5.4073619061283829E-2</v>
      </c>
      <c r="AM29" s="15">
        <f t="shared" si="19"/>
        <v>-5.4050797843572695E-2</v>
      </c>
      <c r="AN29" s="15">
        <f t="shared" si="19"/>
        <v>-5.4102421210596496E-2</v>
      </c>
      <c r="AO29" s="15">
        <f t="shared" si="19"/>
        <v>-5.4042033033414372E-2</v>
      </c>
      <c r="AP29" s="15">
        <f t="shared" si="19"/>
        <v>-5.4049891676645867E-2</v>
      </c>
      <c r="AQ29" s="15">
        <f t="shared" si="19"/>
        <v>-5.3944814574565569E-2</v>
      </c>
      <c r="AR29" s="15">
        <f t="shared" si="19"/>
        <v>-5.407118108021991E-2</v>
      </c>
      <c r="AS29" s="15">
        <f t="shared" si="19"/>
        <v>-5.4052653176565935E-2</v>
      </c>
      <c r="AT29" s="15">
        <f t="shared" si="19"/>
        <v>0</v>
      </c>
      <c r="AU29" s="15">
        <f t="shared" si="19"/>
        <v>0</v>
      </c>
      <c r="AV29" s="15">
        <f t="shared" si="19"/>
        <v>0</v>
      </c>
      <c r="AW29" s="15">
        <f t="shared" si="19"/>
        <v>0</v>
      </c>
      <c r="AX29" s="15">
        <f t="shared" si="19"/>
        <v>0</v>
      </c>
      <c r="AY29" s="15">
        <f t="shared" si="19"/>
        <v>0</v>
      </c>
      <c r="AZ29" s="15">
        <f t="shared" si="20"/>
        <v>-5.4192711943058969E-2</v>
      </c>
      <c r="BA29" s="15">
        <f t="shared" si="20"/>
        <v>-5.4187293086258359E-2</v>
      </c>
      <c r="BB29" s="15">
        <f t="shared" si="20"/>
        <v>-5.4180457398583348E-2</v>
      </c>
      <c r="BC29" s="15">
        <f t="shared" si="20"/>
        <v>-5.4174571792732662E-2</v>
      </c>
      <c r="BD29" s="15">
        <f t="shared" si="20"/>
        <v>-5.4172039600886457E-2</v>
      </c>
      <c r="BE29" s="15">
        <f t="shared" si="20"/>
        <v>-5.4168128119106873E-2</v>
      </c>
      <c r="BF29" s="15">
        <f t="shared" si="20"/>
        <v>-5.4157916834969289E-2</v>
      </c>
      <c r="BG29" s="15">
        <f t="shared" si="20"/>
        <v>-5.4148301411317767E-2</v>
      </c>
      <c r="BH29" s="15">
        <f t="shared" si="20"/>
        <v>-5.4135709077087979E-2</v>
      </c>
      <c r="BI29" s="15">
        <f t="shared" si="20"/>
        <v>-5.412490836611128E-2</v>
      </c>
      <c r="BJ29" s="15">
        <f t="shared" si="20"/>
        <v>-5.4109423235699783E-2</v>
      </c>
      <c r="BK29" s="15">
        <f t="shared" si="20"/>
        <v>-5.4094019880815525E-2</v>
      </c>
      <c r="BO29" s="29">
        <f t="shared" si="23"/>
        <v>-5.4064800860333273E-2</v>
      </c>
      <c r="BP29" s="29">
        <f t="shared" si="21"/>
        <v>-5.4186815264584132E-2</v>
      </c>
      <c r="BQ29" s="29">
        <f t="shared" si="21"/>
        <v>-5.4072254481346338E-2</v>
      </c>
      <c r="BR29" s="29">
        <f t="shared" si="21"/>
        <v>-5.3409126042932353E-2</v>
      </c>
      <c r="BS29" s="29">
        <f t="shared" si="21"/>
        <v>-5.0886215330521845E-2</v>
      </c>
      <c r="BT29" s="29">
        <f t="shared" si="21"/>
        <v>-4.6751084639621299E-2</v>
      </c>
    </row>
    <row r="32" spans="1:80" hidden="1" outlineLevel="1" x14ac:dyDescent="0.25">
      <c r="A32" s="11"/>
      <c r="C32" s="2" t="s">
        <v>0</v>
      </c>
      <c r="D32" s="14">
        <f>D20+D26</f>
        <v>1.8521242511689628E-2</v>
      </c>
      <c r="E32" s="14">
        <f t="shared" ref="E32:BK35" si="24">E20+E26</f>
        <v>1.8382230529525589E-2</v>
      </c>
      <c r="F32" s="14">
        <f t="shared" si="24"/>
        <v>1.8561866556384032E-2</v>
      </c>
      <c r="G32" s="14">
        <f t="shared" si="24"/>
        <v>1.8153929824984649E-2</v>
      </c>
      <c r="H32" s="14">
        <f t="shared" si="24"/>
        <v>1.8568525342059328E-2</v>
      </c>
      <c r="I32" s="14">
        <f t="shared" si="24"/>
        <v>1.8037084895634159E-2</v>
      </c>
      <c r="J32" s="14">
        <f t="shared" si="24"/>
        <v>1.8105659369693106E-2</v>
      </c>
      <c r="K32" s="14">
        <f t="shared" si="24"/>
        <v>1.8108093925045976E-2</v>
      </c>
      <c r="L32" s="14">
        <f t="shared" si="24"/>
        <v>1.8362034229632895E-2</v>
      </c>
      <c r="M32" s="14">
        <f t="shared" si="24"/>
        <v>1.8448860227201713E-2</v>
      </c>
      <c r="N32" s="14">
        <f t="shared" si="24"/>
        <v>1.8147666390636141E-2</v>
      </c>
      <c r="O32" s="14">
        <f t="shared" si="24"/>
        <v>1.8370049972777025E-2</v>
      </c>
      <c r="P32" s="14">
        <f t="shared" si="24"/>
        <v>1.8172358403749644E-2</v>
      </c>
      <c r="Q32" s="14">
        <f t="shared" si="24"/>
        <v>1.7994469623279663E-2</v>
      </c>
      <c r="R32" s="14">
        <f t="shared" si="24"/>
        <v>1.8072414119312041E-2</v>
      </c>
      <c r="S32" s="14">
        <f t="shared" si="24"/>
        <v>1.7965090136158102E-2</v>
      </c>
      <c r="T32" s="14">
        <f t="shared" si="24"/>
        <v>1.7732336259670189E-2</v>
      </c>
      <c r="U32" s="14">
        <f t="shared" si="24"/>
        <v>1.8134617816131016E-2</v>
      </c>
      <c r="V32" s="14">
        <f t="shared" si="24"/>
        <v>1.7535463695480535E-2</v>
      </c>
      <c r="W32" s="14">
        <f t="shared" si="24"/>
        <v>1.7639323051676037E-2</v>
      </c>
      <c r="X32" s="14">
        <f t="shared" si="24"/>
        <v>1.7402693721400242E-2</v>
      </c>
      <c r="Y32" s="14">
        <f t="shared" si="24"/>
        <v>1.7611520998691788E-2</v>
      </c>
      <c r="Z32" s="14">
        <f t="shared" si="24"/>
        <v>1.7357949800328898E-2</v>
      </c>
      <c r="AA32" s="14">
        <f t="shared" si="24"/>
        <v>1.736373999479679E-2</v>
      </c>
      <c r="AB32" s="14">
        <f t="shared" si="24"/>
        <v>1.6838325002765941E-2</v>
      </c>
      <c r="AC32" s="14">
        <f t="shared" si="24"/>
        <v>1.70814055931654E-2</v>
      </c>
      <c r="AD32" s="14">
        <f t="shared" si="24"/>
        <v>1.6685494403698931E-2</v>
      </c>
      <c r="AE32" s="14">
        <f t="shared" si="24"/>
        <v>1.6384335292108476E-2</v>
      </c>
      <c r="AF32" s="14">
        <f t="shared" si="24"/>
        <v>1.670630064643297E-2</v>
      </c>
      <c r="AG32" s="14">
        <f t="shared" si="24"/>
        <v>1.6130651821593567E-2</v>
      </c>
      <c r="AH32" s="14">
        <f t="shared" si="24"/>
        <v>1.6401290498551546E-2</v>
      </c>
      <c r="AI32" s="14">
        <f t="shared" si="24"/>
        <v>1.6068811251422899E-2</v>
      </c>
      <c r="AJ32" s="14">
        <f t="shared" si="24"/>
        <v>1.5845815875944913E-2</v>
      </c>
      <c r="AK32" s="14">
        <f t="shared" si="24"/>
        <v>1.5901353305213917E-2</v>
      </c>
      <c r="AL32" s="14">
        <f t="shared" si="24"/>
        <v>1.5958542761099315E-2</v>
      </c>
      <c r="AM32" s="14">
        <f t="shared" si="24"/>
        <v>1.6130864220018859E-2</v>
      </c>
      <c r="AN32" s="14">
        <f t="shared" si="24"/>
        <v>1.6129117023592876E-2</v>
      </c>
      <c r="AO32" s="14">
        <f t="shared" si="24"/>
        <v>1.5972590118424446E-2</v>
      </c>
      <c r="AP32" s="14">
        <f t="shared" si="24"/>
        <v>1.6092993187505344E-2</v>
      </c>
      <c r="AQ32" s="14">
        <f t="shared" si="24"/>
        <v>1.6061734970585384E-2</v>
      </c>
      <c r="AR32" s="14">
        <f t="shared" si="24"/>
        <v>1.5927856468738844E-2</v>
      </c>
      <c r="AS32" s="14">
        <f t="shared" si="24"/>
        <v>1.5805640434952029E-2</v>
      </c>
      <c r="AT32" s="14">
        <f t="shared" si="24"/>
        <v>0</v>
      </c>
      <c r="AU32" s="14">
        <f t="shared" si="24"/>
        <v>0</v>
      </c>
      <c r="AV32" s="14">
        <f t="shared" si="24"/>
        <v>0</v>
      </c>
      <c r="AW32" s="14">
        <f t="shared" si="24"/>
        <v>0</v>
      </c>
      <c r="AX32" s="14">
        <f t="shared" si="24"/>
        <v>0</v>
      </c>
      <c r="AY32" s="14">
        <f t="shared" si="24"/>
        <v>0</v>
      </c>
      <c r="AZ32" s="14">
        <f t="shared" si="24"/>
        <v>1.5719436482049876E-2</v>
      </c>
      <c r="BA32" s="14">
        <f t="shared" si="24"/>
        <v>1.6053699602254001E-2</v>
      </c>
      <c r="BB32" s="14">
        <f t="shared" si="24"/>
        <v>1.5693579845689198E-2</v>
      </c>
      <c r="BC32" s="14">
        <f t="shared" si="24"/>
        <v>1.5883288932182715E-2</v>
      </c>
      <c r="BD32" s="14">
        <f t="shared" si="24"/>
        <v>1.6414031619225611E-2</v>
      </c>
      <c r="BE32" s="14">
        <f t="shared" si="24"/>
        <v>1.60303294471833E-2</v>
      </c>
      <c r="BF32" s="14">
        <f t="shared" si="24"/>
        <v>1.648275174020819E-2</v>
      </c>
      <c r="BG32" s="14">
        <f t="shared" si="24"/>
        <v>1.6430756282288961E-2</v>
      </c>
      <c r="BH32" s="14">
        <f t="shared" si="24"/>
        <v>1.658426182945627E-2</v>
      </c>
      <c r="BI32" s="14">
        <f t="shared" si="24"/>
        <v>1.6525750469405409E-2</v>
      </c>
      <c r="BJ32" s="14">
        <f t="shared" si="24"/>
        <v>1.6738348256338131E-2</v>
      </c>
      <c r="BK32" s="14">
        <f t="shared" si="24"/>
        <v>1.6603192510555198E-2</v>
      </c>
      <c r="BO32" s="28">
        <f>BO20+BO26</f>
        <v>1.6071705902461764E-2</v>
      </c>
      <c r="BP32" s="28">
        <f t="shared" ref="BP32:BT32" si="25">BP20+BP26</f>
        <v>1.5812046433976601E-2</v>
      </c>
      <c r="BQ32" s="28">
        <f t="shared" si="25"/>
        <v>1.6060443261221913E-2</v>
      </c>
      <c r="BR32" s="28">
        <f t="shared" si="25"/>
        <v>1.6861864617437439E-2</v>
      </c>
      <c r="BS32" s="28">
        <f t="shared" si="25"/>
        <v>1.8085884082785997E-2</v>
      </c>
      <c r="BT32" s="28">
        <f t="shared" si="25"/>
        <v>1.8491980847753053E-2</v>
      </c>
    </row>
    <row r="33" spans="1:72" hidden="1" outlineLevel="1" x14ac:dyDescent="0.25">
      <c r="A33" s="11"/>
      <c r="C33" s="2" t="s">
        <v>1</v>
      </c>
      <c r="D33" s="14">
        <f t="shared" ref="D33:AY33" si="26">D21+D27</f>
        <v>-4.6843244103147885E-2</v>
      </c>
      <c r="E33" s="14">
        <f t="shared" si="26"/>
        <v>-4.4537113344204293E-2</v>
      </c>
      <c r="F33" s="14">
        <f t="shared" si="26"/>
        <v>-4.4467487306469877E-2</v>
      </c>
      <c r="G33" s="14">
        <f t="shared" si="26"/>
        <v>-4.5685959416408295E-2</v>
      </c>
      <c r="H33" s="14">
        <f t="shared" si="26"/>
        <v>-4.4767040055959217E-2</v>
      </c>
      <c r="I33" s="14">
        <f t="shared" si="26"/>
        <v>-4.4796371946555391E-2</v>
      </c>
      <c r="J33" s="14">
        <f t="shared" si="26"/>
        <v>-4.4825382933737279E-2</v>
      </c>
      <c r="K33" s="14">
        <f t="shared" si="26"/>
        <v>-4.474100190971142E-2</v>
      </c>
      <c r="L33" s="14">
        <f t="shared" si="26"/>
        <v>-4.4730968483251532E-2</v>
      </c>
      <c r="M33" s="14">
        <f t="shared" si="26"/>
        <v>-4.4418792891552483E-2</v>
      </c>
      <c r="N33" s="14">
        <f t="shared" si="26"/>
        <v>-4.385089297871847E-2</v>
      </c>
      <c r="O33" s="14">
        <f t="shared" si="26"/>
        <v>-4.3805701942256636E-2</v>
      </c>
      <c r="P33" s="14">
        <f t="shared" si="26"/>
        <v>-4.373258963440696E-2</v>
      </c>
      <c r="Q33" s="14">
        <f t="shared" si="26"/>
        <v>-4.3613238021342315E-2</v>
      </c>
      <c r="R33" s="14">
        <f t="shared" si="26"/>
        <v>-4.508292939644698E-2</v>
      </c>
      <c r="S33" s="14">
        <f t="shared" si="26"/>
        <v>-4.5061920109465303E-2</v>
      </c>
      <c r="T33" s="14">
        <f t="shared" si="26"/>
        <v>-4.576415381410448E-2</v>
      </c>
      <c r="U33" s="14">
        <f t="shared" si="26"/>
        <v>-4.482763500297593E-2</v>
      </c>
      <c r="V33" s="14">
        <f t="shared" si="26"/>
        <v>-4.5461658647736325E-2</v>
      </c>
      <c r="W33" s="14">
        <f t="shared" si="26"/>
        <v>-4.4632425387475028E-2</v>
      </c>
      <c r="X33" s="14">
        <f t="shared" si="26"/>
        <v>-4.498507418515052E-2</v>
      </c>
      <c r="Y33" s="14">
        <f t="shared" si="26"/>
        <v>-4.4415994093267575E-2</v>
      </c>
      <c r="Z33" s="14">
        <f t="shared" si="26"/>
        <v>-4.5505708961575575E-2</v>
      </c>
      <c r="AA33" s="14">
        <f t="shared" si="26"/>
        <v>-4.5478241278487097E-2</v>
      </c>
      <c r="AB33" s="14">
        <f t="shared" si="26"/>
        <v>-4.7088358075514369E-2</v>
      </c>
      <c r="AC33" s="14">
        <f t="shared" si="26"/>
        <v>-4.6107726631787971E-2</v>
      </c>
      <c r="AD33" s="14">
        <f t="shared" si="26"/>
        <v>-4.6876201795947425E-2</v>
      </c>
      <c r="AE33" s="14">
        <f t="shared" si="26"/>
        <v>-4.6328208800896276E-2</v>
      </c>
      <c r="AF33" s="14">
        <f t="shared" si="26"/>
        <v>-4.6702144630497155E-2</v>
      </c>
      <c r="AG33" s="14">
        <f t="shared" si="26"/>
        <v>-4.6357780214577815E-2</v>
      </c>
      <c r="AH33" s="14">
        <f t="shared" si="26"/>
        <v>-4.8496038678987663E-2</v>
      </c>
      <c r="AI33" s="14">
        <f t="shared" si="26"/>
        <v>-4.9178623897522478E-2</v>
      </c>
      <c r="AJ33" s="14">
        <f t="shared" si="26"/>
        <v>-4.9084033648245429E-2</v>
      </c>
      <c r="AK33" s="14">
        <f t="shared" si="26"/>
        <v>-4.8778724626306058E-2</v>
      </c>
      <c r="AL33" s="14">
        <f t="shared" si="26"/>
        <v>-4.927345195739341E-2</v>
      </c>
      <c r="AM33" s="14">
        <f t="shared" si="26"/>
        <v>-4.8617934090467552E-2</v>
      </c>
      <c r="AN33" s="14">
        <f t="shared" si="26"/>
        <v>-4.9677315950435563E-2</v>
      </c>
      <c r="AO33" s="14">
        <f t="shared" si="26"/>
        <v>-4.7414186647416923E-2</v>
      </c>
      <c r="AP33" s="14">
        <f t="shared" si="26"/>
        <v>-4.8986606296486768E-2</v>
      </c>
      <c r="AQ33" s="14">
        <f t="shared" si="26"/>
        <v>-4.93273674820911E-2</v>
      </c>
      <c r="AR33" s="14">
        <f t="shared" si="26"/>
        <v>-4.9861126138839751E-2</v>
      </c>
      <c r="AS33" s="14">
        <f t="shared" si="26"/>
        <v>-4.8311492099890163E-2</v>
      </c>
      <c r="AT33" s="14">
        <f t="shared" si="26"/>
        <v>0</v>
      </c>
      <c r="AU33" s="14">
        <f t="shared" si="26"/>
        <v>0</v>
      </c>
      <c r="AV33" s="14">
        <f t="shared" si="26"/>
        <v>0</v>
      </c>
      <c r="AW33" s="14">
        <f t="shared" si="26"/>
        <v>0</v>
      </c>
      <c r="AX33" s="14">
        <f t="shared" si="26"/>
        <v>0</v>
      </c>
      <c r="AY33" s="14">
        <f t="shared" si="26"/>
        <v>0</v>
      </c>
      <c r="AZ33" s="14">
        <f t="shared" si="24"/>
        <v>-4.7406892700175174E-2</v>
      </c>
      <c r="BA33" s="14">
        <f t="shared" si="24"/>
        <v>-4.9092056468777789E-2</v>
      </c>
      <c r="BB33" s="14">
        <f t="shared" si="24"/>
        <v>-4.8759689632691172E-2</v>
      </c>
      <c r="BC33" s="14">
        <f t="shared" si="24"/>
        <v>-5.7163332015640833E-2</v>
      </c>
      <c r="BD33" s="14">
        <f t="shared" si="24"/>
        <v>-5.860507068975318E-2</v>
      </c>
      <c r="BE33" s="14">
        <f t="shared" si="24"/>
        <v>-6.0574994107570612E-2</v>
      </c>
      <c r="BF33" s="14">
        <f t="shared" si="24"/>
        <v>-5.8140266732933155E-2</v>
      </c>
      <c r="BG33" s="14">
        <f t="shared" si="24"/>
        <v>-5.9147104467171641E-2</v>
      </c>
      <c r="BH33" s="14">
        <f t="shared" si="24"/>
        <v>-5.9030251402779399E-2</v>
      </c>
      <c r="BI33" s="14">
        <f t="shared" si="24"/>
        <v>-8.8375639701752107E-2</v>
      </c>
      <c r="BJ33" s="14">
        <f t="shared" si="24"/>
        <v>-8.827648644064312E-2</v>
      </c>
      <c r="BK33" s="14">
        <f t="shared" si="24"/>
        <v>-8.6933239070522639E-2</v>
      </c>
      <c r="BO33" s="28">
        <f t="shared" ref="BO33:BT35" si="27">BO21+BO27</f>
        <v>-4.8725058148050726E-2</v>
      </c>
      <c r="BP33" s="28">
        <f t="shared" si="27"/>
        <v>-4.8411674773640723E-2</v>
      </c>
      <c r="BQ33" s="28">
        <f t="shared" si="27"/>
        <v>-4.8588802607772763E-2</v>
      </c>
      <c r="BR33" s="28">
        <f t="shared" si="27"/>
        <v>-4.6696221674720206E-2</v>
      </c>
      <c r="BS33" s="28">
        <f t="shared" si="27"/>
        <v>-4.4146923469011057E-2</v>
      </c>
      <c r="BT33" s="28">
        <f t="shared" si="27"/>
        <v>-4.5281558382574527E-2</v>
      </c>
    </row>
    <row r="34" spans="1:72" hidden="1" outlineLevel="1" x14ac:dyDescent="0.25">
      <c r="A34" s="11"/>
      <c r="C34" s="2" t="s">
        <v>45</v>
      </c>
      <c r="D34" s="14">
        <f t="shared" ref="D34:AY34" si="28">D22+D28</f>
        <v>5.848493426019008E-2</v>
      </c>
      <c r="E34" s="14">
        <f t="shared" si="28"/>
        <v>7.8735372515932545E-2</v>
      </c>
      <c r="F34" s="14">
        <f t="shared" si="28"/>
        <v>6.9838460855955242E-2</v>
      </c>
      <c r="G34" s="14">
        <f t="shared" si="28"/>
        <v>4.8533530012844217E-2</v>
      </c>
      <c r="H34" s="14">
        <f t="shared" si="28"/>
        <v>4.5100302712057783E-2</v>
      </c>
      <c r="I34" s="14">
        <f t="shared" si="28"/>
        <v>5.0007214891267804E-2</v>
      </c>
      <c r="J34" s="14">
        <f t="shared" si="28"/>
        <v>9.3851728279498392E-2</v>
      </c>
      <c r="K34" s="14">
        <f t="shared" si="28"/>
        <v>6.6090850340464247E-2</v>
      </c>
      <c r="L34" s="14">
        <f t="shared" si="28"/>
        <v>5.638047132770474E-2</v>
      </c>
      <c r="M34" s="14">
        <f t="shared" si="28"/>
        <v>0.13289841638583755</v>
      </c>
      <c r="N34" s="14">
        <f t="shared" si="28"/>
        <v>3.5860768597909098E-2</v>
      </c>
      <c r="O34" s="14">
        <f t="shared" si="28"/>
        <v>1.8912569991070827E-2</v>
      </c>
      <c r="P34" s="14">
        <f t="shared" si="28"/>
        <v>9.9428645063674548E-2</v>
      </c>
      <c r="Q34" s="14">
        <f t="shared" si="28"/>
        <v>6.6224455396517001E-2</v>
      </c>
      <c r="R34" s="14">
        <f t="shared" si="28"/>
        <v>3.9875862864427791E-2</v>
      </c>
      <c r="S34" s="14">
        <f t="shared" si="28"/>
        <v>5.8341728631126299E-2</v>
      </c>
      <c r="T34" s="14">
        <f t="shared" si="28"/>
        <v>3.6643838337156565E-2</v>
      </c>
      <c r="U34" s="14">
        <f t="shared" si="28"/>
        <v>5.1220921309945044E-2</v>
      </c>
      <c r="V34" s="14">
        <f t="shared" si="28"/>
        <v>4.6908431064437872E-2</v>
      </c>
      <c r="W34" s="14">
        <f t="shared" si="28"/>
        <v>4.6842653124821165E-2</v>
      </c>
      <c r="X34" s="14">
        <f t="shared" si="28"/>
        <v>7.2967988761226898E-2</v>
      </c>
      <c r="Y34" s="14">
        <f t="shared" si="28"/>
        <v>6.7805346991496318E-2</v>
      </c>
      <c r="Z34" s="14">
        <f t="shared" si="28"/>
        <v>7.5248401677328491E-2</v>
      </c>
      <c r="AA34" s="14">
        <f t="shared" si="28"/>
        <v>5.3651653998842086E-2</v>
      </c>
      <c r="AB34" s="14">
        <f t="shared" si="28"/>
        <v>8.8226546742278478E-2</v>
      </c>
      <c r="AC34" s="14">
        <f t="shared" si="28"/>
        <v>3.2582206330861618E-2</v>
      </c>
      <c r="AD34" s="14">
        <f t="shared" si="28"/>
        <v>6.5628913815065859E-2</v>
      </c>
      <c r="AE34" s="14">
        <f t="shared" si="28"/>
        <v>6.3807712319186249E-2</v>
      </c>
      <c r="AF34" s="14">
        <f t="shared" si="28"/>
        <v>5.0155059386280509E-2</v>
      </c>
      <c r="AG34" s="14">
        <f t="shared" si="28"/>
        <v>4.200023726231894E-2</v>
      </c>
      <c r="AH34" s="14">
        <f t="shared" si="28"/>
        <v>2.2497480471991071E-2</v>
      </c>
      <c r="AI34" s="14">
        <f t="shared" si="28"/>
        <v>4.2750919216512528E-2</v>
      </c>
      <c r="AJ34" s="14">
        <f t="shared" si="28"/>
        <v>0.13523806468929545</v>
      </c>
      <c r="AK34" s="14">
        <f t="shared" si="28"/>
        <v>5.9235360730480746E-2</v>
      </c>
      <c r="AL34" s="14">
        <f t="shared" si="28"/>
        <v>4.0364341880725352E-2</v>
      </c>
      <c r="AM34" s="14">
        <f t="shared" si="28"/>
        <v>5.2239199655098822E-2</v>
      </c>
      <c r="AN34" s="14">
        <f t="shared" si="28"/>
        <v>4.1865682678956073E-2</v>
      </c>
      <c r="AO34" s="14">
        <f t="shared" si="28"/>
        <v>1.000608574355244E-4</v>
      </c>
      <c r="AP34" s="14">
        <f t="shared" si="28"/>
        <v>6.9080051542290244E-2</v>
      </c>
      <c r="AQ34" s="14">
        <f t="shared" si="28"/>
        <v>1.7934203017553774E-2</v>
      </c>
      <c r="AR34" s="14">
        <f t="shared" si="28"/>
        <v>3.9453918559497092E-2</v>
      </c>
      <c r="AS34" s="14">
        <f t="shared" si="28"/>
        <v>3.3426475247306797E-2</v>
      </c>
      <c r="AT34" s="14">
        <f t="shared" si="28"/>
        <v>0</v>
      </c>
      <c r="AU34" s="14">
        <f t="shared" si="28"/>
        <v>0</v>
      </c>
      <c r="AV34" s="14">
        <f t="shared" si="28"/>
        <v>0</v>
      </c>
      <c r="AW34" s="14">
        <f t="shared" si="28"/>
        <v>0</v>
      </c>
      <c r="AX34" s="14">
        <f t="shared" si="28"/>
        <v>0</v>
      </c>
      <c r="AY34" s="14">
        <f t="shared" si="28"/>
        <v>0</v>
      </c>
      <c r="AZ34" s="14">
        <f t="shared" si="24"/>
        <v>9.5834764587697352E-2</v>
      </c>
      <c r="BA34" s="14">
        <f t="shared" si="24"/>
        <v>9.5052934652408272E-2</v>
      </c>
      <c r="BB34" s="14">
        <f t="shared" si="24"/>
        <v>9.0909019674762837E-2</v>
      </c>
      <c r="BC34" s="14">
        <f t="shared" si="24"/>
        <v>8.9755863319457507E-2</v>
      </c>
      <c r="BD34" s="14">
        <f t="shared" si="24"/>
        <v>9.102631951739748E-2</v>
      </c>
      <c r="BE34" s="14">
        <f t="shared" si="24"/>
        <v>8.7702300771556052E-2</v>
      </c>
      <c r="BF34" s="14">
        <f t="shared" si="24"/>
        <v>8.9615602970516184E-2</v>
      </c>
      <c r="BG34" s="14">
        <f t="shared" si="24"/>
        <v>8.6150844441840846E-2</v>
      </c>
      <c r="BH34" s="14">
        <f t="shared" si="24"/>
        <v>8.6297755845827107E-2</v>
      </c>
      <c r="BI34" s="14">
        <f t="shared" si="24"/>
        <v>8.5274459742875619E-2</v>
      </c>
      <c r="BJ34" s="14">
        <f t="shared" si="24"/>
        <v>8.2051414890718988E-2</v>
      </c>
      <c r="BK34" s="14">
        <f t="shared" si="24"/>
        <v>8.223592183853401E-2</v>
      </c>
      <c r="BO34" s="28">
        <f t="shared" si="27"/>
        <v>3.7420448466351397E-2</v>
      </c>
      <c r="BP34" s="28">
        <f t="shared" si="27"/>
        <v>9.3850131193276676E-2</v>
      </c>
      <c r="BQ34" s="28">
        <f t="shared" si="27"/>
        <v>2.1610688475727668E-2</v>
      </c>
      <c r="BR34" s="28">
        <f t="shared" si="27"/>
        <v>6.2761406909929374E-2</v>
      </c>
      <c r="BS34" s="28">
        <f t="shared" si="27"/>
        <v>6.832519865390374E-2</v>
      </c>
      <c r="BT34" s="28">
        <f t="shared" si="27"/>
        <v>6.8702510669841566E-2</v>
      </c>
    </row>
    <row r="35" spans="1:72" collapsed="1" x14ac:dyDescent="0.25">
      <c r="C35" s="3" t="s">
        <v>63</v>
      </c>
      <c r="D35" s="15">
        <f t="shared" ref="D35:AY35" si="29">D23+D29</f>
        <v>1.8671972002655357E-2</v>
      </c>
      <c r="E35" s="15">
        <f t="shared" si="29"/>
        <v>1.8669635928670214E-2</v>
      </c>
      <c r="F35" s="15">
        <f t="shared" si="29"/>
        <v>1.8801884382680267E-2</v>
      </c>
      <c r="G35" s="15">
        <f t="shared" si="29"/>
        <v>1.8202205023143403E-2</v>
      </c>
      <c r="H35" s="15">
        <f t="shared" si="29"/>
        <v>1.8641661114401353E-2</v>
      </c>
      <c r="I35" s="15">
        <f t="shared" si="29"/>
        <v>1.8156111214039372E-2</v>
      </c>
      <c r="J35" s="15">
        <f t="shared" si="29"/>
        <v>1.8537994938236713E-2</v>
      </c>
      <c r="K35" s="15">
        <f t="shared" si="29"/>
        <v>1.8343561936428054E-2</v>
      </c>
      <c r="L35" s="15">
        <f t="shared" si="29"/>
        <v>1.85604595217288E-2</v>
      </c>
      <c r="M35" s="15">
        <f t="shared" si="29"/>
        <v>1.9207275893515341E-2</v>
      </c>
      <c r="N35" s="15">
        <f t="shared" si="29"/>
        <v>1.8132047514519023E-2</v>
      </c>
      <c r="O35" s="15">
        <f t="shared" si="29"/>
        <v>1.8225162320239408E-2</v>
      </c>
      <c r="P35" s="15">
        <f t="shared" si="29"/>
        <v>1.867357525466673E-2</v>
      </c>
      <c r="Q35" s="15">
        <f t="shared" si="29"/>
        <v>1.8248731439957311E-2</v>
      </c>
      <c r="R35" s="15">
        <f t="shared" si="29"/>
        <v>1.8097794221855423E-2</v>
      </c>
      <c r="S35" s="15">
        <f t="shared" si="29"/>
        <v>1.8146215369144514E-2</v>
      </c>
      <c r="T35" s="15">
        <f t="shared" si="29"/>
        <v>1.7760599017373035E-2</v>
      </c>
      <c r="U35" s="15">
        <f t="shared" si="29"/>
        <v>1.8286442657791113E-2</v>
      </c>
      <c r="V35" s="15">
        <f t="shared" si="29"/>
        <v>1.7673723514337603E-2</v>
      </c>
      <c r="W35" s="15">
        <f t="shared" si="29"/>
        <v>1.7784549521903559E-2</v>
      </c>
      <c r="X35" s="15">
        <f t="shared" si="29"/>
        <v>1.7777587972465536E-2</v>
      </c>
      <c r="Y35" s="15">
        <f t="shared" si="29"/>
        <v>1.7935075980671566E-2</v>
      </c>
      <c r="Z35" s="15">
        <f t="shared" si="29"/>
        <v>1.7746338795046945E-2</v>
      </c>
      <c r="AA35" s="15">
        <f t="shared" si="29"/>
        <v>1.7559900464613865E-2</v>
      </c>
      <c r="AB35" s="15">
        <f t="shared" si="29"/>
        <v>1.7299271448500519E-2</v>
      </c>
      <c r="AC35" s="15">
        <f t="shared" si="29"/>
        <v>1.7084925239126303E-2</v>
      </c>
      <c r="AD35" s="15">
        <f t="shared" si="29"/>
        <v>1.6996014632274514E-2</v>
      </c>
      <c r="AE35" s="15">
        <f t="shared" si="29"/>
        <v>1.6665686125717727E-2</v>
      </c>
      <c r="AF35" s="15">
        <f t="shared" si="29"/>
        <v>1.6905565297639757E-2</v>
      </c>
      <c r="AG35" s="15">
        <f t="shared" si="29"/>
        <v>1.6274248984922579E-2</v>
      </c>
      <c r="AH35" s="15">
        <f t="shared" si="29"/>
        <v>1.63289413895924E-2</v>
      </c>
      <c r="AI35" s="15">
        <f t="shared" si="29"/>
        <v>1.6204586587976966E-2</v>
      </c>
      <c r="AJ35" s="15">
        <f t="shared" si="29"/>
        <v>1.6818054929044868E-2</v>
      </c>
      <c r="AK35" s="15">
        <f t="shared" si="29"/>
        <v>1.619637056979073E-2</v>
      </c>
      <c r="AL35" s="15">
        <f t="shared" si="29"/>
        <v>1.607915504809676E-2</v>
      </c>
      <c r="AM35" s="15">
        <f t="shared" si="29"/>
        <v>1.6404575605904137E-2</v>
      </c>
      <c r="AN35" s="15">
        <f t="shared" si="29"/>
        <v>1.6297169569960746E-2</v>
      </c>
      <c r="AO35" s="15">
        <f t="shared" si="29"/>
        <v>1.5666413547453351E-2</v>
      </c>
      <c r="AP35" s="15">
        <f t="shared" si="29"/>
        <v>1.6559954781531383E-2</v>
      </c>
      <c r="AQ35" s="15">
        <f t="shared" si="29"/>
        <v>1.5950766728439314E-2</v>
      </c>
      <c r="AR35" s="15">
        <f t="shared" si="29"/>
        <v>1.6082587374199653E-2</v>
      </c>
      <c r="AS35" s="15">
        <f t="shared" si="29"/>
        <v>1.590933425257246E-2</v>
      </c>
      <c r="AT35" s="15">
        <f t="shared" si="29"/>
        <v>0</v>
      </c>
      <c r="AU35" s="15">
        <f t="shared" si="29"/>
        <v>0</v>
      </c>
      <c r="AV35" s="15">
        <f t="shared" si="29"/>
        <v>0</v>
      </c>
      <c r="AW35" s="15">
        <f t="shared" si="29"/>
        <v>0</v>
      </c>
      <c r="AX35" s="15">
        <f t="shared" si="29"/>
        <v>0</v>
      </c>
      <c r="AY35" s="15">
        <f t="shared" si="29"/>
        <v>0</v>
      </c>
      <c r="AZ35" s="15">
        <f t="shared" si="24"/>
        <v>1.6427422766172706E-2</v>
      </c>
      <c r="BA35" s="15">
        <f t="shared" si="24"/>
        <v>1.6768993204510974E-2</v>
      </c>
      <c r="BB35" s="15">
        <f t="shared" si="24"/>
        <v>1.6404083904463462E-2</v>
      </c>
      <c r="BC35" s="15">
        <f t="shared" si="24"/>
        <v>1.6601859016800447E-2</v>
      </c>
      <c r="BD35" s="15">
        <f t="shared" si="24"/>
        <v>1.7139856180878876E-2</v>
      </c>
      <c r="BE35" s="15">
        <f t="shared" si="24"/>
        <v>1.6752844048646187E-2</v>
      </c>
      <c r="BF35" s="15">
        <f t="shared" si="24"/>
        <v>1.721526414890695E-2</v>
      </c>
      <c r="BG35" s="15">
        <f t="shared" si="24"/>
        <v>1.715948115787902E-2</v>
      </c>
      <c r="BH35" s="15">
        <f t="shared" si="24"/>
        <v>1.7316315626781043E-2</v>
      </c>
      <c r="BI35" s="15">
        <f t="shared" si="24"/>
        <v>1.7267579232028041E-2</v>
      </c>
      <c r="BJ35" s="15">
        <f t="shared" si="24"/>
        <v>1.7476480256538363E-2</v>
      </c>
      <c r="BK35" s="15">
        <f t="shared" si="24"/>
        <v>1.7342703862235131E-2</v>
      </c>
      <c r="BO35" s="29">
        <f t="shared" si="27"/>
        <v>1.6194979040076829E-2</v>
      </c>
      <c r="BP35" s="29">
        <f t="shared" si="27"/>
        <v>1.652319864772922E-2</v>
      </c>
      <c r="BQ35" s="29">
        <f t="shared" si="27"/>
        <v>1.6003606000324133E-2</v>
      </c>
      <c r="BR35" s="29">
        <f t="shared" si="27"/>
        <v>1.7128624772285939E-2</v>
      </c>
      <c r="BS35" s="29">
        <f t="shared" si="27"/>
        <v>1.8344828777951738E-2</v>
      </c>
      <c r="BT35" s="29">
        <f t="shared" si="27"/>
        <v>1.8716682553635344E-2</v>
      </c>
    </row>
    <row r="38" spans="1:72" hidden="1" outlineLevel="1" x14ac:dyDescent="0.25">
      <c r="A38" s="11" t="s">
        <v>55</v>
      </c>
      <c r="C38" s="2" t="s">
        <v>0</v>
      </c>
      <c r="D38" s="8">
        <f>IFERROR(
GETPIVOTDATA(
"[Base].[Importe]",
TDinamica_R!$A$5,
"[Calendario].[AñoMes]",
"[Calendario].[AñoMes].&amp;[" &amp; TEXT(D$6,"yyyymm") &amp; "]",
"[Base].[Metrica]",
"[Base].[Metrica].&amp;[" &amp; $A38 &amp; "]",
"[Base].[SEGMENTO_DESCRIP]",
"[Base].[SEGMENTO_DESCRIP].&amp;[" &amp; $C$6 &amp; "]",
"[Base].[SITUACION]",
"[Base].[SITUACION].&amp;[" &amp; $C38 &amp; "]"
),0)/1000</f>
        <v>23421.950494919998</v>
      </c>
      <c r="E38" s="8">
        <f>IFERROR(
GETPIVOTDATA(
"[Base].[Importe]",
TDinamica_R!$A$5,
"[Calendario].[AñoMes]",
"[Calendario].[AñoMes].&amp;[" &amp; TEXT(E$6,"yyyymm") &amp; "]",
"[Base].[Metrica]",
"[Base].[Metrica].&amp;[" &amp; $A38 &amp; "]",
"[Base].[SEGMENTO_DESCRIP]",
"[Base].[SEGMENTO_DESCRIP].&amp;[" &amp; $C$6 &amp; "]",
"[Base].[SITUACION]",
"[Base].[SITUACION].&amp;[" &amp; $C38 &amp; "]"
),0)/1000</f>
        <v>21342.734390879996</v>
      </c>
      <c r="F38" s="8">
        <f>IFERROR(
GETPIVOTDATA(
"[Base].[Importe]",
TDinamica_R!$A$5,
"[Calendario].[AñoMes]",
"[Calendario].[AñoMes].&amp;[" &amp; TEXT(F$6,"yyyymm") &amp; "]",
"[Base].[Metrica]",
"[Base].[Metrica].&amp;[" &amp; $A38 &amp; "]",
"[Base].[SEGMENTO_DESCRIP]",
"[Base].[SEGMENTO_DESCRIP].&amp;[" &amp; $C$6 &amp; "]",
"[Base].[SITUACION]",
"[Base].[SITUACION].&amp;[" &amp; $C38 &amp; "]"
),0)/1000</f>
        <v>23947.840612260003</v>
      </c>
      <c r="G38" s="8">
        <f>IFERROR(
GETPIVOTDATA(
"[Base].[Importe]",
TDinamica_R!$A$5,
"[Calendario].[AñoMes]",
"[Calendario].[AñoMes].&amp;[" &amp; TEXT(G$6,"yyyymm") &amp; "]",
"[Base].[Metrica]",
"[Base].[Metrica].&amp;[" &amp; $A38 &amp; "]",
"[Base].[SEGMENTO_DESCRIP]",
"[Base].[SEGMENTO_DESCRIP].&amp;[" &amp; $C$6 &amp; "]",
"[Base].[SITUACION]",
"[Base].[SITUACION].&amp;[" &amp; $C38 &amp; "]"
),0)/1000</f>
        <v>23296.022315009996</v>
      </c>
      <c r="H38" s="8">
        <f>IFERROR(
GETPIVOTDATA(
"[Base].[Importe]",
TDinamica_R!$A$5,
"[Calendario].[AñoMes]",
"[Calendario].[AñoMes].&amp;[" &amp; TEXT(H$6,"yyyymm") &amp; "]",
"[Base].[Metrica]",
"[Base].[Metrica].&amp;[" &amp; $A38 &amp; "]",
"[Base].[SEGMENTO_DESCRIP]",
"[Base].[SEGMENTO_DESCRIP].&amp;[" &amp; $C$6 &amp; "]",
"[Base].[SITUACION]",
"[Base].[SITUACION].&amp;[" &amp; $C38 &amp; "]"
),0)/1000</f>
        <v>24385.092047630005</v>
      </c>
      <c r="I38" s="8">
        <f>IFERROR(
GETPIVOTDATA(
"[Base].[Importe]",
TDinamica_R!$A$5,
"[Calendario].[AñoMes]",
"[Calendario].[AñoMes].&amp;[" &amp; TEXT(I$6,"yyyymm") &amp; "]",
"[Base].[Metrica]",
"[Base].[Metrica].&amp;[" &amp; $A38 &amp; "]",
"[Base].[SEGMENTO_DESCRIP]",
"[Base].[SEGMENTO_DESCRIP].&amp;[" &amp; $C$6 &amp; "]",
"[Base].[SITUACION]",
"[Base].[SITUACION].&amp;[" &amp; $C38 &amp; "]"
),0)/1000</f>
        <v>23700.692364509992</v>
      </c>
      <c r="J38" s="8">
        <f>IFERROR(
GETPIVOTDATA(
"[Base].[Importe]",
TDinamica_R!$A$5,
"[Calendario].[AñoMes]",
"[Calendario].[AñoMes].&amp;[" &amp; TEXT(J$6,"yyyymm") &amp; "]",
"[Base].[Metrica]",
"[Base].[Metrica].&amp;[" &amp; $A38 &amp; "]",
"[Base].[SEGMENTO_DESCRIP]",
"[Base].[SEGMENTO_DESCRIP].&amp;[" &amp; $C$6 &amp; "]",
"[Base].[SITUACION]",
"[Base].[SITUACION].&amp;[" &amp; $C38 &amp; "]"
),0)/1000</f>
        <v>24753.362613459994</v>
      </c>
      <c r="K38" s="8">
        <f>IFERROR(
GETPIVOTDATA(
"[Base].[Importe]",
TDinamica_R!$A$5,
"[Calendario].[AñoMes]",
"[Calendario].[AñoMes].&amp;[" &amp; TEXT(K$6,"yyyymm") &amp; "]",
"[Base].[Metrica]",
"[Base].[Metrica].&amp;[" &amp; $A38 &amp; "]",
"[Base].[SEGMENTO_DESCRIP]",
"[Base].[SEGMENTO_DESCRIP].&amp;[" &amp; $C$6 &amp; "]",
"[Base].[SITUACION]",
"[Base].[SITUACION].&amp;[" &amp; $C38 &amp; "]"
),0)/1000</f>
        <v>24940.54527178</v>
      </c>
      <c r="L38" s="8">
        <f>IFERROR(
GETPIVOTDATA(
"[Base].[Importe]",
TDinamica_R!$A$5,
"[Calendario].[AñoMes]",
"[Calendario].[AñoMes].&amp;[" &amp; TEXT(L$6,"yyyymm") &amp; "]",
"[Base].[Metrica]",
"[Base].[Metrica].&amp;[" &amp; $A38 &amp; "]",
"[Base].[SEGMENTO_DESCRIP]",
"[Base].[SEGMENTO_DESCRIP].&amp;[" &amp; $C$6 &amp; "]",
"[Base].[SITUACION]",
"[Base].[SITUACION].&amp;[" &amp; $C38 &amp; "]"
),0)/1000</f>
        <v>24535.28123502</v>
      </c>
      <c r="M38" s="8">
        <f>IFERROR(
GETPIVOTDATA(
"[Base].[Importe]",
TDinamica_R!$A$5,
"[Calendario].[AñoMes]",
"[Calendario].[AñoMes].&amp;[" &amp; TEXT(M$6,"yyyymm") &amp; "]",
"[Base].[Metrica]",
"[Base].[Metrica].&amp;[" &amp; $A38 &amp; "]",
"[Base].[SEGMENTO_DESCRIP]",
"[Base].[SEGMENTO_DESCRIP].&amp;[" &amp; $C$6 &amp; "]",
"[Base].[SITUACION]",
"[Base].[SITUACION].&amp;[" &amp; $C38 &amp; "]"
),0)/1000</f>
        <v>25781.75866191</v>
      </c>
      <c r="N38" s="8">
        <f>IFERROR(
GETPIVOTDATA(
"[Base].[Importe]",
TDinamica_R!$A$5,
"[Calendario].[AñoMes]",
"[Calendario].[AñoMes].&amp;[" &amp; TEXT(N$6,"yyyymm") &amp; "]",
"[Base].[Metrica]",
"[Base].[Metrica].&amp;[" &amp; $A38 &amp; "]",
"[Base].[SEGMENTO_DESCRIP]",
"[Base].[SEGMENTO_DESCRIP].&amp;[" &amp; $C$6 &amp; "]",
"[Base].[SITUACION]",
"[Base].[SITUACION].&amp;[" &amp; $C38 &amp; "]"
),0)/1000</f>
        <v>25104.357754859993</v>
      </c>
      <c r="O38" s="8">
        <f>IFERROR(
GETPIVOTDATA(
"[Base].[Importe]",
TDinamica_R!$A$5,
"[Calendario].[AñoMes]",
"[Calendario].[AñoMes].&amp;[" &amp; TEXT(O$6,"yyyymm") &amp; "]",
"[Base].[Metrica]",
"[Base].[Metrica].&amp;[" &amp; $A38 &amp; "]",
"[Base].[SEGMENTO_DESCRIP]",
"[Base].[SEGMENTO_DESCRIP].&amp;[" &amp; $C$6 &amp; "]",
"[Base].[SITUACION]",
"[Base].[SITUACION].&amp;[" &amp; $C38 &amp; "]"
),0)/1000</f>
        <v>26290.742864939999</v>
      </c>
      <c r="P38" s="8">
        <f>IFERROR(
GETPIVOTDATA(
"[Base].[Importe]",
TDinamica_R!$A$5,
"[Calendario].[AñoMes]",
"[Calendario].[AñoMes].&amp;[" &amp; TEXT(P$6,"yyyymm") &amp; "]",
"[Base].[Metrica]",
"[Base].[Metrica].&amp;[" &amp; $A38 &amp; "]",
"[Base].[SEGMENTO_DESCRIP]",
"[Base].[SEGMENTO_DESCRIP].&amp;[" &amp; $C$6 &amp; "]",
"[Base].[SITUACION]",
"[Base].[SITUACION].&amp;[" &amp; $C38 &amp; "]"
),0)/1000</f>
        <v>26462.928104219991</v>
      </c>
      <c r="Q38" s="8">
        <f>IFERROR(
GETPIVOTDATA(
"[Base].[Importe]",
TDinamica_R!$A$5,
"[Calendario].[AñoMes]",
"[Calendario].[AñoMes].&amp;[" &amp; TEXT(Q$6,"yyyymm") &amp; "]",
"[Base].[Metrica]",
"[Base].[Metrica].&amp;[" &amp; $A38 &amp; "]",
"[Base].[SEGMENTO_DESCRIP]",
"[Base].[SEGMENTO_DESCRIP].&amp;[" &amp; $C$6 &amp; "]",
"[Base].[SITUACION]",
"[Base].[SITUACION].&amp;[" &amp; $C38 &amp; "]"
),0)/1000</f>
        <v>24864.298238709998</v>
      </c>
      <c r="R38" s="8">
        <f>IFERROR(
GETPIVOTDATA(
"[Base].[Importe]",
TDinamica_R!$A$5,
"[Calendario].[AñoMes]",
"[Calendario].[AñoMes].&amp;[" &amp; TEXT(R$6,"yyyymm") &amp; "]",
"[Base].[Metrica]",
"[Base].[Metrica].&amp;[" &amp; $A38 &amp; "]",
"[Base].[SEGMENTO_DESCRIP]",
"[Base].[SEGMENTO_DESCRIP].&amp;[" &amp; $C$6 &amp; "]",
"[Base].[SITUACION]",
"[Base].[SITUACION].&amp;[" &amp; $C38 &amp; "]"
),0)/1000</f>
        <v>27019.945216150001</v>
      </c>
      <c r="S38" s="8">
        <f>IFERROR(
GETPIVOTDATA(
"[Base].[Importe]",
TDinamica_R!$A$5,
"[Calendario].[AñoMes]",
"[Calendario].[AñoMes].&amp;[" &amp; TEXT(S$6,"yyyymm") &amp; "]",
"[Base].[Metrica]",
"[Base].[Metrica].&amp;[" &amp; $A38 &amp; "]",
"[Base].[SEGMENTO_DESCRIP]",
"[Base].[SEGMENTO_DESCRIP].&amp;[" &amp; $C$6 &amp; "]",
"[Base].[SITUACION]",
"[Base].[SITUACION].&amp;[" &amp; $C38 &amp; "]"
),0)/1000</f>
        <v>26240.598841120009</v>
      </c>
      <c r="T38" s="8">
        <f>IFERROR(
GETPIVOTDATA(
"[Base].[Importe]",
TDinamica_R!$A$5,
"[Calendario].[AñoMes]",
"[Calendario].[AñoMes].&amp;[" &amp; TEXT(T$6,"yyyymm") &amp; "]",
"[Base].[Metrica]",
"[Base].[Metrica].&amp;[" &amp; $A38 &amp; "]",
"[Base].[SEGMENTO_DESCRIP]",
"[Base].[SEGMENTO_DESCRIP].&amp;[" &amp; $C$6 &amp; "]",
"[Base].[SITUACION]",
"[Base].[SITUACION].&amp;[" &amp; $C38 &amp; "]"
),0)/1000</f>
        <v>27330.690974160007</v>
      </c>
      <c r="U38" s="8">
        <f>IFERROR(
GETPIVOTDATA(
"[Base].[Importe]",
TDinamica_R!$A$5,
"[Calendario].[AñoMes]",
"[Calendario].[AñoMes].&amp;[" &amp; TEXT(U$6,"yyyymm") &amp; "]",
"[Base].[Metrica]",
"[Base].[Metrica].&amp;[" &amp; $A38 &amp; "]",
"[Base].[SEGMENTO_DESCRIP]",
"[Base].[SEGMENTO_DESCRIP].&amp;[" &amp; $C$6 &amp; "]",
"[Base].[SITUACION]",
"[Base].[SITUACION].&amp;[" &amp; $C38 &amp; "]"
),0)/1000</f>
        <v>26833.623419370004</v>
      </c>
      <c r="V38" s="8">
        <f>IFERROR(
GETPIVOTDATA(
"[Base].[Importe]",
TDinamica_R!$A$5,
"[Calendario].[AñoMes]",
"[Calendario].[AñoMes].&amp;[" &amp; TEXT(V$6,"yyyymm") &amp; "]",
"[Base].[Metrica]",
"[Base].[Metrica].&amp;[" &amp; $A38 &amp; "]",
"[Base].[SEGMENTO_DESCRIP]",
"[Base].[SEGMENTO_DESCRIP].&amp;[" &amp; $C$6 &amp; "]",
"[Base].[SITUACION]",
"[Base].[SITUACION].&amp;[" &amp; $C38 &amp; "]"
),0)/1000</f>
        <v>27936.317744929995</v>
      </c>
      <c r="W38" s="8">
        <f>IFERROR(
GETPIVOTDATA(
"[Base].[Importe]",
TDinamica_R!$A$5,
"[Calendario].[AñoMes]",
"[Calendario].[AñoMes].&amp;[" &amp; TEXT(W$6,"yyyymm") &amp; "]",
"[Base].[Metrica]",
"[Base].[Metrica].&amp;[" &amp; $A38 &amp; "]",
"[Base].[SEGMENTO_DESCRIP]",
"[Base].[SEGMENTO_DESCRIP].&amp;[" &amp; $C$6 &amp; "]",
"[Base].[SITUACION]",
"[Base].[SITUACION].&amp;[" &amp; $C38 &amp; "]"
),0)/1000</f>
        <v>28293.517281000004</v>
      </c>
      <c r="X38" s="8">
        <f>IFERROR(
GETPIVOTDATA(
"[Base].[Importe]",
TDinamica_R!$A$5,
"[Calendario].[AñoMes]",
"[Calendario].[AñoMes].&amp;[" &amp; TEXT(X$6,"yyyymm") &amp; "]",
"[Base].[Metrica]",
"[Base].[Metrica].&amp;[" &amp; $A38 &amp; "]",
"[Base].[SEGMENTO_DESCRIP]",
"[Base].[SEGMENTO_DESCRIP].&amp;[" &amp; $C$6 &amp; "]",
"[Base].[SITUACION]",
"[Base].[SITUACION].&amp;[" &amp; $C38 &amp; "]"
),0)/1000</f>
        <v>27714.888454650001</v>
      </c>
      <c r="Y38" s="8">
        <f>IFERROR(
GETPIVOTDATA(
"[Base].[Importe]",
TDinamica_R!$A$5,
"[Calendario].[AñoMes]",
"[Calendario].[AñoMes].&amp;[" &amp; TEXT(Y$6,"yyyymm") &amp; "]",
"[Base].[Metrica]",
"[Base].[Metrica].&amp;[" &amp; $A38 &amp; "]",
"[Base].[SEGMENTO_DESCRIP]",
"[Base].[SEGMENTO_DESCRIP].&amp;[" &amp; $C$6 &amp; "]",
"[Base].[SITUACION]",
"[Base].[SITUACION].&amp;[" &amp; $C38 &amp; "]"
),0)/1000</f>
        <v>29035.746105000002</v>
      </c>
      <c r="Z38" s="8">
        <f>IFERROR(
GETPIVOTDATA(
"[Base].[Importe]",
TDinamica_R!$A$5,
"[Calendario].[AñoMes]",
"[Calendario].[AñoMes].&amp;[" &amp; TEXT(Z$6,"yyyymm") &amp; "]",
"[Base].[Metrica]",
"[Base].[Metrica].&amp;[" &amp; $A38 &amp; "]",
"[Base].[SEGMENTO_DESCRIP]",
"[Base].[SEGMENTO_DESCRIP].&amp;[" &amp; $C$6 &amp; "]",
"[Base].[SITUACION]",
"[Base].[SITUACION].&amp;[" &amp; $C38 &amp; "]"
),0)/1000</f>
        <v>28277.261423149997</v>
      </c>
      <c r="AA38" s="8">
        <f>IFERROR(
GETPIVOTDATA(
"[Base].[Importe]",
TDinamica_R!$A$5,
"[Calendario].[AñoMes]",
"[Calendario].[AñoMes].&amp;[" &amp; TEXT(AA$6,"yyyymm") &amp; "]",
"[Base].[Metrica]",
"[Base].[Metrica].&amp;[" &amp; $A38 &amp; "]",
"[Base].[SEGMENTO_DESCRIP]",
"[Base].[SEGMENTO_DESCRIP].&amp;[" &amp; $C$6 &amp; "]",
"[Base].[SITUACION]",
"[Base].[SITUACION].&amp;[" &amp; $C38 &amp; "]"
),0)/1000</f>
        <v>29447.4854982</v>
      </c>
      <c r="AB38" s="8">
        <f>IFERROR(
GETPIVOTDATA(
"[Base].[Importe]",
TDinamica_R!$A$5,
"[Calendario].[AñoMes]",
"[Calendario].[AñoMes].&amp;[" &amp; TEXT(AB$6,"yyyymm") &amp; "]",
"[Base].[Metrica]",
"[Base].[Metrica].&amp;[" &amp; $A38 &amp; "]",
"[Base].[SEGMENTO_DESCRIP]",
"[Base].[SEGMENTO_DESCRIP].&amp;[" &amp; $C$6 &amp; "]",
"[Base].[SITUACION]",
"[Base].[SITUACION].&amp;[" &amp; $C38 &amp; "]"
),0)/1000</f>
        <v>29467.206301989998</v>
      </c>
      <c r="AC38" s="8">
        <f>IFERROR(
GETPIVOTDATA(
"[Base].[Importe]",
TDinamica_R!$A$5,
"[Calendario].[AñoMes]",
"[Calendario].[AñoMes].&amp;[" &amp; TEXT(AC$6,"yyyymm") &amp; "]",
"[Base].[Metrica]",
"[Base].[Metrica].&amp;[" &amp; $A38 &amp; "]",
"[Base].[SEGMENTO_DESCRIP]",
"[Base].[SEGMENTO_DESCRIP].&amp;[" &amp; $C$6 &amp; "]",
"[Base].[SITUACION]",
"[Base].[SITUACION].&amp;[" &amp; $C38 &amp; "]"
),0)/1000</f>
        <v>26810.124093329992</v>
      </c>
      <c r="AD38" s="8">
        <f>IFERROR(
GETPIVOTDATA(
"[Base].[Importe]",
TDinamica_R!$A$5,
"[Calendario].[AñoMes]",
"[Calendario].[AñoMes].&amp;[" &amp; TEXT(AD$6,"yyyymm") &amp; "]",
"[Base].[Metrica]",
"[Base].[Metrica].&amp;[" &amp; $A38 &amp; "]",
"[Base].[SEGMENTO_DESCRIP]",
"[Base].[SEGMENTO_DESCRIP].&amp;[" &amp; $C$6 &amp; "]",
"[Base].[SITUACION]",
"[Base].[SITUACION].&amp;[" &amp; $C38 &amp; "]"
),0)/1000</f>
        <v>29663.118290010007</v>
      </c>
      <c r="AE38" s="8">
        <f>IFERROR(
GETPIVOTDATA(
"[Base].[Importe]",
TDinamica_R!$A$5,
"[Calendario].[AñoMes]",
"[Calendario].[AñoMes].&amp;[" &amp; TEXT(AE$6,"yyyymm") &amp; "]",
"[Base].[Metrica]",
"[Base].[Metrica].&amp;[" &amp; $A38 &amp; "]",
"[Base].[SEGMENTO_DESCRIP]",
"[Base].[SEGMENTO_DESCRIP].&amp;[" &amp; $C$6 &amp; "]",
"[Base].[SITUACION]",
"[Base].[SITUACION].&amp;[" &amp; $C38 &amp; "]"
),0)/1000</f>
        <v>28636.070064769996</v>
      </c>
      <c r="AF38" s="8">
        <f>IFERROR(
GETPIVOTDATA(
"[Base].[Importe]",
TDinamica_R!$A$5,
"[Calendario].[AñoMes]",
"[Calendario].[AñoMes].&amp;[" &amp; TEXT(AF$6,"yyyymm") &amp; "]",
"[Base].[Metrica]",
"[Base].[Metrica].&amp;[" &amp; $A38 &amp; "]",
"[Base].[SEGMENTO_DESCRIP]",
"[Base].[SEGMENTO_DESCRIP].&amp;[" &amp; $C$6 &amp; "]",
"[Base].[SITUACION]",
"[Base].[SITUACION].&amp;[" &amp; $C38 &amp; "]"
),0)/1000</f>
        <v>29849.900762320005</v>
      </c>
      <c r="AG38" s="8">
        <f>IFERROR(
GETPIVOTDATA(
"[Base].[Importe]",
TDinamica_R!$A$5,
"[Calendario].[AñoMes]",
"[Calendario].[AñoMes].&amp;[" &amp; TEXT(AG$6,"yyyymm") &amp; "]",
"[Base].[Metrica]",
"[Base].[Metrica].&amp;[" &amp; $A38 &amp; "]",
"[Base].[SEGMENTO_DESCRIP]",
"[Base].[SEGMENTO_DESCRIP].&amp;[" &amp; $C$6 &amp; "]",
"[Base].[SITUACION]",
"[Base].[SITUACION].&amp;[" &amp; $C38 &amp; "]"
),0)/1000</f>
        <v>28927.556030809999</v>
      </c>
      <c r="AH38" s="8">
        <f>IFERROR(
GETPIVOTDATA(
"[Base].[Importe]",
TDinamica_R!$A$5,
"[Calendario].[AñoMes]",
"[Calendario].[AñoMes].&amp;[" &amp; TEXT(AH$6,"yyyymm") &amp; "]",
"[Base].[Metrica]",
"[Base].[Metrica].&amp;[" &amp; $A38 &amp; "]",
"[Base].[SEGMENTO_DESCRIP]",
"[Base].[SEGMENTO_DESCRIP].&amp;[" &amp; $C$6 &amp; "]",
"[Base].[SITUACION]",
"[Base].[SITUACION].&amp;[" &amp; $C38 &amp; "]"
),0)/1000</f>
        <v>30208.404512990001</v>
      </c>
      <c r="AI38" s="8">
        <f>IFERROR(
GETPIVOTDATA(
"[Base].[Importe]",
TDinamica_R!$A$5,
"[Calendario].[AñoMes]",
"[Calendario].[AñoMes].&amp;[" &amp; TEXT(AI$6,"yyyymm") &amp; "]",
"[Base].[Metrica]",
"[Base].[Metrica].&amp;[" &amp; $A38 &amp; "]",
"[Base].[SEGMENTO_DESCRIP]",
"[Base].[SEGMENTO_DESCRIP].&amp;[" &amp; $C$6 &amp; "]",
"[Base].[SITUACION]",
"[Base].[SITUACION].&amp;[" &amp; $C38 &amp; "]"
),0)/1000</f>
        <v>30258.197672819999</v>
      </c>
      <c r="AJ38" s="8">
        <f>IFERROR(
GETPIVOTDATA(
"[Base].[Importe]",
TDinamica_R!$A$5,
"[Calendario].[AñoMes]",
"[Calendario].[AñoMes].&amp;[" &amp; TEXT(AJ$6,"yyyymm") &amp; "]",
"[Base].[Metrica]",
"[Base].[Metrica].&amp;[" &amp; $A38 &amp; "]",
"[Base].[SEGMENTO_DESCRIP]",
"[Base].[SEGMENTO_DESCRIP].&amp;[" &amp; $C$6 &amp; "]",
"[Base].[SITUACION]",
"[Base].[SITUACION].&amp;[" &amp; $C38 &amp; "]"
),0)/1000</f>
        <v>29369.916925830006</v>
      </c>
      <c r="AK38" s="8">
        <f>IFERROR(
GETPIVOTDATA(
"[Base].[Importe]",
TDinamica_R!$A$5,
"[Calendario].[AñoMes]",
"[Calendario].[AñoMes].&amp;[" &amp; TEXT(AK$6,"yyyymm") &amp; "]",
"[Base].[Metrica]",
"[Base].[Metrica].&amp;[" &amp; $A38 &amp; "]",
"[Base].[SEGMENTO_DESCRIP]",
"[Base].[SEGMENTO_DESCRIP].&amp;[" &amp; $C$6 &amp; "]",
"[Base].[SITUACION]",
"[Base].[SITUACION].&amp;[" &amp; $C38 &amp; "]"
),0)/1000</f>
        <v>30523.629052939992</v>
      </c>
      <c r="AL38" s="8">
        <f>IFERROR(
GETPIVOTDATA(
"[Base].[Importe]",
TDinamica_R!$A$5,
"[Calendario].[AñoMes]",
"[Calendario].[AñoMes].&amp;[" &amp; TEXT(AL$6,"yyyymm") &amp; "]",
"[Base].[Metrica]",
"[Base].[Metrica].&amp;[" &amp; $A38 &amp; "]",
"[Base].[SEGMENTO_DESCRIP]",
"[Base].[SEGMENTO_DESCRIP].&amp;[" &amp; $C$6 &amp; "]",
"[Base].[SITUACION]",
"[Base].[SITUACION].&amp;[" &amp; $C38 &amp; "]"
),0)/1000</f>
        <v>29697.695323470001</v>
      </c>
      <c r="AM38" s="8">
        <f>IFERROR(
GETPIVOTDATA(
"[Base].[Importe]",
TDinamica_R!$A$5,
"[Calendario].[AñoMes]",
"[Calendario].[AñoMes].&amp;[" &amp; TEXT(AM$6,"yyyymm") &amp; "]",
"[Base].[Metrica]",
"[Base].[Metrica].&amp;[" &amp; $A38 &amp; "]",
"[Base].[SEGMENTO_DESCRIP]",
"[Base].[SEGMENTO_DESCRIP].&amp;[" &amp; $C$6 &amp; "]",
"[Base].[SITUACION]",
"[Base].[SITUACION].&amp;[" &amp; $C38 &amp; "]"
),0)/1000</f>
        <v>30853.05484257</v>
      </c>
      <c r="AN38" s="8">
        <f>IFERROR(
GETPIVOTDATA(
"[Base].[Importe]",
TDinamica_R!$A$5,
"[Calendario].[AñoMes]",
"[Calendario].[AñoMes].&amp;[" &amp; TEXT(AN$6,"yyyymm") &amp; "]",
"[Base].[Metrica]",
"[Base].[Metrica].&amp;[" &amp; $A38 &amp; "]",
"[Base].[SEGMENTO_DESCRIP]",
"[Base].[SEGMENTO_DESCRIP].&amp;[" &amp; $C$6 &amp; "]",
"[Base].[SITUACION]",
"[Base].[SITUACION].&amp;[" &amp; $C38 &amp; "]"
),0)/1000</f>
        <v>30792.713190809998</v>
      </c>
      <c r="AO38" s="8">
        <f>IFERROR(
GETPIVOTDATA(
"[Base].[Importe]",
TDinamica_R!$A$5,
"[Calendario].[AñoMes]",
"[Calendario].[AñoMes].&amp;[" &amp; TEXT(AO$6,"yyyymm") &amp; "]",
"[Base].[Metrica]",
"[Base].[Metrica].&amp;[" &amp; $A38 &amp; "]",
"[Base].[SEGMENTO_DESCRIP]",
"[Base].[SEGMENTO_DESCRIP].&amp;[" &amp; $C$6 &amp; "]",
"[Base].[SITUACION]",
"[Base].[SITUACION].&amp;[" &amp; $C38 &amp; "]"
),0)/1000</f>
        <v>27669.93648348</v>
      </c>
      <c r="AP38" s="8">
        <f>IFERROR(
GETPIVOTDATA(
"[Base].[Importe]",
TDinamica_R!$A$5,
"[Calendario].[AñoMes]",
"[Calendario].[AñoMes].&amp;[" &amp; TEXT(AP$6,"yyyymm") &amp; "]",
"[Base].[Metrica]",
"[Base].[Metrica].&amp;[" &amp; $A38 &amp; "]",
"[Base].[SEGMENTO_DESCRIP]",
"[Base].[SEGMENTO_DESCRIP].&amp;[" &amp; $C$6 &amp; "]",
"[Base].[SITUACION]",
"[Base].[SITUACION].&amp;[" &amp; $C38 &amp; "]"
),0)/1000</f>
        <v>30733.329371009993</v>
      </c>
      <c r="AQ38" s="8">
        <f>IFERROR(
GETPIVOTDATA(
"[Base].[Importe]",
TDinamica_R!$A$5,
"[Calendario].[AñoMes]",
"[Calendario].[AñoMes].&amp;[" &amp; TEXT(AQ$6,"yyyymm") &amp; "]",
"[Base].[Metrica]",
"[Base].[Metrica].&amp;[" &amp; $A38 &amp; "]",
"[Base].[SEGMENTO_DESCRIP]",
"[Base].[SEGMENTO_DESCRIP].&amp;[" &amp; $C$6 &amp; "]",
"[Base].[SITUACION]",
"[Base].[SITUACION].&amp;[" &amp; $C38 &amp; "]"
),0)/1000</f>
        <v>29560.114364829999</v>
      </c>
      <c r="AR38" s="8">
        <f>IFERROR(
GETPIVOTDATA(
"[Base].[Importe]",
TDinamica_R!$A$5,
"[Calendario].[AñoMes]",
"[Calendario].[AñoMes].&amp;[" &amp; TEXT(AR$6,"yyyymm") &amp; "]",
"[Base].[Metrica]",
"[Base].[Metrica].&amp;[" &amp; $A38 &amp; "]",
"[Base].[SEGMENTO_DESCRIP]",
"[Base].[SEGMENTO_DESCRIP].&amp;[" &amp; $C$6 &amp; "]",
"[Base].[SITUACION]",
"[Base].[SITUACION].&amp;[" &amp; $C38 &amp; "]"
),0)/1000</f>
        <v>30515.11350467</v>
      </c>
      <c r="AS38" s="8">
        <f>IFERROR(
GETPIVOTDATA(
"[Base].[Importe]",
TDinamica_R!$A$5,
"[Calendario].[AñoMes]",
"[Calendario].[AñoMes].&amp;[" &amp; TEXT(AS$6,"yyyymm") &amp; "]",
"[Base].[Metrica]",
"[Base].[Metrica].&amp;[" &amp; $A38 &amp; "]",
"[Base].[SEGMENTO_DESCRIP]",
"[Base].[SEGMENTO_DESCRIP].&amp;[" &amp; $C$6 &amp; "]",
"[Base].[SITUACION]",
"[Base].[SITUACION].&amp;[" &amp; $C38 &amp; "]"
),0)/1000</f>
        <v>29491.594225489996</v>
      </c>
      <c r="AT38" s="8">
        <f>IFERROR(
GETPIVOTDATA(
"[Base].[Importe]",
TDinamica_R!$A$5,
"[Calendario].[AñoMes]",
"[Calendario].[AñoMes].&amp;[" &amp; TEXT(AT$6,"yyyymm")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U38" s="8">
        <f>IFERROR(
GETPIVOTDATA(
"[Base].[Importe]",
TDinamica_R!$A$5,
"[Calendario].[AñoMes]",
"[Calendario].[AñoMes].&amp;[" &amp; TEXT(AU$6,"yyyymm")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V38" s="8">
        <f>IFERROR(
GETPIVOTDATA(
"[Base].[Importe]",
TDinamica_R!$A$5,
"[Calendario].[AñoMes]",
"[Calendario].[AñoMes].&amp;[" &amp; TEXT(AV$6,"yyyymm")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W38" s="8">
        <f>IFERROR(
GETPIVOTDATA(
"[Base].[Importe]",
TDinamica_R!$A$5,
"[Calendario].[AñoMes]",
"[Calendario].[AñoMes].&amp;[" &amp; TEXT(AW$6,"yyyymm")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X38" s="8">
        <f>IFERROR(
GETPIVOTDATA(
"[Base].[Importe]",
TDinamica_R!$A$5,
"[Calendario].[AñoMes]",
"[Calendario].[AñoMes].&amp;[" &amp; TEXT(AX$6,"yyyymm")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Y38" s="8">
        <f>IFERROR(
GETPIVOTDATA(
"[Base].[Importe]",
TDinamica_R!$A$5,
"[Calendario].[AñoMes]",
"[Calendario].[AñoMes].&amp;[" &amp; TEXT(AY$6,"yyyymm")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Z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"[BASE_HIPO_PPTO].[Periodo]","[BASE_HIPO_PPTO].[Periodo].&amp;["&amp;TEXT(AZ$6,"yyyymm")&amp;"]"),
0)/1000</f>
        <v>30725.27056651796</v>
      </c>
      <c r="BA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"[BASE_HIPO_PPTO].[Periodo]","[BASE_HIPO_PPTO].[Periodo].&amp;["&amp;TEXT(BA$6,"yyyymm")&amp;"]"),
0)/1000</f>
        <v>27959.281553089335</v>
      </c>
      <c r="BB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"[BASE_HIPO_PPTO].[Periodo]","[BASE_HIPO_PPTO].[Periodo].&amp;["&amp;TEXT(BB$6,"yyyymm")&amp;"]"),
0)/1000</f>
        <v>30790.678423081794</v>
      </c>
      <c r="BC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"[BASE_HIPO_PPTO].[Periodo]","[BASE_HIPO_PPTO].[Periodo].&amp;["&amp;TEXT(BC$6,"yyyymm")&amp;"]"),
0)/1000</f>
        <v>29939.342292104007</v>
      </c>
      <c r="BD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"[BASE_HIPO_PPTO].[Periodo]","[BASE_HIPO_PPTO].[Periodo].&amp;["&amp;TEXT(BD$6,"yyyymm")&amp;"]"),
0)/1000</f>
        <v>31259.19326390696</v>
      </c>
      <c r="BE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"[BASE_HIPO_PPTO].[Periodo]","[BASE_HIPO_PPTO].[Periodo].&amp;["&amp;TEXT(BE$6,"yyyymm")&amp;"]"),
0)/1000</f>
        <v>30257.599339091361</v>
      </c>
      <c r="BF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"[BASE_HIPO_PPTO].[Periodo]","[BASE_HIPO_PPTO].[Periodo].&amp;["&amp;TEXT(BF$6,"yyyymm")&amp;"]"),
0)/1000</f>
        <v>31584.812442010651</v>
      </c>
      <c r="BG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"[BASE_HIPO_PPTO].[Periodo]","[BASE_HIPO_PPTO].[Periodo].&amp;["&amp;TEXT(BG$6,"yyyymm")&amp;"]"),
0)/1000</f>
        <v>31802.474634617778</v>
      </c>
      <c r="BH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"[BASE_HIPO_PPTO].[Periodo]","[BASE_HIPO_PPTO].[Periodo].&amp;["&amp;TEXT(BH$6,"yyyymm")&amp;"]"),
0)/1000</f>
        <v>31032.448369162688</v>
      </c>
      <c r="BI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"[BASE_HIPO_PPTO].[Periodo]","[BASE_HIPO_PPTO].[Periodo].&amp;["&amp;TEXT(BI$6,"yyyymm")&amp;"]"),
0)/1000</f>
        <v>32271.304032548578</v>
      </c>
      <c r="BJ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"[BASE_HIPO_PPTO].[Periodo]","[BASE_HIPO_PPTO].[Periodo].&amp;["&amp;TEXT(BJ$6,"yyyymm")&amp;"]"),
0)/1000</f>
        <v>31498.613529426253</v>
      </c>
      <c r="BK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"[BASE_HIPO_PPTO].[Periodo]","[BASE_HIPO_PPTO].[Periodo].&amp;["&amp;TEXT(BK$6,"yyyymm")&amp;"]"),
0)/1000</f>
        <v>32639.647085004046</v>
      </c>
      <c r="BO38" s="24">
        <f t="shared" ref="BO38:BT40" si="30">SUMIFS($D38:$BM38,$D$6:$BM$6,"&gt;="&amp;BO$2,$D$6:$BM$6,"&lt;="&amp;BO$6,$D$5:$BM$5,BO$5)</f>
        <v>89195.979045299988</v>
      </c>
      <c r="BP38" s="24">
        <f t="shared" si="30"/>
        <v>89475.230542689096</v>
      </c>
      <c r="BQ38" s="24">
        <f t="shared" si="30"/>
        <v>58462.649674289998</v>
      </c>
      <c r="BR38" s="24">
        <f t="shared" si="30"/>
        <v>85940.448685330004</v>
      </c>
      <c r="BS38" s="24">
        <f t="shared" si="30"/>
        <v>78347.171559079987</v>
      </c>
      <c r="BT38" s="24">
        <f t="shared" si="30"/>
        <v>68712.52549806</v>
      </c>
    </row>
    <row r="39" spans="1:72" hidden="1" outlineLevel="1" x14ac:dyDescent="0.25">
      <c r="A39" s="11" t="s">
        <v>55</v>
      </c>
      <c r="C39" s="2" t="s">
        <v>1</v>
      </c>
      <c r="D39" s="8">
        <f>IFERROR(
GETPIVOTDATA(
"[Base].[Importe]",
TDinamica_R!$A$5,
"[Calendario].[AñoMes]",
"[Calendario].[AñoMes].&amp;[" &amp; TEXT(D$6,"yyyymm")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E39" s="8">
        <f>IFERROR(
GETPIVOTDATA(
"[Base].[Importe]",
TDinamica_R!$A$5,
"[Calendario].[AñoMes]",
"[Calendario].[AñoMes].&amp;[" &amp; TEXT(E$6,"yyyymm")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F39" s="8">
        <f>IFERROR(
GETPIVOTDATA(
"[Base].[Importe]",
TDinamica_R!$A$5,
"[Calendario].[AñoMes]",
"[Calendario].[AñoMes].&amp;[" &amp; TEXT(F$6,"yyyymm")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G39" s="8">
        <f>IFERROR(
GETPIVOTDATA(
"[Base].[Importe]",
TDinamica_R!$A$5,
"[Calendario].[AñoMes]",
"[Calendario].[AñoMes].&amp;[" &amp; TEXT(G$6,"yyyymm")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H39" s="8">
        <f>IFERROR(
GETPIVOTDATA(
"[Base].[Importe]",
TDinamica_R!$A$5,
"[Calendario].[AñoMes]",
"[Calendario].[AñoMes].&amp;[" &amp; TEXT(H$6,"yyyymm")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I39" s="8">
        <f>IFERROR(
GETPIVOTDATA(
"[Base].[Importe]",
TDinamica_R!$A$5,
"[Calendario].[AñoMes]",
"[Calendario].[AñoMes].&amp;[" &amp; TEXT(I$6,"yyyymm")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J39" s="8">
        <f>IFERROR(
GETPIVOTDATA(
"[Base].[Importe]",
TDinamica_R!$A$5,
"[Calendario].[AñoMes]",
"[Calendario].[AñoMes].&amp;[" &amp; TEXT(J$6,"yyyymm")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K39" s="8">
        <f>IFERROR(
GETPIVOTDATA(
"[Base].[Importe]",
TDinamica_R!$A$5,
"[Calendario].[AñoMes]",
"[Calendario].[AñoMes].&amp;[" &amp; TEXT(K$6,"yyyymm")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L39" s="8">
        <f>IFERROR(
GETPIVOTDATA(
"[Base].[Importe]",
TDinamica_R!$A$5,
"[Calendario].[AñoMes]",
"[Calendario].[AñoMes].&amp;[" &amp; TEXT(L$6,"yyyymm")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M39" s="8">
        <f>IFERROR(
GETPIVOTDATA(
"[Base].[Importe]",
TDinamica_R!$A$5,
"[Calendario].[AñoMes]",
"[Calendario].[AñoMes].&amp;[" &amp; TEXT(M$6,"yyyymm")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N39" s="8">
        <f>IFERROR(
GETPIVOTDATA(
"[Base].[Importe]",
TDinamica_R!$A$5,
"[Calendario].[AñoMes]",
"[Calendario].[AñoMes].&amp;[" &amp; TEXT(N$6,"yyyymm")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O39" s="8">
        <f>IFERROR(
GETPIVOTDATA(
"[Base].[Importe]",
TDinamica_R!$A$5,
"[Calendario].[AñoMes]",
"[Calendario].[AñoMes].&amp;[" &amp; TEXT(O$6,"yyyymm")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P39" s="8">
        <f>IFERROR(
GETPIVOTDATA(
"[Base].[Importe]",
TDinamica_R!$A$5,
"[Calendario].[AñoMes]",
"[Calendario].[AñoMes].&amp;[" &amp; TEXT(P$6,"yyyymm")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Q39" s="8">
        <f>IFERROR(
GETPIVOTDATA(
"[Base].[Importe]",
TDinamica_R!$A$5,
"[Calendario].[AñoMes]",
"[Calendario].[AñoMes].&amp;[" &amp; TEXT(Q$6,"yyyymm")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R39" s="8">
        <f>IFERROR(
GETPIVOTDATA(
"[Base].[Importe]",
TDinamica_R!$A$5,
"[Calendario].[AñoMes]",
"[Calendario].[AñoMes].&amp;[" &amp; TEXT(R$6,"yyyymm")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S39" s="8">
        <f>IFERROR(
GETPIVOTDATA(
"[Base].[Importe]",
TDinamica_R!$A$5,
"[Calendario].[AñoMes]",
"[Calendario].[AñoMes].&amp;[" &amp; TEXT(S$6,"yyyymm")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T39" s="8">
        <f>IFERROR(
GETPIVOTDATA(
"[Base].[Importe]",
TDinamica_R!$A$5,
"[Calendario].[AñoMes]",
"[Calendario].[AñoMes].&amp;[" &amp; TEXT(T$6,"yyyymm")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U39" s="8">
        <f>IFERROR(
GETPIVOTDATA(
"[Base].[Importe]",
TDinamica_R!$A$5,
"[Calendario].[AñoMes]",
"[Calendario].[AñoMes].&amp;[" &amp; TEXT(U$6,"yyyymm")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V39" s="8">
        <f>IFERROR(
GETPIVOTDATA(
"[Base].[Importe]",
TDinamica_R!$A$5,
"[Calendario].[AñoMes]",
"[Calendario].[AñoMes].&amp;[" &amp; TEXT(V$6,"yyyymm")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W39" s="8">
        <f>IFERROR(
GETPIVOTDATA(
"[Base].[Importe]",
TDinamica_R!$A$5,
"[Calendario].[AñoMes]",
"[Calendario].[AñoMes].&amp;[" &amp; TEXT(W$6,"yyyymm")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X39" s="8">
        <f>IFERROR(
GETPIVOTDATA(
"[Base].[Importe]",
TDinamica_R!$A$5,
"[Calendario].[AñoMes]",
"[Calendario].[AñoMes].&amp;[" &amp; TEXT(X$6,"yyyymm")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Y39" s="8">
        <f>IFERROR(
GETPIVOTDATA(
"[Base].[Importe]",
TDinamica_R!$A$5,
"[Calendario].[AñoMes]",
"[Calendario].[AñoMes].&amp;[" &amp; TEXT(Y$6,"yyyymm")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Z39" s="8">
        <f>IFERROR(
GETPIVOTDATA(
"[Base].[Importe]",
TDinamica_R!$A$5,
"[Calendario].[AñoMes]",
"[Calendario].[AñoMes].&amp;[" &amp; TEXT(Z$6,"yyyymm")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A39" s="8">
        <f>IFERROR(
GETPIVOTDATA(
"[Base].[Importe]",
TDinamica_R!$A$5,
"[Calendario].[AñoMes]",
"[Calendario].[AñoMes].&amp;[" &amp; TEXT(AA$6,"yyyymm")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B39" s="8">
        <f>IFERROR(
GETPIVOTDATA(
"[Base].[Importe]",
TDinamica_R!$A$5,
"[Calendario].[AñoMes]",
"[Calendario].[AñoMes].&amp;[" &amp; TEXT(AB$6,"yyyymm")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C39" s="8">
        <f>IFERROR(
GETPIVOTDATA(
"[Base].[Importe]",
TDinamica_R!$A$5,
"[Calendario].[AñoMes]",
"[Calendario].[AñoMes].&amp;[" &amp; TEXT(AC$6,"yyyymm")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D39" s="8">
        <f>IFERROR(
GETPIVOTDATA(
"[Base].[Importe]",
TDinamica_R!$A$5,
"[Calendario].[AñoMes]",
"[Calendario].[AñoMes].&amp;[" &amp; TEXT(AD$6,"yyyymm")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E39" s="8">
        <f>IFERROR(
GETPIVOTDATA(
"[Base].[Importe]",
TDinamica_R!$A$5,
"[Calendario].[AñoMes]",
"[Calendario].[AñoMes].&amp;[" &amp; TEXT(AE$6,"yyyymm")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F39" s="8">
        <f>IFERROR(
GETPIVOTDATA(
"[Base].[Importe]",
TDinamica_R!$A$5,
"[Calendario].[AñoMes]",
"[Calendario].[AñoMes].&amp;[" &amp; TEXT(AF$6,"yyyymm")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G39" s="8">
        <f>IFERROR(
GETPIVOTDATA(
"[Base].[Importe]",
TDinamica_R!$A$5,
"[Calendario].[AñoMes]",
"[Calendario].[AñoMes].&amp;[" &amp; TEXT(AG$6,"yyyymm")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H39" s="8">
        <f>IFERROR(
GETPIVOTDATA(
"[Base].[Importe]",
TDinamica_R!$A$5,
"[Calendario].[AñoMes]",
"[Calendario].[AñoMes].&amp;[" &amp; TEXT(AH$6,"yyyymm")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I39" s="8">
        <f>IFERROR(
GETPIVOTDATA(
"[Base].[Importe]",
TDinamica_R!$A$5,
"[Calendario].[AñoMes]",
"[Calendario].[AñoMes].&amp;[" &amp; TEXT(AI$6,"yyyymm")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J39" s="8">
        <f>IFERROR(
GETPIVOTDATA(
"[Base].[Importe]",
TDinamica_R!$A$5,
"[Calendario].[AñoMes]",
"[Calendario].[AñoMes].&amp;[" &amp; TEXT(AJ$6,"yyyymm")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K39" s="8">
        <f>IFERROR(
GETPIVOTDATA(
"[Base].[Importe]",
TDinamica_R!$A$5,
"[Calendario].[AñoMes]",
"[Calendario].[AñoMes].&amp;[" &amp; TEXT(AK$6,"yyyymm")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L39" s="8">
        <f>IFERROR(
GETPIVOTDATA(
"[Base].[Importe]",
TDinamica_R!$A$5,
"[Calendario].[AñoMes]",
"[Calendario].[AñoMes].&amp;[" &amp; TEXT(AL$6,"yyyymm")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M39" s="8">
        <f>IFERROR(
GETPIVOTDATA(
"[Base].[Importe]",
TDinamica_R!$A$5,
"[Calendario].[AñoMes]",
"[Calendario].[AñoMes].&amp;[" &amp; TEXT(AM$6,"yyyymm")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N39" s="8">
        <f>IFERROR(
GETPIVOTDATA(
"[Base].[Importe]",
TDinamica_R!$A$5,
"[Calendario].[AñoMes]",
"[Calendario].[AñoMes].&amp;[" &amp; TEXT(AN$6,"yyyymm")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O39" s="8">
        <f>IFERROR(
GETPIVOTDATA(
"[Base].[Importe]",
TDinamica_R!$A$5,
"[Calendario].[AñoMes]",
"[Calendario].[AñoMes].&amp;[" &amp; TEXT(AO$6,"yyyymm")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P39" s="8">
        <f>IFERROR(
GETPIVOTDATA(
"[Base].[Importe]",
TDinamica_R!$A$5,
"[Calendario].[AñoMes]",
"[Calendario].[AñoMes].&amp;[" &amp; TEXT(AP$6,"yyyymm")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Q39" s="8">
        <f>IFERROR(
GETPIVOTDATA(
"[Base].[Importe]",
TDinamica_R!$A$5,
"[Calendario].[AñoMes]",
"[Calendario].[AñoMes].&amp;[" &amp; TEXT(AQ$6,"yyyymm")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R39" s="8">
        <f>IFERROR(
GETPIVOTDATA(
"[Base].[Importe]",
TDinamica_R!$A$5,
"[Calendario].[AñoMes]",
"[Calendario].[AñoMes].&amp;[" &amp; TEXT(AR$6,"yyyymm")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S39" s="8">
        <f>IFERROR(
GETPIVOTDATA(
"[Base].[Importe]",
TDinamica_R!$A$5,
"[Calendario].[AñoMes]",
"[Calendario].[AñoMes].&amp;[" &amp; TEXT(AS$6,"yyyymm")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T39" s="8">
        <f>IFERROR(
GETPIVOTDATA(
"[Base].[Importe]",
TDinamica_R!$A$5,
"[Calendario].[AñoMes]",
"[Calendario].[AñoMes].&amp;[" &amp; TEXT(AT$6,"yyyymm")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U39" s="8">
        <f>IFERROR(
GETPIVOTDATA(
"[Base].[Importe]",
TDinamica_R!$A$5,
"[Calendario].[AñoMes]",
"[Calendario].[AñoMes].&amp;[" &amp; TEXT(AU$6,"yyyymm")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V39" s="8">
        <f>IFERROR(
GETPIVOTDATA(
"[Base].[Importe]",
TDinamica_R!$A$5,
"[Calendario].[AñoMes]",
"[Calendario].[AñoMes].&amp;[" &amp; TEXT(AV$6,"yyyymm")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W39" s="8">
        <f>IFERROR(
GETPIVOTDATA(
"[Base].[Importe]",
TDinamica_R!$A$5,
"[Calendario].[AñoMes]",
"[Calendario].[AñoMes].&amp;[" &amp; TEXT(AW$6,"yyyymm")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X39" s="8">
        <f>IFERROR(
GETPIVOTDATA(
"[Base].[Importe]",
TDinamica_R!$A$5,
"[Calendario].[AñoMes]",
"[Calendario].[AñoMes].&amp;[" &amp; TEXT(AX$6,"yyyymm")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Y39" s="8">
        <f>IFERROR(
GETPIVOTDATA(
"[Base].[Importe]",
TDinamica_R!$A$5,
"[Calendario].[AñoMes]",
"[Calendario].[AñoMes].&amp;[" &amp; TEXT(AY$6,"yyyymm")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Z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"[BASE_HIPO_PPTO].[Periodo]","[BASE_HIPO_PPTO].[Periodo].&amp;["&amp;TEXT(AZ$6,"yyyymm")&amp;"]"),
0)/1000</f>
        <v>0</v>
      </c>
      <c r="BA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"[BASE_HIPO_PPTO].[Periodo]","[BASE_HIPO_PPTO].[Periodo].&amp;["&amp;TEXT(BA$6,"yyyymm")&amp;"]"),
0)/1000</f>
        <v>0</v>
      </c>
      <c r="BB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"[BASE_HIPO_PPTO].[Periodo]","[BASE_HIPO_PPTO].[Periodo].&amp;["&amp;TEXT(BB$6,"yyyymm")&amp;"]"),
0)/1000</f>
        <v>0</v>
      </c>
      <c r="BC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"[BASE_HIPO_PPTO].[Periodo]","[BASE_HIPO_PPTO].[Periodo].&amp;["&amp;TEXT(BC$6,"yyyymm")&amp;"]"),
0)/1000</f>
        <v>0</v>
      </c>
      <c r="BD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"[BASE_HIPO_PPTO].[Periodo]","[BASE_HIPO_PPTO].[Periodo].&amp;["&amp;TEXT(BD$6,"yyyymm")&amp;"]"),
0)/1000</f>
        <v>0</v>
      </c>
      <c r="BE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"[BASE_HIPO_PPTO].[Periodo]","[BASE_HIPO_PPTO].[Periodo].&amp;["&amp;TEXT(BE$6,"yyyymm")&amp;"]"),
0)/1000</f>
        <v>0</v>
      </c>
      <c r="BF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"[BASE_HIPO_PPTO].[Periodo]","[BASE_HIPO_PPTO].[Periodo].&amp;["&amp;TEXT(BF$6,"yyyymm")&amp;"]"),
0)/1000</f>
        <v>0</v>
      </c>
      <c r="BG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"[BASE_HIPO_PPTO].[Periodo]","[BASE_HIPO_PPTO].[Periodo].&amp;["&amp;TEXT(BG$6,"yyyymm")&amp;"]"),
0)/1000</f>
        <v>0</v>
      </c>
      <c r="BH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"[BASE_HIPO_PPTO].[Periodo]","[BASE_HIPO_PPTO].[Periodo].&amp;["&amp;TEXT(BH$6,"yyyymm")&amp;"]"),
0)/1000</f>
        <v>0</v>
      </c>
      <c r="BI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"[BASE_HIPO_PPTO].[Periodo]","[BASE_HIPO_PPTO].[Periodo].&amp;["&amp;TEXT(BI$6,"yyyymm")&amp;"]"),
0)/1000</f>
        <v>0</v>
      </c>
      <c r="BJ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"[BASE_HIPO_PPTO].[Periodo]","[BASE_HIPO_PPTO].[Periodo].&amp;["&amp;TEXT(BJ$6,"yyyymm")&amp;"]"),
0)/1000</f>
        <v>0</v>
      </c>
      <c r="BK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"[BASE_HIPO_PPTO].[Periodo]","[BASE_HIPO_PPTO].[Periodo].&amp;["&amp;TEXT(BK$6,"yyyymm")&amp;"]"),
0)/1000</f>
        <v>0</v>
      </c>
      <c r="BO39" s="24">
        <f t="shared" si="30"/>
        <v>0</v>
      </c>
      <c r="BP39" s="24">
        <f t="shared" si="30"/>
        <v>0</v>
      </c>
      <c r="BQ39" s="24">
        <f t="shared" si="30"/>
        <v>0</v>
      </c>
      <c r="BR39" s="24">
        <f t="shared" si="30"/>
        <v>0</v>
      </c>
      <c r="BS39" s="24">
        <f t="shared" si="30"/>
        <v>0</v>
      </c>
      <c r="BT39" s="24">
        <f t="shared" si="30"/>
        <v>0</v>
      </c>
    </row>
    <row r="40" spans="1:72" hidden="1" outlineLevel="1" x14ac:dyDescent="0.25">
      <c r="A40" s="11" t="s">
        <v>55</v>
      </c>
      <c r="C40" s="2" t="s">
        <v>45</v>
      </c>
      <c r="D40" s="8">
        <f>IFERROR(
GETPIVOTDATA(
"[Base].[Importe]",
TDinamica_R!$A$5,
"[Calendario].[AñoMes]",
"[Calendario].[AñoMes].&amp;[" &amp; TEXT(D$6,"yyyymm") &amp; "]",
"[Base].[Metrica]",
"[Base].[Metrica].&amp;[" &amp; $A40 &amp; "]",
"[Base].[SEGMENTO_DESCRIP]",
"[Base].[SEGMENTO_DESCRIP].&amp;[" &amp; $C$6 &amp; "]",
"[Base].[SITUACION]",
"[Base].[SITUACION].&amp;[" &amp; $C40 &amp; "]"
),0)/1000</f>
        <v>260.77774669999997</v>
      </c>
      <c r="E40" s="8">
        <f>IFERROR(
GETPIVOTDATA(
"[Base].[Importe]",
TDinamica_R!$A$5,
"[Calendario].[AñoMes]",
"[Calendario].[AñoMes].&amp;[" &amp; TEXT(E$6,"yyyymm") &amp; "]",
"[Base].[Metrica]",
"[Base].[Metrica].&amp;[" &amp; $A40 &amp; "]",
"[Base].[SEGMENTO_DESCRIP]",
"[Base].[SEGMENTO_DESCRIP].&amp;[" &amp; $C$6 &amp; "]",
"[Base].[SITUACION]",
"[Base].[SITUACION].&amp;[" &amp; $C40 &amp; "]"
),0)/1000</f>
        <v>271.19539109000004</v>
      </c>
      <c r="F40" s="8">
        <f>IFERROR(
GETPIVOTDATA(
"[Base].[Importe]",
TDinamica_R!$A$5,
"[Calendario].[AñoMes]",
"[Calendario].[AñoMes].&amp;[" &amp; TEXT(F$6,"yyyymm") &amp; "]",
"[Base].[Metrica]",
"[Base].[Metrica].&amp;[" &amp; $A40 &amp; "]",
"[Base].[SEGMENTO_DESCRIP]",
"[Base].[SEGMENTO_DESCRIP].&amp;[" &amp; $C$6 &amp; "]",
"[Base].[SITUACION]",
"[Base].[SITUACION].&amp;[" &amp; $C40 &amp; "]"
),0)/1000</f>
        <v>293.58514776000004</v>
      </c>
      <c r="G40" s="8">
        <f>IFERROR(
GETPIVOTDATA(
"[Base].[Importe]",
TDinamica_R!$A$5,
"[Calendario].[AñoMes]",
"[Calendario].[AñoMes].&amp;[" &amp; TEXT(G$6,"yyyymm") &amp; "]",
"[Base].[Metrica]",
"[Base].[Metrica].&amp;[" &amp; $A40 &amp; "]",
"[Base].[SEGMENTO_DESCRIP]",
"[Base].[SEGMENTO_DESCRIP].&amp;[" &amp; $C$6 &amp; "]",
"[Base].[SITUACION]",
"[Base].[SITUACION].&amp;[" &amp; $C40 &amp; "]"
),0)/1000</f>
        <v>219.89759060000003</v>
      </c>
      <c r="H40" s="8">
        <f>IFERROR(
GETPIVOTDATA(
"[Base].[Importe]",
TDinamica_R!$A$5,
"[Calendario].[AñoMes]",
"[Calendario].[AñoMes].&amp;[" &amp; TEXT(H$6,"yyyymm") &amp; "]",
"[Base].[Metrica]",
"[Base].[Metrica].&amp;[" &amp; $A40 &amp; "]",
"[Base].[SEGMENTO_DESCRIP]",
"[Base].[SEGMENTO_DESCRIP].&amp;[" &amp; $C$6 &amp; "]",
"[Base].[SITUACION]",
"[Base].[SITUACION].&amp;[" &amp; $C40 &amp; "]"
),0)/1000</f>
        <v>230.12298169999997</v>
      </c>
      <c r="I40" s="8">
        <f>IFERROR(
GETPIVOTDATA(
"[Base].[Importe]",
TDinamica_R!$A$5,
"[Calendario].[AñoMes]",
"[Calendario].[AñoMes].&amp;[" &amp; TEXT(I$6,"yyyymm") &amp; "]",
"[Base].[Metrica]",
"[Base].[Metrica].&amp;[" &amp; $A40 &amp; "]",
"[Base].[SEGMENTO_DESCRIP]",
"[Base].[SEGMENTO_DESCRIP].&amp;[" &amp; $C$6 &amp; "]",
"[Base].[SITUACION]",
"[Base].[SITUACION].&amp;[" &amp; $C40 &amp; "]"
),0)/1000</f>
        <v>238.84964358999997</v>
      </c>
      <c r="J40" s="8">
        <f>IFERROR(
GETPIVOTDATA(
"[Base].[Importe]",
TDinamica_R!$A$5,
"[Calendario].[AñoMes]",
"[Calendario].[AñoMes].&amp;[" &amp; TEXT(J$6,"yyyymm") &amp; "]",
"[Base].[Metrica]",
"[Base].[Metrica].&amp;[" &amp; $A40 &amp; "]",
"[Base].[SEGMENTO_DESCRIP]",
"[Base].[SEGMENTO_DESCRIP].&amp;[" &amp; $C$6 &amp; "]",
"[Base].[SITUACION]",
"[Base].[SITUACION].&amp;[" &amp; $C40 &amp; "]"
),0)/1000</f>
        <v>357.45999572000005</v>
      </c>
      <c r="K40" s="8">
        <f>IFERROR(
GETPIVOTDATA(
"[Base].[Importe]",
TDinamica_R!$A$5,
"[Calendario].[AñoMes]",
"[Calendario].[AñoMes].&amp;[" &amp; TEXT(K$6,"yyyymm") &amp; "]",
"[Base].[Metrica]",
"[Base].[Metrica].&amp;[" &amp; $A40 &amp; "]",
"[Base].[SEGMENTO_DESCRIP]",
"[Base].[SEGMENTO_DESCRIP].&amp;[" &amp; $C$6 &amp; "]",
"[Base].[SITUACION]",
"[Base].[SITUACION].&amp;[" &amp; $C40 &amp; "]"
),0)/1000</f>
        <v>293.42804646000002</v>
      </c>
      <c r="L40" s="8">
        <f>IFERROR(
GETPIVOTDATA(
"[Base].[Importe]",
TDinamica_R!$A$5,
"[Calendario].[AñoMes]",
"[Calendario].[AñoMes].&amp;[" &amp; TEXT(L$6,"yyyymm") &amp; "]",
"[Base].[Metrica]",
"[Base].[Metrica].&amp;[" &amp; $A40 &amp; "]",
"[Base].[SEGMENTO_DESCRIP]",
"[Base].[SEGMENTO_DESCRIP].&amp;[" &amp; $C$6 &amp; "]",
"[Base].[SITUACION]",
"[Base].[SITUACION].&amp;[" &amp; $C40 &amp; "]"
),0)/1000</f>
        <v>292.78754016999994</v>
      </c>
      <c r="M40" s="8">
        <f>IFERROR(
GETPIVOTDATA(
"[Base].[Importe]",
TDinamica_R!$A$5,
"[Calendario].[AñoMes]",
"[Calendario].[AñoMes].&amp;[" &amp; TEXT(M$6,"yyyymm") &amp; "]",
"[Base].[Metrica]",
"[Base].[Metrica].&amp;[" &amp; $A40 &amp; "]",
"[Base].[SEGMENTO_DESCRIP]",
"[Base].[SEGMENTO_DESCRIP].&amp;[" &amp; $C$6 &amp; "]",
"[Base].[SITUACION]",
"[Base].[SITUACION].&amp;[" &amp; $C40 &amp; "]"
),0)/1000</f>
        <v>523.91394576000005</v>
      </c>
      <c r="N40" s="8">
        <f>IFERROR(
GETPIVOTDATA(
"[Base].[Importe]",
TDinamica_R!$A$5,
"[Calendario].[AñoMes]",
"[Calendario].[AñoMes].&amp;[" &amp; TEXT(N$6,"yyyymm") &amp; "]",
"[Base].[Metrica]",
"[Base].[Metrica].&amp;[" &amp; $A40 &amp; "]",
"[Base].[SEGMENTO_DESCRIP]",
"[Base].[SEGMENTO_DESCRIP].&amp;[" &amp; $C$6 &amp; "]",
"[Base].[SITUACION]",
"[Base].[SITUACION].&amp;[" &amp; $C40 &amp; "]"
),0)/1000</f>
        <v>230.68528763</v>
      </c>
      <c r="O40" s="8">
        <f>IFERROR(
GETPIVOTDATA(
"[Base].[Importe]",
TDinamica_R!$A$5,
"[Calendario].[AñoMes]",
"[Calendario].[AñoMes].&amp;[" &amp; TEXT(O$6,"yyyymm") &amp; "]",
"[Base].[Metrica]",
"[Base].[Metrica].&amp;[" &amp; $A40 &amp; "]",
"[Base].[SEGMENTO_DESCRIP]",
"[Base].[SEGMENTO_DESCRIP].&amp;[" &amp; $C$6 &amp; "]",
"[Base].[SITUACION]",
"[Base].[SITUACION].&amp;[" &amp; $C40 &amp; "]"
),0)/1000</f>
        <v>189.84266054999998</v>
      </c>
      <c r="P40" s="8">
        <f>IFERROR(
GETPIVOTDATA(
"[Base].[Importe]",
TDinamica_R!$A$5,
"[Calendario].[AñoMes]",
"[Calendario].[AñoMes].&amp;[" &amp; TEXT(P$6,"yyyymm") &amp; "]",
"[Base].[Metrica]",
"[Base].[Metrica].&amp;[" &amp; $A40 &amp; "]",
"[Base].[SEGMENTO_DESCRIP]",
"[Base].[SEGMENTO_DESCRIP].&amp;[" &amp; $C$6 &amp; "]",
"[Base].[SITUACION]",
"[Base].[SITUACION].&amp;[" &amp; $C40 &amp; "]"
),0)/1000</f>
        <v>437.35775023999997</v>
      </c>
      <c r="Q40" s="8">
        <f>IFERROR(
GETPIVOTDATA(
"[Base].[Importe]",
TDinamica_R!$A$5,
"[Calendario].[AñoMes]",
"[Calendario].[AñoMes].&amp;[" &amp; TEXT(Q$6,"yyyymm") &amp; "]",
"[Base].[Metrica]",
"[Base].[Metrica].&amp;[" &amp; $A40 &amp; "]",
"[Base].[SEGMENTO_DESCRIP]",
"[Base].[SEGMENTO_DESCRIP].&amp;[" &amp; $C$6 &amp; "]",
"[Base].[SITUACION]",
"[Base].[SITUACION].&amp;[" &amp; $C40 &amp; "]"
),0)/1000</f>
        <v>328.14251972</v>
      </c>
      <c r="R40" s="8">
        <f>IFERROR(
GETPIVOTDATA(
"[Base].[Importe]",
TDinamica_R!$A$5,
"[Calendario].[AñoMes]",
"[Calendario].[AñoMes].&amp;[" &amp; TEXT(R$6,"yyyymm") &amp; "]",
"[Base].[Metrica]",
"[Base].[Metrica].&amp;[" &amp; $A40 &amp; "]",
"[Base].[SEGMENTO_DESCRIP]",
"[Base].[SEGMENTO_DESCRIP].&amp;[" &amp; $C$6 &amp; "]",
"[Base].[SITUACION]",
"[Base].[SITUACION].&amp;[" &amp; $C40 &amp; "]"
),0)/1000</f>
        <v>258.47961793999997</v>
      </c>
      <c r="S40" s="8">
        <f>IFERROR(
GETPIVOTDATA(
"[Base].[Importe]",
TDinamica_R!$A$5,
"[Calendario].[AñoMes]",
"[Calendario].[AñoMes].&amp;[" &amp; TEXT(S$6,"yyyymm") &amp; "]",
"[Base].[Metrica]",
"[Base].[Metrica].&amp;[" &amp; $A40 &amp; "]",
"[Base].[SEGMENTO_DESCRIP]",
"[Base].[SEGMENTO_DESCRIP].&amp;[" &amp; $C$6 &amp; "]",
"[Base].[SITUACION]",
"[Base].[SITUACION].&amp;[" &amp; $C40 &amp; "]"
),0)/1000</f>
        <v>317.09129843000005</v>
      </c>
      <c r="T40" s="8">
        <f>IFERROR(
GETPIVOTDATA(
"[Base].[Importe]",
TDinamica_R!$A$5,
"[Calendario].[AñoMes]",
"[Calendario].[AñoMes].&amp;[" &amp; TEXT(T$6,"yyyymm") &amp; "]",
"[Base].[Metrica]",
"[Base].[Metrica].&amp;[" &amp; $A40 &amp; "]",
"[Base].[SEGMENTO_DESCRIP]",
"[Base].[SEGMENTO_DESCRIP].&amp;[" &amp; $C$6 &amp; "]",
"[Base].[SITUACION]",
"[Base].[SITUACION].&amp;[" &amp; $C40 &amp; "]"
),0)/1000</f>
        <v>279.20524919000002</v>
      </c>
      <c r="U40" s="8">
        <f>IFERROR(
GETPIVOTDATA(
"[Base].[Importe]",
TDinamica_R!$A$5,
"[Calendario].[AñoMes]",
"[Calendario].[AñoMes].&amp;[" &amp; TEXT(U$6,"yyyymm") &amp; "]",
"[Base].[Metrica]",
"[Base].[Metrica].&amp;[" &amp; $A40 &amp; "]",
"[Base].[SEGMENTO_DESCRIP]",
"[Base].[SEGMENTO_DESCRIP].&amp;[" &amp; $C$6 &amp; "]",
"[Base].[SITUACION]",
"[Base].[SITUACION].&amp;[" &amp; $C40 &amp; "]"
),0)/1000</f>
        <v>316.93178803000001</v>
      </c>
      <c r="V40" s="8">
        <f>IFERROR(
GETPIVOTDATA(
"[Base].[Importe]",
TDinamica_R!$A$5,
"[Calendario].[AñoMes]",
"[Calendario].[AñoMes].&amp;[" &amp; TEXT(V$6,"yyyymm") &amp; "]",
"[Base].[Metrica]",
"[Base].[Metrica].&amp;[" &amp; $A40 &amp; "]",
"[Base].[SEGMENTO_DESCRIP]",
"[Base].[SEGMENTO_DESCRIP].&amp;[" &amp; $C$6 &amp; "]",
"[Base].[SITUACION]",
"[Base].[SITUACION].&amp;[" &amp; $C40 &amp; "]"
),0)/1000</f>
        <v>330.60510443999999</v>
      </c>
      <c r="W40" s="8">
        <f>IFERROR(
GETPIVOTDATA(
"[Base].[Importe]",
TDinamica_R!$A$5,
"[Calendario].[AñoMes]",
"[Calendario].[AñoMes].&amp;[" &amp; TEXT(W$6,"yyyymm") &amp; "]",
"[Base].[Metrica]",
"[Base].[Metrica].&amp;[" &amp; $A40 &amp; "]",
"[Base].[SEGMENTO_DESCRIP]",
"[Base].[SEGMENTO_DESCRIP].&amp;[" &amp; $C$6 &amp; "]",
"[Base].[SITUACION]",
"[Base].[SITUACION].&amp;[" &amp; $C40 &amp; "]"
),0)/1000</f>
        <v>334.72734733999999</v>
      </c>
      <c r="X40" s="8">
        <f>IFERROR(
GETPIVOTDATA(
"[Base].[Importe]",
TDinamica_R!$A$5,
"[Calendario].[AñoMes]",
"[Calendario].[AñoMes].&amp;[" &amp; TEXT(X$6,"yyyymm") &amp; "]",
"[Base].[Metrica]",
"[Base].[Metrica].&amp;[" &amp; $A40 &amp; "]",
"[Base].[SEGMENTO_DESCRIP]",
"[Base].[SEGMENTO_DESCRIP].&amp;[" &amp; $C$6 &amp; "]",
"[Base].[SITUACION]",
"[Base].[SITUACION].&amp;[" &amp; $C40 &amp; "]"
),0)/1000</f>
        <v>410.22510498000003</v>
      </c>
      <c r="Y40" s="8">
        <f>IFERROR(
GETPIVOTDATA(
"[Base].[Importe]",
TDinamica_R!$A$5,
"[Calendario].[AñoMes]",
"[Calendario].[AñoMes].&amp;[" &amp; TEXT(Y$6,"yyyymm") &amp; "]",
"[Base].[Metrica]",
"[Base].[Metrica].&amp;[" &amp; $A40 &amp; "]",
"[Base].[SEGMENTO_DESCRIP]",
"[Base].[SEGMENTO_DESCRIP].&amp;[" &amp; $C$6 &amp; "]",
"[Base].[SITUACION]",
"[Base].[SITUACION].&amp;[" &amp; $C40 &amp; "]"
),0)/1000</f>
        <v>405.63515900999994</v>
      </c>
      <c r="Z40" s="8">
        <f>IFERROR(
GETPIVOTDATA(
"[Base].[Importe]",
TDinamica_R!$A$5,
"[Calendario].[AñoMes]",
"[Calendario].[AñoMes].&amp;[" &amp; TEXT(Z$6,"yyyymm") &amp; "]",
"[Base].[Metrica]",
"[Base].[Metrica].&amp;[" &amp; $A40 &amp; "]",
"[Base].[SEGMENTO_DESCRIP]",
"[Base].[SEGMENTO_DESCRIP].&amp;[" &amp; $C$6 &amp; "]",
"[Base].[SITUACION]",
"[Base].[SITUACION].&amp;[" &amp; $C40 &amp; "]"
),0)/1000</f>
        <v>427.84767742999998</v>
      </c>
      <c r="AA40" s="8">
        <f>IFERROR(
GETPIVOTDATA(
"[Base].[Importe]",
TDinamica_R!$A$5,
"[Calendario].[AñoMes]",
"[Calendario].[AñoMes].&amp;[" &amp; TEXT(AA$6,"yyyymm") &amp; "]",
"[Base].[Metrica]",
"[Base].[Metrica].&amp;[" &amp; $A40 &amp; "]",
"[Base].[SEGMENTO_DESCRIP]",
"[Base].[SEGMENTO_DESCRIP].&amp;[" &amp; $C$6 &amp; "]",
"[Base].[SITUACION]",
"[Base].[SITUACION].&amp;[" &amp; $C40 &amp; "]"
),0)/1000</f>
        <v>375.55472292000002</v>
      </c>
      <c r="AB40" s="8">
        <f>IFERROR(
GETPIVOTDATA(
"[Base].[Importe]",
TDinamica_R!$A$5,
"[Calendario].[AñoMes]",
"[Calendario].[AñoMes].&amp;[" &amp; TEXT(AB$6,"yyyymm") &amp; "]",
"[Base].[Metrica]",
"[Base].[Metrica].&amp;[" &amp; $A40 &amp; "]",
"[Base].[SEGMENTO_DESCRIP]",
"[Base].[SEGMENTO_DESCRIP].&amp;[" &amp; $C$6 &amp; "]",
"[Base].[SITUACION]",
"[Base].[SITUACION].&amp;[" &amp; $C40 &amp; "]"
),0)/1000</f>
        <v>483.04154712999997</v>
      </c>
      <c r="AC40" s="8">
        <f>IFERROR(
GETPIVOTDATA(
"[Base].[Importe]",
TDinamica_R!$A$5,
"[Calendario].[AñoMes]",
"[Calendario].[AñoMes].&amp;[" &amp; TEXT(AC$6,"yyyymm") &amp; "]",
"[Base].[Metrica]",
"[Base].[Metrica].&amp;[" &amp; $A40 &amp; "]",
"[Base].[SEGMENTO_DESCRIP]",
"[Base].[SEGMENTO_DESCRIP].&amp;[" &amp; $C$6 &amp; "]",
"[Base].[SITUACION]",
"[Base].[SITUACION].&amp;[" &amp; $C40 &amp; "]"
),0)/1000</f>
        <v>268.96930456999996</v>
      </c>
      <c r="AD40" s="8">
        <f>IFERROR(
GETPIVOTDATA(
"[Base].[Importe]",
TDinamica_R!$A$5,
"[Calendario].[AñoMes]",
"[Calendario].[AñoMes].&amp;[" &amp; TEXT(AD$6,"yyyymm") &amp; "]",
"[Base].[Metrica]",
"[Base].[Metrica].&amp;[" &amp; $A40 &amp; "]",
"[Base].[SEGMENTO_DESCRIP]",
"[Base].[SEGMENTO_DESCRIP].&amp;[" &amp; $C$6 &amp; "]",
"[Base].[SITUACION]",
"[Base].[SITUACION].&amp;[" &amp; $C40 &amp; "]"
),0)/1000</f>
        <v>428.19944529000003</v>
      </c>
      <c r="AE40" s="8">
        <f>IFERROR(
GETPIVOTDATA(
"[Base].[Importe]",
TDinamica_R!$A$5,
"[Calendario].[AñoMes]",
"[Calendario].[AñoMes].&amp;[" &amp; TEXT(AE$6,"yyyymm") &amp; "]",
"[Base].[Metrica]",
"[Base].[Metrica].&amp;[" &amp; $A40 &amp; "]",
"[Base].[SEGMENTO_DESCRIP]",
"[Base].[SEGMENTO_DESCRIP].&amp;[" &amp; $C$6 &amp; "]",
"[Base].[SITUACION]",
"[Base].[SITUACION].&amp;[" &amp; $C40 &amp; "]"
),0)/1000</f>
        <v>401.23991534000004</v>
      </c>
      <c r="AF40" s="8">
        <f>IFERROR(
GETPIVOTDATA(
"[Base].[Importe]",
TDinamica_R!$A$5,
"[Calendario].[AñoMes]",
"[Calendario].[AñoMes].&amp;[" &amp; TEXT(AF$6,"yyyymm") &amp; "]",
"[Base].[Metrica]",
"[Base].[Metrica].&amp;[" &amp; $A40 &amp; "]",
"[Base].[SEGMENTO_DESCRIP]",
"[Base].[SEGMENTO_DESCRIP].&amp;[" &amp; $C$6 &amp; "]",
"[Base].[SITUACION]",
"[Base].[SITUACION].&amp;[" &amp; $C40 &amp; "]"
),0)/1000</f>
        <v>422.25714395000006</v>
      </c>
      <c r="AG40" s="8">
        <f>IFERROR(
GETPIVOTDATA(
"[Base].[Importe]",
TDinamica_R!$A$5,
"[Calendario].[AñoMes]",
"[Calendario].[AñoMes].&amp;[" &amp; TEXT(AG$6,"yyyymm") &amp; "]",
"[Base].[Metrica]",
"[Base].[Metrica].&amp;[" &amp; $A40 &amp; "]",
"[Base].[SEGMENTO_DESCRIP]",
"[Base].[SEGMENTO_DESCRIP].&amp;[" &amp; $C$6 &amp; "]",
"[Base].[SITUACION]",
"[Base].[SITUACION].&amp;[" &amp; $C40 &amp; "]"
),0)/1000</f>
        <v>389.59447656000003</v>
      </c>
      <c r="AH40" s="8">
        <f>IFERROR(
GETPIVOTDATA(
"[Base].[Importe]",
TDinamica_R!$A$5,
"[Calendario].[AñoMes]",
"[Calendario].[AñoMes].&amp;[" &amp; TEXT(AH$6,"yyyymm") &amp; "]",
"[Base].[Metrica]",
"[Base].[Metrica].&amp;[" &amp; $A40 &amp; "]",
"[Base].[SEGMENTO_DESCRIP]",
"[Base].[SEGMENTO_DESCRIP].&amp;[" &amp; $C$6 &amp; "]",
"[Base].[SITUACION]",
"[Base].[SITUACION].&amp;[" &amp; $C40 &amp; "]"
),0)/1000</f>
        <v>297.97996996000001</v>
      </c>
      <c r="AI40" s="8">
        <f>IFERROR(
GETPIVOTDATA(
"[Base].[Importe]",
TDinamica_R!$A$5,
"[Calendario].[AñoMes]",
"[Calendario].[AñoMes].&amp;[" &amp; TEXT(AI$6,"yyyymm") &amp; "]",
"[Base].[Metrica]",
"[Base].[Metrica].&amp;[" &amp; $A40 &amp; "]",
"[Base].[SEGMENTO_DESCRIP]",
"[Base].[SEGMENTO_DESCRIP].&amp;[" &amp; $C$6 &amp; "]",
"[Base].[SITUACION]",
"[Base].[SITUACION].&amp;[" &amp; $C40 &amp; "]"
),0)/1000</f>
        <v>414.51055976999999</v>
      </c>
      <c r="AJ40" s="8">
        <f>IFERROR(
GETPIVOTDATA(
"[Base].[Importe]",
TDinamica_R!$A$5,
"[Calendario].[AñoMes]",
"[Calendario].[AñoMes].&amp;[" &amp; TEXT(AJ$6,"yyyymm") &amp; "]",
"[Base].[Metrica]",
"[Base].[Metrica].&amp;[" &amp; $A40 &amp; "]",
"[Base].[SEGMENTO_DESCRIP]",
"[Base].[SEGMENTO_DESCRIP].&amp;[" &amp; $C$6 &amp; "]",
"[Base].[SITUACION]",
"[Base].[SITUACION].&amp;[" &amp; $C40 &amp; "]"
),0)/1000</f>
        <v>718.4970601</v>
      </c>
      <c r="AK40" s="8">
        <f>IFERROR(
GETPIVOTDATA(
"[Base].[Importe]",
TDinamica_R!$A$5,
"[Calendario].[AñoMes]",
"[Calendario].[AñoMes].&amp;[" &amp; TEXT(AK$6,"yyyymm") &amp; "]",
"[Base].[Metrica]",
"[Base].[Metrica].&amp;[" &amp; $A40 &amp; "]",
"[Base].[SEGMENTO_DESCRIP]",
"[Base].[SEGMENTO_DESCRIP].&amp;[" &amp; $C$6 &amp; "]",
"[Base].[SITUACION]",
"[Base].[SITUACION].&amp;[" &amp; $C40 &amp; "]"
),0)/1000</f>
        <v>464.87795230999996</v>
      </c>
      <c r="AL40" s="8">
        <f>IFERROR(
GETPIVOTDATA(
"[Base].[Importe]",
TDinamica_R!$A$5,
"[Calendario].[AñoMes]",
"[Calendario].[AñoMes].&amp;[" &amp; TEXT(AL$6,"yyyymm") &amp; "]",
"[Base].[Metrica]",
"[Base].[Metrica].&amp;[" &amp; $A40 &amp; "]",
"[Base].[SEGMENTO_DESCRIP]",
"[Base].[SEGMENTO_DESCRIP].&amp;[" &amp; $C$6 &amp; "]",
"[Base].[SITUACION]",
"[Base].[SITUACION].&amp;[" &amp; $C40 &amp; "]"
),0)/1000</f>
        <v>389.93749845000002</v>
      </c>
      <c r="AM40" s="8">
        <f>IFERROR(
GETPIVOTDATA(
"[Base].[Importe]",
TDinamica_R!$A$5,
"[Calendario].[AñoMes]",
"[Calendario].[AñoMes].&amp;[" &amp; TEXT(AM$6,"yyyymm") &amp; "]",
"[Base].[Metrica]",
"[Base].[Metrica].&amp;[" &amp; $A40 &amp; "]",
"[Base].[SEGMENTO_DESCRIP]",
"[Base].[SEGMENTO_DESCRIP].&amp;[" &amp; $C$6 &amp; "]",
"[Base].[SITUACION]",
"[Base].[SITUACION].&amp;[" &amp; $C40 &amp; "]"
),0)/1000</f>
        <v>496.53694934999999</v>
      </c>
      <c r="AN40" s="8">
        <f>IFERROR(
GETPIVOTDATA(
"[Base].[Importe]",
TDinamica_R!$A$5,
"[Calendario].[AñoMes]",
"[Calendario].[AñoMes].&amp;[" &amp; TEXT(AN$6,"yyyymm") &amp; "]",
"[Base].[Metrica]",
"[Base].[Metrica].&amp;[" &amp; $A40 &amp; "]",
"[Base].[SEGMENTO_DESCRIP]",
"[Base].[SEGMENTO_DESCRIP].&amp;[" &amp; $C$6 &amp; "]",
"[Base].[SITUACION]",
"[Base].[SITUACION].&amp;[" &amp; $C40 &amp; "]"
),0)/1000</f>
        <v>469.48748583000003</v>
      </c>
      <c r="AO40" s="8">
        <f>IFERROR(
GETPIVOTDATA(
"[Base].[Importe]",
TDinamica_R!$A$5,
"[Calendario].[AñoMes]",
"[Calendario].[AñoMes].&amp;[" &amp; TEXT(AO$6,"yyyymm") &amp; "]",
"[Base].[Metrica]",
"[Base].[Metrica].&amp;[" &amp; $A40 &amp; "]",
"[Base].[SEGMENTO_DESCRIP]",
"[Base].[SEGMENTO_DESCRIP].&amp;[" &amp; $C$6 &amp; "]",
"[Base].[SITUACION]",
"[Base].[SITUACION].&amp;[" &amp; $C40 &amp; "]"
),0)/1000</f>
        <v>238.81475381000001</v>
      </c>
      <c r="AP40" s="8">
        <f>IFERROR(
GETPIVOTDATA(
"[Base].[Importe]",
TDinamica_R!$A$5,
"[Calendario].[AñoMes]",
"[Calendario].[AñoMes].&amp;[" &amp; TEXT(AP$6,"yyyymm") &amp; "]",
"[Base].[Metrica]",
"[Base].[Metrica].&amp;[" &amp; $A40 &amp; "]",
"[Base].[SEGMENTO_DESCRIP]",
"[Base].[SEGMENTO_DESCRIP].&amp;[" &amp; $C$6 &amp; "]",
"[Base].[SITUACION]",
"[Base].[SITUACION].&amp;[" &amp; $C40 &amp; "]"
),0)/1000</f>
        <v>586.21214883000005</v>
      </c>
      <c r="AQ40" s="8">
        <f>IFERROR(
GETPIVOTDATA(
"[Base].[Importe]",
TDinamica_R!$A$5,
"[Calendario].[AñoMes]",
"[Calendario].[AñoMes].&amp;[" &amp; TEXT(AQ$6,"yyyymm") &amp; "]",
"[Base].[Metrica]",
"[Base].[Metrica].&amp;[" &amp; $A40 &amp; "]",
"[Base].[SEGMENTO_DESCRIP]",
"[Base].[SEGMENTO_DESCRIP].&amp;[" &amp; $C$6 &amp; "]",
"[Base].[SITUACION]",
"[Base].[SITUACION].&amp;[" &amp; $C40 &amp; "]"
),0)/1000</f>
        <v>334.66127119999987</v>
      </c>
      <c r="AR40" s="8">
        <f>IFERROR(
GETPIVOTDATA(
"[Base].[Importe]",
TDinamica_R!$A$5,
"[Calendario].[AñoMes]",
"[Calendario].[AñoMes].&amp;[" &amp; TEXT(AR$6,"yyyymm") &amp; "]",
"[Base].[Metrica]",
"[Base].[Metrica].&amp;[" &amp; $A40 &amp; "]",
"[Base].[SEGMENTO_DESCRIP]",
"[Base].[SEGMENTO_DESCRIP].&amp;[" &amp; $C$6 &amp; "]",
"[Base].[SITUACION]",
"[Base].[SITUACION].&amp;[" &amp; $C40 &amp; "]"
),0)/1000</f>
        <v>478.80634903999993</v>
      </c>
      <c r="AS40" s="8">
        <f>IFERROR(
GETPIVOTDATA(
"[Base].[Importe]",
TDinamica_R!$A$5,
"[Calendario].[AñoMes]",
"[Calendario].[AñoMes].&amp;[" &amp; TEXT(AS$6,"yyyymm") &amp; "]",
"[Base].[Metrica]",
"[Base].[Metrica].&amp;[" &amp; $A40 &amp; "]",
"[Base].[SEGMENTO_DESCRIP]",
"[Base].[SEGMENTO_DESCRIP].&amp;[" &amp; $C$6 &amp; "]",
"[Base].[SITUACION]",
"[Base].[SITUACION].&amp;[" &amp; $C40 &amp; "]"
),0)/1000</f>
        <v>442.97641053000001</v>
      </c>
      <c r="AT40" s="8">
        <f>IFERROR(
GETPIVOTDATA(
"[Base].[Importe]",
TDinamica_R!$A$5,
"[Calendario].[AñoMes]",
"[Calendario].[AñoMes].&amp;[" &amp; TEXT(AT$6,"yyyymm")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U40" s="8">
        <f>IFERROR(
GETPIVOTDATA(
"[Base].[Importe]",
TDinamica_R!$A$5,
"[Calendario].[AñoMes]",
"[Calendario].[AñoMes].&amp;[" &amp; TEXT(AU$6,"yyyymm")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V40" s="8">
        <f>IFERROR(
GETPIVOTDATA(
"[Base].[Importe]",
TDinamica_R!$A$5,
"[Calendario].[AñoMes]",
"[Calendario].[AñoMes].&amp;[" &amp; TEXT(AV$6,"yyyymm")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W40" s="8">
        <f>IFERROR(
GETPIVOTDATA(
"[Base].[Importe]",
TDinamica_R!$A$5,
"[Calendario].[AñoMes]",
"[Calendario].[AñoMes].&amp;[" &amp; TEXT(AW$6,"yyyymm")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X40" s="8">
        <f>IFERROR(
GETPIVOTDATA(
"[Base].[Importe]",
TDinamica_R!$A$5,
"[Calendario].[AñoMes]",
"[Calendario].[AñoMes].&amp;[" &amp; TEXT(AX$6,"yyyymm")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Y40" s="8">
        <f>IFERROR(
GETPIVOTDATA(
"[Base].[Importe]",
TDinamica_R!$A$5,
"[Calendario].[AñoMes]",
"[Calendario].[AñoMes].&amp;[" &amp; TEXT(AY$6,"yyyymm")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Z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"[BASE_HIPO_PPTO].[Periodo]","[BASE_HIPO_PPTO].[Periodo].&amp;["&amp;TEXT(AZ$6,"yyyymm")&amp;"]"),
0)/1000</f>
        <v>641.07212034976612</v>
      </c>
      <c r="BA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"[BASE_HIPO_PPTO].[Periodo]","[BASE_HIPO_PPTO].[Periodo].&amp;["&amp;TEXT(BA$6,"yyyymm")&amp;"]"),
0)/1000</f>
        <v>586.92730208699311</v>
      </c>
      <c r="BB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"[BASE_HIPO_PPTO].[Periodo]","[BASE_HIPO_PPTO].[Periodo].&amp;["&amp;TEXT(BB$6,"yyyymm")&amp;"]"),
0)/1000</f>
        <v>649.87845881903672</v>
      </c>
      <c r="BC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"[BASE_HIPO_PPTO].[Periodo]","[BASE_HIPO_PPTO].[Periodo].&amp;["&amp;TEXT(BC$6,"yyyymm")&amp;"]"),
0)/1000</f>
        <v>635.15376114053583</v>
      </c>
      <c r="BD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"[BASE_HIPO_PPTO].[Periodo]","[BASE_HIPO_PPTO].[Periodo].&amp;["&amp;TEXT(BD$6,"yyyymm")&amp;"]"),
0)/1000</f>
        <v>664.37445063493897</v>
      </c>
      <c r="BE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"[BASE_HIPO_PPTO].[Periodo]","[BASE_HIPO_PPTO].[Periodo].&amp;["&amp;TEXT(BE$6,"yyyymm")&amp;"]"),
0)/1000</f>
        <v>646.18132445706567</v>
      </c>
      <c r="BF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"[BASE_HIPO_PPTO].[Periodo]","[BASE_HIPO_PPTO].[Periodo].&amp;["&amp;TEXT(BF$6,"yyyymm")&amp;"]"),
0)/1000</f>
        <v>678.12414215534432</v>
      </c>
      <c r="BG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"[BASE_HIPO_PPTO].[Periodo]","[BASE_HIPO_PPTO].[Periodo].&amp;["&amp;TEXT(BG$6,"yyyymm")&amp;"]"),
0)/1000</f>
        <v>685.64193242660292</v>
      </c>
      <c r="BH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"[BASE_HIPO_PPTO].[Periodo]","[BASE_HIPO_PPTO].[Periodo].&amp;["&amp;TEXT(BH$6,"yyyymm")&amp;"]"),
0)/1000</f>
        <v>671.16285943096375</v>
      </c>
      <c r="BI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"[BASE_HIPO_PPTO].[Periodo]","[BASE_HIPO_PPTO].[Periodo].&amp;["&amp;TEXT(BI$6,"yyyymm")&amp;"]"),
0)/1000</f>
        <v>700.1567439710426</v>
      </c>
      <c r="BJ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"[BASE_HIPO_PPTO].[Periodo]","[BASE_HIPO_PPTO].[Periodo].&amp;["&amp;TEXT(BJ$6,"yyyymm")&amp;"]"),
0)/1000</f>
        <v>686.25260360281686</v>
      </c>
      <c r="BK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"[BASE_HIPO_PPTO].[Periodo]","[BASE_HIPO_PPTO].[Periodo].&amp;["&amp;TEXT(BK$6,"yyyymm")&amp;"]"),
0)/1000</f>
        <v>712.54032077884324</v>
      </c>
      <c r="BO40" s="24">
        <f t="shared" si="30"/>
        <v>1294.5143884700001</v>
      </c>
      <c r="BP40" s="24">
        <f t="shared" si="30"/>
        <v>1877.877881255796</v>
      </c>
      <c r="BQ40" s="24">
        <f t="shared" si="30"/>
        <v>708.30223964000004</v>
      </c>
      <c r="BR40" s="24">
        <f t="shared" si="30"/>
        <v>1180.21029699</v>
      </c>
      <c r="BS40" s="24">
        <f t="shared" si="30"/>
        <v>1023.9798879</v>
      </c>
      <c r="BT40" s="24">
        <f t="shared" si="30"/>
        <v>825.55828555000005</v>
      </c>
    </row>
    <row r="41" spans="1:72" collapsed="1" x14ac:dyDescent="0.25">
      <c r="C41" s="3" t="s">
        <v>57</v>
      </c>
      <c r="D41" s="10">
        <f>SUM(D38:D40)</f>
        <v>23682.72824162</v>
      </c>
      <c r="E41" s="10">
        <f t="shared" ref="E41" si="31">SUM(E38:E40)</f>
        <v>21613.929781969997</v>
      </c>
      <c r="F41" s="10">
        <f t="shared" ref="F41" si="32">SUM(F38:F40)</f>
        <v>24241.425760020004</v>
      </c>
      <c r="G41" s="10">
        <f t="shared" ref="G41" si="33">SUM(G38:G40)</f>
        <v>23515.919905609997</v>
      </c>
      <c r="H41" s="10">
        <f t="shared" ref="H41" si="34">SUM(H38:H40)</f>
        <v>24615.215029330004</v>
      </c>
      <c r="I41" s="10">
        <f t="shared" ref="I41" si="35">SUM(I38:I40)</f>
        <v>23939.542008099994</v>
      </c>
      <c r="J41" s="10">
        <f t="shared" ref="J41" si="36">SUM(J38:J40)</f>
        <v>25110.822609179995</v>
      </c>
      <c r="K41" s="10">
        <f t="shared" ref="K41" si="37">SUM(K38:K40)</f>
        <v>25233.973318240001</v>
      </c>
      <c r="L41" s="10">
        <f t="shared" ref="L41" si="38">SUM(L38:L40)</f>
        <v>24828.06877519</v>
      </c>
      <c r="M41" s="10">
        <f t="shared" ref="M41" si="39">SUM(M38:M40)</f>
        <v>26305.67260767</v>
      </c>
      <c r="N41" s="10">
        <f t="shared" ref="N41" si="40">SUM(N38:N40)</f>
        <v>25335.043042489993</v>
      </c>
      <c r="O41" s="10">
        <f t="shared" ref="O41" si="41">SUM(O38:O40)</f>
        <v>26480.585525489998</v>
      </c>
      <c r="P41" s="10">
        <f t="shared" ref="P41" si="42">SUM(P38:P40)</f>
        <v>26900.285854459991</v>
      </c>
      <c r="Q41" s="10">
        <f t="shared" ref="Q41" si="43">SUM(Q38:Q40)</f>
        <v>25192.440758429999</v>
      </c>
      <c r="R41" s="10">
        <f t="shared" ref="R41" si="44">SUM(R38:R40)</f>
        <v>27278.424834090001</v>
      </c>
      <c r="S41" s="10">
        <f t="shared" ref="S41" si="45">SUM(S38:S40)</f>
        <v>26557.69013955001</v>
      </c>
      <c r="T41" s="10">
        <f t="shared" ref="T41" si="46">SUM(T38:T40)</f>
        <v>27609.896223350006</v>
      </c>
      <c r="U41" s="10">
        <f t="shared" ref="U41" si="47">SUM(U38:U40)</f>
        <v>27150.555207400004</v>
      </c>
      <c r="V41" s="10">
        <f t="shared" ref="V41" si="48">SUM(V38:V40)</f>
        <v>28266.922849369996</v>
      </c>
      <c r="W41" s="10">
        <f t="shared" ref="W41" si="49">SUM(W38:W40)</f>
        <v>28628.244628340002</v>
      </c>
      <c r="X41" s="10">
        <f t="shared" ref="X41" si="50">SUM(X38:X40)</f>
        <v>28125.113559630001</v>
      </c>
      <c r="Y41" s="10">
        <f t="shared" ref="Y41" si="51">SUM(Y38:Y40)</f>
        <v>29441.38126401</v>
      </c>
      <c r="Z41" s="10">
        <f t="shared" ref="Z41" si="52">SUM(Z38:Z40)</f>
        <v>28705.109100579997</v>
      </c>
      <c r="AA41" s="10">
        <f t="shared" ref="AA41" si="53">SUM(AA38:AA40)</f>
        <v>29823.040221119998</v>
      </c>
      <c r="AB41" s="10">
        <f t="shared" ref="AB41" si="54">SUM(AB38:AB40)</f>
        <v>29950.247849119998</v>
      </c>
      <c r="AC41" s="10">
        <f t="shared" ref="AC41" si="55">SUM(AC38:AC40)</f>
        <v>27079.093397899993</v>
      </c>
      <c r="AD41" s="10">
        <f t="shared" ref="AD41" si="56">SUM(AD38:AD40)</f>
        <v>30091.317735300006</v>
      </c>
      <c r="AE41" s="10">
        <f t="shared" ref="AE41" si="57">SUM(AE38:AE40)</f>
        <v>29037.309980109996</v>
      </c>
      <c r="AF41" s="10">
        <f t="shared" ref="AF41" si="58">SUM(AF38:AF40)</f>
        <v>30272.157906270004</v>
      </c>
      <c r="AG41" s="10">
        <f t="shared" ref="AG41" si="59">SUM(AG38:AG40)</f>
        <v>29317.150507369999</v>
      </c>
      <c r="AH41" s="10">
        <f t="shared" ref="AH41" si="60">SUM(AH38:AH40)</f>
        <v>30506.384482950001</v>
      </c>
      <c r="AI41" s="10">
        <f t="shared" ref="AI41" si="61">SUM(AI38:AI40)</f>
        <v>30672.708232589997</v>
      </c>
      <c r="AJ41" s="10">
        <f t="shared" ref="AJ41" si="62">SUM(AJ38:AJ40)</f>
        <v>30088.413985930005</v>
      </c>
      <c r="AK41" s="10">
        <f t="shared" ref="AK41" si="63">SUM(AK38:AK40)</f>
        <v>30988.50700524999</v>
      </c>
      <c r="AL41" s="10">
        <f t="shared" ref="AL41" si="64">SUM(AL38:AL40)</f>
        <v>30087.63282192</v>
      </c>
      <c r="AM41" s="10">
        <f t="shared" ref="AM41" si="65">SUM(AM38:AM40)</f>
        <v>31349.59179192</v>
      </c>
      <c r="AN41" s="10">
        <f t="shared" ref="AN41" si="66">SUM(AN38:AN40)</f>
        <v>31262.200676639997</v>
      </c>
      <c r="AO41" s="10">
        <f t="shared" ref="AO41" si="67">SUM(AO38:AO40)</f>
        <v>27908.751237289998</v>
      </c>
      <c r="AP41" s="10">
        <f t="shared" ref="AP41" si="68">SUM(AP38:AP40)</f>
        <v>31319.541519839993</v>
      </c>
      <c r="AQ41" s="10">
        <f t="shared" ref="AQ41" si="69">SUM(AQ38:AQ40)</f>
        <v>29894.775636029997</v>
      </c>
      <c r="AR41" s="10">
        <f t="shared" ref="AR41" si="70">SUM(AR38:AR40)</f>
        <v>30993.919853709998</v>
      </c>
      <c r="AS41" s="10">
        <f t="shared" ref="AS41" si="71">SUM(AS38:AS40)</f>
        <v>29934.570636019995</v>
      </c>
      <c r="AT41" s="10">
        <f t="shared" ref="AT41" si="72">SUM(AT38:AT40)</f>
        <v>0</v>
      </c>
      <c r="AU41" s="10">
        <f t="shared" ref="AU41" si="73">SUM(AU38:AU40)</f>
        <v>0</v>
      </c>
      <c r="AV41" s="10">
        <f t="shared" ref="AV41" si="74">SUM(AV38:AV40)</f>
        <v>0</v>
      </c>
      <c r="AW41" s="10">
        <f t="shared" ref="AW41" si="75">SUM(AW38:AW40)</f>
        <v>0</v>
      </c>
      <c r="AX41" s="10">
        <f t="shared" ref="AX41" si="76">SUM(AX38:AX40)</f>
        <v>0</v>
      </c>
      <c r="AY41" s="10">
        <f t="shared" ref="AY41:BK41" si="77">SUM(AY38:AY40)</f>
        <v>0</v>
      </c>
      <c r="AZ41" s="10">
        <f t="shared" si="77"/>
        <v>31366.342686867727</v>
      </c>
      <c r="BA41" s="10">
        <f t="shared" si="77"/>
        <v>28546.208855176326</v>
      </c>
      <c r="BB41" s="10">
        <f t="shared" si="77"/>
        <v>31440.556881900829</v>
      </c>
      <c r="BC41" s="10">
        <f t="shared" si="77"/>
        <v>30574.496053244544</v>
      </c>
      <c r="BD41" s="10">
        <f t="shared" si="77"/>
        <v>31923.567714541899</v>
      </c>
      <c r="BE41" s="10">
        <f t="shared" si="77"/>
        <v>30903.780663548427</v>
      </c>
      <c r="BF41" s="10">
        <f t="shared" si="77"/>
        <v>32262.936584165996</v>
      </c>
      <c r="BG41" s="10">
        <f t="shared" si="77"/>
        <v>32488.116567044381</v>
      </c>
      <c r="BH41" s="10">
        <f t="shared" si="77"/>
        <v>31703.611228593651</v>
      </c>
      <c r="BI41" s="10">
        <f t="shared" si="77"/>
        <v>32971.46077651962</v>
      </c>
      <c r="BJ41" s="10">
        <f t="shared" si="77"/>
        <v>32184.866133029071</v>
      </c>
      <c r="BK41" s="10">
        <f t="shared" si="77"/>
        <v>33352.18740578289</v>
      </c>
      <c r="BO41" s="23">
        <f>SUM(BO38:BO40)</f>
        <v>90490.493433769981</v>
      </c>
      <c r="BP41" s="23">
        <f t="shared" ref="BP41" si="78">SUM(BP38:BP40)</f>
        <v>91353.108423944897</v>
      </c>
      <c r="BQ41" s="23">
        <f t="shared" ref="BQ41" si="79">SUM(BQ38:BQ40)</f>
        <v>59170.951913929995</v>
      </c>
      <c r="BR41" s="23">
        <f t="shared" ref="BR41" si="80">SUM(BR38:BR40)</f>
        <v>87120.658982320005</v>
      </c>
      <c r="BS41" s="23">
        <f t="shared" ref="BS41" si="81">SUM(BS38:BS40)</f>
        <v>79371.151446979988</v>
      </c>
      <c r="BT41" s="23">
        <f t="shared" ref="BT41" si="82">SUM(BT38:BT40)</f>
        <v>69538.083783609996</v>
      </c>
    </row>
    <row r="44" spans="1:72" hidden="1" outlineLevel="1" x14ac:dyDescent="0.25">
      <c r="A44" s="11" t="s">
        <v>50</v>
      </c>
      <c r="C44" s="2" t="s">
        <v>0</v>
      </c>
      <c r="D44" s="8">
        <f>-IFERROR(
GETPIVOTDATA(
"[Base].[Importe]",
TDinamica_R!$A$5,
"[Calendario].[AñoMes]",
"[Calendario].[AñoMes].&amp;[" &amp; TEXT(D$6,"yyyymm") &amp; "]",
"[Base].[Metrica]",
"[Base].[Metrica].&amp;[" &amp; $A44 &amp; "]",
"[Base].[SEGMENTO_DESCRIP]",
"[Base].[SEGMENTO_DESCRIP].&amp;[" &amp; $C$6 &amp; "]",
"[Base].[SITUACION]",
"[Base].[SITUACION].&amp;[" &amp; $C44 &amp; "]"
),0)/1000</f>
        <v>-16326.814399809997</v>
      </c>
      <c r="E44" s="8">
        <f>-IFERROR(
GETPIVOTDATA(
"[Base].[Importe]",
TDinamica_R!$A$5,
"[Calendario].[AñoMes]",
"[Calendario].[AñoMes].&amp;[" &amp; TEXT(E$6,"yyyymm") &amp; "]",
"[Base].[Metrica]",
"[Base].[Metrica].&amp;[" &amp; $A44 &amp; "]",
"[Base].[SEGMENTO_DESCRIP]",
"[Base].[SEGMENTO_DESCRIP].&amp;[" &amp; $C$6 &amp; "]",
"[Base].[SITUACION]",
"[Base].[SITUACION].&amp;[" &amp; $C44 &amp; "]"
),0)/1000</f>
        <v>-16551.8592393</v>
      </c>
      <c r="F44" s="8">
        <f>-IFERROR(
GETPIVOTDATA(
"[Base].[Importe]",
TDinamica_R!$A$5,
"[Calendario].[AñoMes]",
"[Calendario].[AñoMes].&amp;[" &amp; TEXT(F$6,"yyyymm") &amp; "]",
"[Base].[Metrica]",
"[Base].[Metrica].&amp;[" &amp; $A44 &amp; "]",
"[Base].[SEGMENTO_DESCRIP]",
"[Base].[SEGMENTO_DESCRIP].&amp;[" &amp; $C$6 &amp; "]",
"[Base].[SITUACION]",
"[Base].[SITUACION].&amp;[" &amp; $C44 &amp; "]"
),0)/1000</f>
        <v>-16775.241514999998</v>
      </c>
      <c r="G44" s="8">
        <f>-IFERROR(
GETPIVOTDATA(
"[Base].[Importe]",
TDinamica_R!$A$5,
"[Calendario].[AñoMes]",
"[Calendario].[AñoMes].&amp;[" &amp; TEXT(G$6,"yyyymm") &amp; "]",
"[Base].[Metrica]",
"[Base].[Metrica].&amp;[" &amp; $A44 &amp; "]",
"[Base].[SEGMENTO_DESCRIP]",
"[Base].[SEGMENTO_DESCRIP].&amp;[" &amp; $C$6 &amp; "]",
"[Base].[SITUACION]",
"[Base].[SITUACION].&amp;[" &amp; $C44 &amp; "]"
),0)/1000</f>
        <v>-17026.648686820005</v>
      </c>
      <c r="H44" s="8">
        <f>-IFERROR(
GETPIVOTDATA(
"[Base].[Importe]",
TDinamica_R!$A$5,
"[Calendario].[AñoMes]",
"[Calendario].[AñoMes].&amp;[" &amp; TEXT(H$6,"yyyymm") &amp; "]",
"[Base].[Metrica]",
"[Base].[Metrica].&amp;[" &amp; $A44 &amp; "]",
"[Base].[SEGMENTO_DESCRIP]",
"[Base].[SEGMENTO_DESCRIP].&amp;[" &amp; $C$6 &amp; "]",
"[Base].[SITUACION]",
"[Base].[SITUACION].&amp;[" &amp; $C44 &amp; "]"
),0)/1000</f>
        <v>-17162.948999439996</v>
      </c>
      <c r="I44" s="8">
        <f>-IFERROR(
GETPIVOTDATA(
"[Base].[Importe]",
TDinamica_R!$A$5,
"[Calendario].[AñoMes]",
"[Calendario].[AñoMes].&amp;[" &amp; TEXT(I$6,"yyyymm") &amp; "]",
"[Base].[Metrica]",
"[Base].[Metrica].&amp;[" &amp; $A44 &amp; "]",
"[Base].[SEGMENTO_DESCRIP]",
"[Base].[SEGMENTO_DESCRIP].&amp;[" &amp; $C$6 &amp; "]",
"[Base].[SITUACION]",
"[Base].[SITUACION].&amp;[" &amp; $C44 &amp; "]"
),0)/1000</f>
        <v>-17415.070550500001</v>
      </c>
      <c r="J44" s="8">
        <f>-IFERROR(
GETPIVOTDATA(
"[Base].[Importe]",
TDinamica_R!$A$5,
"[Calendario].[AñoMes]",
"[Calendario].[AñoMes].&amp;[" &amp; TEXT(J$6,"yyyymm") &amp; "]",
"[Base].[Metrica]",
"[Base].[Metrica].&amp;[" &amp; $A44 &amp; "]",
"[Base].[SEGMENTO_DESCRIP]",
"[Base].[SEGMENTO_DESCRIP].&amp;[" &amp; $C$6 &amp; "]",
"[Base].[SITUACION]",
"[Base].[SITUACION].&amp;[" &amp; $C44 &amp; "]"
),0)/1000</f>
        <v>-17617.095941939999</v>
      </c>
      <c r="K44" s="8">
        <f>-IFERROR(
GETPIVOTDATA(
"[Base].[Importe]",
TDinamica_R!$A$5,
"[Calendario].[AñoMes]",
"[Calendario].[AñoMes].&amp;[" &amp; TEXT(K$6,"yyyymm") &amp; "]",
"[Base].[Metrica]",
"[Base].[Metrica].&amp;[" &amp; $A44 &amp; "]",
"[Base].[SEGMENTO_DESCRIP]",
"[Base].[SEGMENTO_DESCRIP].&amp;[" &amp; $C$6 &amp; "]",
"[Base].[SITUACION]",
"[Base].[SITUACION].&amp;[" &amp; $C44 &amp; "]"
),0)/1000</f>
        <v>-17773.594008600001</v>
      </c>
      <c r="L44" s="8">
        <f>-IFERROR(
GETPIVOTDATA(
"[Base].[Importe]",
TDinamica_R!$A$5,
"[Calendario].[AñoMes]",
"[Calendario].[AñoMes].&amp;[" &amp; TEXT(L$6,"yyyymm") &amp; "]",
"[Base].[Metrica]",
"[Base].[Metrica].&amp;[" &amp; $A44 &amp; "]",
"[Base].[SEGMENTO_DESCRIP]",
"[Base].[SEGMENTO_DESCRIP].&amp;[" &amp; $C$6 &amp; "]",
"[Base].[SITUACION]",
"[Base].[SITUACION].&amp;[" &amp; $C44 &amp; "]"
),0)/1000</f>
        <v>-18028.188352449994</v>
      </c>
      <c r="M44" s="8">
        <f>-IFERROR(
GETPIVOTDATA(
"[Base].[Importe]",
TDinamica_R!$A$5,
"[Calendario].[AñoMes]",
"[Calendario].[AñoMes].&amp;[" &amp; TEXT(M$6,"yyyymm") &amp; "]",
"[Base].[Metrica]",
"[Base].[Metrica].&amp;[" &amp; $A44 &amp; "]",
"[Base].[SEGMENTO_DESCRIP]",
"[Base].[SEGMENTO_DESCRIP].&amp;[" &amp; $C$6 &amp; "]",
"[Base].[SITUACION]",
"[Base].[SITUACION].&amp;[" &amp; $C44 &amp; "]"
),0)/1000</f>
        <v>-18336.185280549995</v>
      </c>
      <c r="N44" s="8">
        <f>-IFERROR(
GETPIVOTDATA(
"[Base].[Importe]",
TDinamica_R!$A$5,
"[Calendario].[AñoMes]",
"[Calendario].[AñoMes].&amp;[" &amp; TEXT(N$6,"yyyymm") &amp; "]",
"[Base].[Metrica]",
"[Base].[Metrica].&amp;[" &amp; $A44 &amp; "]",
"[Base].[SEGMENTO_DESCRIP]",
"[Base].[SEGMENTO_DESCRIP].&amp;[" &amp; $C$6 &amp; "]",
"[Base].[SITUACION]",
"[Base].[SITUACION].&amp;[" &amp; $C44 &amp; "]"
),0)/1000</f>
        <v>-18562.778446939999</v>
      </c>
      <c r="O44" s="8">
        <f>-IFERROR(
GETPIVOTDATA(
"[Base].[Importe]",
TDinamica_R!$A$5,
"[Calendario].[AñoMes]",
"[Calendario].[AñoMes].&amp;[" &amp; TEXT(O$6,"yyyymm") &amp; "]",
"[Base].[Metrica]",
"[Base].[Metrica].&amp;[" &amp; $A44 &amp; "]",
"[Base].[SEGMENTO_DESCRIP]",
"[Base].[SEGMENTO_DESCRIP].&amp;[" &amp; $C$6 &amp; "]",
"[Base].[SITUACION]",
"[Base].[SITUACION].&amp;[" &amp; $C44 &amp; "]"
),0)/1000</f>
        <v>-18787.453387799993</v>
      </c>
      <c r="P44" s="8">
        <f>-IFERROR(
GETPIVOTDATA(
"[Base].[Importe]",
TDinamica_R!$A$5,
"[Calendario].[AñoMes]",
"[Calendario].[AñoMes].&amp;[" &amp; TEXT(P$6,"yyyymm") &amp; "]",
"[Base].[Metrica]",
"[Base].[Metrica].&amp;[" &amp; $A44 &amp; "]",
"[Base].[SEGMENTO_DESCRIP]",
"[Base].[SEGMENTO_DESCRIP].&amp;[" &amp; $C$6 &amp; "]",
"[Base].[SITUACION]",
"[Base].[SITUACION].&amp;[" &amp; $C44 &amp; "]"
),0)/1000</f>
        <v>-19010.051031759991</v>
      </c>
      <c r="Q44" s="8">
        <f>-IFERROR(
GETPIVOTDATA(
"[Base].[Importe]",
TDinamica_R!$A$5,
"[Calendario].[AñoMes]",
"[Calendario].[AñoMes].&amp;[" &amp; TEXT(Q$6,"yyyymm") &amp; "]",
"[Base].[Metrica]",
"[Base].[Metrica].&amp;[" &amp; $A44 &amp; "]",
"[Base].[SEGMENTO_DESCRIP]",
"[Base].[SEGMENTO_DESCRIP].&amp;[" &amp; $C$6 &amp; "]",
"[Base].[SITUACION]",
"[Base].[SITUACION].&amp;[" &amp; $C44 &amp; "]"
),0)/1000</f>
        <v>-19143.879997220003</v>
      </c>
      <c r="R44" s="8">
        <f>-IFERROR(
GETPIVOTDATA(
"[Base].[Importe]",
TDinamica_R!$A$5,
"[Calendario].[AñoMes]",
"[Calendario].[AñoMes].&amp;[" &amp; TEXT(R$6,"yyyymm") &amp; "]",
"[Base].[Metrica]",
"[Base].[Metrica].&amp;[" &amp; $A44 &amp; "]",
"[Base].[SEGMENTO_DESCRIP]",
"[Base].[SEGMENTO_DESCRIP].&amp;[" &amp; $C$6 &amp; "]",
"[Base].[SITUACION]",
"[Base].[SITUACION].&amp;[" &amp; $C44 &amp; "]"
),0)/1000</f>
        <v>-19489.219723869988</v>
      </c>
      <c r="S44" s="8">
        <f>-IFERROR(
GETPIVOTDATA(
"[Base].[Importe]",
TDinamica_R!$A$5,
"[Calendario].[AñoMes]",
"[Calendario].[AñoMes].&amp;[" &amp; TEXT(S$6,"yyyymm") &amp; "]",
"[Base].[Metrica]",
"[Base].[Metrica].&amp;[" &amp; $A44 &amp; "]",
"[Base].[SEGMENTO_DESCRIP]",
"[Base].[SEGMENTO_DESCRIP].&amp;[" &amp; $C$6 &amp; "]",
"[Base].[SITUACION]",
"[Base].[SITUACION].&amp;[" &amp; $C44 &amp; "]"
),0)/1000</f>
        <v>-19590.98300954001</v>
      </c>
      <c r="T44" s="8">
        <f>-IFERROR(
GETPIVOTDATA(
"[Base].[Importe]",
TDinamica_R!$A$5,
"[Calendario].[AñoMes]",
"[Calendario].[AñoMes].&amp;[" &amp; TEXT(T$6,"yyyymm") &amp; "]",
"[Base].[Metrica]",
"[Base].[Metrica].&amp;[" &amp; $A44 &amp; "]",
"[Base].[SEGMENTO_DESCRIP]",
"[Base].[SEGMENTO_DESCRIP].&amp;[" &amp; $C$6 &amp; "]",
"[Base].[SITUACION]",
"[Base].[SITUACION].&amp;[" &amp; $C44 &amp; "]"
),0)/1000</f>
        <v>-19856.044216700007</v>
      </c>
      <c r="U44" s="8">
        <f>-IFERROR(
GETPIVOTDATA(
"[Base].[Importe]",
TDinamica_R!$A$5,
"[Calendario].[AñoMes]",
"[Calendario].[AñoMes].&amp;[" &amp; TEXT(U$6,"yyyymm") &amp; "]",
"[Base].[Metrica]",
"[Base].[Metrica].&amp;[" &amp; $A44 &amp; "]",
"[Base].[SEGMENTO_DESCRIP]",
"[Base].[SEGMENTO_DESCRIP].&amp;[" &amp; $C$6 &amp; "]",
"[Base].[SITUACION]",
"[Base].[SITUACION].&amp;[" &amp; $C44 &amp; "]"
),0)/1000</f>
        <v>-20040.129174749996</v>
      </c>
      <c r="V44" s="8">
        <f>-IFERROR(
GETPIVOTDATA(
"[Base].[Importe]",
TDinamica_R!$A$5,
"[Calendario].[AñoMes]",
"[Calendario].[AñoMes].&amp;[" &amp; TEXT(V$6,"yyyymm") &amp; "]",
"[Base].[Metrica]",
"[Base].[Metrica].&amp;[" &amp; $A44 &amp; "]",
"[Base].[SEGMENTO_DESCRIP]",
"[Base].[SEGMENTO_DESCRIP].&amp;[" &amp; $C$6 &amp; "]",
"[Base].[SITUACION]",
"[Base].[SITUACION].&amp;[" &amp; $C44 &amp; "]"
),0)/1000</f>
        <v>-20408.247845080001</v>
      </c>
      <c r="W44" s="8">
        <f>-IFERROR(
GETPIVOTDATA(
"[Base].[Importe]",
TDinamica_R!$A$5,
"[Calendario].[AñoMes]",
"[Calendario].[AñoMes].&amp;[" &amp; TEXT(W$6,"yyyymm") &amp; "]",
"[Base].[Metrica]",
"[Base].[Metrica].&amp;[" &amp; $A44 &amp; "]",
"[Base].[SEGMENTO_DESCRIP]",
"[Base].[SEGMENTO_DESCRIP].&amp;[" &amp; $C$6 &amp; "]",
"[Base].[SITUACION]",
"[Base].[SITUACION].&amp;[" &amp; $C44 &amp; "]"
),0)/1000</f>
        <v>-20663.560129410002</v>
      </c>
      <c r="X44" s="8">
        <f>-IFERROR(
GETPIVOTDATA(
"[Base].[Importe]",
TDinamica_R!$A$5,
"[Calendario].[AñoMes]",
"[Calendario].[AñoMes].&amp;[" &amp; TEXT(X$6,"yyyymm") &amp; "]",
"[Base].[Metrica]",
"[Base].[Metrica].&amp;[" &amp; $A44 &amp; "]",
"[Base].[SEGMENTO_DESCRIP]",
"[Base].[SEGMENTO_DESCRIP].&amp;[" &amp; $C$6 &amp; "]",
"[Base].[SITUACION]",
"[Base].[SITUACION].&amp;[" &amp; $C44 &amp; "]"
),0)/1000</f>
        <v>-21010.322406199997</v>
      </c>
      <c r="Y44" s="8">
        <f>-IFERROR(
GETPIVOTDATA(
"[Base].[Importe]",
TDinamica_R!$A$5,
"[Calendario].[AñoMes]",
"[Calendario].[AñoMes].&amp;[" &amp; TEXT(Y$6,"yyyymm") &amp; "]",
"[Base].[Metrica]",
"[Base].[Metrica].&amp;[" &amp; $A44 &amp; "]",
"[Base].[SEGMENTO_DESCRIP]",
"[Base].[SEGMENTO_DESCRIP].&amp;[" &amp; $C$6 &amp; "]",
"[Base].[SITUACION]",
"[Base].[SITUACION].&amp;[" &amp; $C44 &amp; "]"
),0)/1000</f>
        <v>-21242.405919339992</v>
      </c>
      <c r="Z44" s="8">
        <f>-IFERROR(
GETPIVOTDATA(
"[Base].[Importe]",
TDinamica_R!$A$5,
"[Calendario].[AñoMes]",
"[Calendario].[AñoMes].&amp;[" &amp; TEXT(Z$6,"yyyymm") &amp; "]",
"[Base].[Metrica]",
"[Base].[Metrica].&amp;[" &amp; $A44 &amp; "]",
"[Base].[SEGMENTO_DESCRIP]",
"[Base].[SEGMENTO_DESCRIP].&amp;[" &amp; $C$6 &amp; "]",
"[Base].[SITUACION]",
"[Base].[SITUACION].&amp;[" &amp; $C44 &amp; "]"
),0)/1000</f>
        <v>-21476.434205000001</v>
      </c>
      <c r="AA44" s="8">
        <f>-IFERROR(
GETPIVOTDATA(
"[Base].[Importe]",
TDinamica_R!$A$5,
"[Calendario].[AñoMes]",
"[Calendario].[AñoMes].&amp;[" &amp; TEXT(AA$6,"yyyymm") &amp; "]",
"[Base].[Metrica]",
"[Base].[Metrica].&amp;[" &amp; $A44 &amp; "]",
"[Base].[SEGMENTO_DESCRIP]",
"[Base].[SEGMENTO_DESCRIP].&amp;[" &amp; $C$6 &amp; "]",
"[Base].[SITUACION]",
"[Base].[SITUACION].&amp;[" &amp; $C44 &amp; "]"
),0)/1000</f>
        <v>-21647.185896649993</v>
      </c>
      <c r="AB44" s="8">
        <f>-IFERROR(
GETPIVOTDATA(
"[Base].[Importe]",
TDinamica_R!$A$5,
"[Calendario].[AñoMes]",
"[Calendario].[AñoMes].&amp;[" &amp; TEXT(AB$6,"yyyymm") &amp; "]",
"[Base].[Metrica]",
"[Base].[Metrica].&amp;[" &amp; $A44 &amp; "]",
"[Base].[SEGMENTO_DESCRIP]",
"[Base].[SEGMENTO_DESCRIP].&amp;[" &amp; $C$6 &amp; "]",
"[Base].[SITUACION]",
"[Base].[SITUACION].&amp;[" &amp; $C44 &amp; "]"
),0)/1000</f>
        <v>-21836.277370309996</v>
      </c>
      <c r="AC44" s="8">
        <f>-IFERROR(
GETPIVOTDATA(
"[Base].[Importe]",
TDinamica_R!$A$5,
"[Calendario].[AñoMes]",
"[Calendario].[AñoMes].&amp;[" &amp; TEXT(AC$6,"yyyymm") &amp; "]",
"[Base].[Metrica]",
"[Base].[Metrica].&amp;[" &amp; $A44 &amp; "]",
"[Base].[SEGMENTO_DESCRIP]",
"[Base].[SEGMENTO_DESCRIP].&amp;[" &amp; $C$6 &amp; "]",
"[Base].[SITUACION]",
"[Base].[SITUACION].&amp;[" &amp; $C44 &amp; "]"
),0)/1000</f>
        <v>-21935.898997</v>
      </c>
      <c r="AD44" s="8">
        <f>-IFERROR(
GETPIVOTDATA(
"[Base].[Importe]",
TDinamica_R!$A$5,
"[Calendario].[AñoMes]",
"[Calendario].[AñoMes].&amp;[" &amp; TEXT(AD$6,"yyyymm") &amp; "]",
"[Base].[Metrica]",
"[Base].[Metrica].&amp;[" &amp; $A44 &amp; "]",
"[Base].[SEGMENTO_DESCRIP]",
"[Base].[SEGMENTO_DESCRIP].&amp;[" &amp; $C$6 &amp; "]",
"[Base].[SITUACION]",
"[Base].[SITUACION].&amp;[" &amp; $C44 &amp; "]"
),0)/1000</f>
        <v>-22051.179964590006</v>
      </c>
      <c r="AE44" s="8">
        <f>-IFERROR(
GETPIVOTDATA(
"[Base].[Importe]",
TDinamica_R!$A$5,
"[Calendario].[AñoMes]",
"[Calendario].[AñoMes].&amp;[" &amp; TEXT(AE$6,"yyyymm") &amp; "]",
"[Base].[Metrica]",
"[Base].[Metrica].&amp;[" &amp; $A44 &amp; "]",
"[Base].[SEGMENTO_DESCRIP]",
"[Base].[SEGMENTO_DESCRIP].&amp;[" &amp; $C$6 &amp; "]",
"[Base].[SITUACION]",
"[Base].[SITUACION].&amp;[" &amp; $C44 &amp; "]"
),0)/1000</f>
        <v>-22090.270417890002</v>
      </c>
      <c r="AF44" s="8">
        <f>-IFERROR(
GETPIVOTDATA(
"[Base].[Importe]",
TDinamica_R!$A$5,
"[Calendario].[AñoMes]",
"[Calendario].[AñoMes].&amp;[" &amp; TEXT(AF$6,"yyyymm") &amp; "]",
"[Base].[Metrica]",
"[Base].[Metrica].&amp;[" &amp; $A44 &amp; "]",
"[Base].[SEGMENTO_DESCRIP]",
"[Base].[SEGMENTO_DESCRIP].&amp;[" &amp; $C$6 &amp; "]",
"[Base].[SITUACION]",
"[Base].[SITUACION].&amp;[" &amp; $C44 &amp; "]"
),0)/1000</f>
        <v>-22193.638627200005</v>
      </c>
      <c r="AG44" s="8">
        <f>-IFERROR(
GETPIVOTDATA(
"[Base].[Importe]",
TDinamica_R!$A$5,
"[Calendario].[AñoMes]",
"[Calendario].[AñoMes].&amp;[" &amp; TEXT(AG$6,"yyyymm") &amp; "]",
"[Base].[Metrica]",
"[Base].[Metrica].&amp;[" &amp; $A44 &amp; "]",
"[Base].[SEGMENTO_DESCRIP]",
"[Base].[SEGMENTO_DESCRIP].&amp;[" &amp; $C$6 &amp; "]",
"[Base].[SITUACION]",
"[Base].[SITUACION].&amp;[" &amp; $C44 &amp; "]"
),0)/1000</f>
        <v>-22416.002676100008</v>
      </c>
      <c r="AH44" s="8">
        <f>-IFERROR(
GETPIVOTDATA(
"[Base].[Importe]",
TDinamica_R!$A$5,
"[Calendario].[AñoMes]",
"[Calendario].[AñoMes].&amp;[" &amp; TEXT(AH$6,"yyyymm") &amp; "]",
"[Base].[Metrica]",
"[Base].[Metrica].&amp;[" &amp; $A44 &amp; "]",
"[Base].[SEGMENTO_DESCRIP]",
"[Base].[SEGMENTO_DESCRIP].&amp;[" &amp; $C$6 &amp; "]",
"[Base].[SITUACION]",
"[Base].[SITUACION].&amp;[" &amp; $C44 &amp; "]"
),0)/1000</f>
        <v>-22580.342055560002</v>
      </c>
      <c r="AI44" s="8">
        <f>-IFERROR(
GETPIVOTDATA(
"[Base].[Importe]",
TDinamica_R!$A$5,
"[Calendario].[AñoMes]",
"[Calendario].[AñoMes].&amp;[" &amp; TEXT(AI$6,"yyyymm") &amp; "]",
"[Base].[Metrica]",
"[Base].[Metrica].&amp;[" &amp; $A44 &amp; "]",
"[Base].[SEGMENTO_DESCRIP]",
"[Base].[SEGMENTO_DESCRIP].&amp;[" &amp; $C$6 &amp; "]",
"[Base].[SITUACION]",
"[Base].[SITUACION].&amp;[" &amp; $C44 &amp; "]"
),0)/1000</f>
        <v>-22736.213804750001</v>
      </c>
      <c r="AJ44" s="8">
        <f>-IFERROR(
GETPIVOTDATA(
"[Base].[Importe]",
TDinamica_R!$A$5,
"[Calendario].[AñoMes]",
"[Calendario].[AñoMes].&amp;[" &amp; TEXT(AJ$6,"yyyymm") &amp; "]",
"[Base].[Metrica]",
"[Base].[Metrica].&amp;[" &amp; $A44 &amp; "]",
"[Base].[SEGMENTO_DESCRIP]",
"[Base].[SEGMENTO_DESCRIP].&amp;[" &amp; $C$6 &amp; "]",
"[Base].[SITUACION]",
"[Base].[SITUACION].&amp;[" &amp; $C44 &amp; "]"
),0)/1000</f>
        <v>-22877.102171360002</v>
      </c>
      <c r="AK44" s="8">
        <f>-IFERROR(
GETPIVOTDATA(
"[Base].[Importe]",
TDinamica_R!$A$5,
"[Calendario].[AñoMes]",
"[Calendario].[AñoMes].&amp;[" &amp; TEXT(AK$6,"yyyymm") &amp; "]",
"[Base].[Metrica]",
"[Base].[Metrica].&amp;[" &amp; $A44 &amp; "]",
"[Base].[SEGMENTO_DESCRIP]",
"[Base].[SEGMENTO_DESCRIP].&amp;[" &amp; $C$6 &amp; "]",
"[Base].[SITUACION]",
"[Base].[SITUACION].&amp;[" &amp; $C44 &amp; "]"
),0)/1000</f>
        <v>-22987.866002120005</v>
      </c>
      <c r="AL44" s="8">
        <f>-IFERROR(
GETPIVOTDATA(
"[Base].[Importe]",
TDinamica_R!$A$5,
"[Calendario].[AñoMes]",
"[Calendario].[AñoMes].&amp;[" &amp; TEXT(AL$6,"yyyymm") &amp; "]",
"[Base].[Metrica]",
"[Base].[Metrica].&amp;[" &amp; $A44 &amp; "]",
"[Base].[SEGMENTO_DESCRIP]",
"[Base].[SEGMENTO_DESCRIP].&amp;[" &amp; $C$6 &amp; "]",
"[Base].[SITUACION]",
"[Base].[SITUACION].&amp;[" &amp; $C44 &amp; "]"
),0)/1000</f>
        <v>-23095.610407489999</v>
      </c>
      <c r="AM44" s="8">
        <f>-IFERROR(
GETPIVOTDATA(
"[Base].[Importe]",
TDinamica_R!$A$5,
"[Calendario].[AñoMes]",
"[Calendario].[AñoMes].&amp;[" &amp; TEXT(AM$6,"yyyymm") &amp; "]",
"[Base].[Metrica]",
"[Base].[Metrica].&amp;[" &amp; $A44 &amp; "]",
"[Base].[SEGMENTO_DESCRIP]",
"[Base].[SEGMENTO_DESCRIP].&amp;[" &amp; $C$6 &amp; "]",
"[Base].[SITUACION]",
"[Base].[SITUACION].&amp;[" &amp; $C44 &amp; "]"
),0)/1000</f>
        <v>-23160.843992440001</v>
      </c>
      <c r="AN44" s="8">
        <f>-IFERROR(
GETPIVOTDATA(
"[Base].[Importe]",
TDinamica_R!$A$5,
"[Calendario].[AñoMes]",
"[Calendario].[AñoMes].&amp;[" &amp; TEXT(AN$6,"yyyymm") &amp; "]",
"[Base].[Metrica]",
"[Base].[Metrica].&amp;[" &amp; $A44 &amp; "]",
"[Base].[SEGMENTO_DESCRIP]",
"[Base].[SEGMENTO_DESCRIP].&amp;[" &amp; $C$6 &amp; "]",
"[Base].[SITUACION]",
"[Base].[SITUACION].&amp;[" &amp; $C44 &amp; "]"
),0)/1000</f>
        <v>-23121.359610679989</v>
      </c>
      <c r="AO44" s="8">
        <f>-IFERROR(
GETPIVOTDATA(
"[Base].[Importe]",
TDinamica_R!$A$5,
"[Calendario].[AñoMes]",
"[Calendario].[AñoMes].&amp;[" &amp; TEXT(AO$6,"yyyymm") &amp; "]",
"[Base].[Metrica]",
"[Base].[Metrica].&amp;[" &amp; $A44 &amp; "]",
"[Base].[SEGMENTO_DESCRIP]",
"[Base].[SEGMENTO_DESCRIP].&amp;[" &amp; $C$6 &amp; "]",
"[Base].[SITUACION]",
"[Base].[SITUACION].&amp;[" &amp; $C44 &amp; "]"
),0)/1000</f>
        <v>-23053.775248310001</v>
      </c>
      <c r="AP44" s="8">
        <f>-IFERROR(
GETPIVOTDATA(
"[Base].[Importe]",
TDinamica_R!$A$5,
"[Calendario].[AñoMes]",
"[Calendario].[AñoMes].&amp;[" &amp; TEXT(AP$6,"yyyymm") &amp; "]",
"[Base].[Metrica]",
"[Base].[Metrica].&amp;[" &amp; $A44 &amp; "]",
"[Base].[SEGMENTO_DESCRIP]",
"[Base].[SEGMENTO_DESCRIP].&amp;[" &amp; $C$6 &amp; "]",
"[Base].[SITUACION]",
"[Base].[SITUACION].&amp;[" &amp; $C44 &amp; "]"
),0)/1000</f>
        <v>-23084.310539000002</v>
      </c>
      <c r="AQ44" s="8">
        <f>-IFERROR(
GETPIVOTDATA(
"[Base].[Importe]",
TDinamica_R!$A$5,
"[Calendario].[AñoMes]",
"[Calendario].[AñoMes].&amp;[" &amp; TEXT(AQ$6,"yyyymm") &amp; "]",
"[Base].[Metrica]",
"[Base].[Metrica].&amp;[" &amp; $A44 &amp; "]",
"[Base].[SEGMENTO_DESCRIP]",
"[Base].[SEGMENTO_DESCRIP].&amp;[" &amp; $C$6 &amp; "]",
"[Base].[SITUACION]",
"[Base].[SITUACION].&amp;[" &amp; $C44 &amp; "]"
),0)/1000</f>
        <v>-22945.282307710004</v>
      </c>
      <c r="AR44" s="8">
        <f>-IFERROR(
GETPIVOTDATA(
"[Base].[Importe]",
TDinamica_R!$A$5,
"[Calendario].[AñoMes]",
"[Calendario].[AñoMes].&amp;[" &amp; TEXT(AR$6,"yyyymm") &amp; "]",
"[Base].[Metrica]",
"[Base].[Metrica].&amp;[" &amp; $A44 &amp; "]",
"[Base].[SEGMENTO_DESCRIP]",
"[Base].[SEGMENTO_DESCRIP].&amp;[" &amp; $C$6 &amp; "]",
"[Base].[SITUACION]",
"[Base].[SITUACION].&amp;[" &amp; $C44 &amp; "]"
),0)/1000</f>
        <v>-22973.516768250007</v>
      </c>
      <c r="AS44" s="8">
        <f>-IFERROR(
GETPIVOTDATA(
"[Base].[Importe]",
TDinamica_R!$A$5,
"[Calendario].[AñoMes]",
"[Calendario].[AñoMes].&amp;[" &amp; TEXT(AS$6,"yyyymm") &amp; "]",
"[Base].[Metrica]",
"[Base].[Metrica].&amp;[" &amp; $A44 &amp; "]",
"[Base].[SEGMENTO_DESCRIP]",
"[Base].[SEGMENTO_DESCRIP].&amp;[" &amp; $C$6 &amp; "]",
"[Base].[SITUACION]",
"[Base].[SITUACION].&amp;[" &amp; $C44 &amp; "]"
),0)/1000</f>
        <v>-22983.122975999999</v>
      </c>
      <c r="AT44" s="8">
        <f>-IFERROR(
GETPIVOTDATA(
"[Base].[Importe]",
TDinamica_R!$A$5,
"[Calendario].[AñoMes]",
"[Calendario].[AñoMes].&amp;[" &amp; TEXT(AT$6,"yyyymm")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U44" s="8">
        <f>-IFERROR(
GETPIVOTDATA(
"[Base].[Importe]",
TDinamica_R!$A$5,
"[Calendario].[AñoMes]",
"[Calendario].[AñoMes].&amp;[" &amp; TEXT(AU$6,"yyyymm")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V44" s="8">
        <f>-IFERROR(
GETPIVOTDATA(
"[Base].[Importe]",
TDinamica_R!$A$5,
"[Calendario].[AñoMes]",
"[Calendario].[AñoMes].&amp;[" &amp; TEXT(AV$6,"yyyymm")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W44" s="8">
        <f>-IFERROR(
GETPIVOTDATA(
"[Base].[Importe]",
TDinamica_R!$A$5,
"[Calendario].[AñoMes]",
"[Calendario].[AñoMes].&amp;[" &amp; TEXT(AW$6,"yyyymm")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X44" s="8">
        <f>-IFERROR(
GETPIVOTDATA(
"[Base].[Importe]",
TDinamica_R!$A$5,
"[Calendario].[AñoMes]",
"[Calendario].[AñoMes].&amp;[" &amp; TEXT(AX$6,"yyyymm")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Y44" s="8">
        <f>-IFERROR(
GETPIVOTDATA(
"[Base].[Importe]",
TDinamica_R!$A$5,
"[Calendario].[AñoMes]",
"[Calendario].[AñoMes].&amp;[" &amp; TEXT(AY$6,"yyyymm")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Z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"[BASE_HIPO_PPTO].[Periodo]","[BASE_HIPO_PPTO].[Periodo].&amp;["&amp;TEXT(AZ$6,"yyyymm")&amp;"]"),
0)/1000</f>
        <v>-23217.520433367416</v>
      </c>
      <c r="BA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"[BASE_HIPO_PPTO].[Periodo]","[BASE_HIPO_PPTO].[Periodo].&amp;["&amp;TEXT(BA$6,"yyyymm")&amp;"]"),
0)/1000</f>
        <v>-23290.232164309135</v>
      </c>
      <c r="BB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"[BASE_HIPO_PPTO].[Periodo]","[BASE_HIPO_PPTO].[Periodo].&amp;["&amp;TEXT(BB$6,"yyyymm")&amp;"]"),
0)/1000</f>
        <v>-23277.30757148896</v>
      </c>
      <c r="BC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"[BASE_HIPO_PPTO].[Periodo]","[BASE_HIPO_PPTO].[Periodo].&amp;["&amp;TEXT(BC$6,"yyyymm")&amp;"]"),
0)/1000</f>
        <v>-23328.310076386817</v>
      </c>
      <c r="BD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"[BASE_HIPO_PPTO].[Periodo]","[BASE_HIPO_PPTO].[Periodo].&amp;["&amp;TEXT(BD$6,"yyyymm")&amp;"]"),
0)/1000</f>
        <v>-23396.797773082391</v>
      </c>
      <c r="BE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"[BASE_HIPO_PPTO].[Periodo]","[BASE_HIPO_PPTO].[Periodo].&amp;["&amp;TEXT(BE$6,"yyyymm")&amp;"]"),
0)/1000</f>
        <v>-23529.356126515311</v>
      </c>
      <c r="BF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"[BASE_HIPO_PPTO].[Periodo]","[BASE_HIPO_PPTO].[Periodo].&amp;["&amp;TEXT(BF$6,"yyyymm")&amp;"]"),
0)/1000</f>
        <v>-23618.574646752644</v>
      </c>
      <c r="BG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"[BASE_HIPO_PPTO].[Periodo]","[BASE_HIPO_PPTO].[Periodo].&amp;["&amp;TEXT(BG$6,"yyyymm")&amp;"]"),
0)/1000</f>
        <v>-23799.87366922382</v>
      </c>
      <c r="BH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"[BASE_HIPO_PPTO].[Periodo]","[BASE_HIPO_PPTO].[Periodo].&amp;["&amp;TEXT(BH$6,"yyyymm")&amp;"]"),
0)/1000</f>
        <v>-23948.629904650923</v>
      </c>
      <c r="BI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"[BASE_HIPO_PPTO].[Periodo]","[BASE_HIPO_PPTO].[Periodo].&amp;["&amp;TEXT(BI$6,"yyyymm")&amp;"]"),
0)/1000</f>
        <v>-24115.097988115751</v>
      </c>
      <c r="BJ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"[BASE_HIPO_PPTO].[Periodo]","[BASE_HIPO_PPTO].[Periodo].&amp;["&amp;TEXT(BJ$6,"yyyymm")&amp;"]"),
0)/1000</f>
        <v>-24255.766652489281</v>
      </c>
      <c r="BK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"[BASE_HIPO_PPTO].[Periodo]","[BASE_HIPO_PPTO].[Periodo].&amp;["&amp;TEXT(BK$6,"yyyymm")&amp;"]"),
0)/1000</f>
        <v>-24364.437451118811</v>
      </c>
      <c r="BO44" s="24">
        <f t="shared" ref="BO44:BT46" si="83">SUMIFS($D44:$BM44,$D$6:$BM$6,"&gt;="&amp;BO$2,$D$6:$BM$6,"&lt;="&amp;BO$6,$D$5:$BM$5,BO$5)</f>
        <v>-69259.445397989984</v>
      </c>
      <c r="BP44" s="24">
        <f t="shared" si="83"/>
        <v>-69785.060169165503</v>
      </c>
      <c r="BQ44" s="24">
        <f t="shared" si="83"/>
        <v>-46175.134858989986</v>
      </c>
      <c r="BR44" s="24">
        <f t="shared" si="83"/>
        <v>-65823.356331899995</v>
      </c>
      <c r="BS44" s="24">
        <f t="shared" si="83"/>
        <v>-57643.150752849979</v>
      </c>
      <c r="BT44" s="24">
        <f t="shared" si="83"/>
        <v>-49653.91515411</v>
      </c>
    </row>
    <row r="45" spans="1:72" hidden="1" outlineLevel="1" x14ac:dyDescent="0.25">
      <c r="A45" s="11" t="s">
        <v>50</v>
      </c>
      <c r="C45" s="2" t="s">
        <v>1</v>
      </c>
      <c r="D45" s="8">
        <f>-IFERROR(
GETPIVOTDATA(
"[Base].[Importe]",
TDinamica_R!$A$5,
"[Calendario].[AñoMes]",
"[Calendario].[AñoMes].&amp;[" &amp; TEXT(D$6,"yyyymm") &amp; "]",
"[Base].[Metrica]",
"[Base].[Metrica].&amp;[" &amp; $A45 &amp; "]",
"[Base].[SEGMENTO_DESCRIP]",
"[Base].[SEGMENTO_DESCRIP].&amp;[" &amp; $C$6 &amp; "]",
"[Base].[SITUACION]",
"[Base].[SITUACION].&amp;[" &amp; $C45 &amp; "]"
),0)/1000</f>
        <v>-34.511428069999994</v>
      </c>
      <c r="E45" s="8">
        <f>-IFERROR(
GETPIVOTDATA(
"[Base].[Importe]",
TDinamica_R!$A$5,
"[Calendario].[AñoMes]",
"[Calendario].[AñoMes].&amp;[" &amp; TEXT(E$6,"yyyymm") &amp; "]",
"[Base].[Metrica]",
"[Base].[Metrica].&amp;[" &amp; $A45 &amp; "]",
"[Base].[SEGMENTO_DESCRIP]",
"[Base].[SEGMENTO_DESCRIP].&amp;[" &amp; $C$6 &amp; "]",
"[Base].[SITUACION]",
"[Base].[SITUACION].&amp;[" &amp; $C45 &amp; "]"
),0)/1000</f>
        <v>-32.817170220000001</v>
      </c>
      <c r="F45" s="8">
        <f>-IFERROR(
GETPIVOTDATA(
"[Base].[Importe]",
TDinamica_R!$A$5,
"[Calendario].[AñoMes]",
"[Calendario].[AñoMes].&amp;[" &amp; TEXT(F$6,"yyyymm") &amp; "]",
"[Base].[Metrica]",
"[Base].[Metrica].&amp;[" &amp; $A45 &amp; "]",
"[Base].[SEGMENTO_DESCRIP]",
"[Base].[SEGMENTO_DESCRIP].&amp;[" &amp; $C$6 &amp; "]",
"[Base].[SITUACION]",
"[Base].[SITUACION].&amp;[" &amp; $C45 &amp; "]"
),0)/1000</f>
        <v>-32.884825200000002</v>
      </c>
      <c r="G45" s="8">
        <f>-IFERROR(
GETPIVOTDATA(
"[Base].[Importe]",
TDinamica_R!$A$5,
"[Calendario].[AñoMes]",
"[Calendario].[AñoMes].&amp;[" &amp; TEXT(G$6,"yyyymm") &amp; "]",
"[Base].[Metrica]",
"[Base].[Metrica].&amp;[" &amp; $A45 &amp; "]",
"[Base].[SEGMENTO_DESCRIP]",
"[Base].[SEGMENTO_DESCRIP].&amp;[" &amp; $C$6 &amp; "]",
"[Base].[SITUACION]",
"[Base].[SITUACION].&amp;[" &amp; $C45 &amp; "]"
),0)/1000</f>
        <v>-40.965633879999992</v>
      </c>
      <c r="H45" s="8">
        <f>-IFERROR(
GETPIVOTDATA(
"[Base].[Importe]",
TDinamica_R!$A$5,
"[Calendario].[AñoMes]",
"[Calendario].[AñoMes].&amp;[" &amp; TEXT(H$6,"yyyymm") &amp; "]",
"[Base].[Metrica]",
"[Base].[Metrica].&amp;[" &amp; $A45 &amp; "]",
"[Base].[SEGMENTO_DESCRIP]",
"[Base].[SEGMENTO_DESCRIP].&amp;[" &amp; $C$6 &amp; "]",
"[Base].[SITUACION]",
"[Base].[SITUACION].&amp;[" &amp; $C45 &amp; "]"
),0)/1000</f>
        <v>-31.231222560000003</v>
      </c>
      <c r="I45" s="8">
        <f>-IFERROR(
GETPIVOTDATA(
"[Base].[Importe]",
TDinamica_R!$A$5,
"[Calendario].[AñoMes]",
"[Calendario].[AñoMes].&amp;[" &amp; TEXT(I$6,"yyyymm") &amp; "]",
"[Base].[Metrica]",
"[Base].[Metrica].&amp;[" &amp; $A45 &amp; "]",
"[Base].[SEGMENTO_DESCRIP]",
"[Base].[SEGMENTO_DESCRIP].&amp;[" &amp; $C$6 &amp; "]",
"[Base].[SITUACION]",
"[Base].[SITUACION].&amp;[" &amp; $C45 &amp; "]"
),0)/1000</f>
        <v>-30.931499499999997</v>
      </c>
      <c r="J45" s="8">
        <f>-IFERROR(
GETPIVOTDATA(
"[Base].[Importe]",
TDinamica_R!$A$5,
"[Calendario].[AñoMes]",
"[Calendario].[AñoMes].&amp;[" &amp; TEXT(J$6,"yyyymm") &amp; "]",
"[Base].[Metrica]",
"[Base].[Metrica].&amp;[" &amp; $A45 &amp; "]",
"[Base].[SEGMENTO_DESCRIP]",
"[Base].[SEGMENTO_DESCRIP].&amp;[" &amp; $C$6 &amp; "]",
"[Base].[SITUACION]",
"[Base].[SITUACION].&amp;[" &amp; $C45 &amp; "]"
),0)/1000</f>
        <v>-30.578919550000002</v>
      </c>
      <c r="K45" s="8">
        <f>-IFERROR(
GETPIVOTDATA(
"[Base].[Importe]",
TDinamica_R!$A$5,
"[Calendario].[AñoMes]",
"[Calendario].[AñoMes].&amp;[" &amp; TEXT(K$6,"yyyymm") &amp; "]",
"[Base].[Metrica]",
"[Base].[Metrica].&amp;[" &amp; $A45 &amp; "]",
"[Base].[SEGMENTO_DESCRIP]",
"[Base].[SEGMENTO_DESCRIP].&amp;[" &amp; $C$6 &amp; "]",
"[Base].[SITUACION]",
"[Base].[SITUACION].&amp;[" &amp; $C45 &amp; "]"
),0)/1000</f>
        <v>-30.974274319999996</v>
      </c>
      <c r="L45" s="8">
        <f>-IFERROR(
GETPIVOTDATA(
"[Base].[Importe]",
TDinamica_R!$A$5,
"[Calendario].[AñoMes]",
"[Calendario].[AñoMes].&amp;[" &amp; TEXT(L$6,"yyyymm") &amp; "]",
"[Base].[Metrica]",
"[Base].[Metrica].&amp;[" &amp; $A45 &amp; "]",
"[Base].[SEGMENTO_DESCRIP]",
"[Base].[SEGMENTO_DESCRIP].&amp;[" &amp; $C$6 &amp; "]",
"[Base].[SITUACION]",
"[Base].[SITUACION].&amp;[" &amp; $C45 &amp; "]"
),0)/1000</f>
        <v>-31.065617320000001</v>
      </c>
      <c r="M45" s="8">
        <f>-IFERROR(
GETPIVOTDATA(
"[Base].[Importe]",
TDinamica_R!$A$5,
"[Calendario].[AñoMes]",
"[Calendario].[AñoMes].&amp;[" &amp; TEXT(M$6,"yyyymm") &amp; "]",
"[Base].[Metrica]",
"[Base].[Metrica].&amp;[" &amp; $A45 &amp; "]",
"[Base].[SEGMENTO_DESCRIP]",
"[Base].[SEGMENTO_DESCRIP].&amp;[" &amp; $C$6 &amp; "]",
"[Base].[SITUACION]",
"[Base].[SITUACION].&amp;[" &amp; $C45 &amp; "]"
),0)/1000</f>
        <v>-37.212840399999997</v>
      </c>
      <c r="N45" s="8">
        <f>-IFERROR(
GETPIVOTDATA(
"[Base].[Importe]",
TDinamica_R!$A$5,
"[Calendario].[AñoMes]",
"[Calendario].[AñoMes].&amp;[" &amp; TEXT(N$6,"yyyymm") &amp; "]",
"[Base].[Metrica]",
"[Base].[Metrica].&amp;[" &amp; $A45 &amp; "]",
"[Base].[SEGMENTO_DESCRIP]",
"[Base].[SEGMENTO_DESCRIP].&amp;[" &amp; $C$6 &amp; "]",
"[Base].[SITUACION]",
"[Base].[SITUACION].&amp;[" &amp; $C45 &amp; "]"
),0)/1000</f>
        <v>-39.842574000000006</v>
      </c>
      <c r="O45" s="8">
        <f>-IFERROR(
GETPIVOTDATA(
"[Base].[Importe]",
TDinamica_R!$A$5,
"[Calendario].[AñoMes]",
"[Calendario].[AñoMes].&amp;[" &amp; TEXT(O$6,"yyyymm") &amp; "]",
"[Base].[Metrica]",
"[Base].[Metrica].&amp;[" &amp; $A45 &amp; "]",
"[Base].[SEGMENTO_DESCRIP]",
"[Base].[SEGMENTO_DESCRIP].&amp;[" &amp; $C$6 &amp; "]",
"[Base].[SITUACION]",
"[Base].[SITUACION].&amp;[" &amp; $C45 &amp; "]"
),0)/1000</f>
        <v>-38.469742470000007</v>
      </c>
      <c r="P45" s="8">
        <f>-IFERROR(
GETPIVOTDATA(
"[Base].[Importe]",
TDinamica_R!$A$5,
"[Calendario].[AñoMes]",
"[Calendario].[AñoMes].&amp;[" &amp; TEXT(P$6,"yyyymm") &amp; "]",
"[Base].[Metrica]",
"[Base].[Metrica].&amp;[" &amp; $A45 &amp; "]",
"[Base].[SEGMENTO_DESCRIP]",
"[Base].[SEGMENTO_DESCRIP].&amp;[" &amp; $C$6 &amp; "]",
"[Base].[SITUACION]",
"[Base].[SITUACION].&amp;[" &amp; $C45 &amp; "]"
),0)/1000</f>
        <v>-37.162450479999997</v>
      </c>
      <c r="Q45" s="8">
        <f>-IFERROR(
GETPIVOTDATA(
"[Base].[Importe]",
TDinamica_R!$A$5,
"[Calendario].[AñoMes]",
"[Calendario].[AñoMes].&amp;[" &amp; TEXT(Q$6,"yyyymm") &amp; "]",
"[Base].[Metrica]",
"[Base].[Metrica].&amp;[" &amp; $A45 &amp; "]",
"[Base].[SEGMENTO_DESCRIP]",
"[Base].[SEGMENTO_DESCRIP].&amp;[" &amp; $C$6 &amp; "]",
"[Base].[SITUACION]",
"[Base].[SITUACION].&amp;[" &amp; $C45 &amp; "]"
),0)/1000</f>
        <v>-37.754807040000003</v>
      </c>
      <c r="R45" s="8">
        <f>-IFERROR(
GETPIVOTDATA(
"[Base].[Importe]",
TDinamica_R!$A$5,
"[Calendario].[AñoMes]",
"[Calendario].[AñoMes].&amp;[" &amp; TEXT(R$6,"yyyymm") &amp; "]",
"[Base].[Metrica]",
"[Base].[Metrica].&amp;[" &amp; $A45 &amp; "]",
"[Base].[SEGMENTO_DESCRIP]",
"[Base].[SEGMENTO_DESCRIP].&amp;[" &amp; $C$6 &amp; "]",
"[Base].[SITUACION]",
"[Base].[SITUACION].&amp;[" &amp; $C45 &amp; "]"
),0)/1000</f>
        <v>-39.210332200000003</v>
      </c>
      <c r="S45" s="8">
        <f>-IFERROR(
GETPIVOTDATA(
"[Base].[Importe]",
TDinamica_R!$A$5,
"[Calendario].[AñoMes]",
"[Calendario].[AñoMes].&amp;[" &amp; TEXT(S$6,"yyyymm") &amp; "]",
"[Base].[Metrica]",
"[Base].[Metrica].&amp;[" &amp; $A45 &amp; "]",
"[Base].[SEGMENTO_DESCRIP]",
"[Base].[SEGMENTO_DESCRIP].&amp;[" &amp; $C$6 &amp; "]",
"[Base].[SITUACION]",
"[Base].[SITUACION].&amp;[" &amp; $C45 &amp; "]"
),0)/1000</f>
        <v>-40.169091200000004</v>
      </c>
      <c r="T45" s="8">
        <f>-IFERROR(
GETPIVOTDATA(
"[Base].[Importe]",
TDinamica_R!$A$5,
"[Calendario].[AñoMes]",
"[Calendario].[AñoMes].&amp;[" &amp; TEXT(T$6,"yyyymm") &amp; "]",
"[Base].[Metrica]",
"[Base].[Metrica].&amp;[" &amp; $A45 &amp; "]",
"[Base].[SEGMENTO_DESCRIP]",
"[Base].[SEGMENTO_DESCRIP].&amp;[" &amp; $C$6 &amp; "]",
"[Base].[SITUACION]",
"[Base].[SITUACION].&amp;[" &amp; $C45 &amp; "]"
),0)/1000</f>
        <v>-37.323073900000004</v>
      </c>
      <c r="U45" s="8">
        <f>-IFERROR(
GETPIVOTDATA(
"[Base].[Importe]",
TDinamica_R!$A$5,
"[Calendario].[AñoMes]",
"[Calendario].[AñoMes].&amp;[" &amp; TEXT(U$6,"yyyymm") &amp; "]",
"[Base].[Metrica]",
"[Base].[Metrica].&amp;[" &amp; $A45 &amp; "]",
"[Base].[SEGMENTO_DESCRIP]",
"[Base].[SEGMENTO_DESCRIP].&amp;[" &amp; $C$6 &amp; "]",
"[Base].[SITUACION]",
"[Base].[SITUACION].&amp;[" &amp; $C45 &amp; "]"
),0)/1000</f>
        <v>-36.559004129999998</v>
      </c>
      <c r="V45" s="8">
        <f>-IFERROR(
GETPIVOTDATA(
"[Base].[Importe]",
TDinamica_R!$A$5,
"[Calendario].[AñoMes]",
"[Calendario].[AñoMes].&amp;[" &amp; TEXT(V$6,"yyyymm") &amp; "]",
"[Base].[Metrica]",
"[Base].[Metrica].&amp;[" &amp; $A45 &amp; "]",
"[Base].[SEGMENTO_DESCRIP]",
"[Base].[SEGMENTO_DESCRIP].&amp;[" &amp; $C$6 &amp; "]",
"[Base].[SITUACION]",
"[Base].[SITUACION].&amp;[" &amp; $C45 &amp; "]"
),0)/1000</f>
        <v>-34.749923639999999</v>
      </c>
      <c r="W45" s="8">
        <f>-IFERROR(
GETPIVOTDATA(
"[Base].[Importe]",
TDinamica_R!$A$5,
"[Calendario].[AñoMes]",
"[Calendario].[AñoMes].&amp;[" &amp; TEXT(W$6,"yyyymm") &amp; "]",
"[Base].[Metrica]",
"[Base].[Metrica].&amp;[" &amp; $A45 &amp; "]",
"[Base].[SEGMENTO_DESCRIP]",
"[Base].[SEGMENTO_DESCRIP].&amp;[" &amp; $C$6 &amp; "]",
"[Base].[SITUACION]",
"[Base].[SITUACION].&amp;[" &amp; $C45 &amp; "]"
),0)/1000</f>
        <v>-33.718975729999997</v>
      </c>
      <c r="X45" s="8">
        <f>-IFERROR(
GETPIVOTDATA(
"[Base].[Importe]",
TDinamica_R!$A$5,
"[Calendario].[AñoMes]",
"[Calendario].[AñoMes].&amp;[" &amp; TEXT(X$6,"yyyymm") &amp; "]",
"[Base].[Metrica]",
"[Base].[Metrica].&amp;[" &amp; $A45 &amp; "]",
"[Base].[SEGMENTO_DESCRIP]",
"[Base].[SEGMENTO_DESCRIP].&amp;[" &amp; $C$6 &amp; "]",
"[Base].[SITUACION]",
"[Base].[SITUACION].&amp;[" &amp; $C45 &amp; "]"
),0)/1000</f>
        <v>-33.284183280000001</v>
      </c>
      <c r="Y45" s="8">
        <f>-IFERROR(
GETPIVOTDATA(
"[Base].[Importe]",
TDinamica_R!$A$5,
"[Calendario].[AñoMes]",
"[Calendario].[AñoMes].&amp;[" &amp; TEXT(Y$6,"yyyymm") &amp; "]",
"[Base].[Metrica]",
"[Base].[Metrica].&amp;[" &amp; $A45 &amp; "]",
"[Base].[SEGMENTO_DESCRIP]",
"[Base].[SEGMENTO_DESCRIP].&amp;[" &amp; $C$6 &amp; "]",
"[Base].[SITUACION]",
"[Base].[SITUACION].&amp;[" &amp; $C45 &amp; "]"
),0)/1000</f>
        <v>-33.135509839999997</v>
      </c>
      <c r="Z45" s="8">
        <f>-IFERROR(
GETPIVOTDATA(
"[Base].[Importe]",
TDinamica_R!$A$5,
"[Calendario].[AñoMes]",
"[Calendario].[AñoMes].&amp;[" &amp; TEXT(Z$6,"yyyymm") &amp; "]",
"[Base].[Metrica]",
"[Base].[Metrica].&amp;[" &amp; $A45 &amp; "]",
"[Base].[SEGMENTO_DESCRIP]",
"[Base].[SEGMENTO_DESCRIP].&amp;[" &amp; $C$6 &amp; "]",
"[Base].[SITUACION]",
"[Base].[SITUACION].&amp;[" &amp; $C45 &amp; "]"
),0)/1000</f>
        <v>-34.99549966</v>
      </c>
      <c r="AA45" s="8">
        <f>-IFERROR(
GETPIVOTDATA(
"[Base].[Importe]",
TDinamica_R!$A$5,
"[Calendario].[AñoMes]",
"[Calendario].[AñoMes].&amp;[" &amp; TEXT(AA$6,"yyyymm") &amp; "]",
"[Base].[Metrica]",
"[Base].[Metrica].&amp;[" &amp; $A45 &amp; "]",
"[Base].[SEGMENTO_DESCRIP]",
"[Base].[SEGMENTO_DESCRIP].&amp;[" &amp; $C$6 &amp; "]",
"[Base].[SITUACION]",
"[Base].[SITUACION].&amp;[" &amp; $C45 &amp; "]"
),0)/1000</f>
        <v>-37.251495249999998</v>
      </c>
      <c r="AB45" s="8">
        <f>-IFERROR(
GETPIVOTDATA(
"[Base].[Importe]",
TDinamica_R!$A$5,
"[Calendario].[AñoMes]",
"[Calendario].[AñoMes].&amp;[" &amp; TEXT(AB$6,"yyyymm") &amp; "]",
"[Base].[Metrica]",
"[Base].[Metrica].&amp;[" &amp; $A45 &amp; "]",
"[Base].[SEGMENTO_DESCRIP]",
"[Base].[SEGMENTO_DESCRIP].&amp;[" &amp; $C$6 &amp; "]",
"[Base].[SITUACION]",
"[Base].[SITUACION].&amp;[" &amp; $C45 &amp; "]"
),0)/1000</f>
        <v>-41.806711470000003</v>
      </c>
      <c r="AC45" s="8">
        <f>-IFERROR(
GETPIVOTDATA(
"[Base].[Importe]",
TDinamica_R!$A$5,
"[Calendario].[AñoMes]",
"[Calendario].[AñoMes].&amp;[" &amp; TEXT(AC$6,"yyyymm") &amp; "]",
"[Base].[Metrica]",
"[Base].[Metrica].&amp;[" &amp; $A45 &amp; "]",
"[Base].[SEGMENTO_DESCRIP]",
"[Base].[SEGMENTO_DESCRIP].&amp;[" &amp; $C$6 &amp; "]",
"[Base].[SITUACION]",
"[Base].[SITUACION].&amp;[" &amp; $C45 &amp; "]"
),0)/1000</f>
        <v>-39.128155000000007</v>
      </c>
      <c r="AD45" s="8">
        <f>-IFERROR(
GETPIVOTDATA(
"[Base].[Importe]",
TDinamica_R!$A$5,
"[Calendario].[AñoMes]",
"[Calendario].[AñoMes].&amp;[" &amp; TEXT(AD$6,"yyyymm") &amp; "]",
"[Base].[Metrica]",
"[Base].[Metrica].&amp;[" &amp; $A45 &amp; "]",
"[Base].[SEGMENTO_DESCRIP]",
"[Base].[SEGMENTO_DESCRIP].&amp;[" &amp; $C$6 &amp; "]",
"[Base].[SITUACION]",
"[Base].[SITUACION].&amp;[" &amp; $C45 &amp; "]"
),0)/1000</f>
        <v>-39.395253530000005</v>
      </c>
      <c r="AE45" s="8">
        <f>-IFERROR(
GETPIVOTDATA(
"[Base].[Importe]",
TDinamica_R!$A$5,
"[Calendario].[AñoMes]",
"[Calendario].[AñoMes].&amp;[" &amp; TEXT(AE$6,"yyyymm") &amp; "]",
"[Base].[Metrica]",
"[Base].[Metrica].&amp;[" &amp; $A45 &amp; "]",
"[Base].[SEGMENTO_DESCRIP]",
"[Base].[SEGMENTO_DESCRIP].&amp;[" &amp; $C$6 &amp; "]",
"[Base].[SITUACION]",
"[Base].[SITUACION].&amp;[" &amp; $C45 &amp; "]"
),0)/1000</f>
        <v>-39.555693230000003</v>
      </c>
      <c r="AF45" s="8">
        <f>-IFERROR(
GETPIVOTDATA(
"[Base].[Importe]",
TDinamica_R!$A$5,
"[Calendario].[AñoMes]",
"[Calendario].[AñoMes].&amp;[" &amp; TEXT(AF$6,"yyyymm") &amp; "]",
"[Base].[Metrica]",
"[Base].[Metrica].&amp;[" &amp; $A45 &amp; "]",
"[Base].[SEGMENTO_DESCRIP]",
"[Base].[SEGMENTO_DESCRIP].&amp;[" &amp; $C$6 &amp; "]",
"[Base].[SITUACION]",
"[Base].[SITUACION].&amp;[" &amp; $C45 &amp; "]"
),0)/1000</f>
        <v>-39.0689882</v>
      </c>
      <c r="AG45" s="8">
        <f>-IFERROR(
GETPIVOTDATA(
"[Base].[Importe]",
TDinamica_R!$A$5,
"[Calendario].[AñoMes]",
"[Calendario].[AñoMes].&amp;[" &amp; TEXT(AG$6,"yyyymm") &amp; "]",
"[Base].[Metrica]",
"[Base].[Metrica].&amp;[" &amp; $A45 &amp; "]",
"[Base].[SEGMENTO_DESCRIP]",
"[Base].[SEGMENTO_DESCRIP].&amp;[" &amp; $C$6 &amp; "]",
"[Base].[SITUACION]",
"[Base].[SITUACION].&amp;[" &amp; $C45 &amp; "]"
),0)/1000</f>
        <v>-36.788649959999994</v>
      </c>
      <c r="AH45" s="8">
        <f>-IFERROR(
GETPIVOTDATA(
"[Base].[Importe]",
TDinamica_R!$A$5,
"[Calendario].[AñoMes]",
"[Calendario].[AñoMes].&amp;[" &amp; TEXT(AH$6,"yyyymm") &amp; "]",
"[Base].[Metrica]",
"[Base].[Metrica].&amp;[" &amp; $A45 &amp; "]",
"[Base].[SEGMENTO_DESCRIP]",
"[Base].[SEGMENTO_DESCRIP].&amp;[" &amp; $C$6 &amp; "]",
"[Base].[SITUACION]",
"[Base].[SITUACION].&amp;[" &amp; $C45 &amp; "]"
),0)/1000</f>
        <v>-40.306237320000001</v>
      </c>
      <c r="AI45" s="8">
        <f>-IFERROR(
GETPIVOTDATA(
"[Base].[Importe]",
TDinamica_R!$A$5,
"[Calendario].[AñoMes]",
"[Calendario].[AñoMes].&amp;[" &amp; TEXT(AI$6,"yyyymm") &amp; "]",
"[Base].[Metrica]",
"[Base].[Metrica].&amp;[" &amp; $A45 &amp; "]",
"[Base].[SEGMENTO_DESCRIP]",
"[Base].[SEGMENTO_DESCRIP].&amp;[" &amp; $C$6 &amp; "]",
"[Base].[SITUACION]",
"[Base].[SITUACION].&amp;[" &amp; $C45 &amp; "]"
),0)/1000</f>
        <v>-41.069229499999999</v>
      </c>
      <c r="AJ45" s="8">
        <f>-IFERROR(
GETPIVOTDATA(
"[Base].[Importe]",
TDinamica_R!$A$5,
"[Calendario].[AñoMes]",
"[Calendario].[AñoMes].&amp;[" &amp; TEXT(AJ$6,"yyyymm") &amp; "]",
"[Base].[Metrica]",
"[Base].[Metrica].&amp;[" &amp; $A45 &amp; "]",
"[Base].[SEGMENTO_DESCRIP]",
"[Base].[SEGMENTO_DESCRIP].&amp;[" &amp; $C$6 &amp; "]",
"[Base].[SITUACION]",
"[Base].[SITUACION].&amp;[" &amp; $C45 &amp; "]"
),0)/1000</f>
        <v>-40.614840450000003</v>
      </c>
      <c r="AK45" s="8">
        <f>-IFERROR(
GETPIVOTDATA(
"[Base].[Importe]",
TDinamica_R!$A$5,
"[Calendario].[AñoMes]",
"[Calendario].[AñoMes].&amp;[" &amp; TEXT(AK$6,"yyyymm") &amp; "]",
"[Base].[Metrica]",
"[Base].[Metrica].&amp;[" &amp; $A45 &amp; "]",
"[Base].[SEGMENTO_DESCRIP]",
"[Base].[SEGMENTO_DESCRIP].&amp;[" &amp; $C$6 &amp; "]",
"[Base].[SITUACION]",
"[Base].[SITUACION].&amp;[" &amp; $C45 &amp; "]"
),0)/1000</f>
        <v>-39.666489679999998</v>
      </c>
      <c r="AL45" s="8">
        <f>-IFERROR(
GETPIVOTDATA(
"[Base].[Importe]",
TDinamica_R!$A$5,
"[Calendario].[AñoMes]",
"[Calendario].[AñoMes].&amp;[" &amp; TEXT(AL$6,"yyyymm") &amp; "]",
"[Base].[Metrica]",
"[Base].[Metrica].&amp;[" &amp; $A45 &amp; "]",
"[Base].[SEGMENTO_DESCRIP]",
"[Base].[SEGMENTO_DESCRIP].&amp;[" &amp; $C$6 &amp; "]",
"[Base].[SITUACION]",
"[Base].[SITUACION].&amp;[" &amp; $C45 &amp; "]"
),0)/1000</f>
        <v>-39.763585739999996</v>
      </c>
      <c r="AM45" s="8">
        <f>-IFERROR(
GETPIVOTDATA(
"[Base].[Importe]",
TDinamica_R!$A$5,
"[Calendario].[AñoMes]",
"[Calendario].[AñoMes].&amp;[" &amp; TEXT(AM$6,"yyyymm") &amp; "]",
"[Base].[Metrica]",
"[Base].[Metrica].&amp;[" &amp; $A45 &amp; "]",
"[Base].[SEGMENTO_DESCRIP]",
"[Base].[SEGMENTO_DESCRIP].&amp;[" &amp; $C$6 &amp; "]",
"[Base].[SITUACION]",
"[Base].[SITUACION].&amp;[" &amp; $C45 &amp; "]"
),0)/1000</f>
        <v>-38.302803500000003</v>
      </c>
      <c r="AN45" s="8">
        <f>-IFERROR(
GETPIVOTDATA(
"[Base].[Importe]",
TDinamica_R!$A$5,
"[Calendario].[AñoMes]",
"[Calendario].[AñoMes].&amp;[" &amp; TEXT(AN$6,"yyyymm") &amp; "]",
"[Base].[Metrica]",
"[Base].[Metrica].&amp;[" &amp; $A45 &amp; "]",
"[Base].[SEGMENTO_DESCRIP]",
"[Base].[SEGMENTO_DESCRIP].&amp;[" &amp; $C$6 &amp; "]",
"[Base].[SITUACION]",
"[Base].[SITUACION].&amp;[" &amp; $C45 &amp; "]"
),0)/1000</f>
        <v>-40.862585739999993</v>
      </c>
      <c r="AO45" s="8">
        <f>-IFERROR(
GETPIVOTDATA(
"[Base].[Importe]",
TDinamica_R!$A$5,
"[Calendario].[AñoMes]",
"[Calendario].[AñoMes].&amp;[" &amp; TEXT(AO$6,"yyyymm") &amp; "]",
"[Base].[Metrica]",
"[Base].[Metrica].&amp;[" &amp; $A45 &amp; "]",
"[Base].[SEGMENTO_DESCRIP]",
"[Base].[SEGMENTO_DESCRIP].&amp;[" &amp; $C$6 &amp; "]",
"[Base].[SITUACION]",
"[Base].[SITUACION].&amp;[" &amp; $C45 &amp; "]"
),0)/1000</f>
        <v>-36.142448119999997</v>
      </c>
      <c r="AP45" s="8">
        <f>-IFERROR(
GETPIVOTDATA(
"[Base].[Importe]",
TDinamica_R!$A$5,
"[Calendario].[AñoMes]",
"[Calendario].[AñoMes].&amp;[" &amp; TEXT(AP$6,"yyyymm") &amp; "]",
"[Base].[Metrica]",
"[Base].[Metrica].&amp;[" &amp; $A45 &amp; "]",
"[Base].[SEGMENTO_DESCRIP]",
"[Base].[SEGMENTO_DESCRIP].&amp;[" &amp; $C$6 &amp; "]",
"[Base].[SITUACION]",
"[Base].[SITUACION].&amp;[" &amp; $C45 &amp; "]"
),0)/1000</f>
        <v>-40.444748999999995</v>
      </c>
      <c r="AQ45" s="8">
        <f>-IFERROR(
GETPIVOTDATA(
"[Base].[Importe]",
TDinamica_R!$A$5,
"[Calendario].[AñoMes]",
"[Calendario].[AñoMes].&amp;[" &amp; TEXT(AQ$6,"yyyymm") &amp; "]",
"[Base].[Metrica]",
"[Base].[Metrica].&amp;[" &amp; $A45 &amp; "]",
"[Base].[SEGMENTO_DESCRIP]",
"[Base].[SEGMENTO_DESCRIP].&amp;[" &amp; $C$6 &amp; "]",
"[Base].[SITUACION]",
"[Base].[SITUACION].&amp;[" &amp; $C45 &amp; "]"
),0)/1000</f>
        <v>-41.909299449999999</v>
      </c>
      <c r="AR45" s="8">
        <f>-IFERROR(
GETPIVOTDATA(
"[Base].[Importe]",
TDinamica_R!$A$5,
"[Calendario].[AñoMes]",
"[Calendario].[AñoMes].&amp;[" &amp; TEXT(AR$6,"yyyymm") &amp; "]",
"[Base].[Metrica]",
"[Base].[Metrica].&amp;[" &amp; $A45 &amp; "]",
"[Base].[SEGMENTO_DESCRIP]",
"[Base].[SEGMENTO_DESCRIP].&amp;[" &amp; $C$6 &amp; "]",
"[Base].[SITUACION]",
"[Base].[SITUACION].&amp;[" &amp; $C45 &amp; "]"
),0)/1000</f>
        <v>-41.17810171</v>
      </c>
      <c r="AS45" s="8">
        <f>-IFERROR(
GETPIVOTDATA(
"[Base].[Importe]",
TDinamica_R!$A$5,
"[Calendario].[AñoMes]",
"[Calendario].[AñoMes].&amp;[" &amp; TEXT(AS$6,"yyyymm") &amp; "]",
"[Base].[Metrica]",
"[Base].[Metrica].&amp;[" &amp; $A45 &amp; "]",
"[Base].[SEGMENTO_DESCRIP]",
"[Base].[SEGMENTO_DESCRIP].&amp;[" &amp; $C$6 &amp; "]",
"[Base].[SITUACION]",
"[Base].[SITUACION].&amp;[" &amp; $C45 &amp; "]"
),0)/1000</f>
        <v>-36.504611100000005</v>
      </c>
      <c r="AT45" s="8">
        <f>-IFERROR(
GETPIVOTDATA(
"[Base].[Importe]",
TDinamica_R!$A$5,
"[Calendario].[AñoMes]",
"[Calendario].[AñoMes].&amp;[" &amp; TEXT(AT$6,"yyyymm")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U45" s="8">
        <f>-IFERROR(
GETPIVOTDATA(
"[Base].[Importe]",
TDinamica_R!$A$5,
"[Calendario].[AñoMes]",
"[Calendario].[AñoMes].&amp;[" &amp; TEXT(AU$6,"yyyymm")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V45" s="8">
        <f>-IFERROR(
GETPIVOTDATA(
"[Base].[Importe]",
TDinamica_R!$A$5,
"[Calendario].[AñoMes]",
"[Calendario].[AñoMes].&amp;[" &amp; TEXT(AV$6,"yyyymm")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W45" s="8">
        <f>-IFERROR(
GETPIVOTDATA(
"[Base].[Importe]",
TDinamica_R!$A$5,
"[Calendario].[AñoMes]",
"[Calendario].[AñoMes].&amp;[" &amp; TEXT(AW$6,"yyyymm")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X45" s="8">
        <f>-IFERROR(
GETPIVOTDATA(
"[Base].[Importe]",
TDinamica_R!$A$5,
"[Calendario].[AñoMes]",
"[Calendario].[AñoMes].&amp;[" &amp; TEXT(AX$6,"yyyymm")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Y45" s="8">
        <f>-IFERROR(
GETPIVOTDATA(
"[Base].[Importe]",
TDinamica_R!$A$5,
"[Calendario].[AñoMes]",
"[Calendario].[AñoMes].&amp;[" &amp; TEXT(AY$6,"yyyymm")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Z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"[BASE_HIPO_PPTO].[Periodo]","[BASE_HIPO_PPTO].[Periodo].&amp;["&amp;TEXT(AZ$6,"yyyymm")&amp;"]"),
0)/1000</f>
        <v>-39.95642550218335</v>
      </c>
      <c r="BA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"[BASE_HIPO_PPTO].[Periodo]","[BASE_HIPO_PPTO].[Periodo].&amp;["&amp;TEXT(BA$6,"yyyymm")&amp;"]"),
0)/1000</f>
        <v>-40.272953560933445</v>
      </c>
      <c r="BB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"[BASE_HIPO_PPTO].[Periodo]","[BASE_HIPO_PPTO].[Periodo].&amp;["&amp;TEXT(BB$6,"yyyymm")&amp;"]"),
0)/1000</f>
        <v>-40.450667892376238</v>
      </c>
      <c r="BC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"[BASE_HIPO_PPTO].[Periodo]","[BASE_HIPO_PPTO].[Periodo].&amp;["&amp;TEXT(BC$6,"yyyymm")&amp;"]"),
0)/1000</f>
        <v>-40.709078305818394</v>
      </c>
      <c r="BD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"[BASE_HIPO_PPTO].[Periodo]","[BASE_HIPO_PPTO].[Periodo].&amp;["&amp;TEXT(BD$6,"yyyymm")&amp;"]"),
0)/1000</f>
        <v>-40.892450177172194</v>
      </c>
      <c r="BE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"[BASE_HIPO_PPTO].[Periodo]","[BASE_HIPO_PPTO].[Periodo].&amp;["&amp;TEXT(BE$6,"yyyymm")&amp;"]"),
0)/1000</f>
        <v>-41.306543698467664</v>
      </c>
      <c r="BF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"[BASE_HIPO_PPTO].[Periodo]","[BASE_HIPO_PPTO].[Periodo].&amp;["&amp;TEXT(BF$6,"yyyymm")&amp;"]"),
0)/1000</f>
        <v>-41.635561696689258</v>
      </c>
      <c r="BG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"[BASE_HIPO_PPTO].[Periodo]","[BASE_HIPO_PPTO].[Periodo].&amp;["&amp;TEXT(BG$6,"yyyymm")&amp;"]"),
0)/1000</f>
        <v>-42.112967949773505</v>
      </c>
      <c r="BH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"[BASE_HIPO_PPTO].[Periodo]","[BASE_HIPO_PPTO].[Periodo].&amp;["&amp;TEXT(BH$6,"yyyymm")&amp;"]"),
0)/1000</f>
        <v>-42.549158369553311</v>
      </c>
      <c r="BI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"[BASE_HIPO_PPTO].[Periodo]","[BASE_HIPO_PPTO].[Periodo].&amp;["&amp;TEXT(BI$6,"yyyymm")&amp;"]"),
0)/1000</f>
        <v>-42.923039845959842</v>
      </c>
      <c r="BJ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"[BASE_HIPO_PPTO].[Periodo]","[BASE_HIPO_PPTO].[Periodo].&amp;["&amp;TEXT(BJ$6,"yyyymm")&amp;"]"),
0)/1000</f>
        <v>-43.325602757588825</v>
      </c>
      <c r="BK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"[BASE_HIPO_PPTO].[Periodo]","[BASE_HIPO_PPTO].[Periodo].&amp;["&amp;TEXT(BK$6,"yyyymm")&amp;"]"),
0)/1000</f>
        <v>-43.617780046724874</v>
      </c>
      <c r="BO45" s="24">
        <f t="shared" si="83"/>
        <v>-117.44978286</v>
      </c>
      <c r="BP45" s="24">
        <f t="shared" si="83"/>
        <v>-120.68004695549303</v>
      </c>
      <c r="BQ45" s="24">
        <f t="shared" si="83"/>
        <v>-77.005033859999998</v>
      </c>
      <c r="BR45" s="24">
        <f t="shared" si="83"/>
        <v>-120.33012000000001</v>
      </c>
      <c r="BS45" s="24">
        <f t="shared" si="83"/>
        <v>-114.12758972</v>
      </c>
      <c r="BT45" s="24">
        <f t="shared" si="83"/>
        <v>-100.21342349</v>
      </c>
    </row>
    <row r="46" spans="1:72" hidden="1" outlineLevel="1" x14ac:dyDescent="0.25">
      <c r="A46" s="11" t="s">
        <v>50</v>
      </c>
      <c r="C46" s="2" t="s">
        <v>45</v>
      </c>
      <c r="D46" s="8">
        <f>-IFERROR(
GETPIVOTDATA(
"[Base].[Importe]",
TDinamica_R!$A$5,
"[Calendario].[AñoMes]",
"[Calendario].[AñoMes].&amp;[" &amp; TEXT(D$6,"yyyymm") &amp; "]",
"[Base].[Metrica]",
"[Base].[Metrica].&amp;[" &amp; $A46 &amp; "]",
"[Base].[SEGMENTO_DESCRIP]",
"[Base].[SEGMENTO_DESCRIP].&amp;[" &amp; $C$6 &amp; "]",
"[Base].[SITUACION]",
"[Base].[SITUACION].&amp;[" &amp; $C46 &amp; "]"
),0)/1000</f>
        <v>-105.68170547000001</v>
      </c>
      <c r="E46" s="8">
        <f>-IFERROR(
GETPIVOTDATA(
"[Base].[Importe]",
TDinamica_R!$A$5,
"[Calendario].[AñoMes]",
"[Calendario].[AñoMes].&amp;[" &amp; TEXT(E$6,"yyyymm") &amp; "]",
"[Base].[Metrica]",
"[Base].[Metrica].&amp;[" &amp; $A46 &amp; "]",
"[Base].[SEGMENTO_DESCRIP]",
"[Base].[SEGMENTO_DESCRIP].&amp;[" &amp; $C$6 &amp; "]",
"[Base].[SITUACION]",
"[Base].[SITUACION].&amp;[" &amp; $C46 &amp; "]"
),0)/1000</f>
        <v>-100.07268402</v>
      </c>
      <c r="F46" s="8">
        <f>-IFERROR(
GETPIVOTDATA(
"[Base].[Importe]",
TDinamica_R!$A$5,
"[Calendario].[AñoMes]",
"[Calendario].[AñoMes].&amp;[" &amp; TEXT(F$6,"yyyymm") &amp; "]",
"[Base].[Metrica]",
"[Base].[Metrica].&amp;[" &amp; $A46 &amp; "]",
"[Base].[SEGMENTO_DESCRIP]",
"[Base].[SEGMENTO_DESCRIP].&amp;[" &amp; $C$6 &amp; "]",
"[Base].[SITUACION]",
"[Base].[SITUACION].&amp;[" &amp; $C46 &amp; "]"
),0)/1000</f>
        <v>-106.8635336</v>
      </c>
      <c r="G46" s="8">
        <f>-IFERROR(
GETPIVOTDATA(
"[Base].[Importe]",
TDinamica_R!$A$5,
"[Calendario].[AñoMes]",
"[Calendario].[AñoMes].&amp;[" &amp; TEXT(G$6,"yyyymm") &amp; "]",
"[Base].[Metrica]",
"[Base].[Metrica].&amp;[" &amp; $A46 &amp; "]",
"[Base].[SEGMENTO_DESCRIP]",
"[Base].[SEGMENTO_DESCRIP].&amp;[" &amp; $C$6 &amp; "]",
"[Base].[SITUACION]",
"[Base].[SITUACION].&amp;[" &amp; $C46 &amp; "]"
),0)/1000</f>
        <v>-101.56454923999999</v>
      </c>
      <c r="H46" s="8">
        <f>-IFERROR(
GETPIVOTDATA(
"[Base].[Importe]",
TDinamica_R!$A$5,
"[Calendario].[AñoMes]",
"[Calendario].[AñoMes].&amp;[" &amp; TEXT(H$6,"yyyymm") &amp; "]",
"[Base].[Metrica]",
"[Base].[Metrica].&amp;[" &amp; $A46 &amp; "]",
"[Base].[SEGMENTO_DESCRIP]",
"[Base].[SEGMENTO_DESCRIP].&amp;[" &amp; $C$6 &amp; "]",
"[Base].[SITUACION]",
"[Base].[SITUACION].&amp;[" &amp; $C46 &amp; "]"
),0)/1000</f>
        <v>-104.09533447999999</v>
      </c>
      <c r="I46" s="8">
        <f>-IFERROR(
GETPIVOTDATA(
"[Base].[Importe]",
TDinamica_R!$A$5,
"[Calendario].[AñoMes]",
"[Calendario].[AñoMes].&amp;[" &amp; TEXT(I$6,"yyyymm") &amp; "]",
"[Base].[Metrica]",
"[Base].[Metrica].&amp;[" &amp; $A46 &amp; "]",
"[Base].[SEGMENTO_DESCRIP]",
"[Base].[SEGMENTO_DESCRIP].&amp;[" &amp; $C$6 &amp; "]",
"[Base].[SITUACION]",
"[Base].[SITUACION].&amp;[" &amp; $C46 &amp; "]"
),0)/1000</f>
        <v>-105.487151</v>
      </c>
      <c r="J46" s="8">
        <f>-IFERROR(
GETPIVOTDATA(
"[Base].[Importe]",
TDinamica_R!$A$5,
"[Calendario].[AñoMes]",
"[Calendario].[AñoMes].&amp;[" &amp; TEXT(J$6,"yyyymm") &amp; "]",
"[Base].[Metrica]",
"[Base].[Metrica].&amp;[" &amp; $A46 &amp; "]",
"[Base].[SEGMENTO_DESCRIP]",
"[Base].[SEGMENTO_DESCRIP].&amp;[" &amp; $C$6 &amp; "]",
"[Base].[SITUACION]",
"[Base].[SITUACION].&amp;[" &amp; $C46 &amp; "]"
),0)/1000</f>
        <v>-103.51800115</v>
      </c>
      <c r="K46" s="8">
        <f>-IFERROR(
GETPIVOTDATA(
"[Base].[Importe]",
TDinamica_R!$A$5,
"[Calendario].[AñoMes]",
"[Calendario].[AñoMes].&amp;[" &amp; TEXT(K$6,"yyyymm") &amp; "]",
"[Base].[Metrica]",
"[Base].[Metrica].&amp;[" &amp; $A46 &amp; "]",
"[Base].[SEGMENTO_DESCRIP]",
"[Base].[SEGMENTO_DESCRIP].&amp;[" &amp; $C$6 &amp; "]",
"[Base].[SITUACION]",
"[Base].[SITUACION].&amp;[" &amp; $C46 &amp; "]"
),0)/1000</f>
        <v>-109.01322144</v>
      </c>
      <c r="L46" s="8">
        <f>-IFERROR(
GETPIVOTDATA(
"[Base].[Importe]",
TDinamica_R!$A$5,
"[Calendario].[AñoMes]",
"[Calendario].[AñoMes].&amp;[" &amp; TEXT(L$6,"yyyymm") &amp; "]",
"[Base].[Metrica]",
"[Base].[Metrica].&amp;[" &amp; $A46 &amp; "]",
"[Base].[SEGMENTO_DESCRIP]",
"[Base].[SEGMENTO_DESCRIP].&amp;[" &amp; $C$6 &amp; "]",
"[Base].[SITUACION]",
"[Base].[SITUACION].&amp;[" &amp; $C46 &amp; "]"
),0)/1000</f>
        <v>-122.44099951999998</v>
      </c>
      <c r="M46" s="8">
        <f>-IFERROR(
GETPIVOTDATA(
"[Base].[Importe]",
TDinamica_R!$A$5,
"[Calendario].[AñoMes]",
"[Calendario].[AñoMes].&amp;[" &amp; TEXT(M$6,"yyyymm") &amp; "]",
"[Base].[Metrica]",
"[Base].[Metrica].&amp;[" &amp; $A46 &amp; "]",
"[Base].[SEGMENTO_DESCRIP]",
"[Base].[SEGMENTO_DESCRIP].&amp;[" &amp; $C$6 &amp; "]",
"[Base].[SITUACION]",
"[Base].[SITUACION].&amp;[" &amp; $C46 &amp; "]"
),0)/1000</f>
        <v>-126.97144685000001</v>
      </c>
      <c r="N46" s="8">
        <f>-IFERROR(
GETPIVOTDATA(
"[Base].[Importe]",
TDinamica_R!$A$5,
"[Calendario].[AñoMes]",
"[Calendario].[AñoMes].&amp;[" &amp; TEXT(N$6,"yyyymm") &amp; "]",
"[Base].[Metrica]",
"[Base].[Metrica].&amp;[" &amp; $A46 &amp; "]",
"[Base].[SEGMENTO_DESCRIP]",
"[Base].[SEGMENTO_DESCRIP].&amp;[" &amp; $C$6 &amp; "]",
"[Base].[SITUACION]",
"[Base].[SITUACION].&amp;[" &amp; $C46 &amp; "]"
),0)/1000</f>
        <v>-128.17250218000001</v>
      </c>
      <c r="O46" s="8">
        <f>-IFERROR(
GETPIVOTDATA(
"[Base].[Importe]",
TDinamica_R!$A$5,
"[Calendario].[AñoMes]",
"[Calendario].[AñoMes].&amp;[" &amp; TEXT(O$6,"yyyymm") &amp; "]",
"[Base].[Metrica]",
"[Base].[Metrica].&amp;[" &amp; $A46 &amp; "]",
"[Base].[SEGMENTO_DESCRIP]",
"[Base].[SEGMENTO_DESCRIP].&amp;[" &amp; $C$6 &amp; "]",
"[Base].[SITUACION]",
"[Base].[SITUACION].&amp;[" &amp; $C46 &amp; "]"
),0)/1000</f>
        <v>-128.99327729000001</v>
      </c>
      <c r="P46" s="8">
        <f>-IFERROR(
GETPIVOTDATA(
"[Base].[Importe]",
TDinamica_R!$A$5,
"[Calendario].[AñoMes]",
"[Calendario].[AñoMes].&amp;[" &amp; TEXT(P$6,"yyyymm") &amp; "]",
"[Base].[Metrica]",
"[Base].[Metrica].&amp;[" &amp; $A46 &amp; "]",
"[Base].[SEGMENTO_DESCRIP]",
"[Base].[SEGMENTO_DESCRIP].&amp;[" &amp; $C$6 &amp; "]",
"[Base].[SITUACION]",
"[Base].[SITUACION].&amp;[" &amp; $C46 &amp; "]"
),0)/1000</f>
        <v>-133.91116152000004</v>
      </c>
      <c r="Q46" s="8">
        <f>-IFERROR(
GETPIVOTDATA(
"[Base].[Importe]",
TDinamica_R!$A$5,
"[Calendario].[AñoMes]",
"[Calendario].[AñoMes].&amp;[" &amp; TEXT(Q$6,"yyyymm") &amp; "]",
"[Base].[Metrica]",
"[Base].[Metrica].&amp;[" &amp; $A46 &amp; "]",
"[Base].[SEGMENTO_DESCRIP]",
"[Base].[SEGMENTO_DESCRIP].&amp;[" &amp; $C$6 &amp; "]",
"[Base].[SITUACION]",
"[Base].[SITUACION].&amp;[" &amp; $C46 &amp; "]"
),0)/1000</f>
        <v>-137.23745092000001</v>
      </c>
      <c r="R46" s="8">
        <f>-IFERROR(
GETPIVOTDATA(
"[Base].[Importe]",
TDinamica_R!$A$5,
"[Calendario].[AñoMes]",
"[Calendario].[AñoMes].&amp;[" &amp; TEXT(R$6,"yyyymm") &amp; "]",
"[Base].[Metrica]",
"[Base].[Metrica].&amp;[" &amp; $A46 &amp; "]",
"[Base].[SEGMENTO_DESCRIP]",
"[Base].[SEGMENTO_DESCRIP].&amp;[" &amp; $C$6 &amp; "]",
"[Base].[SITUACION]",
"[Base].[SITUACION].&amp;[" &amp; $C46 &amp; "]"
),0)/1000</f>
        <v>-132.40602384000002</v>
      </c>
      <c r="S46" s="8">
        <f>-IFERROR(
GETPIVOTDATA(
"[Base].[Importe]",
TDinamica_R!$A$5,
"[Calendario].[AñoMes]",
"[Calendario].[AñoMes].&amp;[" &amp; TEXT(S$6,"yyyymm") &amp; "]",
"[Base].[Metrica]",
"[Base].[Metrica].&amp;[" &amp; $A46 &amp; "]",
"[Base].[SEGMENTO_DESCRIP]",
"[Base].[SEGMENTO_DESCRIP].&amp;[" &amp; $C$6 &amp; "]",
"[Base].[SITUACION]",
"[Base].[SITUACION].&amp;[" &amp; $C46 &amp; "]"
),0)/1000</f>
        <v>-138.01365976</v>
      </c>
      <c r="T46" s="8">
        <f>-IFERROR(
GETPIVOTDATA(
"[Base].[Importe]",
TDinamica_R!$A$5,
"[Calendario].[AñoMes]",
"[Calendario].[AñoMes].&amp;[" &amp; TEXT(T$6,"yyyymm") &amp; "]",
"[Base].[Metrica]",
"[Base].[Metrica].&amp;[" &amp; $A46 &amp; "]",
"[Base].[SEGMENTO_DESCRIP]",
"[Base].[SEGMENTO_DESCRIP].&amp;[" &amp; $C$6 &amp; "]",
"[Base].[SITUACION]",
"[Base].[SITUACION].&amp;[" &amp; $C46 &amp; "]"
),0)/1000</f>
        <v>-149.2734232</v>
      </c>
      <c r="U46" s="8">
        <f>-IFERROR(
GETPIVOTDATA(
"[Base].[Importe]",
TDinamica_R!$A$5,
"[Calendario].[AñoMes]",
"[Calendario].[AñoMes].&amp;[" &amp; TEXT(U$6,"yyyymm") &amp; "]",
"[Base].[Metrica]",
"[Base].[Metrica].&amp;[" &amp; $A46 &amp; "]",
"[Base].[SEGMENTO_DESCRIP]",
"[Base].[SEGMENTO_DESCRIP].&amp;[" &amp; $C$6 &amp; "]",
"[Base].[SITUACION]",
"[Base].[SITUACION].&amp;[" &amp; $C46 &amp; "]"
),0)/1000</f>
        <v>-148.43568612000001</v>
      </c>
      <c r="V46" s="8">
        <f>-IFERROR(
GETPIVOTDATA(
"[Base].[Importe]",
TDinamica_R!$A$5,
"[Calendario].[AñoMes]",
"[Calendario].[AñoMes].&amp;[" &amp; TEXT(V$6,"yyyymm") &amp; "]",
"[Base].[Metrica]",
"[Base].[Metrica].&amp;[" &amp; $A46 &amp; "]",
"[Base].[SEGMENTO_DESCRIP]",
"[Base].[SEGMENTO_DESCRIP].&amp;[" &amp; $C$6 &amp; "]",
"[Base].[SITUACION]",
"[Base].[SITUACION].&amp;[" &amp; $C46 &amp; "]"
),0)/1000</f>
        <v>-158.68271334000002</v>
      </c>
      <c r="W46" s="8">
        <f>-IFERROR(
GETPIVOTDATA(
"[Base].[Importe]",
TDinamica_R!$A$5,
"[Calendario].[AñoMes]",
"[Calendario].[AñoMes].&amp;[" &amp; TEXT(W$6,"yyyymm") &amp; "]",
"[Base].[Metrica]",
"[Base].[Metrica].&amp;[" &amp; $A46 &amp; "]",
"[Base].[SEGMENTO_DESCRIP]",
"[Base].[SEGMENTO_DESCRIP].&amp;[" &amp; $C$6 &amp; "]",
"[Base].[SITUACION]",
"[Base].[SITUACION].&amp;[" &amp; $C46 &amp; "]"
),0)/1000</f>
        <v>-158.77892633000002</v>
      </c>
      <c r="X46" s="8">
        <f>-IFERROR(
GETPIVOTDATA(
"[Base].[Importe]",
TDinamica_R!$A$5,
"[Calendario].[AñoMes]",
"[Calendario].[AñoMes].&amp;[" &amp; TEXT(X$6,"yyyymm") &amp; "]",
"[Base].[Metrica]",
"[Base].[Metrica].&amp;[" &amp; $A46 &amp; "]",
"[Base].[SEGMENTO_DESCRIP]",
"[Base].[SEGMENTO_DESCRIP].&amp;[" &amp; $C$6 &amp; "]",
"[Base].[SITUACION]",
"[Base].[SITUACION].&amp;[" &amp; $C46 &amp; "]"
),0)/1000</f>
        <v>-157.88660172000002</v>
      </c>
      <c r="Y46" s="8">
        <f>-IFERROR(
GETPIVOTDATA(
"[Base].[Importe]",
TDinamica_R!$A$5,
"[Calendario].[AñoMes]",
"[Calendario].[AñoMes].&amp;[" &amp; TEXT(Y$6,"yyyymm") &amp; "]",
"[Base].[Metrica]",
"[Base].[Metrica].&amp;[" &amp; $A46 &amp; "]",
"[Base].[SEGMENTO_DESCRIP]",
"[Base].[SEGMENTO_DESCRIP].&amp;[" &amp; $C$6 &amp; "]",
"[Base].[SITUACION]",
"[Base].[SITUACION].&amp;[" &amp; $C46 &amp; "]"
),0)/1000</f>
        <v>-158.07059039999999</v>
      </c>
      <c r="Z46" s="8">
        <f>-IFERROR(
GETPIVOTDATA(
"[Base].[Importe]",
TDinamica_R!$A$5,
"[Calendario].[AñoMes]",
"[Calendario].[AñoMes].&amp;[" &amp; TEXT(Z$6,"yyyymm") &amp; "]",
"[Base].[Metrica]",
"[Base].[Metrica].&amp;[" &amp; $A46 &amp; "]",
"[Base].[SEGMENTO_DESCRIP]",
"[Base].[SEGMENTO_DESCRIP].&amp;[" &amp; $C$6 &amp; "]",
"[Base].[SITUACION]",
"[Base].[SITUACION].&amp;[" &amp; $C46 &amp; "]"
),0)/1000</f>
        <v>-165.07427304000001</v>
      </c>
      <c r="AA46" s="8">
        <f>-IFERROR(
GETPIVOTDATA(
"[Base].[Importe]",
TDinamica_R!$A$5,
"[Calendario].[AñoMes]",
"[Calendario].[AñoMes].&amp;[" &amp; TEXT(AA$6,"yyyymm") &amp; "]",
"[Base].[Metrica]",
"[Base].[Metrica].&amp;[" &amp; $A46 &amp; "]",
"[Base].[SEGMENTO_DESCRIP]",
"[Base].[SEGMENTO_DESCRIP].&amp;[" &amp; $C$6 &amp; "]",
"[Base].[SITUACION]",
"[Base].[SITUACION].&amp;[" &amp; $C46 &amp; "]"
),0)/1000</f>
        <v>-171.66383965</v>
      </c>
      <c r="AB46" s="8">
        <f>-IFERROR(
GETPIVOTDATA(
"[Base].[Importe]",
TDinamica_R!$A$5,
"[Calendario].[AñoMes]",
"[Calendario].[AñoMes].&amp;[" &amp; TEXT(AB$6,"yyyymm") &amp; "]",
"[Base].[Metrica]",
"[Base].[Metrica].&amp;[" &amp; $A46 &amp; "]",
"[Base].[SEGMENTO_DESCRIP]",
"[Base].[SEGMENTO_DESCRIP].&amp;[" &amp; $C$6 &amp; "]",
"[Base].[SITUACION]",
"[Base].[SITUACION].&amp;[" &amp; $C46 &amp; "]"
),0)/1000</f>
        <v>-168.93609038</v>
      </c>
      <c r="AC46" s="8">
        <f>-IFERROR(
GETPIVOTDATA(
"[Base].[Importe]",
TDinamica_R!$A$5,
"[Calendario].[AñoMes]",
"[Calendario].[AñoMes].&amp;[" &amp; TEXT(AC$6,"yyyymm") &amp; "]",
"[Base].[Metrica]",
"[Base].[Metrica].&amp;[" &amp; $A46 &amp; "]",
"[Base].[SEGMENTO_DESCRIP]",
"[Base].[SEGMENTO_DESCRIP].&amp;[" &amp; $C$6 &amp; "]",
"[Base].[SITUACION]",
"[Base].[SITUACION].&amp;[" &amp; $C46 &amp; "]"
),0)/1000</f>
        <v>-172.54119</v>
      </c>
      <c r="AD46" s="8">
        <f>-IFERROR(
GETPIVOTDATA(
"[Base].[Importe]",
TDinamica_R!$A$5,
"[Calendario].[AñoMes]",
"[Calendario].[AñoMes].&amp;[" &amp; TEXT(AD$6,"yyyymm") &amp; "]",
"[Base].[Metrica]",
"[Base].[Metrica].&amp;[" &amp; $A46 &amp; "]",
"[Base].[SEGMENTO_DESCRIP]",
"[Base].[SEGMENTO_DESCRIP].&amp;[" &amp; $C$6 &amp; "]",
"[Base].[SITUACION]",
"[Base].[SITUACION].&amp;[" &amp; $C46 &amp; "]"
),0)/1000</f>
        <v>-174.85120928999996</v>
      </c>
      <c r="AE46" s="8">
        <f>-IFERROR(
GETPIVOTDATA(
"[Base].[Importe]",
TDinamica_R!$A$5,
"[Calendario].[AñoMes]",
"[Calendario].[AñoMes].&amp;[" &amp; TEXT(AE$6,"yyyymm") &amp; "]",
"[Base].[Metrica]",
"[Base].[Metrica].&amp;[" &amp; $A46 &amp; "]",
"[Base].[SEGMENTO_DESCRIP]",
"[Base].[SEGMENTO_DESCRIP].&amp;[" &amp; $C$6 &amp; "]",
"[Base].[SITUACION]",
"[Base].[SITUACION].&amp;[" &amp; $C46 &amp; "]"
),0)/1000</f>
        <v>-176.31406514000003</v>
      </c>
      <c r="AF46" s="8">
        <f>-IFERROR(
GETPIVOTDATA(
"[Base].[Importe]",
TDinamica_R!$A$5,
"[Calendario].[AñoMes]",
"[Calendario].[AñoMes].&amp;[" &amp; TEXT(AF$6,"yyyymm") &amp; "]",
"[Base].[Metrica]",
"[Base].[Metrica].&amp;[" &amp; $A46 &amp; "]",
"[Base].[SEGMENTO_DESCRIP]",
"[Base].[SEGMENTO_DESCRIP].&amp;[" &amp; $C$6 &amp; "]",
"[Base].[SITUACION]",
"[Base].[SITUACION].&amp;[" &amp; $C46 &amp; "]"
),0)/1000</f>
        <v>-207.96666200000001</v>
      </c>
      <c r="AG46" s="8">
        <f>-IFERROR(
GETPIVOTDATA(
"[Base].[Importe]",
TDinamica_R!$A$5,
"[Calendario].[AñoMes]",
"[Calendario].[AñoMes].&amp;[" &amp; TEXT(AG$6,"yyyymm") &amp; "]",
"[Base].[Metrica]",
"[Base].[Metrica].&amp;[" &amp; $A46 &amp; "]",
"[Base].[SEGMENTO_DESCRIP]",
"[Base].[SEGMENTO_DESCRIP].&amp;[" &amp; $C$6 &amp; "]",
"[Base].[SITUACION]",
"[Base].[SITUACION].&amp;[" &amp; $C46 &amp; "]"
),0)/1000</f>
        <v>-213.82366531999998</v>
      </c>
      <c r="AH46" s="8">
        <f>-IFERROR(
GETPIVOTDATA(
"[Base].[Importe]",
TDinamica_R!$A$5,
"[Calendario].[AñoMes]",
"[Calendario].[AñoMes].&amp;[" &amp; TEXT(AH$6,"yyyymm") &amp; "]",
"[Base].[Metrica]",
"[Base].[Metrica].&amp;[" &amp; $A46 &amp; "]",
"[Base].[SEGMENTO_DESCRIP]",
"[Base].[SEGMENTO_DESCRIP].&amp;[" &amp; $C$6 &amp; "]",
"[Base].[SITUACION]",
"[Base].[SITUACION].&amp;[" &amp; $C46 &amp; "]"
),0)/1000</f>
        <v>-198.88504312000001</v>
      </c>
      <c r="AI46" s="8">
        <f>-IFERROR(
GETPIVOTDATA(
"[Base].[Importe]",
TDinamica_R!$A$5,
"[Calendario].[AñoMes]",
"[Calendario].[AñoMes].&amp;[" &amp; TEXT(AI$6,"yyyymm") &amp; "]",
"[Base].[Metrica]",
"[Base].[Metrica].&amp;[" &amp; $A46 &amp; "]",
"[Base].[SEGMENTO_DESCRIP]",
"[Base].[SEGMENTO_DESCRIP].&amp;[" &amp; $C$6 &amp; "]",
"[Base].[SITUACION]",
"[Base].[SITUACION].&amp;[" &amp; $C46 &amp; "]"
),0)/1000</f>
        <v>-224.14814719999998</v>
      </c>
      <c r="AJ46" s="8">
        <f>-IFERROR(
GETPIVOTDATA(
"[Base].[Importe]",
TDinamica_R!$A$5,
"[Calendario].[AñoMes]",
"[Calendario].[AñoMes].&amp;[" &amp; TEXT(AJ$6,"yyyymm") &amp; "]",
"[Base].[Metrica]",
"[Base].[Metrica].&amp;[" &amp; $A46 &amp; "]",
"[Base].[SEGMENTO_DESCRIP]",
"[Base].[SEGMENTO_DESCRIP].&amp;[" &amp; $C$6 &amp; "]",
"[Base].[SITUACION]",
"[Base].[SITUACION].&amp;[" &amp; $C46 &amp; "]"
),0)/1000</f>
        <v>-201.33129822000001</v>
      </c>
      <c r="AK46" s="8">
        <f>-IFERROR(
GETPIVOTDATA(
"[Base].[Importe]",
TDinamica_R!$A$5,
"[Calendario].[AñoMes]",
"[Calendario].[AñoMes].&amp;[" &amp; TEXT(AK$6,"yyyymm") &amp; "]",
"[Base].[Metrica]",
"[Base].[Metrica].&amp;[" &amp; $A46 &amp; "]",
"[Base].[SEGMENTO_DESCRIP]",
"[Base].[SEGMENTO_DESCRIP].&amp;[" &amp; $C$6 &amp; "]",
"[Base].[SITUACION]",
"[Base].[SITUACION].&amp;[" &amp; $C46 &amp; "]"
),0)/1000</f>
        <v>-209.91765207999998</v>
      </c>
      <c r="AL46" s="8">
        <f>-IFERROR(
GETPIVOTDATA(
"[Base].[Importe]",
TDinamica_R!$A$5,
"[Calendario].[AñoMes]",
"[Calendario].[AñoMes].&amp;[" &amp; TEXT(AL$6,"yyyymm") &amp; "]",
"[Base].[Metrica]",
"[Base].[Metrica].&amp;[" &amp; $A46 &amp; "]",
"[Base].[SEGMENTO_DESCRIP]",
"[Base].[SEGMENTO_DESCRIP].&amp;[" &amp; $C$6 &amp; "]",
"[Base].[SITUACION]",
"[Base].[SITUACION].&amp;[" &amp; $C46 &amp; "]"
),0)/1000</f>
        <v>-219.35571959999999</v>
      </c>
      <c r="AM46" s="8">
        <f>-IFERROR(
GETPIVOTDATA(
"[Base].[Importe]",
TDinamica_R!$A$5,
"[Calendario].[AñoMes]",
"[Calendario].[AñoMes].&amp;[" &amp; TEXT(AM$6,"yyyymm") &amp; "]",
"[Base].[Metrica]",
"[Base].[Metrica].&amp;[" &amp; $A46 &amp; "]",
"[Base].[SEGMENTO_DESCRIP]",
"[Base].[SEGMENTO_DESCRIP].&amp;[" &amp; $C$6 &amp; "]",
"[Base].[SITUACION]",
"[Base].[SITUACION].&amp;[" &amp; $C46 &amp; "]"
),0)/1000</f>
        <v>-240.22060291999998</v>
      </c>
      <c r="AN46" s="8">
        <f>-IFERROR(
GETPIVOTDATA(
"[Base].[Importe]",
TDinamica_R!$A$5,
"[Calendario].[AñoMes]",
"[Calendario].[AñoMes].&amp;[" &amp; TEXT(AN$6,"yyyymm") &amp; "]",
"[Base].[Metrica]",
"[Base].[Metrica].&amp;[" &amp; $A46 &amp; "]",
"[Base].[SEGMENTO_DESCRIP]",
"[Base].[SEGMENTO_DESCRIP].&amp;[" &amp; $C$6 &amp; "]",
"[Base].[SITUACION]",
"[Base].[SITUACION].&amp;[" &amp; $C46 &amp; "]"
),0)/1000</f>
        <v>-251.57279092000002</v>
      </c>
      <c r="AO46" s="8">
        <f>-IFERROR(
GETPIVOTDATA(
"[Base].[Importe]",
TDinamica_R!$A$5,
"[Calendario].[AñoMes]",
"[Calendario].[AñoMes].&amp;[" &amp; TEXT(AO$6,"yyyymm") &amp; "]",
"[Base].[Metrica]",
"[Base].[Metrica].&amp;[" &amp; $A46 &amp; "]",
"[Base].[SEGMENTO_DESCRIP]",
"[Base].[SEGMENTO_DESCRIP].&amp;[" &amp; $C$6 &amp; "]",
"[Base].[SITUACION]",
"[Base].[SITUACION].&amp;[" &amp; $C46 &amp; "]"
),0)/1000</f>
        <v>-255.40356293000002</v>
      </c>
      <c r="AP46" s="8">
        <f>-IFERROR(
GETPIVOTDATA(
"[Base].[Importe]",
TDinamica_R!$A$5,
"[Calendario].[AñoMes]",
"[Calendario].[AñoMes].&amp;[" &amp; TEXT(AP$6,"yyyymm") &amp; "]",
"[Base].[Metrica]",
"[Base].[Metrica].&amp;[" &amp; $A46 &amp; "]",
"[Base].[SEGMENTO_DESCRIP]",
"[Base].[SEGMENTO_DESCRIP].&amp;[" &amp; $C$6 &amp; "]",
"[Base].[SITUACION]",
"[Base].[SITUACION].&amp;[" &amp; $C46 &amp; "]"
),0)/1000</f>
        <v>-242.09232899999995</v>
      </c>
      <c r="AQ46" s="8">
        <f>-IFERROR(
GETPIVOTDATA(
"[Base].[Importe]",
TDinamica_R!$A$5,
"[Calendario].[AñoMes]",
"[Calendario].[AñoMes].&amp;[" &amp; TEXT(AQ$6,"yyyymm") &amp; "]",
"[Base].[Metrica]",
"[Base].[Metrica].&amp;[" &amp; $A46 &amp; "]",
"[Base].[SEGMENTO_DESCRIP]",
"[Base].[SEGMENTO_DESCRIP].&amp;[" &amp; $C$6 &amp; "]",
"[Base].[SITUACION]",
"[Base].[SITUACION].&amp;[" &amp; $C46 &amp; "]"
),0)/1000</f>
        <v>-246.46926884999999</v>
      </c>
      <c r="AR46" s="8">
        <f>-IFERROR(
GETPIVOTDATA(
"[Base].[Importe]",
TDinamica_R!$A$5,
"[Calendario].[AñoMes]",
"[Calendario].[AñoMes].&amp;[" &amp; TEXT(AR$6,"yyyymm") &amp; "]",
"[Base].[Metrica]",
"[Base].[Metrica].&amp;[" &amp; $A46 &amp; "]",
"[Base].[SEGMENTO_DESCRIP]",
"[Base].[SEGMENTO_DESCRIP].&amp;[" &amp; $C$6 &amp; "]",
"[Base].[SITUACION]",
"[Base].[SITUACION].&amp;[" &amp; $C46 &amp; "]"
),0)/1000</f>
        <v>-263.90578816999999</v>
      </c>
      <c r="AS46" s="8">
        <f>-IFERROR(
GETPIVOTDATA(
"[Base].[Importe]",
TDinamica_R!$A$5,
"[Calendario].[AñoMes]",
"[Calendario].[AñoMes].&amp;[" &amp; TEXT(AS$6,"yyyymm") &amp; "]",
"[Base].[Metrica]",
"[Base].[Metrica].&amp;[" &amp; $A46 &amp; "]",
"[Base].[SEGMENTO_DESCRIP]",
"[Base].[SEGMENTO_DESCRIP].&amp;[" &amp; $C$6 &amp; "]",
"[Base].[SITUACION]",
"[Base].[SITUACION].&amp;[" &amp; $C46 &amp; "]"
),0)/1000</f>
        <v>-268.91020405</v>
      </c>
      <c r="AT46" s="8">
        <f>-IFERROR(
GETPIVOTDATA(
"[Base].[Importe]",
TDinamica_R!$A$5,
"[Calendario].[AñoMes]",
"[Calendario].[AñoMes].&amp;[" &amp; TEXT(AT$6,"yyyymm")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U46" s="8">
        <f>-IFERROR(
GETPIVOTDATA(
"[Base].[Importe]",
TDinamica_R!$A$5,
"[Calendario].[AñoMes]",
"[Calendario].[AñoMes].&amp;[" &amp; TEXT(AU$6,"yyyymm")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V46" s="8">
        <f>-IFERROR(
GETPIVOTDATA(
"[Base].[Importe]",
TDinamica_R!$A$5,
"[Calendario].[AñoMes]",
"[Calendario].[AñoMes].&amp;[" &amp; TEXT(AV$6,"yyyymm")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W46" s="8">
        <f>-IFERROR(
GETPIVOTDATA(
"[Base].[Importe]",
TDinamica_R!$A$5,
"[Calendario].[AñoMes]",
"[Calendario].[AñoMes].&amp;[" &amp; TEXT(AW$6,"yyyymm")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X46" s="8">
        <f>-IFERROR(
GETPIVOTDATA(
"[Base].[Importe]",
TDinamica_R!$A$5,
"[Calendario].[AñoMes]",
"[Calendario].[AñoMes].&amp;[" &amp; TEXT(AX$6,"yyyymm")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Y46" s="8">
        <f>-IFERROR(
GETPIVOTDATA(
"[Base].[Importe]",
TDinamica_R!$A$5,
"[Calendario].[AñoMes]",
"[Calendario].[AñoMes].&amp;[" &amp; TEXT(AY$6,"yyyymm")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Z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"[BASE_HIPO_PPTO].[Periodo]","[BASE_HIPO_PPTO].[Periodo].&amp;["&amp;TEXT(AZ$6,"yyyymm")&amp;"]"),
0)/1000</f>
        <v>-201.33978046675821</v>
      </c>
      <c r="BA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"[BASE_HIPO_PPTO].[Periodo]","[BASE_HIPO_PPTO].[Periodo].&amp;["&amp;TEXT(BA$6,"yyyymm")&amp;"]"),
0)/1000</f>
        <v>-202.46932830116475</v>
      </c>
      <c r="BB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"[BASE_HIPO_PPTO].[Periodo]","[BASE_HIPO_PPTO].[Periodo].&amp;["&amp;TEXT(BB$6,"yyyymm")&amp;"]"),
0)/1000</f>
        <v>-202.865337271367</v>
      </c>
      <c r="BC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"[BASE_HIPO_PPTO].[Periodo]","[BASE_HIPO_PPTO].[Periodo].&amp;["&amp;TEXT(BC$6,"yyyymm")&amp;"]"),
0)/1000</f>
        <v>-203.74567778848188</v>
      </c>
      <c r="BD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"[BASE_HIPO_PPTO].[Periodo]","[BASE_HIPO_PPTO].[Periodo].&amp;["&amp;TEXT(BD$6,"yyyymm")&amp;"]"),
0)/1000</f>
        <v>-204.52762404060289</v>
      </c>
      <c r="BE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"[BASE_HIPO_PPTO].[Periodo]","[BASE_HIPO_PPTO].[Periodo].&amp;["&amp;TEXT(BE$6,"yyyymm")&amp;"]"),
0)/1000</f>
        <v>-206.14666708014511</v>
      </c>
      <c r="BF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"[BASE_HIPO_PPTO].[Periodo]","[BASE_HIPO_PPTO].[Periodo].&amp;["&amp;TEXT(BF$6,"yyyymm")&amp;"]"),
0)/1000</f>
        <v>-207.37966431984711</v>
      </c>
      <c r="BG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"[BASE_HIPO_PPTO].[Periodo]","[BASE_HIPO_PPTO].[Periodo].&amp;["&amp;TEXT(BG$6,"yyyymm")&amp;"]"),
0)/1000</f>
        <v>-209.381329683666</v>
      </c>
      <c r="BH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"[BASE_HIPO_PPTO].[Periodo]","[BASE_HIPO_PPTO].[Periodo].&amp;["&amp;TEXT(BH$6,"yyyymm")&amp;"]"),
0)/1000</f>
        <v>-211.13684258209733</v>
      </c>
      <c r="BI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"[BASE_HIPO_PPTO].[Periodo]","[BASE_HIPO_PPTO].[Periodo].&amp;["&amp;TEXT(BI$6,"yyyymm")&amp;"]"),
0)/1000</f>
        <v>-212.8210238407045</v>
      </c>
      <c r="BJ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"[BASE_HIPO_PPTO].[Periodo]","[BASE_HIPO_PPTO].[Periodo].&amp;["&amp;TEXT(BJ$6,"yyyymm")&amp;"]"),
0)/1000</f>
        <v>-214.45687743649896</v>
      </c>
      <c r="BK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"[BASE_HIPO_PPTO].[Periodo]","[BASE_HIPO_PPTO].[Periodo].&amp;["&amp;TEXT(BK$6,"yyyymm")&amp;"]"),
0)/1000</f>
        <v>-215.67934824449409</v>
      </c>
      <c r="BO46" s="24">
        <f t="shared" si="83"/>
        <v>-749.06868284999996</v>
      </c>
      <c r="BP46" s="24">
        <f t="shared" si="83"/>
        <v>-606.67444603928993</v>
      </c>
      <c r="BQ46" s="24">
        <f t="shared" si="83"/>
        <v>-506.97635385000001</v>
      </c>
      <c r="BR46" s="24">
        <f t="shared" si="83"/>
        <v>-516.32848966999995</v>
      </c>
      <c r="BS46" s="24">
        <f t="shared" si="83"/>
        <v>-403.55463628000007</v>
      </c>
      <c r="BT46" s="24">
        <f t="shared" si="83"/>
        <v>-312.61792308999998</v>
      </c>
    </row>
    <row r="47" spans="1:72" collapsed="1" x14ac:dyDescent="0.25">
      <c r="C47" s="3" t="s">
        <v>58</v>
      </c>
      <c r="D47" s="10">
        <f>SUM(D44:D46)</f>
        <v>-16467.007533349995</v>
      </c>
      <c r="E47" s="10">
        <f t="shared" ref="E47" si="84">SUM(E44:E46)</f>
        <v>-16684.749093540002</v>
      </c>
      <c r="F47" s="10">
        <f t="shared" ref="F47" si="85">SUM(F44:F46)</f>
        <v>-16914.989873799997</v>
      </c>
      <c r="G47" s="10">
        <f t="shared" ref="G47" si="86">SUM(G44:G46)</f>
        <v>-17169.178869940006</v>
      </c>
      <c r="H47" s="10">
        <f t="shared" ref="H47" si="87">SUM(H44:H46)</f>
        <v>-17298.275556479995</v>
      </c>
      <c r="I47" s="10">
        <f t="shared" ref="I47" si="88">SUM(I44:I46)</f>
        <v>-17551.489201</v>
      </c>
      <c r="J47" s="10">
        <f t="shared" ref="J47" si="89">SUM(J44:J46)</f>
        <v>-17751.19286264</v>
      </c>
      <c r="K47" s="10">
        <f t="shared" ref="K47" si="90">SUM(K44:K46)</f>
        <v>-17913.581504360001</v>
      </c>
      <c r="L47" s="10">
        <f t="shared" ref="L47" si="91">SUM(L44:L46)</f>
        <v>-18181.694969289994</v>
      </c>
      <c r="M47" s="10">
        <f t="shared" ref="M47" si="92">SUM(M44:M46)</f>
        <v>-18500.369567799993</v>
      </c>
      <c r="N47" s="10">
        <f t="shared" ref="N47" si="93">SUM(N44:N46)</f>
        <v>-18730.793523119999</v>
      </c>
      <c r="O47" s="10">
        <f t="shared" ref="O47" si="94">SUM(O44:O46)</f>
        <v>-18954.916407559991</v>
      </c>
      <c r="P47" s="10">
        <f t="shared" ref="P47" si="95">SUM(P44:P46)</f>
        <v>-19181.124643759991</v>
      </c>
      <c r="Q47" s="10">
        <f t="shared" ref="Q47" si="96">SUM(Q44:Q46)</f>
        <v>-19318.872255180006</v>
      </c>
      <c r="R47" s="10">
        <f t="shared" ref="R47" si="97">SUM(R44:R46)</f>
        <v>-19660.83607990999</v>
      </c>
      <c r="S47" s="10">
        <f t="shared" ref="S47" si="98">SUM(S44:S46)</f>
        <v>-19769.165760500011</v>
      </c>
      <c r="T47" s="10">
        <f t="shared" ref="T47" si="99">SUM(T44:T46)</f>
        <v>-20042.640713800007</v>
      </c>
      <c r="U47" s="10">
        <f t="shared" ref="U47" si="100">SUM(U44:U46)</f>
        <v>-20225.123864999994</v>
      </c>
      <c r="V47" s="10">
        <f t="shared" ref="V47" si="101">SUM(V44:V46)</f>
        <v>-20601.680482060001</v>
      </c>
      <c r="W47" s="10">
        <f t="shared" ref="W47" si="102">SUM(W44:W46)</f>
        <v>-20856.058031470002</v>
      </c>
      <c r="X47" s="10">
        <f t="shared" ref="X47" si="103">SUM(X44:X46)</f>
        <v>-21201.493191199999</v>
      </c>
      <c r="Y47" s="10">
        <f t="shared" ref="Y47" si="104">SUM(Y44:Y46)</f>
        <v>-21433.612019579992</v>
      </c>
      <c r="Z47" s="10">
        <f t="shared" ref="Z47" si="105">SUM(Z44:Z46)</f>
        <v>-21676.503977700002</v>
      </c>
      <c r="AA47" s="10">
        <f t="shared" ref="AA47" si="106">SUM(AA44:AA46)</f>
        <v>-21856.10123154999</v>
      </c>
      <c r="AB47" s="10">
        <f t="shared" ref="AB47" si="107">SUM(AB44:AB46)</f>
        <v>-22047.020172159995</v>
      </c>
      <c r="AC47" s="10">
        <f t="shared" ref="AC47" si="108">SUM(AC44:AC46)</f>
        <v>-22147.568341999999</v>
      </c>
      <c r="AD47" s="10">
        <f t="shared" ref="AD47" si="109">SUM(AD44:AD46)</f>
        <v>-22265.426427410006</v>
      </c>
      <c r="AE47" s="10">
        <f t="shared" ref="AE47" si="110">SUM(AE44:AE46)</f>
        <v>-22306.14017626</v>
      </c>
      <c r="AF47" s="10">
        <f t="shared" ref="AF47" si="111">SUM(AF44:AF46)</f>
        <v>-22440.674277400005</v>
      </c>
      <c r="AG47" s="10">
        <f t="shared" ref="AG47" si="112">SUM(AG44:AG46)</f>
        <v>-22666.614991380007</v>
      </c>
      <c r="AH47" s="10">
        <f t="shared" ref="AH47" si="113">SUM(AH44:AH46)</f>
        <v>-22819.533336000004</v>
      </c>
      <c r="AI47" s="10">
        <f t="shared" ref="AI47" si="114">SUM(AI44:AI46)</f>
        <v>-23001.431181450003</v>
      </c>
      <c r="AJ47" s="10">
        <f t="shared" ref="AJ47" si="115">SUM(AJ44:AJ46)</f>
        <v>-23119.048310030004</v>
      </c>
      <c r="AK47" s="10">
        <f t="shared" ref="AK47" si="116">SUM(AK44:AK46)</f>
        <v>-23237.450143880003</v>
      </c>
      <c r="AL47" s="10">
        <f t="shared" ref="AL47" si="117">SUM(AL44:AL46)</f>
        <v>-23354.729712829998</v>
      </c>
      <c r="AM47" s="10">
        <f t="shared" ref="AM47" si="118">SUM(AM44:AM46)</f>
        <v>-23439.367398859999</v>
      </c>
      <c r="AN47" s="10">
        <f t="shared" ref="AN47" si="119">SUM(AN44:AN46)</f>
        <v>-23413.794987339988</v>
      </c>
      <c r="AO47" s="10">
        <f t="shared" ref="AO47" si="120">SUM(AO44:AO46)</f>
        <v>-23345.321259360004</v>
      </c>
      <c r="AP47" s="10">
        <f t="shared" ref="AP47" si="121">SUM(AP44:AP46)</f>
        <v>-23366.847616999999</v>
      </c>
      <c r="AQ47" s="10">
        <f t="shared" ref="AQ47" si="122">SUM(AQ44:AQ46)</f>
        <v>-23233.660876010003</v>
      </c>
      <c r="AR47" s="10">
        <f t="shared" ref="AR47" si="123">SUM(AR44:AR46)</f>
        <v>-23278.600658130006</v>
      </c>
      <c r="AS47" s="10">
        <f t="shared" ref="AS47" si="124">SUM(AS44:AS46)</f>
        <v>-23288.53779115</v>
      </c>
      <c r="AT47" s="10">
        <f t="shared" ref="AT47" si="125">SUM(AT44:AT46)</f>
        <v>0</v>
      </c>
      <c r="AU47" s="10">
        <f t="shared" ref="AU47" si="126">SUM(AU44:AU46)</f>
        <v>0</v>
      </c>
      <c r="AV47" s="10">
        <f t="shared" ref="AV47" si="127">SUM(AV44:AV46)</f>
        <v>0</v>
      </c>
      <c r="AW47" s="10">
        <f t="shared" ref="AW47" si="128">SUM(AW44:AW46)</f>
        <v>0</v>
      </c>
      <c r="AX47" s="10">
        <f t="shared" ref="AX47" si="129">SUM(AX44:AX46)</f>
        <v>0</v>
      </c>
      <c r="AY47" s="10">
        <f t="shared" ref="AY47:BK47" si="130">SUM(AY44:AY46)</f>
        <v>0</v>
      </c>
      <c r="AZ47" s="10">
        <f t="shared" si="130"/>
        <v>-23458.816639336357</v>
      </c>
      <c r="BA47" s="10">
        <f t="shared" si="130"/>
        <v>-23532.974446171233</v>
      </c>
      <c r="BB47" s="10">
        <f t="shared" si="130"/>
        <v>-23520.623576652702</v>
      </c>
      <c r="BC47" s="10">
        <f t="shared" si="130"/>
        <v>-23572.76483248112</v>
      </c>
      <c r="BD47" s="10">
        <f t="shared" si="130"/>
        <v>-23642.217847300166</v>
      </c>
      <c r="BE47" s="10">
        <f t="shared" si="130"/>
        <v>-23776.809337293926</v>
      </c>
      <c r="BF47" s="10">
        <f t="shared" si="130"/>
        <v>-23867.589872769182</v>
      </c>
      <c r="BG47" s="10">
        <f t="shared" si="130"/>
        <v>-24051.367966857259</v>
      </c>
      <c r="BH47" s="10">
        <f t="shared" si="130"/>
        <v>-24202.315905602576</v>
      </c>
      <c r="BI47" s="10">
        <f t="shared" si="130"/>
        <v>-24370.842051802414</v>
      </c>
      <c r="BJ47" s="10">
        <f t="shared" si="130"/>
        <v>-24513.549132683369</v>
      </c>
      <c r="BK47" s="10">
        <f t="shared" si="130"/>
        <v>-24623.734579410029</v>
      </c>
      <c r="BO47" s="23">
        <f>SUM(BO44:BO46)</f>
        <v>-70125.963863699988</v>
      </c>
      <c r="BP47" s="23">
        <f t="shared" ref="BP47" si="131">SUM(BP44:BP46)</f>
        <v>-70512.414662160285</v>
      </c>
      <c r="BQ47" s="23">
        <f t="shared" ref="BQ47" si="132">SUM(BQ44:BQ46)</f>
        <v>-46759.116246699981</v>
      </c>
      <c r="BR47" s="23">
        <f t="shared" ref="BR47" si="133">SUM(BR44:BR46)</f>
        <v>-66460.01494157</v>
      </c>
      <c r="BS47" s="23">
        <f t="shared" ref="BS47" si="134">SUM(BS44:BS46)</f>
        <v>-58160.832978849983</v>
      </c>
      <c r="BT47" s="23">
        <f t="shared" ref="BT47" si="135">SUM(BT44:BT46)</f>
        <v>-50066.746500690002</v>
      </c>
    </row>
    <row r="50" spans="1:72" hidden="1" outlineLevel="1" x14ac:dyDescent="0.25">
      <c r="A50" s="11"/>
      <c r="C50" s="2" t="s">
        <v>0</v>
      </c>
      <c r="D50" s="8">
        <f>D38+D44</f>
        <v>7095.1360951100014</v>
      </c>
      <c r="E50" s="8">
        <f t="shared" ref="E50:BK53" si="136">E38+E44</f>
        <v>4790.8751515799959</v>
      </c>
      <c r="F50" s="8">
        <f t="shared" si="136"/>
        <v>7172.5990972600048</v>
      </c>
      <c r="G50" s="8">
        <f t="shared" si="136"/>
        <v>6269.373628189991</v>
      </c>
      <c r="H50" s="8">
        <f t="shared" si="136"/>
        <v>7222.1430481900097</v>
      </c>
      <c r="I50" s="8">
        <f t="shared" si="136"/>
        <v>6285.6218140099918</v>
      </c>
      <c r="J50" s="8">
        <f t="shared" si="136"/>
        <v>7136.2666715199957</v>
      </c>
      <c r="K50" s="8">
        <f t="shared" si="136"/>
        <v>7166.9512631799989</v>
      </c>
      <c r="L50" s="8">
        <f t="shared" si="136"/>
        <v>6507.0928825700066</v>
      </c>
      <c r="M50" s="8">
        <f t="shared" si="136"/>
        <v>7445.5733813600054</v>
      </c>
      <c r="N50" s="8">
        <f t="shared" si="136"/>
        <v>6541.5793079199939</v>
      </c>
      <c r="O50" s="8">
        <f t="shared" si="136"/>
        <v>7503.2894771400061</v>
      </c>
      <c r="P50" s="8">
        <f t="shared" si="136"/>
        <v>7452.8770724599999</v>
      </c>
      <c r="Q50" s="8">
        <f t="shared" si="136"/>
        <v>5720.4182414899951</v>
      </c>
      <c r="R50" s="8">
        <f t="shared" si="136"/>
        <v>7530.725492280013</v>
      </c>
      <c r="S50" s="8">
        <f t="shared" si="136"/>
        <v>6649.6158315799985</v>
      </c>
      <c r="T50" s="8">
        <f t="shared" si="136"/>
        <v>7474.6467574599992</v>
      </c>
      <c r="U50" s="8">
        <f t="shared" si="136"/>
        <v>6793.4942446200075</v>
      </c>
      <c r="V50" s="8">
        <f t="shared" si="136"/>
        <v>7528.0698998499938</v>
      </c>
      <c r="W50" s="8">
        <f t="shared" si="136"/>
        <v>7629.9571515900025</v>
      </c>
      <c r="X50" s="8">
        <f t="shared" si="136"/>
        <v>6704.566048450004</v>
      </c>
      <c r="Y50" s="8">
        <f t="shared" si="136"/>
        <v>7793.3401856600103</v>
      </c>
      <c r="Z50" s="8">
        <f t="shared" si="136"/>
        <v>6800.827218149996</v>
      </c>
      <c r="AA50" s="8">
        <f t="shared" si="136"/>
        <v>7800.2996015500066</v>
      </c>
      <c r="AB50" s="8">
        <f t="shared" si="136"/>
        <v>7630.9289316800023</v>
      </c>
      <c r="AC50" s="8">
        <f t="shared" si="136"/>
        <v>4874.2250963299921</v>
      </c>
      <c r="AD50" s="8">
        <f t="shared" si="136"/>
        <v>7611.9383254200002</v>
      </c>
      <c r="AE50" s="8">
        <f t="shared" si="136"/>
        <v>6545.7996468799938</v>
      </c>
      <c r="AF50" s="8">
        <f t="shared" si="136"/>
        <v>7656.2621351199996</v>
      </c>
      <c r="AG50" s="8">
        <f t="shared" si="136"/>
        <v>6511.5533547099913</v>
      </c>
      <c r="AH50" s="8">
        <f t="shared" si="136"/>
        <v>7628.0624574299982</v>
      </c>
      <c r="AI50" s="8">
        <f t="shared" si="136"/>
        <v>7521.9838680699977</v>
      </c>
      <c r="AJ50" s="8">
        <f t="shared" si="136"/>
        <v>6492.8147544700041</v>
      </c>
      <c r="AK50" s="8">
        <f t="shared" si="136"/>
        <v>7535.7630508199873</v>
      </c>
      <c r="AL50" s="8">
        <f t="shared" si="136"/>
        <v>6602.0849159800018</v>
      </c>
      <c r="AM50" s="8">
        <f t="shared" si="136"/>
        <v>7692.210850129999</v>
      </c>
      <c r="AN50" s="8">
        <f t="shared" si="136"/>
        <v>7671.3535801300095</v>
      </c>
      <c r="AO50" s="8">
        <f t="shared" si="136"/>
        <v>4616.1612351699987</v>
      </c>
      <c r="AP50" s="8">
        <f t="shared" si="136"/>
        <v>7649.0188320099915</v>
      </c>
      <c r="AQ50" s="8">
        <f t="shared" si="136"/>
        <v>6614.8320571199947</v>
      </c>
      <c r="AR50" s="8">
        <f t="shared" si="136"/>
        <v>7541.5967364199932</v>
      </c>
      <c r="AS50" s="8">
        <f t="shared" si="136"/>
        <v>6508.4712494899977</v>
      </c>
      <c r="AT50" s="8">
        <f t="shared" si="136"/>
        <v>0</v>
      </c>
      <c r="AU50" s="8">
        <f t="shared" si="136"/>
        <v>0</v>
      </c>
      <c r="AV50" s="8">
        <f t="shared" si="136"/>
        <v>0</v>
      </c>
      <c r="AW50" s="8">
        <f t="shared" si="136"/>
        <v>0</v>
      </c>
      <c r="AX50" s="8">
        <f t="shared" si="136"/>
        <v>0</v>
      </c>
      <c r="AY50" s="8">
        <f t="shared" si="136"/>
        <v>0</v>
      </c>
      <c r="AZ50" s="8">
        <f t="shared" si="136"/>
        <v>7507.7501331505446</v>
      </c>
      <c r="BA50" s="8">
        <f t="shared" si="136"/>
        <v>4669.0493887802004</v>
      </c>
      <c r="BB50" s="8">
        <f t="shared" si="136"/>
        <v>7513.3708515928338</v>
      </c>
      <c r="BC50" s="8">
        <f t="shared" si="136"/>
        <v>6611.0322157171904</v>
      </c>
      <c r="BD50" s="8">
        <f t="shared" si="136"/>
        <v>7862.3954908245687</v>
      </c>
      <c r="BE50" s="8">
        <f t="shared" si="136"/>
        <v>6728.2432125760497</v>
      </c>
      <c r="BF50" s="8">
        <f t="shared" si="136"/>
        <v>7966.2377952580064</v>
      </c>
      <c r="BG50" s="8">
        <f t="shared" si="136"/>
        <v>8002.6009653939582</v>
      </c>
      <c r="BH50" s="8">
        <f t="shared" si="136"/>
        <v>7083.8184645117653</v>
      </c>
      <c r="BI50" s="8">
        <f t="shared" si="136"/>
        <v>8156.2060444328272</v>
      </c>
      <c r="BJ50" s="8">
        <f t="shared" si="136"/>
        <v>7242.846876936972</v>
      </c>
      <c r="BK50" s="8">
        <f t="shared" si="136"/>
        <v>8275.2096338852352</v>
      </c>
      <c r="BO50" s="24">
        <f>BO38+BO44</f>
        <v>19936.533647310003</v>
      </c>
      <c r="BP50" s="24">
        <f t="shared" ref="BP50:BT50" si="137">BP38+BP44</f>
        <v>19690.170373523593</v>
      </c>
      <c r="BQ50" s="24">
        <f t="shared" si="137"/>
        <v>12287.514815300012</v>
      </c>
      <c r="BR50" s="24">
        <f t="shared" si="137"/>
        <v>20117.092353430009</v>
      </c>
      <c r="BS50" s="24">
        <f t="shared" si="137"/>
        <v>20704.020806230008</v>
      </c>
      <c r="BT50" s="24">
        <f t="shared" si="137"/>
        <v>19058.61034395</v>
      </c>
    </row>
    <row r="51" spans="1:72" hidden="1" outlineLevel="1" x14ac:dyDescent="0.25">
      <c r="A51" s="11"/>
      <c r="C51" s="2" t="s">
        <v>1</v>
      </c>
      <c r="D51" s="8">
        <f t="shared" ref="D51:AY51" si="138">D39+D45</f>
        <v>-34.511428069999994</v>
      </c>
      <c r="E51" s="8">
        <f t="shared" si="138"/>
        <v>-32.817170220000001</v>
      </c>
      <c r="F51" s="8">
        <f t="shared" si="138"/>
        <v>-32.884825200000002</v>
      </c>
      <c r="G51" s="8">
        <f t="shared" si="138"/>
        <v>-40.965633879999992</v>
      </c>
      <c r="H51" s="8">
        <f t="shared" si="138"/>
        <v>-31.231222560000003</v>
      </c>
      <c r="I51" s="8">
        <f t="shared" si="138"/>
        <v>-30.931499499999997</v>
      </c>
      <c r="J51" s="8">
        <f t="shared" si="138"/>
        <v>-30.578919550000002</v>
      </c>
      <c r="K51" s="8">
        <f t="shared" si="138"/>
        <v>-30.974274319999996</v>
      </c>
      <c r="L51" s="8">
        <f t="shared" si="138"/>
        <v>-31.065617320000001</v>
      </c>
      <c r="M51" s="8">
        <f t="shared" si="138"/>
        <v>-37.212840399999997</v>
      </c>
      <c r="N51" s="8">
        <f t="shared" si="138"/>
        <v>-39.842574000000006</v>
      </c>
      <c r="O51" s="8">
        <f t="shared" si="138"/>
        <v>-38.469742470000007</v>
      </c>
      <c r="P51" s="8">
        <f t="shared" si="138"/>
        <v>-37.162450479999997</v>
      </c>
      <c r="Q51" s="8">
        <f t="shared" si="138"/>
        <v>-37.754807040000003</v>
      </c>
      <c r="R51" s="8">
        <f t="shared" si="138"/>
        <v>-39.210332200000003</v>
      </c>
      <c r="S51" s="8">
        <f t="shared" si="138"/>
        <v>-40.169091200000004</v>
      </c>
      <c r="T51" s="8">
        <f t="shared" si="138"/>
        <v>-37.323073900000004</v>
      </c>
      <c r="U51" s="8">
        <f t="shared" si="138"/>
        <v>-36.559004129999998</v>
      </c>
      <c r="V51" s="8">
        <f t="shared" si="138"/>
        <v>-34.749923639999999</v>
      </c>
      <c r="W51" s="8">
        <f t="shared" si="138"/>
        <v>-33.718975729999997</v>
      </c>
      <c r="X51" s="8">
        <f t="shared" si="138"/>
        <v>-33.284183280000001</v>
      </c>
      <c r="Y51" s="8">
        <f t="shared" si="138"/>
        <v>-33.135509839999997</v>
      </c>
      <c r="Z51" s="8">
        <f t="shared" si="138"/>
        <v>-34.99549966</v>
      </c>
      <c r="AA51" s="8">
        <f t="shared" si="138"/>
        <v>-37.251495249999998</v>
      </c>
      <c r="AB51" s="8">
        <f t="shared" si="138"/>
        <v>-41.806711470000003</v>
      </c>
      <c r="AC51" s="8">
        <f t="shared" si="138"/>
        <v>-39.128155000000007</v>
      </c>
      <c r="AD51" s="8">
        <f t="shared" si="138"/>
        <v>-39.395253530000005</v>
      </c>
      <c r="AE51" s="8">
        <f t="shared" si="138"/>
        <v>-39.555693230000003</v>
      </c>
      <c r="AF51" s="8">
        <f t="shared" si="138"/>
        <v>-39.0689882</v>
      </c>
      <c r="AG51" s="8">
        <f t="shared" si="138"/>
        <v>-36.788649959999994</v>
      </c>
      <c r="AH51" s="8">
        <f t="shared" si="138"/>
        <v>-40.306237320000001</v>
      </c>
      <c r="AI51" s="8">
        <f t="shared" si="138"/>
        <v>-41.069229499999999</v>
      </c>
      <c r="AJ51" s="8">
        <f t="shared" si="138"/>
        <v>-40.614840450000003</v>
      </c>
      <c r="AK51" s="8">
        <f t="shared" si="138"/>
        <v>-39.666489679999998</v>
      </c>
      <c r="AL51" s="8">
        <f t="shared" si="138"/>
        <v>-39.763585739999996</v>
      </c>
      <c r="AM51" s="8">
        <f t="shared" si="138"/>
        <v>-38.302803500000003</v>
      </c>
      <c r="AN51" s="8">
        <f t="shared" si="138"/>
        <v>-40.862585739999993</v>
      </c>
      <c r="AO51" s="8">
        <f t="shared" si="138"/>
        <v>-36.142448119999997</v>
      </c>
      <c r="AP51" s="8">
        <f t="shared" si="138"/>
        <v>-40.444748999999995</v>
      </c>
      <c r="AQ51" s="8">
        <f t="shared" si="138"/>
        <v>-41.909299449999999</v>
      </c>
      <c r="AR51" s="8">
        <f t="shared" si="138"/>
        <v>-41.17810171</v>
      </c>
      <c r="AS51" s="8">
        <f t="shared" si="138"/>
        <v>-36.504611100000005</v>
      </c>
      <c r="AT51" s="8">
        <f t="shared" si="138"/>
        <v>0</v>
      </c>
      <c r="AU51" s="8">
        <f t="shared" si="138"/>
        <v>0</v>
      </c>
      <c r="AV51" s="8">
        <f t="shared" si="138"/>
        <v>0</v>
      </c>
      <c r="AW51" s="8">
        <f t="shared" si="138"/>
        <v>0</v>
      </c>
      <c r="AX51" s="8">
        <f t="shared" si="138"/>
        <v>0</v>
      </c>
      <c r="AY51" s="8">
        <f t="shared" si="138"/>
        <v>0</v>
      </c>
      <c r="AZ51" s="8">
        <f t="shared" si="136"/>
        <v>-39.95642550218335</v>
      </c>
      <c r="BA51" s="8">
        <f t="shared" si="136"/>
        <v>-40.272953560933445</v>
      </c>
      <c r="BB51" s="8">
        <f t="shared" si="136"/>
        <v>-40.450667892376238</v>
      </c>
      <c r="BC51" s="8">
        <f t="shared" si="136"/>
        <v>-40.709078305818394</v>
      </c>
      <c r="BD51" s="8">
        <f t="shared" si="136"/>
        <v>-40.892450177172194</v>
      </c>
      <c r="BE51" s="8">
        <f t="shared" si="136"/>
        <v>-41.306543698467664</v>
      </c>
      <c r="BF51" s="8">
        <f t="shared" si="136"/>
        <v>-41.635561696689258</v>
      </c>
      <c r="BG51" s="8">
        <f t="shared" si="136"/>
        <v>-42.112967949773505</v>
      </c>
      <c r="BH51" s="8">
        <f t="shared" si="136"/>
        <v>-42.549158369553311</v>
      </c>
      <c r="BI51" s="8">
        <f t="shared" si="136"/>
        <v>-42.923039845959842</v>
      </c>
      <c r="BJ51" s="8">
        <f t="shared" si="136"/>
        <v>-43.325602757588825</v>
      </c>
      <c r="BK51" s="8">
        <f t="shared" si="136"/>
        <v>-43.617780046724874</v>
      </c>
      <c r="BO51" s="24">
        <f t="shared" ref="BO51:BT51" si="139">BO39+BO45</f>
        <v>-117.44978286</v>
      </c>
      <c r="BP51" s="24">
        <f t="shared" si="139"/>
        <v>-120.68004695549303</v>
      </c>
      <c r="BQ51" s="24">
        <f t="shared" si="139"/>
        <v>-77.005033859999998</v>
      </c>
      <c r="BR51" s="24">
        <f t="shared" si="139"/>
        <v>-120.33012000000001</v>
      </c>
      <c r="BS51" s="24">
        <f t="shared" si="139"/>
        <v>-114.12758972</v>
      </c>
      <c r="BT51" s="24">
        <f t="shared" si="139"/>
        <v>-100.21342349</v>
      </c>
    </row>
    <row r="52" spans="1:72" hidden="1" outlineLevel="1" x14ac:dyDescent="0.25">
      <c r="A52" s="11"/>
      <c r="C52" s="2" t="s">
        <v>45</v>
      </c>
      <c r="D52" s="8">
        <f t="shared" ref="D52:AY52" si="140">D40+D46</f>
        <v>155.09604122999997</v>
      </c>
      <c r="E52" s="8">
        <f t="shared" si="140"/>
        <v>171.12270707000005</v>
      </c>
      <c r="F52" s="8">
        <f t="shared" si="140"/>
        <v>186.72161416000006</v>
      </c>
      <c r="G52" s="8">
        <f t="shared" si="140"/>
        <v>118.33304136000004</v>
      </c>
      <c r="H52" s="8">
        <f t="shared" si="140"/>
        <v>126.02764721999998</v>
      </c>
      <c r="I52" s="8">
        <f t="shared" si="140"/>
        <v>133.36249258999999</v>
      </c>
      <c r="J52" s="8">
        <f t="shared" si="140"/>
        <v>253.94199457000005</v>
      </c>
      <c r="K52" s="8">
        <f t="shared" si="140"/>
        <v>184.41482502000002</v>
      </c>
      <c r="L52" s="8">
        <f t="shared" si="140"/>
        <v>170.34654064999995</v>
      </c>
      <c r="M52" s="8">
        <f t="shared" si="140"/>
        <v>396.94249891000004</v>
      </c>
      <c r="N52" s="8">
        <f t="shared" si="140"/>
        <v>102.51278545</v>
      </c>
      <c r="O52" s="8">
        <f t="shared" si="140"/>
        <v>60.849383259999968</v>
      </c>
      <c r="P52" s="8">
        <f t="shared" si="140"/>
        <v>303.44658871999991</v>
      </c>
      <c r="Q52" s="8">
        <f t="shared" si="140"/>
        <v>190.90506879999998</v>
      </c>
      <c r="R52" s="8">
        <f t="shared" si="140"/>
        <v>126.07359409999995</v>
      </c>
      <c r="S52" s="8">
        <f t="shared" si="140"/>
        <v>179.07763867000006</v>
      </c>
      <c r="T52" s="8">
        <f t="shared" si="140"/>
        <v>129.93182599000002</v>
      </c>
      <c r="U52" s="8">
        <f t="shared" si="140"/>
        <v>168.49610190999999</v>
      </c>
      <c r="V52" s="8">
        <f t="shared" si="140"/>
        <v>171.92239109999997</v>
      </c>
      <c r="W52" s="8">
        <f t="shared" si="140"/>
        <v>175.94842100999998</v>
      </c>
      <c r="X52" s="8">
        <f t="shared" si="140"/>
        <v>252.33850326000001</v>
      </c>
      <c r="Y52" s="8">
        <f t="shared" si="140"/>
        <v>247.56456860999995</v>
      </c>
      <c r="Z52" s="8">
        <f t="shared" si="140"/>
        <v>262.77340439</v>
      </c>
      <c r="AA52" s="8">
        <f t="shared" si="140"/>
        <v>203.89088327000002</v>
      </c>
      <c r="AB52" s="8">
        <f t="shared" si="140"/>
        <v>314.10545674999997</v>
      </c>
      <c r="AC52" s="8">
        <f t="shared" si="140"/>
        <v>96.428114569999963</v>
      </c>
      <c r="AD52" s="8">
        <f t="shared" si="140"/>
        <v>253.34823600000007</v>
      </c>
      <c r="AE52" s="8">
        <f t="shared" si="140"/>
        <v>224.92585020000001</v>
      </c>
      <c r="AF52" s="8">
        <f t="shared" si="140"/>
        <v>214.29048195000004</v>
      </c>
      <c r="AG52" s="8">
        <f t="shared" si="140"/>
        <v>175.77081124000006</v>
      </c>
      <c r="AH52" s="8">
        <f t="shared" si="140"/>
        <v>99.094926839999999</v>
      </c>
      <c r="AI52" s="8">
        <f t="shared" si="140"/>
        <v>190.36241257</v>
      </c>
      <c r="AJ52" s="8">
        <f t="shared" si="140"/>
        <v>517.16576187999999</v>
      </c>
      <c r="AK52" s="8">
        <f t="shared" si="140"/>
        <v>254.96030022999997</v>
      </c>
      <c r="AL52" s="8">
        <f t="shared" si="140"/>
        <v>170.58177885000003</v>
      </c>
      <c r="AM52" s="8">
        <f t="shared" si="140"/>
        <v>256.31634643000001</v>
      </c>
      <c r="AN52" s="8">
        <f t="shared" si="140"/>
        <v>217.91469491000001</v>
      </c>
      <c r="AO52" s="8">
        <f t="shared" si="140"/>
        <v>-16.588809120000008</v>
      </c>
      <c r="AP52" s="8">
        <f t="shared" si="140"/>
        <v>344.1198198300001</v>
      </c>
      <c r="AQ52" s="8">
        <f t="shared" si="140"/>
        <v>88.192002349999882</v>
      </c>
      <c r="AR52" s="8">
        <f t="shared" si="140"/>
        <v>214.90056086999994</v>
      </c>
      <c r="AS52" s="8">
        <f t="shared" si="140"/>
        <v>174.06620648000001</v>
      </c>
      <c r="AT52" s="8">
        <f t="shared" si="140"/>
        <v>0</v>
      </c>
      <c r="AU52" s="8">
        <f t="shared" si="140"/>
        <v>0</v>
      </c>
      <c r="AV52" s="8">
        <f t="shared" si="140"/>
        <v>0</v>
      </c>
      <c r="AW52" s="8">
        <f t="shared" si="140"/>
        <v>0</v>
      </c>
      <c r="AX52" s="8">
        <f t="shared" si="140"/>
        <v>0</v>
      </c>
      <c r="AY52" s="8">
        <f t="shared" si="140"/>
        <v>0</v>
      </c>
      <c r="AZ52" s="8">
        <f t="shared" si="136"/>
        <v>439.73233988300791</v>
      </c>
      <c r="BA52" s="8">
        <f t="shared" si="136"/>
        <v>384.45797378582836</v>
      </c>
      <c r="BB52" s="8">
        <f t="shared" si="136"/>
        <v>447.0131215476697</v>
      </c>
      <c r="BC52" s="8">
        <f t="shared" si="136"/>
        <v>431.40808335205395</v>
      </c>
      <c r="BD52" s="8">
        <f t="shared" si="136"/>
        <v>459.84682659433611</v>
      </c>
      <c r="BE52" s="8">
        <f t="shared" si="136"/>
        <v>440.03465737692056</v>
      </c>
      <c r="BF52" s="8">
        <f t="shared" si="136"/>
        <v>470.74447783549721</v>
      </c>
      <c r="BG52" s="8">
        <f t="shared" si="136"/>
        <v>476.26060274293695</v>
      </c>
      <c r="BH52" s="8">
        <f t="shared" si="136"/>
        <v>460.02601684886645</v>
      </c>
      <c r="BI52" s="8">
        <f t="shared" si="136"/>
        <v>487.33572013033813</v>
      </c>
      <c r="BJ52" s="8">
        <f t="shared" si="136"/>
        <v>471.79572616631788</v>
      </c>
      <c r="BK52" s="8">
        <f t="shared" si="136"/>
        <v>496.86097253434912</v>
      </c>
      <c r="BO52" s="24">
        <f t="shared" ref="BO52:BT52" si="141">BO40+BO46</f>
        <v>545.44570562000013</v>
      </c>
      <c r="BP52" s="24">
        <f t="shared" si="141"/>
        <v>1271.203435216506</v>
      </c>
      <c r="BQ52" s="24">
        <f t="shared" si="141"/>
        <v>201.32588579000003</v>
      </c>
      <c r="BR52" s="24">
        <f t="shared" si="141"/>
        <v>663.88180732000001</v>
      </c>
      <c r="BS52" s="24">
        <f t="shared" si="141"/>
        <v>620.42525161999993</v>
      </c>
      <c r="BT52" s="24">
        <f t="shared" si="141"/>
        <v>512.94036246000007</v>
      </c>
    </row>
    <row r="53" spans="1:72" collapsed="1" x14ac:dyDescent="0.25">
      <c r="C53" s="3" t="s">
        <v>66</v>
      </c>
      <c r="D53" s="10">
        <f t="shared" ref="D53:AY53" si="142">D41+D47</f>
        <v>7215.7207082700043</v>
      </c>
      <c r="E53" s="10">
        <f t="shared" si="142"/>
        <v>4929.1806884299949</v>
      </c>
      <c r="F53" s="10">
        <f t="shared" si="142"/>
        <v>7326.4358862200061</v>
      </c>
      <c r="G53" s="10">
        <f t="shared" si="142"/>
        <v>6346.7410356699911</v>
      </c>
      <c r="H53" s="10">
        <f t="shared" si="142"/>
        <v>7316.9394728500083</v>
      </c>
      <c r="I53" s="10">
        <f t="shared" si="142"/>
        <v>6388.0528070999935</v>
      </c>
      <c r="J53" s="10">
        <f t="shared" si="142"/>
        <v>7359.6297465399948</v>
      </c>
      <c r="K53" s="10">
        <f t="shared" si="142"/>
        <v>7320.39181388</v>
      </c>
      <c r="L53" s="10">
        <f t="shared" si="142"/>
        <v>6646.3738059000061</v>
      </c>
      <c r="M53" s="10">
        <f t="shared" si="142"/>
        <v>7805.3030398700066</v>
      </c>
      <c r="N53" s="10">
        <f t="shared" si="142"/>
        <v>6604.2495193699942</v>
      </c>
      <c r="O53" s="10">
        <f t="shared" si="142"/>
        <v>7525.6691179300069</v>
      </c>
      <c r="P53" s="10">
        <f t="shared" si="142"/>
        <v>7719.1612107000001</v>
      </c>
      <c r="Q53" s="10">
        <f t="shared" si="142"/>
        <v>5873.5685032499932</v>
      </c>
      <c r="R53" s="10">
        <f t="shared" si="142"/>
        <v>7617.5887541800112</v>
      </c>
      <c r="S53" s="10">
        <f t="shared" si="142"/>
        <v>6788.524379049999</v>
      </c>
      <c r="T53" s="10">
        <f t="shared" si="142"/>
        <v>7567.2555095499993</v>
      </c>
      <c r="U53" s="10">
        <f t="shared" si="142"/>
        <v>6925.4313424000102</v>
      </c>
      <c r="V53" s="10">
        <f t="shared" si="142"/>
        <v>7665.2423673099947</v>
      </c>
      <c r="W53" s="10">
        <f t="shared" si="142"/>
        <v>7772.1865968700004</v>
      </c>
      <c r="X53" s="10">
        <f t="shared" si="142"/>
        <v>6923.6203684300017</v>
      </c>
      <c r="Y53" s="10">
        <f t="shared" si="142"/>
        <v>8007.7692444300083</v>
      </c>
      <c r="Z53" s="10">
        <f t="shared" si="142"/>
        <v>7028.6051228799952</v>
      </c>
      <c r="AA53" s="10">
        <f t="shared" si="142"/>
        <v>7966.9389895700078</v>
      </c>
      <c r="AB53" s="10">
        <f t="shared" si="142"/>
        <v>7903.227676960003</v>
      </c>
      <c r="AC53" s="10">
        <f t="shared" si="142"/>
        <v>4931.5250558999942</v>
      </c>
      <c r="AD53" s="10">
        <f t="shared" si="142"/>
        <v>7825.8913078900005</v>
      </c>
      <c r="AE53" s="10">
        <f t="shared" si="142"/>
        <v>6731.1698038499962</v>
      </c>
      <c r="AF53" s="10">
        <f t="shared" si="142"/>
        <v>7831.4836288699989</v>
      </c>
      <c r="AG53" s="10">
        <f t="shared" si="142"/>
        <v>6650.5355159899918</v>
      </c>
      <c r="AH53" s="10">
        <f t="shared" si="142"/>
        <v>7686.8511469499972</v>
      </c>
      <c r="AI53" s="10">
        <f t="shared" si="142"/>
        <v>7671.277051139994</v>
      </c>
      <c r="AJ53" s="10">
        <f t="shared" si="142"/>
        <v>6969.3656759000005</v>
      </c>
      <c r="AK53" s="10">
        <f t="shared" si="142"/>
        <v>7751.056861369987</v>
      </c>
      <c r="AL53" s="10">
        <f t="shared" si="142"/>
        <v>6732.9031090900025</v>
      </c>
      <c r="AM53" s="10">
        <f t="shared" si="142"/>
        <v>7910.2243930600016</v>
      </c>
      <c r="AN53" s="10">
        <f t="shared" si="142"/>
        <v>7848.4056893000088</v>
      </c>
      <c r="AO53" s="10">
        <f t="shared" si="142"/>
        <v>4563.4299779299945</v>
      </c>
      <c r="AP53" s="10">
        <f t="shared" si="142"/>
        <v>7952.6939028399938</v>
      </c>
      <c r="AQ53" s="10">
        <f t="shared" si="142"/>
        <v>6661.1147600199947</v>
      </c>
      <c r="AR53" s="10">
        <f t="shared" si="142"/>
        <v>7715.3191955799921</v>
      </c>
      <c r="AS53" s="10">
        <f t="shared" si="142"/>
        <v>6646.0328448699947</v>
      </c>
      <c r="AT53" s="10">
        <f t="shared" si="142"/>
        <v>0</v>
      </c>
      <c r="AU53" s="10">
        <f t="shared" si="142"/>
        <v>0</v>
      </c>
      <c r="AV53" s="10">
        <f t="shared" si="142"/>
        <v>0</v>
      </c>
      <c r="AW53" s="10">
        <f t="shared" si="142"/>
        <v>0</v>
      </c>
      <c r="AX53" s="10">
        <f t="shared" si="142"/>
        <v>0</v>
      </c>
      <c r="AY53" s="10">
        <f t="shared" si="142"/>
        <v>0</v>
      </c>
      <c r="AZ53" s="10">
        <f t="shared" si="136"/>
        <v>7907.5260475313698</v>
      </c>
      <c r="BA53" s="10">
        <f t="shared" si="136"/>
        <v>5013.2344090050938</v>
      </c>
      <c r="BB53" s="10">
        <f t="shared" si="136"/>
        <v>7919.933305248127</v>
      </c>
      <c r="BC53" s="10">
        <f t="shared" si="136"/>
        <v>7001.7312207634241</v>
      </c>
      <c r="BD53" s="10">
        <f t="shared" si="136"/>
        <v>8281.3498672417336</v>
      </c>
      <c r="BE53" s="10">
        <f t="shared" si="136"/>
        <v>7126.971326254501</v>
      </c>
      <c r="BF53" s="10">
        <f t="shared" si="136"/>
        <v>8395.3467113968145</v>
      </c>
      <c r="BG53" s="10">
        <f t="shared" si="136"/>
        <v>8436.7486001871221</v>
      </c>
      <c r="BH53" s="10">
        <f t="shared" si="136"/>
        <v>7501.2953229910745</v>
      </c>
      <c r="BI53" s="10">
        <f t="shared" si="136"/>
        <v>8600.6187247172056</v>
      </c>
      <c r="BJ53" s="10">
        <f t="shared" si="136"/>
        <v>7671.3170003457017</v>
      </c>
      <c r="BK53" s="10">
        <f t="shared" si="136"/>
        <v>8728.4528263728607</v>
      </c>
      <c r="BO53" s="23">
        <f t="shared" ref="BO53:BT53" si="143">SUM(BO50:BO52)</f>
        <v>20364.529570070004</v>
      </c>
      <c r="BP53" s="23">
        <f t="shared" si="143"/>
        <v>20840.693761784605</v>
      </c>
      <c r="BQ53" s="23">
        <f t="shared" si="143"/>
        <v>12411.835667230012</v>
      </c>
      <c r="BR53" s="23">
        <f t="shared" si="143"/>
        <v>20660.644040750012</v>
      </c>
      <c r="BS53" s="23">
        <f t="shared" si="143"/>
        <v>21210.318468130008</v>
      </c>
      <c r="BT53" s="23">
        <f t="shared" si="143"/>
        <v>19471.337282920002</v>
      </c>
    </row>
    <row r="54" spans="1:72" x14ac:dyDescent="0.25"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O54" s="18"/>
      <c r="BP54" s="18"/>
      <c r="BQ54" s="18"/>
      <c r="BR54" s="18"/>
      <c r="BS54" s="18"/>
      <c r="BT54" s="18"/>
    </row>
    <row r="55" spans="1:72" x14ac:dyDescent="0.25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O55" s="18"/>
      <c r="BP55" s="18"/>
      <c r="BQ55" s="18"/>
      <c r="BR55" s="18"/>
      <c r="BS55" s="18"/>
      <c r="BT55" s="18"/>
    </row>
    <row r="56" spans="1:72" hidden="1" outlineLevel="1" x14ac:dyDescent="0.25">
      <c r="A56" s="11" t="s">
        <v>64</v>
      </c>
      <c r="C56" s="2" t="s">
        <v>67</v>
      </c>
      <c r="D56" s="8">
        <f>IFERROR(
GETPIVOTDATA(
"[Base].[Importe]",
TDinamica_R!$A$5,
"[Calendario].[AñoMes]",
"[Calendario].[AñoMes].&amp;[" &amp; TEXT(D$6,"yyyymm") &amp; "]",
"[Base].[Metrica]",
"[Base].[Metrica].&amp;[" &amp; $A56 &amp; "]",
"[Base].[SEGMENTO_DESCRIP]",
"[Base].[SEGMENTO_DESCRIP].&amp;[" &amp; $C$6 &amp; "]",
"[Base].[SITUACION]",
"[Base].[SITUACION].&amp;[" &amp; $C56 &amp; "]"
),0)/1000</f>
        <v>-3.678027154929151</v>
      </c>
      <c r="E56" s="8">
        <f>IFERROR(
GETPIVOTDATA(
"[Base].[Importe]",
TDinamica_R!$A$5,
"[Calendario].[AñoMes]",
"[Calendario].[AñoMes].&amp;[" &amp; TEXT(E$6,"yyyymm") &amp; "]",
"[Base].[Metrica]",
"[Base].[Metrica].&amp;[" &amp; $A56 &amp; "]",
"[Base].[SEGMENTO_DESCRIP]",
"[Base].[SEGMENTO_DESCRIP].&amp;[" &amp; $C$6 &amp; "]",
"[Base].[SITUACION]",
"[Base].[SITUACION].&amp;[" &amp; $C56 &amp; "]"
),0)/1000</f>
        <v>3.3711270930633037</v>
      </c>
      <c r="F56" s="8">
        <f>IFERROR(
GETPIVOTDATA(
"[Base].[Importe]",
TDinamica_R!$A$5,
"[Calendario].[AñoMes]",
"[Calendario].[AñoMes].&amp;[" &amp; TEXT(F$6,"yyyymm") &amp; "]",
"[Base].[Metrica]",
"[Base].[Metrica].&amp;[" &amp; $A56 &amp; "]",
"[Base].[SEGMENTO_DESCRIP]",
"[Base].[SEGMENTO_DESCRIP].&amp;[" &amp; $C$6 &amp; "]",
"[Base].[SITUACION]",
"[Base].[SITUACION].&amp;[" &amp; $C56 &amp; "]"
),0)/1000</f>
        <v>-37.199751484560139</v>
      </c>
      <c r="G56" s="8">
        <f>IFERROR(
GETPIVOTDATA(
"[Base].[Importe]",
TDinamica_R!$A$5,
"[Calendario].[AñoMes]",
"[Calendario].[AñoMes].&amp;[" &amp; TEXT(G$6,"yyyymm") &amp; "]",
"[Base].[Metrica]",
"[Base].[Metrica].&amp;[" &amp; $A56 &amp; "]",
"[Base].[SEGMENTO_DESCRIP]",
"[Base].[SEGMENTO_DESCRIP].&amp;[" &amp; $C$6 &amp; "]",
"[Base].[SITUACION]",
"[Base].[SITUACION].&amp;[" &amp; $C56 &amp; "]"
),0)/1000</f>
        <v>176.359073013391</v>
      </c>
      <c r="H56" s="8">
        <f>IFERROR(
GETPIVOTDATA(
"[Base].[Importe]",
TDinamica_R!$A$5,
"[Calendario].[AñoMes]",
"[Calendario].[AñoMes].&amp;[" &amp; TEXT(H$6,"yyyymm") &amp; "]",
"[Base].[Metrica]",
"[Base].[Metrica].&amp;[" &amp; $A56 &amp; "]",
"[Base].[SEGMENTO_DESCRIP]",
"[Base].[SEGMENTO_DESCRIP].&amp;[" &amp; $C$6 &amp; "]",
"[Base].[SITUACION]",
"[Base].[SITUACION].&amp;[" &amp; $C56 &amp; "]"
),0)/1000</f>
        <v>337.40720648719054</v>
      </c>
      <c r="I56" s="8">
        <f>IFERROR(
GETPIVOTDATA(
"[Base].[Importe]",
TDinamica_R!$A$5,
"[Calendario].[AñoMes]",
"[Calendario].[AñoMes].&amp;[" &amp; TEXT(I$6,"yyyymm") &amp; "]",
"[Base].[Metrica]",
"[Base].[Metrica].&amp;[" &amp; $A56 &amp; "]",
"[Base].[SEGMENTO_DESCRIP]",
"[Base].[SEGMENTO_DESCRIP].&amp;[" &amp; $C$6 &amp; "]",
"[Base].[SITUACION]",
"[Base].[SITUACION].&amp;[" &amp; $C56 &amp; "]"
),0)/1000</f>
        <v>3394.809276881545</v>
      </c>
      <c r="J56" s="8">
        <f>IFERROR(
GETPIVOTDATA(
"[Base].[Importe]",
TDinamica_R!$A$5,
"[Calendario].[AñoMes]",
"[Calendario].[AñoMes].&amp;[" &amp; TEXT(J$6,"yyyymm") &amp; "]",
"[Base].[Metrica]",
"[Base].[Metrica].&amp;[" &amp; $A56 &amp; "]",
"[Base].[SEGMENTO_DESCRIP]",
"[Base].[SEGMENTO_DESCRIP].&amp;[" &amp; $C$6 &amp; "]",
"[Base].[SITUACION]",
"[Base].[SITUACION].&amp;[" &amp; $C56 &amp; "]"
),0)/1000</f>
        <v>88.010300690204218</v>
      </c>
      <c r="K56" s="8">
        <f>IFERROR(
GETPIVOTDATA(
"[Base].[Importe]",
TDinamica_R!$A$5,
"[Calendario].[AñoMes]",
"[Calendario].[AñoMes].&amp;[" &amp; TEXT(K$6,"yyyymm") &amp; "]",
"[Base].[Metrica]",
"[Base].[Metrica].&amp;[" &amp; $A56 &amp; "]",
"[Base].[SEGMENTO_DESCRIP]",
"[Base].[SEGMENTO_DESCRIP].&amp;[" &amp; $C$6 &amp; "]",
"[Base].[SITUACION]",
"[Base].[SITUACION].&amp;[" &amp; $C56 &amp; "]"
),0)/1000</f>
        <v>-19.578995386117082</v>
      </c>
      <c r="L56" s="8">
        <f>IFERROR(
GETPIVOTDATA(
"[Base].[Importe]",
TDinamica_R!$A$5,
"[Calendario].[AñoMes]",
"[Calendario].[AñoMes].&amp;[" &amp; TEXT(L$6,"yyyymm") &amp; "]",
"[Base].[Metrica]",
"[Base].[Metrica].&amp;[" &amp; $A56 &amp; "]",
"[Base].[SEGMENTO_DESCRIP]",
"[Base].[SEGMENTO_DESCRIP].&amp;[" &amp; $C$6 &amp; "]",
"[Base].[SITUACION]",
"[Base].[SITUACION].&amp;[" &amp; $C56 &amp; "]"
),0)/1000</f>
        <v>-141.70836847693027</v>
      </c>
      <c r="M56" s="8">
        <f>IFERROR(
GETPIVOTDATA(
"[Base].[Importe]",
TDinamica_R!$A$5,
"[Calendario].[AñoMes]",
"[Calendario].[AñoMes].&amp;[" &amp; TEXT(M$6,"yyyymm") &amp; "]",
"[Base].[Metrica]",
"[Base].[Metrica].&amp;[" &amp; $A56 &amp; "]",
"[Base].[SEGMENTO_DESCRIP]",
"[Base].[SEGMENTO_DESCRIP].&amp;[" &amp; $C$6 &amp; "]",
"[Base].[SITUACION]",
"[Base].[SITUACION].&amp;[" &amp; $C56 &amp; "]"
),0)/1000</f>
        <v>6.1513156152481416</v>
      </c>
      <c r="N56" s="8">
        <f>IFERROR(
GETPIVOTDATA(
"[Base].[Importe]",
TDinamica_R!$A$5,
"[Calendario].[AñoMes]",
"[Calendario].[AñoMes].&amp;[" &amp; TEXT(N$6,"yyyymm") &amp; "]",
"[Base].[Metrica]",
"[Base].[Metrica].&amp;[" &amp; $A56 &amp; "]",
"[Base].[SEGMENTO_DESCRIP]",
"[Base].[SEGMENTO_DESCRIP].&amp;[" &amp; $C$6 &amp; "]",
"[Base].[SITUACION]",
"[Base].[SITUACION].&amp;[" &amp; $C56 &amp; "]"
),0)/1000</f>
        <v>48.112544151760417</v>
      </c>
      <c r="O56" s="8">
        <f>IFERROR(
GETPIVOTDATA(
"[Base].[Importe]",
TDinamica_R!$A$5,
"[Calendario].[AñoMes]",
"[Calendario].[AñoMes].&amp;[" &amp; TEXT(O$6,"yyyymm") &amp; "]",
"[Base].[Metrica]",
"[Base].[Metrica].&amp;[" &amp; $A56 &amp; "]",
"[Base].[SEGMENTO_DESCRIP]",
"[Base].[SEGMENTO_DESCRIP].&amp;[" &amp; $C$6 &amp; "]",
"[Base].[SITUACION]",
"[Base].[SITUACION].&amp;[" &amp; $C56 &amp; "]"
),0)/1000</f>
        <v>89.661016663151756</v>
      </c>
      <c r="P56" s="8">
        <f>IFERROR(
GETPIVOTDATA(
"[Base].[Importe]",
TDinamica_R!$A$5,
"[Calendario].[AñoMes]",
"[Calendario].[AñoMes].&amp;[" &amp; TEXT(P$6,"yyyymm") &amp; "]",
"[Base].[Metrica]",
"[Base].[Metrica].&amp;[" &amp; $A56 &amp; "]",
"[Base].[SEGMENTO_DESCRIP]",
"[Base].[SEGMENTO_DESCRIP].&amp;[" &amp; $C$6 &amp; "]",
"[Base].[SITUACION]",
"[Base].[SITUACION].&amp;[" &amp; $C56 &amp; "]"
),0)/1000</f>
        <v>548.8991369236046</v>
      </c>
      <c r="Q56" s="8">
        <f>IFERROR(
GETPIVOTDATA(
"[Base].[Importe]",
TDinamica_R!$A$5,
"[Calendario].[AñoMes]",
"[Calendario].[AñoMes].&amp;[" &amp; TEXT(Q$6,"yyyymm") &amp; "]",
"[Base].[Metrica]",
"[Base].[Metrica].&amp;[" &amp; $A56 &amp; "]",
"[Base].[SEGMENTO_DESCRIP]",
"[Base].[SEGMENTO_DESCRIP].&amp;[" &amp; $C$6 &amp; "]",
"[Base].[SITUACION]",
"[Base].[SITUACION].&amp;[" &amp; $C56 &amp; "]"
),0)/1000</f>
        <v>246.29167794970093</v>
      </c>
      <c r="R56" s="8">
        <f>IFERROR(
GETPIVOTDATA(
"[Base].[Importe]",
TDinamica_R!$A$5,
"[Calendario].[AñoMes]",
"[Calendario].[AñoMes].&amp;[" &amp; TEXT(R$6,"yyyymm") &amp; "]",
"[Base].[Metrica]",
"[Base].[Metrica].&amp;[" &amp; $A56 &amp; "]",
"[Base].[SEGMENTO_DESCRIP]",
"[Base].[SEGMENTO_DESCRIP].&amp;[" &amp; $C$6 &amp; "]",
"[Base].[SITUACION]",
"[Base].[SITUACION].&amp;[" &amp; $C56 &amp; "]"
),0)/1000</f>
        <v>-1489.4639879787248</v>
      </c>
      <c r="S56" s="8">
        <f>IFERROR(
GETPIVOTDATA(
"[Base].[Importe]",
TDinamica_R!$A$5,
"[Calendario].[AñoMes]",
"[Calendario].[AñoMes].&amp;[" &amp; TEXT(S$6,"yyyymm") &amp; "]",
"[Base].[Metrica]",
"[Base].[Metrica].&amp;[" &amp; $A56 &amp; "]",
"[Base].[SEGMENTO_DESCRIP]",
"[Base].[SEGMENTO_DESCRIP].&amp;[" &amp; $C$6 &amp; "]",
"[Base].[SITUACION]",
"[Base].[SITUACION].&amp;[" &amp; $C56 &amp; "]"
),0)/1000</f>
        <v>-2246.0343082543532</v>
      </c>
      <c r="T56" s="8">
        <f>IFERROR(
GETPIVOTDATA(
"[Base].[Importe]",
TDinamica_R!$A$5,
"[Calendario].[AñoMes]",
"[Calendario].[AñoMes].&amp;[" &amp; TEXT(T$6,"yyyymm") &amp; "]",
"[Base].[Metrica]",
"[Base].[Metrica].&amp;[" &amp; $A56 &amp; "]",
"[Base].[SEGMENTO_DESCRIP]",
"[Base].[SEGMENTO_DESCRIP].&amp;[" &amp; $C$6 &amp; "]",
"[Base].[SITUACION]",
"[Base].[SITUACION].&amp;[" &amp; $C56 &amp; "]"
),0)/1000</f>
        <v>-381.68541393896891</v>
      </c>
      <c r="U56" s="8">
        <f>IFERROR(
GETPIVOTDATA(
"[Base].[Importe]",
TDinamica_R!$A$5,
"[Calendario].[AñoMes]",
"[Calendario].[AñoMes].&amp;[" &amp; TEXT(U$6,"yyyymm") &amp; "]",
"[Base].[Metrica]",
"[Base].[Metrica].&amp;[" &amp; $A56 &amp; "]",
"[Base].[SEGMENTO_DESCRIP]",
"[Base].[SEGMENTO_DESCRIP].&amp;[" &amp; $C$6 &amp; "]",
"[Base].[SITUACION]",
"[Base].[SITUACION].&amp;[" &amp; $C56 &amp; "]"
),0)/1000</f>
        <v>-1106.8700338443077</v>
      </c>
      <c r="V56" s="8">
        <f>IFERROR(
GETPIVOTDATA(
"[Base].[Importe]",
TDinamica_R!$A$5,
"[Calendario].[AñoMes]",
"[Calendario].[AñoMes].&amp;[" &amp; TEXT(V$6,"yyyymm") &amp; "]",
"[Base].[Metrica]",
"[Base].[Metrica].&amp;[" &amp; $A56 &amp; "]",
"[Base].[SEGMENTO_DESCRIP]",
"[Base].[SEGMENTO_DESCRIP].&amp;[" &amp; $C$6 &amp; "]",
"[Base].[SITUACION]",
"[Base].[SITUACION].&amp;[" &amp; $C56 &amp; "]"
),0)/1000</f>
        <v>-2975.3460180735392</v>
      </c>
      <c r="W56" s="8">
        <f>IFERROR(
GETPIVOTDATA(
"[Base].[Importe]",
TDinamica_R!$A$5,
"[Calendario].[AñoMes]",
"[Calendario].[AñoMes].&amp;[" &amp; TEXT(W$6,"yyyymm") &amp; "]",
"[Base].[Metrica]",
"[Base].[Metrica].&amp;[" &amp; $A56 &amp; "]",
"[Base].[SEGMENTO_DESCRIP]",
"[Base].[SEGMENTO_DESCRIP].&amp;[" &amp; $C$6 &amp; "]",
"[Base].[SITUACION]",
"[Base].[SITUACION].&amp;[" &amp; $C56 &amp; "]"
),0)/1000</f>
        <v>-2347.9096419852872</v>
      </c>
      <c r="X56" s="8">
        <f>IFERROR(
GETPIVOTDATA(
"[Base].[Importe]",
TDinamica_R!$A$5,
"[Calendario].[AñoMes]",
"[Calendario].[AñoMes].&amp;[" &amp; TEXT(X$6,"yyyymm") &amp; "]",
"[Base].[Metrica]",
"[Base].[Metrica].&amp;[" &amp; $A56 &amp; "]",
"[Base].[SEGMENTO_DESCRIP]",
"[Base].[SEGMENTO_DESCRIP].&amp;[" &amp; $C$6 &amp; "]",
"[Base].[SITUACION]",
"[Base].[SITUACION].&amp;[" &amp; $C56 &amp; "]"
),0)/1000</f>
        <v>-1212.6792828578868</v>
      </c>
      <c r="Y56" s="8">
        <f>IFERROR(
GETPIVOTDATA(
"[Base].[Importe]",
TDinamica_R!$A$5,
"[Calendario].[AñoMes]",
"[Calendario].[AñoMes].&amp;[" &amp; TEXT(Y$6,"yyyymm") &amp; "]",
"[Base].[Metrica]",
"[Base].[Metrica].&amp;[" &amp; $A56 &amp; "]",
"[Base].[SEGMENTO_DESCRIP]",
"[Base].[SEGMENTO_DESCRIP].&amp;[" &amp; $C$6 &amp; "]",
"[Base].[SITUACION]",
"[Base].[SITUACION].&amp;[" &amp; $C56 &amp; "]"
),0)/1000</f>
        <v>-317.29660147746097</v>
      </c>
      <c r="Z56" s="8">
        <f>IFERROR(
GETPIVOTDATA(
"[Base].[Importe]",
TDinamica_R!$A$5,
"[Calendario].[AñoMes]",
"[Calendario].[AñoMes].&amp;[" &amp; TEXT(Z$6,"yyyymm") &amp; "]",
"[Base].[Metrica]",
"[Base].[Metrica].&amp;[" &amp; $A56 &amp; "]",
"[Base].[SEGMENTO_DESCRIP]",
"[Base].[SEGMENTO_DESCRIP].&amp;[" &amp; $C$6 &amp; "]",
"[Base].[SITUACION]",
"[Base].[SITUACION].&amp;[" &amp; $C56 &amp; "]"
),0)/1000</f>
        <v>1692.6610875054032</v>
      </c>
      <c r="AA56" s="8">
        <f>IFERROR(
GETPIVOTDATA(
"[Base].[Importe]",
TDinamica_R!$A$5,
"[Calendario].[AñoMes]",
"[Calendario].[AñoMes].&amp;[" &amp; TEXT(AA$6,"yyyymm") &amp; "]",
"[Base].[Metrica]",
"[Base].[Metrica].&amp;[" &amp; $A56 &amp; "]",
"[Base].[SEGMENTO_DESCRIP]",
"[Base].[SEGMENTO_DESCRIP].&amp;[" &amp; $C$6 &amp; "]",
"[Base].[SITUACION]",
"[Base].[SITUACION].&amp;[" &amp; $C56 &amp; "]"
),0)/1000</f>
        <v>-221.993222752619</v>
      </c>
      <c r="AB56" s="8">
        <f>IFERROR(
GETPIVOTDATA(
"[Base].[Importe]",
TDinamica_R!$A$5,
"[Calendario].[AñoMes]",
"[Calendario].[AñoMes].&amp;[" &amp; TEXT(AB$6,"yyyymm") &amp; "]",
"[Base].[Metrica]",
"[Base].[Metrica].&amp;[" &amp; $A56 &amp; "]",
"[Base].[SEGMENTO_DESCRIP]",
"[Base].[SEGMENTO_DESCRIP].&amp;[" &amp; $C$6 &amp; "]",
"[Base].[SITUACION]",
"[Base].[SITUACION].&amp;[" &amp; $C56 &amp; "]"
),0)/1000</f>
        <v>-2737.0409649839662</v>
      </c>
      <c r="AC56" s="8">
        <f>IFERROR(
GETPIVOTDATA(
"[Base].[Importe]",
TDinamica_R!$A$5,
"[Calendario].[AñoMes]",
"[Calendario].[AñoMes].&amp;[" &amp; TEXT(AC$6,"yyyymm") &amp; "]",
"[Base].[Metrica]",
"[Base].[Metrica].&amp;[" &amp; $A56 &amp; "]",
"[Base].[SEGMENTO_DESCRIP]",
"[Base].[SEGMENTO_DESCRIP].&amp;[" &amp; $C$6 &amp; "]",
"[Base].[SITUACION]",
"[Base].[SITUACION].&amp;[" &amp; $C56 &amp; "]"
),0)/1000</f>
        <v>185.48089245826287</v>
      </c>
      <c r="AD56" s="8">
        <f>IFERROR(
GETPIVOTDATA(
"[Base].[Importe]",
TDinamica_R!$A$5,
"[Calendario].[AñoMes]",
"[Calendario].[AñoMes].&amp;[" &amp; TEXT(AD$6,"yyyymm") &amp; "]",
"[Base].[Metrica]",
"[Base].[Metrica].&amp;[" &amp; $A56 &amp; "]",
"[Base].[SEGMENTO_DESCRIP]",
"[Base].[SEGMENTO_DESCRIP].&amp;[" &amp; $C$6 &amp; "]",
"[Base].[SITUACION]",
"[Base].[SITUACION].&amp;[" &amp; $C56 &amp; "]"
),0)/1000</f>
        <v>-654.00420000000008</v>
      </c>
      <c r="AE56" s="8">
        <f>IFERROR(
GETPIVOTDATA(
"[Base].[Importe]",
TDinamica_R!$A$5,
"[Calendario].[AñoMes]",
"[Calendario].[AñoMes].&amp;[" &amp; TEXT(AE$6,"yyyymm") &amp; "]",
"[Base].[Metrica]",
"[Base].[Metrica].&amp;[" &amp; $A56 &amp; "]",
"[Base].[SEGMENTO_DESCRIP]",
"[Base].[SEGMENTO_DESCRIP].&amp;[" &amp; $C$6 &amp; "]",
"[Base].[SITUACION]",
"[Base].[SITUACION].&amp;[" &amp; $C56 &amp; "]"
),0)/1000</f>
        <v>-3084.4015499999996</v>
      </c>
      <c r="AF56" s="8">
        <f>IFERROR(
GETPIVOTDATA(
"[Base].[Importe]",
TDinamica_R!$A$5,
"[Calendario].[AñoMes]",
"[Calendario].[AñoMes].&amp;[" &amp; TEXT(AF$6,"yyyymm") &amp; "]",
"[Base].[Metrica]",
"[Base].[Metrica].&amp;[" &amp; $A56 &amp; "]",
"[Base].[SEGMENTO_DESCRIP]",
"[Base].[SEGMENTO_DESCRIP].&amp;[" &amp; $C$6 &amp; "]",
"[Base].[SITUACION]",
"[Base].[SITUACION].&amp;[" &amp; $C56 &amp; "]"
),0)/1000</f>
        <v>625.46903999999995</v>
      </c>
      <c r="AG56" s="8">
        <f>IFERROR(
GETPIVOTDATA(
"[Base].[Importe]",
TDinamica_R!$A$5,
"[Calendario].[AñoMes]",
"[Calendario].[AñoMes].&amp;[" &amp; TEXT(AG$6,"yyyymm") &amp; "]",
"[Base].[Metrica]",
"[Base].[Metrica].&amp;[" &amp; $A56 &amp; "]",
"[Base].[SEGMENTO_DESCRIP]",
"[Base].[SEGMENTO_DESCRIP].&amp;[" &amp; $C$6 &amp; "]",
"[Base].[SITUACION]",
"[Base].[SITUACION].&amp;[" &amp; $C56 &amp; "]"
),0)/1000</f>
        <v>-1294.6121800000001</v>
      </c>
      <c r="AH56" s="8">
        <f>IFERROR(
GETPIVOTDATA(
"[Base].[Importe]",
TDinamica_R!$A$5,
"[Calendario].[AñoMes]",
"[Calendario].[AñoMes].&amp;[" &amp; TEXT(AH$6,"yyyymm") &amp; "]",
"[Base].[Metrica]",
"[Base].[Metrica].&amp;[" &amp; $A56 &amp; "]",
"[Base].[SEGMENTO_DESCRIP]",
"[Base].[SEGMENTO_DESCRIP].&amp;[" &amp; $C$6 &amp; "]",
"[Base].[SITUACION]",
"[Base].[SITUACION].&amp;[" &amp; $C56 &amp; "]"
),0)/1000</f>
        <v>-176.54613000000001</v>
      </c>
      <c r="AI56" s="8">
        <f>IFERROR(
GETPIVOTDATA(
"[Base].[Importe]",
TDinamica_R!$A$5,
"[Calendario].[AñoMes]",
"[Calendario].[AñoMes].&amp;[" &amp; TEXT(AI$6,"yyyymm") &amp; "]",
"[Base].[Metrica]",
"[Base].[Metrica].&amp;[" &amp; $A56 &amp; "]",
"[Base].[SEGMENTO_DESCRIP]",
"[Base].[SEGMENTO_DESCRIP].&amp;[" &amp; $C$6 &amp; "]",
"[Base].[SITUACION]",
"[Base].[SITUACION].&amp;[" &amp; $C56 &amp; "]"
),0)/1000</f>
        <v>-1851.9691017201899</v>
      </c>
      <c r="AJ56" s="8">
        <f>IFERROR(
GETPIVOTDATA(
"[Base].[Importe]",
TDinamica_R!$A$5,
"[Calendario].[AñoMes]",
"[Calendario].[AñoMes].&amp;[" &amp; TEXT(AJ$6,"yyyymm") &amp; "]",
"[Base].[Metrica]",
"[Base].[Metrica].&amp;[" &amp; $A56 &amp; "]",
"[Base].[SEGMENTO_DESCRIP]",
"[Base].[SEGMENTO_DESCRIP].&amp;[" &amp; $C$6 &amp; "]",
"[Base].[SITUACION]",
"[Base].[SITUACION].&amp;[" &amp; $C56 &amp; "]"
),0)/1000</f>
        <v>-2254.0200794766602</v>
      </c>
      <c r="AK56" s="8">
        <f>IFERROR(
GETPIVOTDATA(
"[Base].[Importe]",
TDinamica_R!$A$5,
"[Calendario].[AñoMes]",
"[Calendario].[AñoMes].&amp;[" &amp; TEXT(AK$6,"yyyymm") &amp; "]",
"[Base].[Metrica]",
"[Base].[Metrica].&amp;[" &amp; $A56 &amp; "]",
"[Base].[SEGMENTO_DESCRIP]",
"[Base].[SEGMENTO_DESCRIP].&amp;[" &amp; $C$6 &amp; "]",
"[Base].[SITUACION]",
"[Base].[SITUACION].&amp;[" &amp; $C56 &amp; "]"
),0)/1000</f>
        <v>-2585.68897325649</v>
      </c>
      <c r="AL56" s="8">
        <f>IFERROR(
GETPIVOTDATA(
"[Base].[Importe]",
TDinamica_R!$A$5,
"[Calendario].[AñoMes]",
"[Calendario].[AñoMes].&amp;[" &amp; TEXT(AL$6,"yyyymm") &amp; "]",
"[Base].[Metrica]",
"[Base].[Metrica].&amp;[" &amp; $A56 &amp; "]",
"[Base].[SEGMENTO_DESCRIP]",
"[Base].[SEGMENTO_DESCRIP].&amp;[" &amp; $C$6 &amp; "]",
"[Base].[SITUACION]",
"[Base].[SITUACION].&amp;[" &amp; $C56 &amp; "]"
),0)/1000</f>
        <v>-356.24275734221999</v>
      </c>
      <c r="AM56" s="8">
        <f>IFERROR(
GETPIVOTDATA(
"[Base].[Importe]",
TDinamica_R!$A$5,
"[Calendario].[AñoMes]",
"[Calendario].[AñoMes].&amp;[" &amp; TEXT(AM$6,"yyyymm") &amp; "]",
"[Base].[Metrica]",
"[Base].[Metrica].&amp;[" &amp; $A56 &amp; "]",
"[Base].[SEGMENTO_DESCRIP]",
"[Base].[SEGMENTO_DESCRIP].&amp;[" &amp; $C$6 &amp; "]",
"[Base].[SITUACION]",
"[Base].[SITUACION].&amp;[" &amp; $C56 &amp; "]"
),0)/1000</f>
        <v>-1743.0644973230299</v>
      </c>
      <c r="AN56" s="8">
        <f>IFERROR(
GETPIVOTDATA(
"[Base].[Importe]",
TDinamica_R!$A$5,
"[Calendario].[AñoMes]",
"[Calendario].[AñoMes].&amp;[" &amp; TEXT(AN$6,"yyyymm") &amp; "]",
"[Base].[Metrica]",
"[Base].[Metrica].&amp;[" &amp; $A56 &amp; "]",
"[Base].[SEGMENTO_DESCRIP]",
"[Base].[SEGMENTO_DESCRIP].&amp;[" &amp; $C$6 &amp; "]",
"[Base].[SITUACION]",
"[Base].[SITUACION].&amp;[" &amp; $C56 &amp; "]"
),0)/1000</f>
        <v>-1671.3323600000001</v>
      </c>
      <c r="AO56" s="8">
        <f>IFERROR(
GETPIVOTDATA(
"[Base].[Importe]",
TDinamica_R!$A$5,
"[Calendario].[AñoMes]",
"[Calendario].[AñoMes].&amp;[" &amp; TEXT(AO$6,"yyyymm") &amp; "]",
"[Base].[Metrica]",
"[Base].[Metrica].&amp;[" &amp; $A56 &amp; "]",
"[Base].[SEGMENTO_DESCRIP]",
"[Base].[SEGMENTO_DESCRIP].&amp;[" &amp; $C$6 &amp; "]",
"[Base].[SITUACION]",
"[Base].[SITUACION].&amp;[" &amp; $C56 &amp; "]"
),0)/1000</f>
        <v>-182.44532999999998</v>
      </c>
      <c r="AP56" s="8">
        <f>IFERROR(
GETPIVOTDATA(
"[Base].[Importe]",
TDinamica_R!$A$5,
"[Calendario].[AñoMes]",
"[Calendario].[AñoMes].&amp;[" &amp; TEXT(AP$6,"yyyymm") &amp; "]",
"[Base].[Metrica]",
"[Base].[Metrica].&amp;[" &amp; $A56 &amp; "]",
"[Base].[SEGMENTO_DESCRIP]",
"[Base].[SEGMENTO_DESCRIP].&amp;[" &amp; $C$6 &amp; "]",
"[Base].[SITUACION]",
"[Base].[SITUACION].&amp;[" &amp; $C56 &amp; "]"
),0)/1000</f>
        <v>-1676.80846</v>
      </c>
      <c r="AQ56" s="8">
        <f>IFERROR(
GETPIVOTDATA(
"[Base].[Importe]",
TDinamica_R!$A$5,
"[Calendario].[AñoMes]",
"[Calendario].[AñoMes].&amp;[" &amp; TEXT(AQ$6,"yyyymm") &amp; "]",
"[Base].[Metrica]",
"[Base].[Metrica].&amp;[" &amp; $A56 &amp; "]",
"[Base].[SEGMENTO_DESCRIP]",
"[Base].[SEGMENTO_DESCRIP].&amp;[" &amp; $C$6 &amp; "]",
"[Base].[SITUACION]",
"[Base].[SITUACION].&amp;[" &amp; $C56 &amp; "]"
),0)/1000</f>
        <v>-1815.8414399999999</v>
      </c>
      <c r="AR56" s="8">
        <f>IFERROR(
GETPIVOTDATA(
"[Base].[Importe]",
TDinamica_R!$A$5,
"[Calendario].[AñoMes]",
"[Calendario].[AñoMes].&amp;[" &amp; TEXT(AR$6,"yyyymm") &amp; "]",
"[Base].[Metrica]",
"[Base].[Metrica].&amp;[" &amp; $A56 &amp; "]",
"[Base].[SEGMENTO_DESCRIP]",
"[Base].[SEGMENTO_DESCRIP].&amp;[" &amp; $C$6 &amp; "]",
"[Base].[SITUACION]",
"[Base].[SITUACION].&amp;[" &amp; $C56 &amp; "]"
),0)/1000</f>
        <v>914.78572000000497</v>
      </c>
      <c r="AS56" s="8">
        <f>IFERROR(
GETPIVOTDATA(
"[Base].[Importe]",
TDinamica_R!$A$5,
"[Calendario].[AñoMes]",
"[Calendario].[AñoMes].&amp;[" &amp; TEXT(AS$6,"yyyymm") &amp; "]",
"[Base].[Metrica]",
"[Base].[Metrica].&amp;[" &amp; $A56 &amp; "]",
"[Base].[SEGMENTO_DESCRIP]",
"[Base].[SEGMENTO_DESCRIP].&amp;[" &amp; $C$6 &amp; "]",
"[Base].[SITUACION]",
"[Base].[SITUACION].&amp;[" &amp; $C56 &amp; "]"
),0)/1000</f>
        <v>-2962.4762799999899</v>
      </c>
      <c r="AT56" s="8">
        <f>IFERROR(
GETPIVOTDATA(
"[Base].[Importe]",
TDinamica_R!$A$5,
"[Calendario].[AñoMes]",
"[Calendario].[AñoMes].&amp;[" &amp; TEXT(AT$6,"yyyymm")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U56" s="8">
        <f>IFERROR(
GETPIVOTDATA(
"[Base].[Importe]",
TDinamica_R!$A$5,
"[Calendario].[AñoMes]",
"[Calendario].[AñoMes].&amp;[" &amp; TEXT(AU$6,"yyyymm")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V56" s="8">
        <f>IFERROR(
GETPIVOTDATA(
"[Base].[Importe]",
TDinamica_R!$A$5,
"[Calendario].[AñoMes]",
"[Calendario].[AñoMes].&amp;[" &amp; TEXT(AV$6,"yyyymm")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W56" s="8">
        <f>IFERROR(
GETPIVOTDATA(
"[Base].[Importe]",
TDinamica_R!$A$5,
"[Calendario].[AñoMes]",
"[Calendario].[AñoMes].&amp;[" &amp; TEXT(AW$6,"yyyymm")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X56" s="8">
        <f>IFERROR(
GETPIVOTDATA(
"[Base].[Importe]",
TDinamica_R!$A$5,
"[Calendario].[AñoMes]",
"[Calendario].[AñoMes].&amp;[" &amp; TEXT(AX$6,"yyyymm")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Y56" s="8">
        <f>IFERROR(
GETPIVOTDATA(
"[Base].[Importe]",
TDinamica_R!$A$5,
"[Calendario].[AñoMes]",
"[Calendario].[AñoMes].&amp;[" &amp; TEXT(AY$6,"yyyymm")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Z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"[BASE_HIPO_PPTO].[Periodo]","[BASE_HIPO_PPTO].[Periodo].&amp;["&amp;TEXT(AZ$6,"yyyymm")&amp;"]"),
0)/1000</f>
        <v>-923.07336395889706</v>
      </c>
      <c r="BA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"[BASE_HIPO_PPTO].[Periodo]","[BASE_HIPO_PPTO].[Periodo].&amp;["&amp;TEXT(BA$6,"yyyymm")&amp;"]"),
0)/1000</f>
        <v>-2622.7671827618692</v>
      </c>
      <c r="BB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"[BASE_HIPO_PPTO].[Periodo]","[BASE_HIPO_PPTO].[Periodo].&amp;["&amp;TEXT(BB$6,"yyyymm")&amp;"]"),
0)/1000</f>
        <v>-2491.8214046778335</v>
      </c>
      <c r="BC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"[BASE_HIPO_PPTO].[Periodo]","[BASE_HIPO_PPTO].[Periodo].&amp;["&amp;TEXT(BC$6,"yyyymm")&amp;"]"),
0)/1000</f>
        <v>-1066.445386694566</v>
      </c>
      <c r="BD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"[BASE_HIPO_PPTO].[Periodo]","[BASE_HIPO_PPTO].[Periodo].&amp;["&amp;TEXT(BD$6,"yyyymm")&amp;"]"),
0)/1000</f>
        <v>-599.38964572058364</v>
      </c>
      <c r="BE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"[BASE_HIPO_PPTO].[Periodo]","[BASE_HIPO_PPTO].[Periodo].&amp;["&amp;TEXT(BE$6,"yyyymm")&amp;"]"),
0)/1000</f>
        <v>-896.17764801493377</v>
      </c>
      <c r="BF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"[BASE_HIPO_PPTO].[Periodo]","[BASE_HIPO_PPTO].[Periodo].&amp;["&amp;TEXT(BF$6,"yyyymm")&amp;"]"),
0)/1000</f>
        <v>-1590.2927961722617</v>
      </c>
      <c r="BG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"[BASE_HIPO_PPTO].[Periodo]","[BASE_HIPO_PPTO].[Periodo].&amp;["&amp;TEXT(BG$6,"yyyymm")&amp;"]"),
0)/1000</f>
        <v>-1947.6299057722765</v>
      </c>
      <c r="BH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"[BASE_HIPO_PPTO].[Periodo]","[BASE_HIPO_PPTO].[Periodo].&amp;["&amp;TEXT(BH$6,"yyyymm")&amp;"]"),
0)/1000</f>
        <v>-1363.2393813567157</v>
      </c>
      <c r="BI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"[BASE_HIPO_PPTO].[Periodo]","[BASE_HIPO_PPTO].[Periodo].&amp;["&amp;TEXT(BI$6,"yyyymm")&amp;"]"),
0)/1000</f>
        <v>-858.09531588074401</v>
      </c>
      <c r="BJ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"[BASE_HIPO_PPTO].[Periodo]","[BASE_HIPO_PPTO].[Periodo].&amp;["&amp;TEXT(BJ$6,"yyyymm")&amp;"]"),
0)/1000</f>
        <v>-93.439803576694331</v>
      </c>
      <c r="BK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"[BASE_HIPO_PPTO].[Periodo]","[BASE_HIPO_PPTO].[Periodo].&amp;["&amp;TEXT(BK$6,"yyyymm")&amp;"]"),
0)/1000</f>
        <v>-550.68609532242954</v>
      </c>
      <c r="BO56" s="24">
        <f t="shared" ref="BO56:BT57" si="144">SUMIFS($D56:$BM56,$D$6:$BM$6,"&gt;="&amp;BO$2,$D$6:$BM$6,"&lt;="&amp;BO$6,$D$5:$BM$5,BO$5)</f>
        <v>-3530.5861500000001</v>
      </c>
      <c r="BP56" s="24">
        <f t="shared" si="144"/>
        <v>-6037.6619513985997</v>
      </c>
      <c r="BQ56" s="24">
        <f t="shared" si="144"/>
        <v>-1853.7776900000001</v>
      </c>
      <c r="BR56" s="24">
        <f t="shared" si="144"/>
        <v>-3205.564272525703</v>
      </c>
      <c r="BS56" s="24">
        <f t="shared" si="144"/>
        <v>-694.27317310541935</v>
      </c>
      <c r="BT56" s="24">
        <f t="shared" si="144"/>
        <v>-37.506651546425985</v>
      </c>
    </row>
    <row r="57" spans="1:72" hidden="1" outlineLevel="1" x14ac:dyDescent="0.25">
      <c r="A57" s="11" t="s">
        <v>65</v>
      </c>
      <c r="C57" s="2" t="s">
        <v>69</v>
      </c>
      <c r="D57" s="8">
        <f>IFERROR(
GETPIVOTDATA(
"[Base].[Importe]",
TDinamica_R!$A$5,
"[Calendario].[AñoMes]",
"[Calendario].[AñoMes].&amp;[" &amp; TEXT(D$6,"yyyymm")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E57" s="8">
        <f>IFERROR(
GETPIVOTDATA(
"[Base].[Importe]",
TDinamica_R!$A$5,
"[Calendario].[AñoMes]",
"[Calendario].[AñoMes].&amp;[" &amp; TEXT(E$6,"yyyymm")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F57" s="8">
        <f>IFERROR(
GETPIVOTDATA(
"[Base].[Importe]",
TDinamica_R!$A$5,
"[Calendario].[AñoMes]",
"[Calendario].[AñoMes].&amp;[" &amp; TEXT(F$6,"yyyymm")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G57" s="8">
        <f>IFERROR(
GETPIVOTDATA(
"[Base].[Importe]",
TDinamica_R!$A$5,
"[Calendario].[AñoMes]",
"[Calendario].[AñoMes].&amp;[" &amp; TEXT(G$6,"yyyymm") &amp; "]",
"[Base].[Metrica]",
"[Base].[Metrica].&amp;[" &amp; $A57 &amp; "]",
"[Base].[SEGMENTO_DESCRIP]",
"[Base].[SEGMENTO_DESCRIP].&amp;[" &amp; $C$6 &amp; "]",
"[Base].[SITUACION]",
"[Base].[SITUACION].&amp;[" &amp; $C57 &amp; "]"
),0)/1000</f>
        <v>31.495620056359087</v>
      </c>
      <c r="H57" s="8">
        <f>IFERROR(
GETPIVOTDATA(
"[Base].[Importe]",
TDinamica_R!$A$5,
"[Calendario].[AñoMes]",
"[Calendario].[AñoMes].&amp;[" &amp; TEXT(H$6,"yyyymm")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I57" s="8">
        <f>IFERROR(
GETPIVOTDATA(
"[Base].[Importe]",
TDinamica_R!$A$5,
"[Calendario].[AñoMes]",
"[Calendario].[AñoMes].&amp;[" &amp; TEXT(I$6,"yyyymm")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J57" s="8">
        <f>IFERROR(
GETPIVOTDATA(
"[Base].[Importe]",
TDinamica_R!$A$5,
"[Calendario].[AñoMes]",
"[Calendario].[AñoMes].&amp;[" &amp; TEXT(J$6,"yyyymm")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K57" s="8">
        <f>IFERROR(
GETPIVOTDATA(
"[Base].[Importe]",
TDinamica_R!$A$5,
"[Calendario].[AñoMes]",
"[Calendario].[AñoMes].&amp;[" &amp; TEXT(K$6,"yyyymm")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L57" s="8">
        <f>IFERROR(
GETPIVOTDATA(
"[Base].[Importe]",
TDinamica_R!$A$5,
"[Calendario].[AñoMes]",
"[Calendario].[AñoMes].&amp;[" &amp; TEXT(L$6,"yyyymm")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M57" s="8">
        <f>IFERROR(
GETPIVOTDATA(
"[Base].[Importe]",
TDinamica_R!$A$5,
"[Calendario].[AñoMes]",
"[Calendario].[AñoMes].&amp;[" &amp; TEXT(M$6,"yyyymm")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N57" s="8">
        <f>IFERROR(
GETPIVOTDATA(
"[Base].[Importe]",
TDinamica_R!$A$5,
"[Calendario].[AñoMes]",
"[Calendario].[AñoMes].&amp;[" &amp; TEXT(N$6,"yyyymm")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O57" s="8">
        <f>IFERROR(
GETPIVOTDATA(
"[Base].[Importe]",
TDinamica_R!$A$5,
"[Calendario].[AñoMes]",
"[Calendario].[AñoMes].&amp;[" &amp; TEXT(O$6,"yyyymm")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P57" s="8">
        <f>IFERROR(
GETPIVOTDATA(
"[Base].[Importe]",
TDinamica_R!$A$5,
"[Calendario].[AñoMes]",
"[Calendario].[AñoMes].&amp;[" &amp; TEXT(P$6,"yyyymm")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Q57" s="8">
        <f>IFERROR(
GETPIVOTDATA(
"[Base].[Importe]",
TDinamica_R!$A$5,
"[Calendario].[AñoMes]",
"[Calendario].[AñoMes].&amp;[" &amp; TEXT(Q$6,"yyyymm")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R57" s="8">
        <f>IFERROR(
GETPIVOTDATA(
"[Base].[Importe]",
TDinamica_R!$A$5,
"[Calendario].[AñoMes]",
"[Calendario].[AñoMes].&amp;[" &amp; TEXT(R$6,"yyyymm")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S57" s="8">
        <f>IFERROR(
GETPIVOTDATA(
"[Base].[Importe]",
TDinamica_R!$A$5,
"[Calendario].[AñoMes]",
"[Calendario].[AñoMes].&amp;[" &amp; TEXT(S$6,"yyyymm")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T57" s="8">
        <f>IFERROR(
GETPIVOTDATA(
"[Base].[Importe]",
TDinamica_R!$A$5,
"[Calendario].[AñoMes]",
"[Calendario].[AñoMes].&amp;[" &amp; TEXT(T$6,"yyyymm") &amp; "]",
"[Base].[Metrica]",
"[Base].[Metrica].&amp;[" &amp; $A57 &amp; "]",
"[Base].[SEGMENTO_DESCRIP]",
"[Base].[SEGMENTO_DESCRIP].&amp;[" &amp; $C$6 &amp; "]",
"[Base].[SITUACION]",
"[Base].[SITUACION].&amp;[" &amp; $C57 &amp; "]"
),0)/1000</f>
        <v>2.5190000000000001E-2</v>
      </c>
      <c r="U57" s="8">
        <f>IFERROR(
GETPIVOTDATA(
"[Base].[Importe]",
TDinamica_R!$A$5,
"[Calendario].[AñoMes]",
"[Calendario].[AñoMes].&amp;[" &amp; TEXT(U$6,"yyyymm")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V57" s="8">
        <f>IFERROR(
GETPIVOTDATA(
"[Base].[Importe]",
TDinamica_R!$A$5,
"[Calendario].[AñoMes]",
"[Calendario].[AñoMes].&amp;[" &amp; TEXT(V$6,"yyyymm")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W57" s="8">
        <f>IFERROR(
GETPIVOTDATA(
"[Base].[Importe]",
TDinamica_R!$A$5,
"[Calendario].[AñoMes]",
"[Calendario].[AñoMes].&amp;[" &amp; TEXT(W$6,"yyyymm")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X57" s="8">
        <f>IFERROR(
GETPIVOTDATA(
"[Base].[Importe]",
TDinamica_R!$A$5,
"[Calendario].[AñoMes]",
"[Calendario].[AñoMes].&amp;[" &amp; TEXT(X$6,"yyyymm")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Y57" s="8">
        <f>IFERROR(
GETPIVOTDATA(
"[Base].[Importe]",
TDinamica_R!$A$5,
"[Calendario].[AñoMes]",
"[Calendario].[AñoMes].&amp;[" &amp; TEXT(Y$6,"yyyymm")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Z57" s="8">
        <f>IFERROR(
GETPIVOTDATA(
"[Base].[Importe]",
TDinamica_R!$A$5,
"[Calendario].[AñoMes]",
"[Calendario].[AñoMes].&amp;[" &amp; TEXT(Z$6,"yyyymm")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A57" s="8">
        <f>IFERROR(
GETPIVOTDATA(
"[Base].[Importe]",
TDinamica_R!$A$5,
"[Calendario].[AñoMes]",
"[Calendario].[AñoMes].&amp;[" &amp; TEXT(AA$6,"yyyymm")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B57" s="8">
        <f>IFERROR(
GETPIVOTDATA(
"[Base].[Importe]",
TDinamica_R!$A$5,
"[Calendario].[AñoMes]",
"[Calendario].[AñoMes].&amp;[" &amp; TEXT(AB$6,"yyyymm")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C57" s="8">
        <f>IFERROR(
GETPIVOTDATA(
"[Base].[Importe]",
TDinamica_R!$A$5,
"[Calendario].[AñoMes]",
"[Calendario].[AñoMes].&amp;[" &amp; TEXT(AC$6,"yyyymm")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D57" s="8">
        <f>IFERROR(
GETPIVOTDATA(
"[Base].[Importe]",
TDinamica_R!$A$5,
"[Calendario].[AñoMes]",
"[Calendario].[AñoMes].&amp;[" &amp; TEXT(AD$6,"yyyymm")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E57" s="8">
        <f>IFERROR(
GETPIVOTDATA(
"[Base].[Importe]",
TDinamica_R!$A$5,
"[Calendario].[AñoMes]",
"[Calendario].[AñoMes].&amp;[" &amp; TEXT(AE$6,"yyyymm")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F57" s="8">
        <f>IFERROR(
GETPIVOTDATA(
"[Base].[Importe]",
TDinamica_R!$A$5,
"[Calendario].[AñoMes]",
"[Calendario].[AñoMes].&amp;[" &amp; TEXT(AF$6,"yyyymm")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G57" s="8">
        <f>IFERROR(
GETPIVOTDATA(
"[Base].[Importe]",
TDinamica_R!$A$5,
"[Calendario].[AñoMes]",
"[Calendario].[AñoMes].&amp;[" &amp; TEXT(AG$6,"yyyymm")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H57" s="8">
        <f>IFERROR(
GETPIVOTDATA(
"[Base].[Importe]",
TDinamica_R!$A$5,
"[Calendario].[AñoMes]",
"[Calendario].[AñoMes].&amp;[" &amp; TEXT(AH$6,"yyyymm")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I57" s="8">
        <f>IFERROR(
GETPIVOTDATA(
"[Base].[Importe]",
TDinamica_R!$A$5,
"[Calendario].[AñoMes]",
"[Calendario].[AñoMes].&amp;[" &amp; TEXT(AI$6,"yyyymm")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J57" s="8">
        <f>IFERROR(
GETPIVOTDATA(
"[Base].[Importe]",
TDinamica_R!$A$5,
"[Calendario].[AñoMes]",
"[Calendario].[AñoMes].&amp;[" &amp; TEXT(AJ$6,"yyyymm")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K57" s="8">
        <f>IFERROR(
GETPIVOTDATA(
"[Base].[Importe]",
TDinamica_R!$A$5,
"[Calendario].[AñoMes]",
"[Calendario].[AñoMes].&amp;[" &amp; TEXT(AK$6,"yyyymm")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L57" s="8">
        <f>IFERROR(
GETPIVOTDATA(
"[Base].[Importe]",
TDinamica_R!$A$5,
"[Calendario].[AñoMes]",
"[Calendario].[AñoMes].&amp;[" &amp; TEXT(AL$6,"yyyymm")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M57" s="8">
        <f>IFERROR(
GETPIVOTDATA(
"[Base].[Importe]",
TDinamica_R!$A$5,
"[Calendario].[AñoMes]",
"[Calendario].[AñoMes].&amp;[" &amp; TEXT(AM$6,"yyyymm")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N57" s="8">
        <f>IFERROR(
GETPIVOTDATA(
"[Base].[Importe]",
TDinamica_R!$A$5,
"[Calendario].[AñoMes]",
"[Calendario].[AñoMes].&amp;[" &amp; TEXT(AN$6,"yyyymm")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O57" s="8">
        <f>IFERROR(
GETPIVOTDATA(
"[Base].[Importe]",
TDinamica_R!$A$5,
"[Calendario].[AñoMes]",
"[Calendario].[AñoMes].&amp;[" &amp; TEXT(AO$6,"yyyymm")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P57" s="8">
        <f>IFERROR(
GETPIVOTDATA(
"[Base].[Importe]",
TDinamica_R!$A$5,
"[Calendario].[AñoMes]",
"[Calendario].[AñoMes].&amp;[" &amp; TEXT(AP$6,"yyyymm")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Q57" s="8">
        <f>IFERROR(
GETPIVOTDATA(
"[Base].[Importe]",
TDinamica_R!$A$5,
"[Calendario].[AñoMes]",
"[Calendario].[AñoMes].&amp;[" &amp; TEXT(AQ$6,"yyyymm")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R57" s="8">
        <f>IFERROR(
GETPIVOTDATA(
"[Base].[Importe]",
TDinamica_R!$A$5,
"[Calendario].[AñoMes]",
"[Calendario].[AñoMes].&amp;[" &amp; TEXT(AR$6,"yyyymm")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S57" s="8">
        <f>IFERROR(
GETPIVOTDATA(
"[Base].[Importe]",
TDinamica_R!$A$5,
"[Calendario].[AñoMes]",
"[Calendario].[AñoMes].&amp;[" &amp; TEXT(AS$6,"yyyymm")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T57" s="8">
        <f>IFERROR(
GETPIVOTDATA(
"[Base].[Importe]",
TDinamica_R!$A$5,
"[Calendario].[AñoMes]",
"[Calendario].[AñoMes].&amp;[" &amp; TEXT(AT$6,"yyyymm")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U57" s="8">
        <f>IFERROR(
GETPIVOTDATA(
"[Base].[Importe]",
TDinamica_R!$A$5,
"[Calendario].[AñoMes]",
"[Calendario].[AñoMes].&amp;[" &amp; TEXT(AU$6,"yyyymm")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V57" s="8">
        <f>IFERROR(
GETPIVOTDATA(
"[Base].[Importe]",
TDinamica_R!$A$5,
"[Calendario].[AñoMes]",
"[Calendario].[AñoMes].&amp;[" &amp; TEXT(AV$6,"yyyymm")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W57" s="8">
        <f>IFERROR(
GETPIVOTDATA(
"[Base].[Importe]",
TDinamica_R!$A$5,
"[Calendario].[AñoMes]",
"[Calendario].[AñoMes].&amp;[" &amp; TEXT(AW$6,"yyyymm")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X57" s="8">
        <f>IFERROR(
GETPIVOTDATA(
"[Base].[Importe]",
TDinamica_R!$A$5,
"[Calendario].[AñoMes]",
"[Calendario].[AñoMes].&amp;[" &amp; TEXT(AX$6,"yyyymm")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Y57" s="8">
        <f>IFERROR(
GETPIVOTDATA(
"[Base].[Importe]",
TDinamica_R!$A$5,
"[Calendario].[AñoMes]",
"[Calendario].[AñoMes].&amp;[" &amp; TEXT(AY$6,"yyyymm")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Z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"[BASE_HIPO_PPTO].[Periodo]","[BASE_HIPO_PPTO].[Periodo].&amp;["&amp;TEXT(AZ$6,"yyyymm")&amp;"]"),
0)/1000</f>
        <v>0</v>
      </c>
      <c r="BA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"[BASE_HIPO_PPTO].[Periodo]","[BASE_HIPO_PPTO].[Periodo].&amp;["&amp;TEXT(BA$6,"yyyymm")&amp;"]"),
0)/1000</f>
        <v>0</v>
      </c>
      <c r="BB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"[BASE_HIPO_PPTO].[Periodo]","[BASE_HIPO_PPTO].[Periodo].&amp;["&amp;TEXT(BB$6,"yyyymm")&amp;"]"),
0)/1000</f>
        <v>0</v>
      </c>
      <c r="BC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"[BASE_HIPO_PPTO].[Periodo]","[BASE_HIPO_PPTO].[Periodo].&amp;["&amp;TEXT(BC$6,"yyyymm")&amp;"]"),
0)/1000</f>
        <v>0</v>
      </c>
      <c r="BD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"[BASE_HIPO_PPTO].[Periodo]","[BASE_HIPO_PPTO].[Periodo].&amp;["&amp;TEXT(BD$6,"yyyymm")&amp;"]"),
0)/1000</f>
        <v>0</v>
      </c>
      <c r="BE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"[BASE_HIPO_PPTO].[Periodo]","[BASE_HIPO_PPTO].[Periodo].&amp;["&amp;TEXT(BE$6,"yyyymm")&amp;"]"),
0)/1000</f>
        <v>0</v>
      </c>
      <c r="BF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"[BASE_HIPO_PPTO].[Periodo]","[BASE_HIPO_PPTO].[Periodo].&amp;["&amp;TEXT(BF$6,"yyyymm")&amp;"]"),
0)/1000</f>
        <v>0</v>
      </c>
      <c r="BG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"[BASE_HIPO_PPTO].[Periodo]","[BASE_HIPO_PPTO].[Periodo].&amp;["&amp;TEXT(BG$6,"yyyymm")&amp;"]"),
0)/1000</f>
        <v>0</v>
      </c>
      <c r="BH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"[BASE_HIPO_PPTO].[Periodo]","[BASE_HIPO_PPTO].[Periodo].&amp;["&amp;TEXT(BH$6,"yyyymm")&amp;"]"),
0)/1000</f>
        <v>0</v>
      </c>
      <c r="BI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"[BASE_HIPO_PPTO].[Periodo]","[BASE_HIPO_PPTO].[Periodo].&amp;["&amp;TEXT(BI$6,"yyyymm")&amp;"]"),
0)/1000</f>
        <v>0</v>
      </c>
      <c r="BJ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"[BASE_HIPO_PPTO].[Periodo]","[BASE_HIPO_PPTO].[Periodo].&amp;["&amp;TEXT(BJ$6,"yyyymm")&amp;"]"),
0)/1000</f>
        <v>0</v>
      </c>
      <c r="BK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"[BASE_HIPO_PPTO].[Periodo]","[BASE_HIPO_PPTO].[Periodo].&amp;["&amp;TEXT(BK$6,"yyyymm")&amp;"]"),
0)/1000</f>
        <v>0</v>
      </c>
      <c r="BO57" s="24">
        <f t="shared" si="144"/>
        <v>0</v>
      </c>
      <c r="BP57" s="24">
        <f t="shared" si="144"/>
        <v>0</v>
      </c>
      <c r="BQ57" s="24">
        <f t="shared" si="144"/>
        <v>0</v>
      </c>
      <c r="BR57" s="24">
        <f t="shared" si="144"/>
        <v>0</v>
      </c>
      <c r="BS57" s="24">
        <f t="shared" si="144"/>
        <v>0</v>
      </c>
      <c r="BT57" s="24">
        <f t="shared" si="144"/>
        <v>0</v>
      </c>
    </row>
    <row r="58" spans="1:72" collapsed="1" x14ac:dyDescent="0.25">
      <c r="C58" s="3" t="s">
        <v>68</v>
      </c>
      <c r="D58" s="10">
        <f t="shared" ref="D58:BK58" si="145">SUM(D56:D57)</f>
        <v>-3.678027154929151</v>
      </c>
      <c r="E58" s="10">
        <f t="shared" si="145"/>
        <v>3.3711270930633037</v>
      </c>
      <c r="F58" s="10">
        <f t="shared" si="145"/>
        <v>-37.199751484560139</v>
      </c>
      <c r="G58" s="10">
        <f t="shared" si="145"/>
        <v>207.85469306975008</v>
      </c>
      <c r="H58" s="10">
        <f t="shared" si="145"/>
        <v>337.40720648719054</v>
      </c>
      <c r="I58" s="10">
        <f t="shared" si="145"/>
        <v>3394.809276881545</v>
      </c>
      <c r="J58" s="10">
        <f t="shared" si="145"/>
        <v>88.010300690204218</v>
      </c>
      <c r="K58" s="10">
        <f t="shared" si="145"/>
        <v>-19.578995386117082</v>
      </c>
      <c r="L58" s="10">
        <f t="shared" si="145"/>
        <v>-141.70836847693027</v>
      </c>
      <c r="M58" s="10">
        <f t="shared" si="145"/>
        <v>6.1513156152481416</v>
      </c>
      <c r="N58" s="10">
        <f t="shared" si="145"/>
        <v>48.112544151760417</v>
      </c>
      <c r="O58" s="10">
        <f t="shared" si="145"/>
        <v>89.661016663151756</v>
      </c>
      <c r="P58" s="10">
        <f t="shared" si="145"/>
        <v>548.8991369236046</v>
      </c>
      <c r="Q58" s="10">
        <f t="shared" si="145"/>
        <v>246.29167794970093</v>
      </c>
      <c r="R58" s="10">
        <f t="shared" si="145"/>
        <v>-1489.4639879787248</v>
      </c>
      <c r="S58" s="10">
        <f t="shared" si="145"/>
        <v>-2246.0343082543532</v>
      </c>
      <c r="T58" s="10">
        <f t="shared" si="145"/>
        <v>-381.6602239389689</v>
      </c>
      <c r="U58" s="10">
        <f t="shared" si="145"/>
        <v>-1106.8700338443077</v>
      </c>
      <c r="V58" s="10">
        <f t="shared" si="145"/>
        <v>-2975.3460180735392</v>
      </c>
      <c r="W58" s="10">
        <f t="shared" si="145"/>
        <v>-2347.9096419852872</v>
      </c>
      <c r="X58" s="10">
        <f t="shared" si="145"/>
        <v>-1212.6792828578868</v>
      </c>
      <c r="Y58" s="10">
        <f t="shared" si="145"/>
        <v>-317.29660147746097</v>
      </c>
      <c r="Z58" s="10">
        <f t="shared" si="145"/>
        <v>1692.6610875054032</v>
      </c>
      <c r="AA58" s="10">
        <f t="shared" si="145"/>
        <v>-221.993222752619</v>
      </c>
      <c r="AB58" s="10">
        <f t="shared" si="145"/>
        <v>-2737.0409649839662</v>
      </c>
      <c r="AC58" s="10">
        <f t="shared" si="145"/>
        <v>185.48089245826287</v>
      </c>
      <c r="AD58" s="10">
        <f t="shared" si="145"/>
        <v>-654.00420000000008</v>
      </c>
      <c r="AE58" s="10">
        <f t="shared" si="145"/>
        <v>-3084.4015499999996</v>
      </c>
      <c r="AF58" s="10">
        <f t="shared" si="145"/>
        <v>625.46903999999995</v>
      </c>
      <c r="AG58" s="10">
        <f t="shared" si="145"/>
        <v>-1294.6121800000001</v>
      </c>
      <c r="AH58" s="10">
        <f t="shared" si="145"/>
        <v>-176.54613000000001</v>
      </c>
      <c r="AI58" s="10">
        <f t="shared" si="145"/>
        <v>-1851.9691017201899</v>
      </c>
      <c r="AJ58" s="10">
        <f t="shared" si="145"/>
        <v>-2254.0200794766602</v>
      </c>
      <c r="AK58" s="10">
        <f t="shared" si="145"/>
        <v>-2585.68897325649</v>
      </c>
      <c r="AL58" s="10">
        <f t="shared" si="145"/>
        <v>-356.24275734221999</v>
      </c>
      <c r="AM58" s="10">
        <f t="shared" si="145"/>
        <v>-1743.0644973230299</v>
      </c>
      <c r="AN58" s="10">
        <f t="shared" si="145"/>
        <v>-1671.3323600000001</v>
      </c>
      <c r="AO58" s="10">
        <f t="shared" si="145"/>
        <v>-182.44532999999998</v>
      </c>
      <c r="AP58" s="10">
        <f t="shared" si="145"/>
        <v>-1676.80846</v>
      </c>
      <c r="AQ58" s="10">
        <f t="shared" si="145"/>
        <v>-1815.8414399999999</v>
      </c>
      <c r="AR58" s="10">
        <f t="shared" si="145"/>
        <v>914.78572000000497</v>
      </c>
      <c r="AS58" s="10">
        <f t="shared" si="145"/>
        <v>-2962.4762799999899</v>
      </c>
      <c r="AT58" s="10">
        <f t="shared" si="145"/>
        <v>0</v>
      </c>
      <c r="AU58" s="10">
        <f t="shared" si="145"/>
        <v>0</v>
      </c>
      <c r="AV58" s="10">
        <f t="shared" si="145"/>
        <v>0</v>
      </c>
      <c r="AW58" s="10">
        <f t="shared" si="145"/>
        <v>0</v>
      </c>
      <c r="AX58" s="10">
        <f t="shared" si="145"/>
        <v>0</v>
      </c>
      <c r="AY58" s="10">
        <f t="shared" si="145"/>
        <v>0</v>
      </c>
      <c r="AZ58" s="10">
        <f t="shared" si="145"/>
        <v>-923.07336395889706</v>
      </c>
      <c r="BA58" s="10">
        <f t="shared" si="145"/>
        <v>-2622.7671827618692</v>
      </c>
      <c r="BB58" s="10">
        <f t="shared" si="145"/>
        <v>-2491.8214046778335</v>
      </c>
      <c r="BC58" s="10">
        <f t="shared" si="145"/>
        <v>-1066.445386694566</v>
      </c>
      <c r="BD58" s="10">
        <f t="shared" si="145"/>
        <v>-599.38964572058364</v>
      </c>
      <c r="BE58" s="10">
        <f t="shared" si="145"/>
        <v>-896.17764801493377</v>
      </c>
      <c r="BF58" s="10">
        <f t="shared" si="145"/>
        <v>-1590.2927961722617</v>
      </c>
      <c r="BG58" s="10">
        <f t="shared" si="145"/>
        <v>-1947.6299057722765</v>
      </c>
      <c r="BH58" s="10">
        <f t="shared" si="145"/>
        <v>-1363.2393813567157</v>
      </c>
      <c r="BI58" s="10">
        <f t="shared" si="145"/>
        <v>-858.09531588074401</v>
      </c>
      <c r="BJ58" s="10">
        <f t="shared" si="145"/>
        <v>-93.439803576694331</v>
      </c>
      <c r="BK58" s="10">
        <f t="shared" si="145"/>
        <v>-550.68609532242954</v>
      </c>
      <c r="BO58" s="23">
        <f>SUM(BO56:BO57)</f>
        <v>-3530.5861500000001</v>
      </c>
      <c r="BP58" s="23">
        <f t="shared" ref="BP58:BT58" si="146">SUM(BP56:BP57)</f>
        <v>-6037.6619513985997</v>
      </c>
      <c r="BQ58" s="23">
        <f t="shared" si="146"/>
        <v>-1853.7776900000001</v>
      </c>
      <c r="BR58" s="23">
        <f t="shared" si="146"/>
        <v>-3205.564272525703</v>
      </c>
      <c r="BS58" s="23">
        <f t="shared" si="146"/>
        <v>-694.27317310541935</v>
      </c>
      <c r="BT58" s="23">
        <f t="shared" si="146"/>
        <v>-37.506651546425985</v>
      </c>
    </row>
    <row r="60" spans="1:72" x14ac:dyDescent="0.25">
      <c r="C60" s="3" t="s">
        <v>70</v>
      </c>
      <c r="D60" s="10">
        <f>D53+D58</f>
        <v>7212.0426811150755</v>
      </c>
      <c r="E60" s="10">
        <f t="shared" ref="E60:BK60" si="147">E53+E58</f>
        <v>4932.5518155230584</v>
      </c>
      <c r="F60" s="10">
        <f t="shared" si="147"/>
        <v>7289.2361347354463</v>
      </c>
      <c r="G60" s="10">
        <f t="shared" si="147"/>
        <v>6554.5957287397414</v>
      </c>
      <c r="H60" s="10">
        <f t="shared" si="147"/>
        <v>7654.346679337199</v>
      </c>
      <c r="I60" s="10">
        <f t="shared" si="147"/>
        <v>9782.8620839815376</v>
      </c>
      <c r="J60" s="10">
        <f t="shared" si="147"/>
        <v>7447.6400472301993</v>
      </c>
      <c r="K60" s="10">
        <f t="shared" si="147"/>
        <v>7300.8128184938832</v>
      </c>
      <c r="L60" s="10">
        <f t="shared" si="147"/>
        <v>6504.6654374230757</v>
      </c>
      <c r="M60" s="10">
        <f t="shared" si="147"/>
        <v>7811.4543554852544</v>
      </c>
      <c r="N60" s="10">
        <f t="shared" si="147"/>
        <v>6652.3620635217549</v>
      </c>
      <c r="O60" s="10">
        <f t="shared" si="147"/>
        <v>7615.3301345931586</v>
      </c>
      <c r="P60" s="10">
        <f t="shared" si="147"/>
        <v>8268.0603476236047</v>
      </c>
      <c r="Q60" s="10">
        <f t="shared" si="147"/>
        <v>6119.8601811996941</v>
      </c>
      <c r="R60" s="10">
        <f t="shared" si="147"/>
        <v>6128.1247662012865</v>
      </c>
      <c r="S60" s="10">
        <f t="shared" si="147"/>
        <v>4542.4900707956458</v>
      </c>
      <c r="T60" s="10">
        <f t="shared" si="147"/>
        <v>7185.5952856110307</v>
      </c>
      <c r="U60" s="10">
        <f t="shared" si="147"/>
        <v>5818.5613085557025</v>
      </c>
      <c r="V60" s="10">
        <f t="shared" si="147"/>
        <v>4689.8963492364555</v>
      </c>
      <c r="W60" s="10">
        <f t="shared" si="147"/>
        <v>5424.2769548847136</v>
      </c>
      <c r="X60" s="10">
        <f t="shared" si="147"/>
        <v>5710.9410855721144</v>
      </c>
      <c r="Y60" s="10">
        <f t="shared" si="147"/>
        <v>7690.4726429525472</v>
      </c>
      <c r="Z60" s="10">
        <f t="shared" si="147"/>
        <v>8721.2662103853982</v>
      </c>
      <c r="AA60" s="10">
        <f t="shared" si="147"/>
        <v>7744.9457668173891</v>
      </c>
      <c r="AB60" s="10">
        <f t="shared" si="147"/>
        <v>5166.1867119760373</v>
      </c>
      <c r="AC60" s="10">
        <f t="shared" si="147"/>
        <v>5117.0059483582572</v>
      </c>
      <c r="AD60" s="10">
        <f t="shared" si="147"/>
        <v>7171.8871078900002</v>
      </c>
      <c r="AE60" s="10">
        <f t="shared" si="147"/>
        <v>3646.7682538499967</v>
      </c>
      <c r="AF60" s="10">
        <f t="shared" si="147"/>
        <v>8456.9526688699989</v>
      </c>
      <c r="AG60" s="10">
        <f t="shared" si="147"/>
        <v>5355.9233359899918</v>
      </c>
      <c r="AH60" s="10">
        <f t="shared" si="147"/>
        <v>7510.3050169499975</v>
      </c>
      <c r="AI60" s="10">
        <f t="shared" si="147"/>
        <v>5819.3079494198046</v>
      </c>
      <c r="AJ60" s="10">
        <f t="shared" si="147"/>
        <v>4715.3455964233399</v>
      </c>
      <c r="AK60" s="10">
        <f t="shared" si="147"/>
        <v>5165.3678881134965</v>
      </c>
      <c r="AL60" s="10">
        <f t="shared" si="147"/>
        <v>6376.6603517477824</v>
      </c>
      <c r="AM60" s="10">
        <f t="shared" si="147"/>
        <v>6167.1598957369715</v>
      </c>
      <c r="AN60" s="10">
        <f t="shared" si="147"/>
        <v>6177.0733293000085</v>
      </c>
      <c r="AO60" s="10">
        <f t="shared" si="147"/>
        <v>4380.9846479299949</v>
      </c>
      <c r="AP60" s="10">
        <f t="shared" si="147"/>
        <v>6275.8854428399936</v>
      </c>
      <c r="AQ60" s="10">
        <f t="shared" si="147"/>
        <v>4845.2733200199946</v>
      </c>
      <c r="AR60" s="10">
        <f t="shared" si="147"/>
        <v>8630.1049155799974</v>
      </c>
      <c r="AS60" s="10">
        <f t="shared" si="147"/>
        <v>3683.5565648700049</v>
      </c>
      <c r="AT60" s="10">
        <f t="shared" si="147"/>
        <v>0</v>
      </c>
      <c r="AU60" s="10">
        <f t="shared" si="147"/>
        <v>0</v>
      </c>
      <c r="AV60" s="10">
        <f t="shared" si="147"/>
        <v>0</v>
      </c>
      <c r="AW60" s="10">
        <f t="shared" si="147"/>
        <v>0</v>
      </c>
      <c r="AX60" s="10">
        <f t="shared" si="147"/>
        <v>0</v>
      </c>
      <c r="AY60" s="10">
        <f t="shared" si="147"/>
        <v>0</v>
      </c>
      <c r="AZ60" s="10">
        <f t="shared" si="147"/>
        <v>6984.4526835724728</v>
      </c>
      <c r="BA60" s="10">
        <f t="shared" si="147"/>
        <v>2390.4672262432246</v>
      </c>
      <c r="BB60" s="10">
        <f t="shared" si="147"/>
        <v>5428.1119005702931</v>
      </c>
      <c r="BC60" s="10">
        <f t="shared" si="147"/>
        <v>5935.2858340688581</v>
      </c>
      <c r="BD60" s="10">
        <f t="shared" si="147"/>
        <v>7681.9602215211498</v>
      </c>
      <c r="BE60" s="10">
        <f t="shared" si="147"/>
        <v>6230.7936782395673</v>
      </c>
      <c r="BF60" s="10">
        <f t="shared" si="147"/>
        <v>6805.0539152245528</v>
      </c>
      <c r="BG60" s="10">
        <f t="shared" si="147"/>
        <v>6489.1186944148458</v>
      </c>
      <c r="BH60" s="10">
        <f t="shared" si="147"/>
        <v>6138.0559416343585</v>
      </c>
      <c r="BI60" s="10">
        <f t="shared" si="147"/>
        <v>7742.5234088364614</v>
      </c>
      <c r="BJ60" s="10">
        <f t="shared" si="147"/>
        <v>7577.8771967690072</v>
      </c>
      <c r="BK60" s="10">
        <f t="shared" si="147"/>
        <v>8177.7667310504312</v>
      </c>
      <c r="BO60" s="23">
        <f>BO53+BO58</f>
        <v>16833.943420070005</v>
      </c>
      <c r="BP60" s="23">
        <f t="shared" ref="BP60:BT60" si="148">BP53+BP58</f>
        <v>14803.031810386005</v>
      </c>
      <c r="BQ60" s="23">
        <f t="shared" si="148"/>
        <v>10558.057977230012</v>
      </c>
      <c r="BR60" s="23">
        <f t="shared" si="148"/>
        <v>17455.07976822431</v>
      </c>
      <c r="BS60" s="23">
        <f t="shared" si="148"/>
        <v>20516.045295024589</v>
      </c>
      <c r="BT60" s="23">
        <f t="shared" si="148"/>
        <v>19433.830631373574</v>
      </c>
    </row>
    <row r="63" spans="1:72" hidden="1" outlineLevel="1" x14ac:dyDescent="0.25">
      <c r="A63" s="11" t="s">
        <v>71</v>
      </c>
      <c r="C63" s="2" t="s">
        <v>127</v>
      </c>
      <c r="D63" s="8">
        <f>IFERROR(
GETPIVOTDATA(
"[Base].[Importe]",
TDinamica_R!$A$5,
"[Calendario].[AñoMes]",
"[Calendario].[AñoMes].&amp;[" &amp; TEXT(D$6,"yyyymm") &amp; "]",
"[Base].[Metrica]",
"[Base].[Metrica].&amp;[" &amp; $A63 &amp; "]",
"[Base].[SEGMENTO_DESCRIP]",
"[Base].[SEGMENTO_DESCRIP].&amp;[" &amp; $C$6 &amp; "]",
"[Base].[SITUACION]",
"[Base].[SITUACION].&amp;[" &amp; $C63 &amp; "]"
),0)/1000</f>
        <v>303.34682325805426</v>
      </c>
      <c r="E63" s="8">
        <f>IFERROR(
GETPIVOTDATA(
"[Base].[Importe]",
TDinamica_R!$A$5,
"[Calendario].[AñoMes]",
"[Calendario].[AñoMes].&amp;[" &amp; TEXT(E$6,"yyyymm") &amp; "]",
"[Base].[Metrica]",
"[Base].[Metrica].&amp;[" &amp; $A63 &amp; "]",
"[Base].[SEGMENTO_DESCRIP]",
"[Base].[SEGMENTO_DESCRIP].&amp;[" &amp; $C$6 &amp; "]",
"[Base].[SITUACION]",
"[Base].[SITUACION].&amp;[" &amp; $C63 &amp; "]"
),0)/1000</f>
        <v>263.22797143143237</v>
      </c>
      <c r="F63" s="8">
        <f>IFERROR(
GETPIVOTDATA(
"[Base].[Importe]",
TDinamica_R!$A$5,
"[Calendario].[AñoMes]",
"[Calendario].[AñoMes].&amp;[" &amp; TEXT(F$6,"yyyymm") &amp; "]",
"[Base].[Metrica]",
"[Base].[Metrica].&amp;[" &amp; $A63 &amp; "]",
"[Base].[SEGMENTO_DESCRIP]",
"[Base].[SEGMENTO_DESCRIP].&amp;[" &amp; $C$6 &amp; "]",
"[Base].[SITUACION]",
"[Base].[SITUACION].&amp;[" &amp; $C63 &amp; "]"
),0)/1000</f>
        <v>353.20120242257588</v>
      </c>
      <c r="G63" s="8">
        <f>IFERROR(
GETPIVOTDATA(
"[Base].[Importe]",
TDinamica_R!$A$5,
"[Calendario].[AñoMes]",
"[Calendario].[AñoMes].&amp;[" &amp; TEXT(G$6,"yyyymm") &amp; "]",
"[Base].[Metrica]",
"[Base].[Metrica].&amp;[" &amp; $A63 &amp; "]",
"[Base].[SEGMENTO_DESCRIP]",
"[Base].[SEGMENTO_DESCRIP].&amp;[" &amp; $C$6 &amp; "]",
"[Base].[SITUACION]",
"[Base].[SITUACION].&amp;[" &amp; $C63 &amp; "]"
),0)/1000</f>
        <v>287.81994874244413</v>
      </c>
      <c r="H63" s="8">
        <f>IFERROR(
GETPIVOTDATA(
"[Base].[Importe]",
TDinamica_R!$A$5,
"[Calendario].[AñoMes]",
"[Calendario].[AñoMes].&amp;[" &amp; TEXT(H$6,"yyyymm") &amp; "]",
"[Base].[Metrica]",
"[Base].[Metrica].&amp;[" &amp; $A63 &amp; "]",
"[Base].[SEGMENTO_DESCRIP]",
"[Base].[SEGMENTO_DESCRIP].&amp;[" &amp; $C$6 &amp; "]",
"[Base].[SITUACION]",
"[Base].[SITUACION].&amp;[" &amp; $C63 &amp; "]"
),0)/1000</f>
        <v>314.01419314893479</v>
      </c>
      <c r="I63" s="8">
        <f>IFERROR(
GETPIVOTDATA(
"[Base].[Importe]",
TDinamica_R!$A$5,
"[Calendario].[AñoMes]",
"[Calendario].[AñoMes].&amp;[" &amp; TEXT(I$6,"yyyymm") &amp; "]",
"[Base].[Metrica]",
"[Base].[Metrica].&amp;[" &amp; $A63 &amp; "]",
"[Base].[SEGMENTO_DESCRIP]",
"[Base].[SEGMENTO_DESCRIP].&amp;[" &amp; $C$6 &amp; "]",
"[Base].[SITUACION]",
"[Base].[SITUACION].&amp;[" &amp; $C63 &amp; "]"
),0)/1000</f>
        <v>271.78905224124787</v>
      </c>
      <c r="J63" s="8">
        <f>IFERROR(
GETPIVOTDATA(
"[Base].[Importe]",
TDinamica_R!$A$5,
"[Calendario].[AñoMes]",
"[Calendario].[AñoMes].&amp;[" &amp; TEXT(J$6,"yyyymm") &amp; "]",
"[Base].[Metrica]",
"[Base].[Metrica].&amp;[" &amp; $A63 &amp; "]",
"[Base].[SEGMENTO_DESCRIP]",
"[Base].[SEGMENTO_DESCRIP].&amp;[" &amp; $C$6 &amp; "]",
"[Base].[SITUACION]",
"[Base].[SITUACION].&amp;[" &amp; $C63 &amp; "]"
),0)/1000</f>
        <v>309.79745077363413</v>
      </c>
      <c r="K63" s="8">
        <f>IFERROR(
GETPIVOTDATA(
"[Base].[Importe]",
TDinamica_R!$A$5,
"[Calendario].[AñoMes]",
"[Calendario].[AñoMes].&amp;[" &amp; TEXT(K$6,"yyyymm") &amp; "]",
"[Base].[Metrica]",
"[Base].[Metrica].&amp;[" &amp; $A63 &amp; "]",
"[Base].[SEGMENTO_DESCRIP]",
"[Base].[SEGMENTO_DESCRIP].&amp;[" &amp; $C$6 &amp; "]",
"[Base].[SITUACION]",
"[Base].[SITUACION].&amp;[" &amp; $C63 &amp; "]"
),0)/1000</f>
        <v>278.93544250735386</v>
      </c>
      <c r="L63" s="8">
        <f>IFERROR(
GETPIVOTDATA(
"[Base].[Importe]",
TDinamica_R!$A$5,
"[Calendario].[AñoMes]",
"[Calendario].[AñoMes].&amp;[" &amp; TEXT(L$6,"yyyymm") &amp; "]",
"[Base].[Metrica]",
"[Base].[Metrica].&amp;[" &amp; $A63 &amp; "]",
"[Base].[SEGMENTO_DESCRIP]",
"[Base].[SEGMENTO_DESCRIP].&amp;[" &amp; $C$6 &amp; "]",
"[Base].[SITUACION]",
"[Base].[SITUACION].&amp;[" &amp; $C63 &amp; "]"
),0)/1000</f>
        <v>286.10056684193904</v>
      </c>
      <c r="M63" s="8">
        <f>IFERROR(
GETPIVOTDATA(
"[Base].[Importe]",
TDinamica_R!$A$5,
"[Calendario].[AñoMes]",
"[Calendario].[AñoMes].&amp;[" &amp; TEXT(M$6,"yyyymm") &amp; "]",
"[Base].[Metrica]",
"[Base].[Metrica].&amp;[" &amp; $A63 &amp; "]",
"[Base].[SEGMENTO_DESCRIP]",
"[Base].[SEGMENTO_DESCRIP].&amp;[" &amp; $C$6 &amp; "]",
"[Base].[SITUACION]",
"[Base].[SITUACION].&amp;[" &amp; $C63 &amp; "]"
),0)/1000</f>
        <v>336.24211114128883</v>
      </c>
      <c r="N63" s="8">
        <f>IFERROR(
GETPIVOTDATA(
"[Base].[Importe]",
TDinamica_R!$A$5,
"[Calendario].[AñoMes]",
"[Calendario].[AñoMes].&amp;[" &amp; TEXT(N$6,"yyyymm") &amp; "]",
"[Base].[Metrica]",
"[Base].[Metrica].&amp;[" &amp; $A63 &amp; "]",
"[Base].[SEGMENTO_DESCRIP]",
"[Base].[SEGMENTO_DESCRIP].&amp;[" &amp; $C$6 &amp; "]",
"[Base].[SITUACION]",
"[Base].[SITUACION].&amp;[" &amp; $C63 &amp; "]"
),0)/1000</f>
        <v>157.49538540379203</v>
      </c>
      <c r="O63" s="8">
        <f>IFERROR(
GETPIVOTDATA(
"[Base].[Importe]",
TDinamica_R!$A$5,
"[Calendario].[AñoMes]",
"[Calendario].[AñoMes].&amp;[" &amp; TEXT(O$6,"yyyymm") &amp; "]",
"[Base].[Metrica]",
"[Base].[Metrica].&amp;[" &amp; $A63 &amp; "]",
"[Base].[SEGMENTO_DESCRIP]",
"[Base].[SEGMENTO_DESCRIP].&amp;[" &amp; $C$6 &amp; "]",
"[Base].[SITUACION]",
"[Base].[SITUACION].&amp;[" &amp; $C63 &amp; "]"
),0)/1000</f>
        <v>224.08759729398349</v>
      </c>
      <c r="P63" s="8">
        <f>IFERROR(
GETPIVOTDATA(
"[Base].[Importe]",
TDinamica_R!$A$5,
"[Calendario].[AñoMes]",
"[Calendario].[AñoMes].&amp;[" &amp; TEXT(P$6,"yyyymm") &amp; "]",
"[Base].[Metrica]",
"[Base].[Metrica].&amp;[" &amp; $A63 &amp; "]",
"[Base].[SEGMENTO_DESCRIP]",
"[Base].[SEGMENTO_DESCRIP].&amp;[" &amp; $C$6 &amp; "]",
"[Base].[SITUACION]",
"[Base].[SITUACION].&amp;[" &amp; $C63 &amp; "]"
),0)/1000</f>
        <v>203.05470819506795</v>
      </c>
      <c r="Q63" s="8">
        <f>IFERROR(
GETPIVOTDATA(
"[Base].[Importe]",
TDinamica_R!$A$5,
"[Calendario].[AñoMes]",
"[Calendario].[AñoMes].&amp;[" &amp; TEXT(Q$6,"yyyymm") &amp; "]",
"[Base].[Metrica]",
"[Base].[Metrica].&amp;[" &amp; $A63 &amp; "]",
"[Base].[SEGMENTO_DESCRIP]",
"[Base].[SEGMENTO_DESCRIP].&amp;[" &amp; $C$6 &amp; "]",
"[Base].[SITUACION]",
"[Base].[SITUACION].&amp;[" &amp; $C63 &amp; "]"
),0)/1000</f>
        <v>159.72240621656695</v>
      </c>
      <c r="R63" s="8">
        <f>IFERROR(
GETPIVOTDATA(
"[Base].[Importe]",
TDinamica_R!$A$5,
"[Calendario].[AñoMes]",
"[Calendario].[AñoMes].&amp;[" &amp; TEXT(R$6,"yyyymm") &amp; "]",
"[Base].[Metrica]",
"[Base].[Metrica].&amp;[" &amp; $A63 &amp; "]",
"[Base].[SEGMENTO_DESCRIP]",
"[Base].[SEGMENTO_DESCRIP].&amp;[" &amp; $C$6 &amp; "]",
"[Base].[SITUACION]",
"[Base].[SITUACION].&amp;[" &amp; $C63 &amp; "]"
),0)/1000</f>
        <v>243.84956583585642</v>
      </c>
      <c r="S63" s="8">
        <f>IFERROR(
GETPIVOTDATA(
"[Base].[Importe]",
TDinamica_R!$A$5,
"[Calendario].[AñoMes]",
"[Calendario].[AñoMes].&amp;[" &amp; TEXT(S$6,"yyyymm") &amp; "]",
"[Base].[Metrica]",
"[Base].[Metrica].&amp;[" &amp; $A63 &amp; "]",
"[Base].[SEGMENTO_DESCRIP]",
"[Base].[SEGMENTO_DESCRIP].&amp;[" &amp; $C$6 &amp; "]",
"[Base].[SITUACION]",
"[Base].[SITUACION].&amp;[" &amp; $C63 &amp; "]"
),0)/1000</f>
        <v>197.68529941864944</v>
      </c>
      <c r="T63" s="8">
        <f>IFERROR(
GETPIVOTDATA(
"[Base].[Importe]",
TDinamica_R!$A$5,
"[Calendario].[AñoMes]",
"[Calendario].[AñoMes].&amp;[" &amp; TEXT(T$6,"yyyymm") &amp; "]",
"[Base].[Metrica]",
"[Base].[Metrica].&amp;[" &amp; $A63 &amp; "]",
"[Base].[SEGMENTO_DESCRIP]",
"[Base].[SEGMENTO_DESCRIP].&amp;[" &amp; $C$6 &amp; "]",
"[Base].[SITUACION]",
"[Base].[SITUACION].&amp;[" &amp; $C63 &amp; "]"
),0)/1000</f>
        <v>255.72611389892248</v>
      </c>
      <c r="U63" s="8">
        <f>IFERROR(
GETPIVOTDATA(
"[Base].[Importe]",
TDinamica_R!$A$5,
"[Calendario].[AñoMes]",
"[Calendario].[AñoMes].&amp;[" &amp; TEXT(U$6,"yyyymm") &amp; "]",
"[Base].[Metrica]",
"[Base].[Metrica].&amp;[" &amp; $A63 &amp; "]",
"[Base].[SEGMENTO_DESCRIP]",
"[Base].[SEGMENTO_DESCRIP].&amp;[" &amp; $C$6 &amp; "]",
"[Base].[SITUACION]",
"[Base].[SITUACION].&amp;[" &amp; $C63 &amp; "]"
),0)/1000</f>
        <v>227.30322696461224</v>
      </c>
      <c r="V63" s="8">
        <f>IFERROR(
GETPIVOTDATA(
"[Base].[Importe]",
TDinamica_R!$A$5,
"[Calendario].[AñoMes]",
"[Calendario].[AñoMes].&amp;[" &amp; TEXT(V$6,"yyyymm") &amp; "]",
"[Base].[Metrica]",
"[Base].[Metrica].&amp;[" &amp; $A63 &amp; "]",
"[Base].[SEGMENTO_DESCRIP]",
"[Base].[SEGMENTO_DESCRIP].&amp;[" &amp; $C$6 &amp; "]",
"[Base].[SITUACION]",
"[Base].[SITUACION].&amp;[" &amp; $C63 &amp; "]"
),0)/1000</f>
        <v>278.61294139274315</v>
      </c>
      <c r="W63" s="8">
        <f>IFERROR(
GETPIVOTDATA(
"[Base].[Importe]",
TDinamica_R!$A$5,
"[Calendario].[AñoMes]",
"[Calendario].[AñoMes].&amp;[" &amp; TEXT(W$6,"yyyymm") &amp; "]",
"[Base].[Metrica]",
"[Base].[Metrica].&amp;[" &amp; $A63 &amp; "]",
"[Base].[SEGMENTO_DESCRIP]",
"[Base].[SEGMENTO_DESCRIP].&amp;[" &amp; $C$6 &amp; "]",
"[Base].[SITUACION]",
"[Base].[SITUACION].&amp;[" &amp; $C63 &amp; "]"
),0)/1000</f>
        <v>233.19132644513115</v>
      </c>
      <c r="X63" s="8">
        <f>IFERROR(
GETPIVOTDATA(
"[Base].[Importe]",
TDinamica_R!$A$5,
"[Calendario].[AñoMes]",
"[Calendario].[AñoMes].&amp;[" &amp; TEXT(X$6,"yyyymm") &amp; "]",
"[Base].[Metrica]",
"[Base].[Metrica].&amp;[" &amp; $A63 &amp; "]",
"[Base].[SEGMENTO_DESCRIP]",
"[Base].[SEGMENTO_DESCRIP].&amp;[" &amp; $C$6 &amp; "]",
"[Base].[SITUACION]",
"[Base].[SITUACION].&amp;[" &amp; $C63 &amp; "]"
),0)/1000</f>
        <v>173.31727355948448</v>
      </c>
      <c r="Y63" s="8">
        <f>IFERROR(
GETPIVOTDATA(
"[Base].[Importe]",
TDinamica_R!$A$5,
"[Calendario].[AñoMes]",
"[Calendario].[AñoMes].&amp;[" &amp; TEXT(Y$6,"yyyymm") &amp; "]",
"[Base].[Metrica]",
"[Base].[Metrica].&amp;[" &amp; $A63 &amp; "]",
"[Base].[SEGMENTO_DESCRIP]",
"[Base].[SEGMENTO_DESCRIP].&amp;[" &amp; $C$6 &amp; "]",
"[Base].[SITUACION]",
"[Base].[SITUACION].&amp;[" &amp; $C63 &amp; "]"
),0)/1000</f>
        <v>210.87572957365919</v>
      </c>
      <c r="Z63" s="8">
        <f>IFERROR(
GETPIVOTDATA(
"[Base].[Importe]",
TDinamica_R!$A$5,
"[Calendario].[AñoMes]",
"[Calendario].[AñoMes].&amp;[" &amp; TEXT(Z$6,"yyyymm") &amp; "]",
"[Base].[Metrica]",
"[Base].[Metrica].&amp;[" &amp; $A63 &amp; "]",
"[Base].[SEGMENTO_DESCRIP]",
"[Base].[SEGMENTO_DESCRIP].&amp;[" &amp; $C$6 &amp; "]",
"[Base].[SITUACION]",
"[Base].[SITUACION].&amp;[" &amp; $C63 &amp; "]"
),0)/1000</f>
        <v>56.238338756087039</v>
      </c>
      <c r="AA63" s="8">
        <f>IFERROR(
GETPIVOTDATA(
"[Base].[Importe]",
TDinamica_R!$A$5,
"[Calendario].[AñoMes]",
"[Calendario].[AñoMes].&amp;[" &amp; TEXT(AA$6,"yyyymm") &amp; "]",
"[Base].[Metrica]",
"[Base].[Metrica].&amp;[" &amp; $A63 &amp; "]",
"[Base].[SEGMENTO_DESCRIP]",
"[Base].[SEGMENTO_DESCRIP].&amp;[" &amp; $C$6 &amp; "]",
"[Base].[SITUACION]",
"[Base].[SITUACION].&amp;[" &amp; $C63 &amp; "]"
),0)/1000</f>
        <v>235.2099056970587</v>
      </c>
      <c r="AB63" s="8">
        <f>IFERROR(
GETPIVOTDATA(
"[Base].[Importe]",
TDinamica_R!$A$5,
"[Calendario].[AñoMes]",
"[Calendario].[AñoMes].&amp;[" &amp; TEXT(AB$6,"yyyymm") &amp; "]",
"[Base].[Metrica]",
"[Base].[Metrica].&amp;[" &amp; $A63 &amp; "]",
"[Base].[SEGMENTO_DESCRIP]",
"[Base].[SEGMENTO_DESCRIP].&amp;[" &amp; $C$6 &amp; "]",
"[Base].[SITUACION]",
"[Base].[SITUACION].&amp;[" &amp; $C63 &amp; "]"
),0)/1000</f>
        <v>315.99851804625689</v>
      </c>
      <c r="AC63" s="8">
        <f>IFERROR(
GETPIVOTDATA(
"[Base].[Importe]",
TDinamica_R!$A$5,
"[Calendario].[AñoMes]",
"[Calendario].[AñoMes].&amp;[" &amp; TEXT(AC$6,"yyyymm") &amp; "]",
"[Base].[Metrica]",
"[Base].[Metrica].&amp;[" &amp; $A63 &amp; "]",
"[Base].[SEGMENTO_DESCRIP]",
"[Base].[SEGMENTO_DESCRIP].&amp;[" &amp; $C$6 &amp; "]",
"[Base].[SITUACION]",
"[Base].[SITUACION].&amp;[" &amp; $C63 &amp; "]"
),0)/1000</f>
        <v>196.57430429177421</v>
      </c>
      <c r="AD63" s="8">
        <f>IFERROR(
GETPIVOTDATA(
"[Base].[Importe]",
TDinamica_R!$A$5,
"[Calendario].[AñoMes]",
"[Calendario].[AñoMes].&amp;[" &amp; TEXT(AD$6,"yyyymm") &amp; "]",
"[Base].[Metrica]",
"[Base].[Metrica].&amp;[" &amp; $A63 &amp; "]",
"[Base].[SEGMENTO_DESCRIP]",
"[Base].[SEGMENTO_DESCRIP].&amp;[" &amp; $C$6 &amp; "]",
"[Base].[SITUACION]",
"[Base].[SITUACION].&amp;[" &amp; $C63 &amp; "]"
),0)/1000</f>
        <v>379.83197787854414</v>
      </c>
      <c r="AE63" s="8">
        <f>IFERROR(
GETPIVOTDATA(
"[Base].[Importe]",
TDinamica_R!$A$5,
"[Calendario].[AñoMes]",
"[Calendario].[AñoMes].&amp;[" &amp; TEXT(AE$6,"yyyymm") &amp; "]",
"[Base].[Metrica]",
"[Base].[Metrica].&amp;[" &amp; $A63 &amp; "]",
"[Base].[SEGMENTO_DESCRIP]",
"[Base].[SEGMENTO_DESCRIP].&amp;[" &amp; $C$6 &amp; "]",
"[Base].[SITUACION]",
"[Base].[SITUACION].&amp;[" &amp; $C63 &amp; "]"
),0)/1000</f>
        <v>274.97094371558069</v>
      </c>
      <c r="AF63" s="8">
        <f>IFERROR(
GETPIVOTDATA(
"[Base].[Importe]",
TDinamica_R!$A$5,
"[Calendario].[AñoMes]",
"[Calendario].[AñoMes].&amp;[" &amp; TEXT(AF$6,"yyyymm") &amp; "]",
"[Base].[Metrica]",
"[Base].[Metrica].&amp;[" &amp; $A63 &amp; "]",
"[Base].[SEGMENTO_DESCRIP]",
"[Base].[SEGMENTO_DESCRIP].&amp;[" &amp; $C$6 &amp; "]",
"[Base].[SITUACION]",
"[Base].[SITUACION].&amp;[" &amp; $C63 &amp; "]"
),0)/1000</f>
        <v>343.3545822809985</v>
      </c>
      <c r="AG63" s="8">
        <f>IFERROR(
GETPIVOTDATA(
"[Base].[Importe]",
TDinamica_R!$A$5,
"[Calendario].[AñoMes]",
"[Calendario].[AñoMes].&amp;[" &amp; TEXT(AG$6,"yyyymm") &amp; "]",
"[Base].[Metrica]",
"[Base].[Metrica].&amp;[" &amp; $A63 &amp; "]",
"[Base].[SEGMENTO_DESCRIP]",
"[Base].[SEGMENTO_DESCRIP].&amp;[" &amp; $C$6 &amp; "]",
"[Base].[SITUACION]",
"[Base].[SITUACION].&amp;[" &amp; $C63 &amp; "]"
),0)/1000</f>
        <v>287.13446337449682</v>
      </c>
      <c r="AH63" s="8">
        <f>IFERROR(
GETPIVOTDATA(
"[Base].[Importe]",
TDinamica_R!$A$5,
"[Calendario].[AñoMes]",
"[Calendario].[AñoMes].&amp;[" &amp; TEXT(AH$6,"yyyymm") &amp; "]",
"[Base].[Metrica]",
"[Base].[Metrica].&amp;[" &amp; $A63 &amp; "]",
"[Base].[SEGMENTO_DESCRIP]",
"[Base].[SEGMENTO_DESCRIP].&amp;[" &amp; $C$6 &amp; "]",
"[Base].[SITUACION]",
"[Base].[SITUACION].&amp;[" &amp; $C63 &amp; "]"
),0)/1000</f>
        <v>259.11638897598192</v>
      </c>
      <c r="AI63" s="8">
        <f>IFERROR(
GETPIVOTDATA(
"[Base].[Importe]",
TDinamica_R!$A$5,
"[Calendario].[AñoMes]",
"[Calendario].[AñoMes].&amp;[" &amp; TEXT(AI$6,"yyyymm") &amp; "]",
"[Base].[Metrica]",
"[Base].[Metrica].&amp;[" &amp; $A63 &amp; "]",
"[Base].[SEGMENTO_DESCRIP]",
"[Base].[SEGMENTO_DESCRIP].&amp;[" &amp; $C$6 &amp; "]",
"[Base].[SITUACION]",
"[Base].[SITUACION].&amp;[" &amp; $C63 &amp; "]"
),0)/1000</f>
        <v>297.43727832515924</v>
      </c>
      <c r="AJ63" s="8">
        <f>IFERROR(
GETPIVOTDATA(
"[Base].[Importe]",
TDinamica_R!$A$5,
"[Calendario].[AñoMes]",
"[Calendario].[AñoMes].&amp;[" &amp; TEXT(AJ$6,"yyyymm") &amp; "]",
"[Base].[Metrica]",
"[Base].[Metrica].&amp;[" &amp; $A63 &amp; "]",
"[Base].[SEGMENTO_DESCRIP]",
"[Base].[SEGMENTO_DESCRIP].&amp;[" &amp; $C$6 &amp; "]",
"[Base].[SITUACION]",
"[Base].[SITUACION].&amp;[" &amp; $C63 &amp; "]"
),0)/1000</f>
        <v>150.881791952572</v>
      </c>
      <c r="AK63" s="8">
        <f>IFERROR(
GETPIVOTDATA(
"[Base].[Importe]",
TDinamica_R!$A$5,
"[Calendario].[AñoMes]",
"[Calendario].[AñoMes].&amp;[" &amp; TEXT(AK$6,"yyyymm") &amp; "]",
"[Base].[Metrica]",
"[Base].[Metrica].&amp;[" &amp; $A63 &amp; "]",
"[Base].[SEGMENTO_DESCRIP]",
"[Base].[SEGMENTO_DESCRIP].&amp;[" &amp; $C$6 &amp; "]",
"[Base].[SITUACION]",
"[Base].[SITUACION].&amp;[" &amp; $C63 &amp; "]"
),0)/1000</f>
        <v>339.27245083976078</v>
      </c>
      <c r="AL63" s="8">
        <f>IFERROR(
GETPIVOTDATA(
"[Base].[Importe]",
TDinamica_R!$A$5,
"[Calendario].[AñoMes]",
"[Calendario].[AñoMes].&amp;[" &amp; TEXT(AL$6,"yyyymm") &amp; "]",
"[Base].[Metrica]",
"[Base].[Metrica].&amp;[" &amp; $A63 &amp; "]",
"[Base].[SEGMENTO_DESCRIP]",
"[Base].[SEGMENTO_DESCRIP].&amp;[" &amp; $C$6 &amp; "]",
"[Base].[SITUACION]",
"[Base].[SITUACION].&amp;[" &amp; $C63 &amp; "]"
),0)/1000</f>
        <v>414.94627388538191</v>
      </c>
      <c r="AM63" s="8">
        <f>IFERROR(
GETPIVOTDATA(
"[Base].[Importe]",
TDinamica_R!$A$5,
"[Calendario].[AñoMes]",
"[Calendario].[AñoMes].&amp;[" &amp; TEXT(AM$6,"yyyymm") &amp; "]",
"[Base].[Metrica]",
"[Base].[Metrica].&amp;[" &amp; $A63 &amp; "]",
"[Base].[SEGMENTO_DESCRIP]",
"[Base].[SEGMENTO_DESCRIP].&amp;[" &amp; $C$6 &amp; "]",
"[Base].[SITUACION]",
"[Base].[SITUACION].&amp;[" &amp; $C63 &amp; "]"
),0)/1000</f>
        <v>424.01257576402003</v>
      </c>
      <c r="AN63" s="8">
        <f>IFERROR(
GETPIVOTDATA(
"[Base].[Importe]",
TDinamica_R!$A$5,
"[Calendario].[AñoMes]",
"[Calendario].[AñoMes].&amp;[" &amp; TEXT(AN$6,"yyyymm") &amp; "]",
"[Base].[Metrica]",
"[Base].[Metrica].&amp;[" &amp; $A63 &amp; "]",
"[Base].[SEGMENTO_DESCRIP]",
"[Base].[SEGMENTO_DESCRIP].&amp;[" &amp; $C$6 &amp; "]",
"[Base].[SITUACION]",
"[Base].[SITUACION].&amp;[" &amp; $C63 &amp; "]"
),0)/1000</f>
        <v>383.70249559929681</v>
      </c>
      <c r="AO63" s="8">
        <f>IFERROR(
GETPIVOTDATA(
"[Base].[Importe]",
TDinamica_R!$A$5,
"[Calendario].[AñoMes]",
"[Calendario].[AñoMes].&amp;[" &amp; TEXT(AO$6,"yyyymm") &amp; "]",
"[Base].[Metrica]",
"[Base].[Metrica].&amp;[" &amp; $A63 &amp; "]",
"[Base].[SEGMENTO_DESCRIP]",
"[Base].[SEGMENTO_DESCRIP].&amp;[" &amp; $C$6 &amp; "]",
"[Base].[SITUACION]",
"[Base].[SITUACION].&amp;[" &amp; $C63 &amp; "]"
),0)/1000</f>
        <v>118.05116407035548</v>
      </c>
      <c r="AP63" s="8">
        <f>IFERROR(
GETPIVOTDATA(
"[Base].[Importe]",
TDinamica_R!$A$5,
"[Calendario].[AñoMes]",
"[Calendario].[AñoMes].&amp;[" &amp; TEXT(AP$6,"yyyymm") &amp; "]",
"[Base].[Metrica]",
"[Base].[Metrica].&amp;[" &amp; $A63 &amp; "]",
"[Base].[SEGMENTO_DESCRIP]",
"[Base].[SEGMENTO_DESCRIP].&amp;[" &amp; $C$6 &amp; "]",
"[Base].[SITUACION]",
"[Base].[SITUACION].&amp;[" &amp; $C63 &amp; "]"
),0)/1000</f>
        <v>460.20963771977512</v>
      </c>
      <c r="AQ63" s="8">
        <f>IFERROR(
GETPIVOTDATA(
"[Base].[Importe]",
TDinamica_R!$A$5,
"[Calendario].[AñoMes]",
"[Calendario].[AñoMes].&amp;[" &amp; TEXT(AQ$6,"yyyymm") &amp; "]",
"[Base].[Metrica]",
"[Base].[Metrica].&amp;[" &amp; $A63 &amp; "]",
"[Base].[SEGMENTO_DESCRIP]",
"[Base].[SEGMENTO_DESCRIP].&amp;[" &amp; $C$6 &amp; "]",
"[Base].[SITUACION]",
"[Base].[SITUACION].&amp;[" &amp; $C63 &amp; "]"
),0)/1000</f>
        <v>357.74377006609103</v>
      </c>
      <c r="AR63" s="8">
        <f>IFERROR(
GETPIVOTDATA(
"[Base].[Importe]",
TDinamica_R!$A$5,
"[Calendario].[AñoMes]",
"[Calendario].[AñoMes].&amp;[" &amp; TEXT(AR$6,"yyyymm") &amp; "]",
"[Base].[Metrica]",
"[Base].[Metrica].&amp;[" &amp; $A63 &amp; "]",
"[Base].[SEGMENTO_DESCRIP]",
"[Base].[SEGMENTO_DESCRIP].&amp;[" &amp; $C$6 &amp; "]",
"[Base].[SITUACION]",
"[Base].[SITUACION].&amp;[" &amp; $C63 &amp; "]"
),0)/1000</f>
        <v>492.79278150389575</v>
      </c>
      <c r="AS63" s="8">
        <f>IFERROR(
GETPIVOTDATA(
"[Base].[Importe]",
TDinamica_R!$A$5,
"[Calendario].[AñoMes]",
"[Calendario].[AñoMes].&amp;[" &amp; TEXT(AS$6,"yyyymm") &amp; "]",
"[Base].[Metrica]",
"[Base].[Metrica].&amp;[" &amp; $A63 &amp; "]",
"[Base].[SEGMENTO_DESCRIP]",
"[Base].[SEGMENTO_DESCRIP].&amp;[" &amp; $C$6 &amp; "]",
"[Base].[SITUACION]",
"[Base].[SITUACION].&amp;[" &amp; $C63 &amp; "]"
),0)/1000</f>
        <v>366.88148455462039</v>
      </c>
      <c r="AT63" s="8">
        <f>IFERROR(
GETPIVOTDATA(
"[Base].[Importe]",
TDinamica_R!$A$5,
"[Calendario].[AñoMes]",
"[Calendario].[AñoMes].&amp;[" &amp; TEXT(AT$6,"yyyymm")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U63" s="8">
        <f>IFERROR(
GETPIVOTDATA(
"[Base].[Importe]",
TDinamica_R!$A$5,
"[Calendario].[AñoMes]",
"[Calendario].[AñoMes].&amp;[" &amp; TEXT(AU$6,"yyyymm")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V63" s="8">
        <f>IFERROR(
GETPIVOTDATA(
"[Base].[Importe]",
TDinamica_R!$A$5,
"[Calendario].[AñoMes]",
"[Calendario].[AñoMes].&amp;[" &amp; TEXT(AV$6,"yyyymm")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W63" s="8">
        <f>IFERROR(
GETPIVOTDATA(
"[Base].[Importe]",
TDinamica_R!$A$5,
"[Calendario].[AñoMes]",
"[Calendario].[AñoMes].&amp;[" &amp; TEXT(AW$6,"yyyymm")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X63" s="8">
        <f>IFERROR(
GETPIVOTDATA(
"[Base].[Importe]",
TDinamica_R!$A$5,
"[Calendario].[AñoMes]",
"[Calendario].[AñoMes].&amp;[" &amp; TEXT(AX$6,"yyyymm")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Y63" s="8">
        <f>IFERROR(
GETPIVOTDATA(
"[Base].[Importe]",
TDinamica_R!$A$5,
"[Calendario].[AñoMes]",
"[Calendario].[AñoMes].&amp;[" &amp; TEXT(AY$6,"yyyymm")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Z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"[BASE_HIPO_PPTO].[Periodo]","[BASE_HIPO_PPTO].[Periodo].&amp;["&amp;TEXT(AZ$6,"yyyymm")&amp;"]"),
0)/1000</f>
        <v>306.76085142282255</v>
      </c>
      <c r="BA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"[BASE_HIPO_PPTO].[Periodo]","[BASE_HIPO_PPTO].[Periodo].&amp;["&amp;TEXT(BA$6,"yyyymm")&amp;"]"),
0)/1000</f>
        <v>306.76085142282255</v>
      </c>
      <c r="BB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"[BASE_HIPO_PPTO].[Periodo]","[BASE_HIPO_PPTO].[Periodo].&amp;["&amp;TEXT(BB$6,"yyyymm")&amp;"]"),
0)/1000</f>
        <v>306.76085142282255</v>
      </c>
      <c r="BC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"[BASE_HIPO_PPTO].[Periodo]","[BASE_HIPO_PPTO].[Periodo].&amp;["&amp;TEXT(BC$6,"yyyymm")&amp;"]"),
0)/1000</f>
        <v>306.76085142282255</v>
      </c>
      <c r="BD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"[BASE_HIPO_PPTO].[Periodo]","[BASE_HIPO_PPTO].[Periodo].&amp;["&amp;TEXT(BD$6,"yyyymm")&amp;"]"),
0)/1000</f>
        <v>306.76085142282255</v>
      </c>
      <c r="BE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"[BASE_HIPO_PPTO].[Periodo]","[BASE_HIPO_PPTO].[Periodo].&amp;["&amp;TEXT(BE$6,"yyyymm")&amp;"]"),
0)/1000</f>
        <v>306.76085142282255</v>
      </c>
      <c r="BF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"[BASE_HIPO_PPTO].[Periodo]","[BASE_HIPO_PPTO].[Periodo].&amp;["&amp;TEXT(BF$6,"yyyymm")&amp;"]"),
0)/1000</f>
        <v>306.76085142282255</v>
      </c>
      <c r="BG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"[BASE_HIPO_PPTO].[Periodo]","[BASE_HIPO_PPTO].[Periodo].&amp;["&amp;TEXT(BG$6,"yyyymm")&amp;"]"),
0)/1000</f>
        <v>306.76085142282255</v>
      </c>
      <c r="BH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"[BASE_HIPO_PPTO].[Periodo]","[BASE_HIPO_PPTO].[Periodo].&amp;["&amp;TEXT(BH$6,"yyyymm")&amp;"]"),
0)/1000</f>
        <v>306.76085142282255</v>
      </c>
      <c r="BI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"[BASE_HIPO_PPTO].[Periodo]","[BASE_HIPO_PPTO].[Periodo].&amp;["&amp;TEXT(BI$6,"yyyymm")&amp;"]"),
0)/1000</f>
        <v>306.76085142282255</v>
      </c>
      <c r="BJ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"[BASE_HIPO_PPTO].[Periodo]","[BASE_HIPO_PPTO].[Periodo].&amp;["&amp;TEXT(BJ$6,"yyyymm")&amp;"]"),
0)/1000</f>
        <v>306.76085142282255</v>
      </c>
      <c r="BK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"[BASE_HIPO_PPTO].[Periodo]","[BASE_HIPO_PPTO].[Periodo].&amp;["&amp;TEXT(BK$6,"yyyymm")&amp;"]"),
0)/1000</f>
        <v>306.76085142282255</v>
      </c>
      <c r="BO63" s="24">
        <f t="shared" ref="BO63:BT72" si="149">SUMIFS($D63:$BM63,$D$6:$BM$6,"&gt;="&amp;BO$2,$D$6:$BM$6,"&lt;="&amp;BO$6,$D$5:$BM$5,BO$5)</f>
        <v>961.96329738942745</v>
      </c>
      <c r="BP63" s="24">
        <f t="shared" si="149"/>
        <v>920.28255426846772</v>
      </c>
      <c r="BQ63" s="24">
        <f t="shared" si="149"/>
        <v>501.75365966965228</v>
      </c>
      <c r="BR63" s="24">
        <f t="shared" si="149"/>
        <v>892.40480021657527</v>
      </c>
      <c r="BS63" s="24">
        <f t="shared" si="149"/>
        <v>606.62668024749132</v>
      </c>
      <c r="BT63" s="24">
        <f t="shared" si="149"/>
        <v>919.77599711206256</v>
      </c>
    </row>
    <row r="64" spans="1:72" hidden="1" outlineLevel="1" x14ac:dyDescent="0.25">
      <c r="A64" s="11" t="s">
        <v>71</v>
      </c>
      <c r="C64" s="2" t="s">
        <v>75</v>
      </c>
      <c r="D64" s="8">
        <f>IFERROR(
GETPIVOTDATA(
"[Base].[Importe]",
TDinamica_R!$A$5,
"[Calendario].[AñoMes]",
"[Calendario].[AñoMes].&amp;[" &amp; TEXT(D$6,"yyyymm") &amp; "]",
"[Base].[Metrica]",
"[Base].[Metrica].&amp;[" &amp; $A64 &amp; "]",
"[Base].[SEGMENTO_DESCRIP]",
"[Base].[SEGMENTO_DESCRIP].&amp;[" &amp; $C$6 &amp; "]",
"[Base].[SITUACION]",
"[Base].[SITUACION].&amp;[" &amp; $C64 &amp; "]"
),0)/1000</f>
        <v>258.91034381999998</v>
      </c>
      <c r="E64" s="8">
        <f>IFERROR(
GETPIVOTDATA(
"[Base].[Importe]",
TDinamica_R!$A$5,
"[Calendario].[AñoMes]",
"[Calendario].[AñoMes].&amp;[" &amp; TEXT(E$6,"yyyymm") &amp; "]",
"[Base].[Metrica]",
"[Base].[Metrica].&amp;[" &amp; $A64 &amp; "]",
"[Base].[SEGMENTO_DESCRIP]",
"[Base].[SEGMENTO_DESCRIP].&amp;[" &amp; $C$6 &amp; "]",
"[Base].[SITUACION]",
"[Base].[SITUACION].&amp;[" &amp; $C64 &amp; "]"
),0)/1000</f>
        <v>242.31499608999999</v>
      </c>
      <c r="F64" s="8">
        <f>IFERROR(
GETPIVOTDATA(
"[Base].[Importe]",
TDinamica_R!$A$5,
"[Calendario].[AñoMes]",
"[Calendario].[AñoMes].&amp;[" &amp; TEXT(F$6,"yyyymm") &amp; "]",
"[Base].[Metrica]",
"[Base].[Metrica].&amp;[" &amp; $A64 &amp; "]",
"[Base].[SEGMENTO_DESCRIP]",
"[Base].[SEGMENTO_DESCRIP].&amp;[" &amp; $C$6 &amp; "]",
"[Base].[SITUACION]",
"[Base].[SITUACION].&amp;[" &amp; $C64 &amp; "]"
),0)/1000</f>
        <v>197.94173795</v>
      </c>
      <c r="G64" s="8">
        <f>IFERROR(
GETPIVOTDATA(
"[Base].[Importe]",
TDinamica_R!$A$5,
"[Calendario].[AñoMes]",
"[Calendario].[AñoMes].&amp;[" &amp; TEXT(G$6,"yyyymm") &amp; "]",
"[Base].[Metrica]",
"[Base].[Metrica].&amp;[" &amp; $A64 &amp; "]",
"[Base].[SEGMENTO_DESCRIP]",
"[Base].[SEGMENTO_DESCRIP].&amp;[" &amp; $C$6 &amp; "]",
"[Base].[SITUACION]",
"[Base].[SITUACION].&amp;[" &amp; $C64 &amp; "]"
),0)/1000</f>
        <v>275.78657205000002</v>
      </c>
      <c r="H64" s="8">
        <f>IFERROR(
GETPIVOTDATA(
"[Base].[Importe]",
TDinamica_R!$A$5,
"[Calendario].[AñoMes]",
"[Calendario].[AñoMes].&amp;[" &amp; TEXT(H$6,"yyyymm") &amp; "]",
"[Base].[Metrica]",
"[Base].[Metrica].&amp;[" &amp; $A64 &amp; "]",
"[Base].[SEGMENTO_DESCRIP]",
"[Base].[SEGMENTO_DESCRIP].&amp;[" &amp; $C$6 &amp; "]",
"[Base].[SITUACION]",
"[Base].[SITUACION].&amp;[" &amp; $C64 &amp; "]"
),0)/1000</f>
        <v>223.71093653</v>
      </c>
      <c r="I64" s="8">
        <f>IFERROR(
GETPIVOTDATA(
"[Base].[Importe]",
TDinamica_R!$A$5,
"[Calendario].[AñoMes]",
"[Calendario].[AñoMes].&amp;[" &amp; TEXT(I$6,"yyyymm") &amp; "]",
"[Base].[Metrica]",
"[Base].[Metrica].&amp;[" &amp; $A64 &amp; "]",
"[Base].[SEGMENTO_DESCRIP]",
"[Base].[SEGMENTO_DESCRIP].&amp;[" &amp; $C$6 &amp; "]",
"[Base].[SITUACION]",
"[Base].[SITUACION].&amp;[" &amp; $C64 &amp; "]"
),0)/1000</f>
        <v>259.91754438999999</v>
      </c>
      <c r="J64" s="8">
        <f>IFERROR(
GETPIVOTDATA(
"[Base].[Importe]",
TDinamica_R!$A$5,
"[Calendario].[AñoMes]",
"[Calendario].[AñoMes].&amp;[" &amp; TEXT(J$6,"yyyymm") &amp; "]",
"[Base].[Metrica]",
"[Base].[Metrica].&amp;[" &amp; $A64 &amp; "]",
"[Base].[SEGMENTO_DESCRIP]",
"[Base].[SEGMENTO_DESCRIP].&amp;[" &amp; $C$6 &amp; "]",
"[Base].[SITUACION]",
"[Base].[SITUACION].&amp;[" &amp; $C64 &amp; "]"
),0)/1000</f>
        <v>230.97896505999998</v>
      </c>
      <c r="K64" s="8">
        <f>IFERROR(
GETPIVOTDATA(
"[Base].[Importe]",
TDinamica_R!$A$5,
"[Calendario].[AñoMes]",
"[Calendario].[AñoMes].&amp;[" &amp; TEXT(K$6,"yyyymm") &amp; "]",
"[Base].[Metrica]",
"[Base].[Metrica].&amp;[" &amp; $A64 &amp; "]",
"[Base].[SEGMENTO_DESCRIP]",
"[Base].[SEGMENTO_DESCRIP].&amp;[" &amp; $C$6 &amp; "]",
"[Base].[SITUACION]",
"[Base].[SITUACION].&amp;[" &amp; $C64 &amp; "]"
),0)/1000</f>
        <v>255.91448251999998</v>
      </c>
      <c r="L64" s="8">
        <f>IFERROR(
GETPIVOTDATA(
"[Base].[Importe]",
TDinamica_R!$A$5,
"[Calendario].[AñoMes]",
"[Calendario].[AñoMes].&amp;[" &amp; TEXT(L$6,"yyyymm") &amp; "]",
"[Base].[Metrica]",
"[Base].[Metrica].&amp;[" &amp; $A64 &amp; "]",
"[Base].[SEGMENTO_DESCRIP]",
"[Base].[SEGMENTO_DESCRIP].&amp;[" &amp; $C$6 &amp; "]",
"[Base].[SITUACION]",
"[Base].[SITUACION].&amp;[" &amp; $C64 &amp; "]"
),0)/1000</f>
        <v>249.72110628000001</v>
      </c>
      <c r="M64" s="8">
        <f>IFERROR(
GETPIVOTDATA(
"[Base].[Importe]",
TDinamica_R!$A$5,
"[Calendario].[AñoMes]",
"[Calendario].[AñoMes].&amp;[" &amp; TEXT(M$6,"yyyymm") &amp; "]",
"[Base].[Metrica]",
"[Base].[Metrica].&amp;[" &amp; $A64 &amp; "]",
"[Base].[SEGMENTO_DESCRIP]",
"[Base].[SEGMENTO_DESCRIP].&amp;[" &amp; $C$6 &amp; "]",
"[Base].[SITUACION]",
"[Base].[SITUACION].&amp;[" &amp; $C64 &amp; "]"
),0)/1000</f>
        <v>232.42473502999999</v>
      </c>
      <c r="N64" s="8">
        <f>IFERROR(
GETPIVOTDATA(
"[Base].[Importe]",
TDinamica_R!$A$5,
"[Calendario].[AñoMes]",
"[Calendario].[AñoMes].&amp;[" &amp; TEXT(N$6,"yyyymm") &amp; "]",
"[Base].[Metrica]",
"[Base].[Metrica].&amp;[" &amp; $A64 &amp; "]",
"[Base].[SEGMENTO_DESCRIP]",
"[Base].[SEGMENTO_DESCRIP].&amp;[" &amp; $C$6 &amp; "]",
"[Base].[SITUACION]",
"[Base].[SITUACION].&amp;[" &amp; $C64 &amp; "]"
),0)/1000</f>
        <v>261.70503350999996</v>
      </c>
      <c r="O64" s="8">
        <f>IFERROR(
GETPIVOTDATA(
"[Base].[Importe]",
TDinamica_R!$A$5,
"[Calendario].[AñoMes]",
"[Calendario].[AñoMes].&amp;[" &amp; TEXT(O$6,"yyyymm") &amp; "]",
"[Base].[Metrica]",
"[Base].[Metrica].&amp;[" &amp; $A64 &amp; "]",
"[Base].[SEGMENTO_DESCRIP]",
"[Base].[SEGMENTO_DESCRIP].&amp;[" &amp; $C$6 &amp; "]",
"[Base].[SITUACION]",
"[Base].[SITUACION].&amp;[" &amp; $C64 &amp; "]"
),0)/1000</f>
        <v>232.01936441999999</v>
      </c>
      <c r="P64" s="8">
        <f>IFERROR(
GETPIVOTDATA(
"[Base].[Importe]",
TDinamica_R!$A$5,
"[Calendario].[AñoMes]",
"[Calendario].[AñoMes].&amp;[" &amp; TEXT(P$6,"yyyymm") &amp; "]",
"[Base].[Metrica]",
"[Base].[Metrica].&amp;[" &amp; $A64 &amp; "]",
"[Base].[SEGMENTO_DESCRIP]",
"[Base].[SEGMENTO_DESCRIP].&amp;[" &amp; $C$6 &amp; "]",
"[Base].[SITUACION]",
"[Base].[SITUACION].&amp;[" &amp; $C64 &amp; "]"
),0)/1000</f>
        <v>259.34532939000002</v>
      </c>
      <c r="Q64" s="8">
        <f>IFERROR(
GETPIVOTDATA(
"[Base].[Importe]",
TDinamica_R!$A$5,
"[Calendario].[AñoMes]",
"[Calendario].[AñoMes].&amp;[" &amp; TEXT(Q$6,"yyyymm") &amp; "]",
"[Base].[Metrica]",
"[Base].[Metrica].&amp;[" &amp; $A64 &amp; "]",
"[Base].[SEGMENTO_DESCRIP]",
"[Base].[SEGMENTO_DESCRIP].&amp;[" &amp; $C$6 &amp; "]",
"[Base].[SITUACION]",
"[Base].[SITUACION].&amp;[" &amp; $C64 &amp; "]"
),0)/1000</f>
        <v>245.84739137</v>
      </c>
      <c r="R64" s="8">
        <f>IFERROR(
GETPIVOTDATA(
"[Base].[Importe]",
TDinamica_R!$A$5,
"[Calendario].[AñoMes]",
"[Calendario].[AñoMes].&amp;[" &amp; TEXT(R$6,"yyyymm") &amp; "]",
"[Base].[Metrica]",
"[Base].[Metrica].&amp;[" &amp; $A64 &amp; "]",
"[Base].[SEGMENTO_DESCRIP]",
"[Base].[SEGMENTO_DESCRIP].&amp;[" &amp; $C$6 &amp; "]",
"[Base].[SITUACION]",
"[Base].[SITUACION].&amp;[" &amp; $C64 &amp; "]"
),0)/1000</f>
        <v>209.70853794000001</v>
      </c>
      <c r="S64" s="8">
        <f>IFERROR(
GETPIVOTDATA(
"[Base].[Importe]",
TDinamica_R!$A$5,
"[Calendario].[AñoMes]",
"[Calendario].[AñoMes].&amp;[" &amp; TEXT(S$6,"yyyymm") &amp; "]",
"[Base].[Metrica]",
"[Base].[Metrica].&amp;[" &amp; $A64 &amp; "]",
"[Base].[SEGMENTO_DESCRIP]",
"[Base].[SEGMENTO_DESCRIP].&amp;[" &amp; $C$6 &amp; "]",
"[Base].[SITUACION]",
"[Base].[SITUACION].&amp;[" &amp; $C64 &amp; "]"
),0)/1000</f>
        <v>278.52829061</v>
      </c>
      <c r="T64" s="8">
        <f>IFERROR(
GETPIVOTDATA(
"[Base].[Importe]",
TDinamica_R!$A$5,
"[Calendario].[AñoMes]",
"[Calendario].[AñoMes].&amp;[" &amp; TEXT(T$6,"yyyymm") &amp; "]",
"[Base].[Metrica]",
"[Base].[Metrica].&amp;[" &amp; $A64 &amp; "]",
"[Base].[SEGMENTO_DESCRIP]",
"[Base].[SEGMENTO_DESCRIP].&amp;[" &amp; $C$6 &amp; "]",
"[Base].[SITUACION]",
"[Base].[SITUACION].&amp;[" &amp; $C64 &amp; "]"
),0)/1000</f>
        <v>235.15185481000003</v>
      </c>
      <c r="U64" s="8">
        <f>IFERROR(
GETPIVOTDATA(
"[Base].[Importe]",
TDinamica_R!$A$5,
"[Calendario].[AñoMes]",
"[Calendario].[AñoMes].&amp;[" &amp; TEXT(U$6,"yyyymm") &amp; "]",
"[Base].[Metrica]",
"[Base].[Metrica].&amp;[" &amp; $A64 &amp; "]",
"[Base].[SEGMENTO_DESCRIP]",
"[Base].[SEGMENTO_DESCRIP].&amp;[" &amp; $C$6 &amp; "]",
"[Base].[SITUACION]",
"[Base].[SITUACION].&amp;[" &amp; $C64 &amp; "]"
),0)/1000</f>
        <v>244.38068307</v>
      </c>
      <c r="V64" s="8">
        <f>IFERROR(
GETPIVOTDATA(
"[Base].[Importe]",
TDinamica_R!$A$5,
"[Calendario].[AñoMes]",
"[Calendario].[AñoMes].&amp;[" &amp; TEXT(V$6,"yyyymm") &amp; "]",
"[Base].[Metrica]",
"[Base].[Metrica].&amp;[" &amp; $A64 &amp; "]",
"[Base].[SEGMENTO_DESCRIP]",
"[Base].[SEGMENTO_DESCRIP].&amp;[" &amp; $C$6 &amp; "]",
"[Base].[SITUACION]",
"[Base].[SITUACION].&amp;[" &amp; $C64 &amp; "]"
),0)/1000</f>
        <v>231.78664434000001</v>
      </c>
      <c r="W64" s="8">
        <f>IFERROR(
GETPIVOTDATA(
"[Base].[Importe]",
TDinamica_R!$A$5,
"[Calendario].[AñoMes]",
"[Calendario].[AñoMes].&amp;[" &amp; TEXT(W$6,"yyyymm") &amp; "]",
"[Base].[Metrica]",
"[Base].[Metrica].&amp;[" &amp; $A64 &amp; "]",
"[Base].[SEGMENTO_DESCRIP]",
"[Base].[SEGMENTO_DESCRIP].&amp;[" &amp; $C$6 &amp; "]",
"[Base].[SITUACION]",
"[Base].[SITUACION].&amp;[" &amp; $C64 &amp; "]"
),0)/1000</f>
        <v>250.73208389999999</v>
      </c>
      <c r="X64" s="8">
        <f>IFERROR(
GETPIVOTDATA(
"[Base].[Importe]",
TDinamica_R!$A$5,
"[Calendario].[AñoMes]",
"[Calendario].[AñoMes].&amp;[" &amp; TEXT(X$6,"yyyymm") &amp; "]",
"[Base].[Metrica]",
"[Base].[Metrica].&amp;[" &amp; $A64 &amp; "]",
"[Base].[SEGMENTO_DESCRIP]",
"[Base].[SEGMENTO_DESCRIP].&amp;[" &amp; $C$6 &amp; "]",
"[Base].[SITUACION]",
"[Base].[SITUACION].&amp;[" &amp; $C64 &amp; "]"
),0)/1000</f>
        <v>531.77035604000002</v>
      </c>
      <c r="Y64" s="8">
        <f>IFERROR(
GETPIVOTDATA(
"[Base].[Importe]",
TDinamica_R!$A$5,
"[Calendario].[AñoMes]",
"[Calendario].[AñoMes].&amp;[" &amp; TEXT(Y$6,"yyyymm") &amp; "]",
"[Base].[Metrica]",
"[Base].[Metrica].&amp;[" &amp; $A64 &amp; "]",
"[Base].[SEGMENTO_DESCRIP]",
"[Base].[SEGMENTO_DESCRIP].&amp;[" &amp; $C$6 &amp; "]",
"[Base].[SITUACION]",
"[Base].[SITUACION].&amp;[" &amp; $C64 &amp; "]"
),0)/1000</f>
        <v>-51.30867602</v>
      </c>
      <c r="Z64" s="8">
        <f>IFERROR(
GETPIVOTDATA(
"[Base].[Importe]",
TDinamica_R!$A$5,
"[Calendario].[AñoMes]",
"[Calendario].[AñoMes].&amp;[" &amp; TEXT(Z$6,"yyyymm") &amp; "]",
"[Base].[Metrica]",
"[Base].[Metrica].&amp;[" &amp; $A64 &amp; "]",
"[Base].[SEGMENTO_DESCRIP]",
"[Base].[SEGMENTO_DESCRIP].&amp;[" &amp; $C$6 &amp; "]",
"[Base].[SITUACION]",
"[Base].[SITUACION].&amp;[" &amp; $C64 &amp; "]"
),0)/1000</f>
        <v>261.45751537000001</v>
      </c>
      <c r="AA64" s="8">
        <f>IFERROR(
GETPIVOTDATA(
"[Base].[Importe]",
TDinamica_R!$A$5,
"[Calendario].[AñoMes]",
"[Calendario].[AñoMes].&amp;[" &amp; TEXT(AA$6,"yyyymm") &amp; "]",
"[Base].[Metrica]",
"[Base].[Metrica].&amp;[" &amp; $A64 &amp; "]",
"[Base].[SEGMENTO_DESCRIP]",
"[Base].[SEGMENTO_DESCRIP].&amp;[" &amp; $C$6 &amp; "]",
"[Base].[SITUACION]",
"[Base].[SITUACION].&amp;[" &amp; $C64 &amp; "]"
),0)/1000</f>
        <v>228.28096174000001</v>
      </c>
      <c r="AB64" s="8">
        <f>IFERROR(
GETPIVOTDATA(
"[Base].[Importe]",
TDinamica_R!$A$5,
"[Calendario].[AñoMes]",
"[Calendario].[AñoMes].&amp;[" &amp; TEXT(AB$6,"yyyymm") &amp; "]",
"[Base].[Metrica]",
"[Base].[Metrica].&amp;[" &amp; $A64 &amp; "]",
"[Base].[SEGMENTO_DESCRIP]",
"[Base].[SEGMENTO_DESCRIP].&amp;[" &amp; $C$6 &amp; "]",
"[Base].[SITUACION]",
"[Base].[SITUACION].&amp;[" &amp; $C64 &amp; "]"
),0)/1000</f>
        <v>292.88116638000002</v>
      </c>
      <c r="AC64" s="8">
        <f>IFERROR(
GETPIVOTDATA(
"[Base].[Importe]",
TDinamica_R!$A$5,
"[Calendario].[AñoMes]",
"[Calendario].[AñoMes].&amp;[" &amp; TEXT(AC$6,"yyyymm") &amp; "]",
"[Base].[Metrica]",
"[Base].[Metrica].&amp;[" &amp; $A64 &amp; "]",
"[Base].[SEGMENTO_DESCRIP]",
"[Base].[SEGMENTO_DESCRIP].&amp;[" &amp; $C$6 &amp; "]",
"[Base].[SITUACION]",
"[Base].[SITUACION].&amp;[" &amp; $C64 &amp; "]"
),0)/1000</f>
        <v>222.07235743999999</v>
      </c>
      <c r="AD64" s="8">
        <f>IFERROR(
GETPIVOTDATA(
"[Base].[Importe]",
TDinamica_R!$A$5,
"[Calendario].[AñoMes]",
"[Calendario].[AñoMes].&amp;[" &amp; TEXT(AD$6,"yyyymm") &amp; "]",
"[Base].[Metrica]",
"[Base].[Metrica].&amp;[" &amp; $A64 &amp; "]",
"[Base].[SEGMENTO_DESCRIP]",
"[Base].[SEGMENTO_DESCRIP].&amp;[" &amp; $C$6 &amp; "]",
"[Base].[SITUACION]",
"[Base].[SITUACION].&amp;[" &amp; $C64 &amp; "]"
),0)/1000</f>
        <v>175.85060928000001</v>
      </c>
      <c r="AE64" s="8">
        <f>IFERROR(
GETPIVOTDATA(
"[Base].[Importe]",
TDinamica_R!$A$5,
"[Calendario].[AñoMes]",
"[Calendario].[AñoMes].&amp;[" &amp; TEXT(AE$6,"yyyymm") &amp; "]",
"[Base].[Metrica]",
"[Base].[Metrica].&amp;[" &amp; $A64 &amp; "]",
"[Base].[SEGMENTO_DESCRIP]",
"[Base].[SEGMENTO_DESCRIP].&amp;[" &amp; $C$6 &amp; "]",
"[Base].[SITUACION]",
"[Base].[SITUACION].&amp;[" &amp; $C64 &amp; "]"
),0)/1000</f>
        <v>234.42436794</v>
      </c>
      <c r="AF64" s="8">
        <f>IFERROR(
GETPIVOTDATA(
"[Base].[Importe]",
TDinamica_R!$A$5,
"[Calendario].[AñoMes]",
"[Calendario].[AñoMes].&amp;[" &amp; TEXT(AF$6,"yyyymm") &amp; "]",
"[Base].[Metrica]",
"[Base].[Metrica].&amp;[" &amp; $A64 &amp; "]",
"[Base].[SEGMENTO_DESCRIP]",
"[Base].[SEGMENTO_DESCRIP].&amp;[" &amp; $C$6 &amp; "]",
"[Base].[SITUACION]",
"[Base].[SITUACION].&amp;[" &amp; $C64 &amp; "]"
),0)/1000</f>
        <v>222.45880081000001</v>
      </c>
      <c r="AG64" s="8">
        <f>IFERROR(
GETPIVOTDATA(
"[Base].[Importe]",
TDinamica_R!$A$5,
"[Calendario].[AñoMes]",
"[Calendario].[AñoMes].&amp;[" &amp; TEXT(AG$6,"yyyymm") &amp; "]",
"[Base].[Metrica]",
"[Base].[Metrica].&amp;[" &amp; $A64 &amp; "]",
"[Base].[SEGMENTO_DESCRIP]",
"[Base].[SEGMENTO_DESCRIP].&amp;[" &amp; $C$6 &amp; "]",
"[Base].[SITUACION]",
"[Base].[SITUACION].&amp;[" &amp; $C64 &amp; "]"
),0)/1000</f>
        <v>267.83126371000003</v>
      </c>
      <c r="AH64" s="8">
        <f>IFERROR(
GETPIVOTDATA(
"[Base].[Importe]",
TDinamica_R!$A$5,
"[Calendario].[AñoMes]",
"[Calendario].[AñoMes].&amp;[" &amp; TEXT(AH$6,"yyyymm") &amp; "]",
"[Base].[Metrica]",
"[Base].[Metrica].&amp;[" &amp; $A64 &amp; "]",
"[Base].[SEGMENTO_DESCRIP]",
"[Base].[SEGMENTO_DESCRIP].&amp;[" &amp; $C$6 &amp; "]",
"[Base].[SITUACION]",
"[Base].[SITUACION].&amp;[" &amp; $C64 &amp; "]"
),0)/1000</f>
        <v>228.91876163999999</v>
      </c>
      <c r="AI64" s="8">
        <f>IFERROR(
GETPIVOTDATA(
"[Base].[Importe]",
TDinamica_R!$A$5,
"[Calendario].[AñoMes]",
"[Calendario].[AñoMes].&amp;[" &amp; TEXT(AI$6,"yyyymm") &amp; "]",
"[Base].[Metrica]",
"[Base].[Metrica].&amp;[" &amp; $A64 &amp; "]",
"[Base].[SEGMENTO_DESCRIP]",
"[Base].[SEGMENTO_DESCRIP].&amp;[" &amp; $C$6 &amp; "]",
"[Base].[SITUACION]",
"[Base].[SITUACION].&amp;[" &amp; $C64 &amp; "]"
),0)/1000</f>
        <v>268.77230645000003</v>
      </c>
      <c r="AJ64" s="8">
        <f>IFERROR(
GETPIVOTDATA(
"[Base].[Importe]",
TDinamica_R!$A$5,
"[Calendario].[AñoMes]",
"[Calendario].[AñoMes].&amp;[" &amp; TEXT(AJ$6,"yyyymm") &amp; "]",
"[Base].[Metrica]",
"[Base].[Metrica].&amp;[" &amp; $A64 &amp; "]",
"[Base].[SEGMENTO_DESCRIP]",
"[Base].[SEGMENTO_DESCRIP].&amp;[" &amp; $C$6 &amp; "]",
"[Base].[SITUACION]",
"[Base].[SITUACION].&amp;[" &amp; $C64 &amp; "]"
),0)/1000</f>
        <v>242.03276106999999</v>
      </c>
      <c r="AK64" s="8">
        <f>IFERROR(
GETPIVOTDATA(
"[Base].[Importe]",
TDinamica_R!$A$5,
"[Calendario].[AñoMes]",
"[Calendario].[AñoMes].&amp;[" &amp; TEXT(AK$6,"yyyymm") &amp; "]",
"[Base].[Metrica]",
"[Base].[Metrica].&amp;[" &amp; $A64 &amp; "]",
"[Base].[SEGMENTO_DESCRIP]",
"[Base].[SEGMENTO_DESCRIP].&amp;[" &amp; $C$6 &amp; "]",
"[Base].[SITUACION]",
"[Base].[SITUACION].&amp;[" &amp; $C64 &amp; "]"
),0)/1000</f>
        <v>229.20238483</v>
      </c>
      <c r="AL64" s="8">
        <f>IFERROR(
GETPIVOTDATA(
"[Base].[Importe]",
TDinamica_R!$A$5,
"[Calendario].[AñoMes]",
"[Calendario].[AñoMes].&amp;[" &amp; TEXT(AL$6,"yyyymm") &amp; "]",
"[Base].[Metrica]",
"[Base].[Metrica].&amp;[" &amp; $A64 &amp; "]",
"[Base].[SEGMENTO_DESCRIP]",
"[Base].[SEGMENTO_DESCRIP].&amp;[" &amp; $C$6 &amp; "]",
"[Base].[SITUACION]",
"[Base].[SITUACION].&amp;[" &amp; $C64 &amp; "]"
),0)/1000</f>
        <v>289.24401768000001</v>
      </c>
      <c r="AM64" s="8">
        <f>IFERROR(
GETPIVOTDATA(
"[Base].[Importe]",
TDinamica_R!$A$5,
"[Calendario].[AñoMes]",
"[Calendario].[AñoMes].&amp;[" &amp; TEXT(AM$6,"yyyymm") &amp; "]",
"[Base].[Metrica]",
"[Base].[Metrica].&amp;[" &amp; $A64 &amp; "]",
"[Base].[SEGMENTO_DESCRIP]",
"[Base].[SEGMENTO_DESCRIP].&amp;[" &amp; $C$6 &amp; "]",
"[Base].[SITUACION]",
"[Base].[SITUACION].&amp;[" &amp; $C64 &amp; "]"
),0)/1000</f>
        <v>227.855272257</v>
      </c>
      <c r="AN64" s="8">
        <f>IFERROR(
GETPIVOTDATA(
"[Base].[Importe]",
TDinamica_R!$A$5,
"[Calendario].[AñoMes]",
"[Calendario].[AñoMes].&amp;[" &amp; TEXT(AN$6,"yyyymm") &amp; "]",
"[Base].[Metrica]",
"[Base].[Metrica].&amp;[" &amp; $A64 &amp; "]",
"[Base].[SEGMENTO_DESCRIP]",
"[Base].[SEGMENTO_DESCRIP].&amp;[" &amp; $C$6 &amp; "]",
"[Base].[SITUACION]",
"[Base].[SITUACION].&amp;[" &amp; $C64 &amp; "]"
),0)/1000</f>
        <v>261.28392763076016</v>
      </c>
      <c r="AO64" s="8">
        <f>IFERROR(
GETPIVOTDATA(
"[Base].[Importe]",
TDinamica_R!$A$5,
"[Calendario].[AñoMes]",
"[Calendario].[AñoMes].&amp;[" &amp; TEXT(AO$6,"yyyymm") &amp; "]",
"[Base].[Metrica]",
"[Base].[Metrica].&amp;[" &amp; $A64 &amp; "]",
"[Base].[SEGMENTO_DESCRIP]",
"[Base].[SEGMENTO_DESCRIP].&amp;[" &amp; $C$6 &amp; "]",
"[Base].[SITUACION]",
"[Base].[SITUACION].&amp;[" &amp; $C64 &amp; "]"
),0)/1000</f>
        <v>238.68318888897244</v>
      </c>
      <c r="AP64" s="8">
        <f>IFERROR(
GETPIVOTDATA(
"[Base].[Importe]",
TDinamica_R!$A$5,
"[Calendario].[AñoMes]",
"[Calendario].[AñoMes].&amp;[" &amp; TEXT(AP$6,"yyyymm") &amp; "]",
"[Base].[Metrica]",
"[Base].[Metrica].&amp;[" &amp; $A64 &amp; "]",
"[Base].[SEGMENTO_DESCRIP]",
"[Base].[SEGMENTO_DESCRIP].&amp;[" &amp; $C$6 &amp; "]",
"[Base].[SITUACION]",
"[Base].[SITUACION].&amp;[" &amp; $C64 &amp; "]"
),0)/1000</f>
        <v>198.93165591817277</v>
      </c>
      <c r="AQ64" s="8">
        <f>IFERROR(
GETPIVOTDATA(
"[Base].[Importe]",
TDinamica_R!$A$5,
"[Calendario].[AñoMes]",
"[Calendario].[AñoMes].&amp;[" &amp; TEXT(AQ$6,"yyyymm") &amp; "]",
"[Base].[Metrica]",
"[Base].[Metrica].&amp;[" &amp; $A64 &amp; "]",
"[Base].[SEGMENTO_DESCRIP]",
"[Base].[SEGMENTO_DESCRIP].&amp;[" &amp; $C$6 &amp; "]",
"[Base].[SITUACION]",
"[Base].[SITUACION].&amp;[" &amp; $C64 &amp; "]"
),0)/1000</f>
        <v>272.63171724544912</v>
      </c>
      <c r="AR64" s="8">
        <f>IFERROR(
GETPIVOTDATA(
"[Base].[Importe]",
TDinamica_R!$A$5,
"[Calendario].[AñoMes]",
"[Calendario].[AñoMes].&amp;[" &amp; TEXT(AR$6,"yyyymm") &amp; "]",
"[Base].[Metrica]",
"[Base].[Metrica].&amp;[" &amp; $A64 &amp; "]",
"[Base].[SEGMENTO_DESCRIP]",
"[Base].[SEGMENTO_DESCRIP].&amp;[" &amp; $C$6 &amp; "]",
"[Base].[SITUACION]",
"[Base].[SITUACION].&amp;[" &amp; $C64 &amp; "]"
),0)/1000</f>
        <v>224.54806247116491</v>
      </c>
      <c r="AS64" s="8">
        <f>IFERROR(
GETPIVOTDATA(
"[Base].[Importe]",
TDinamica_R!$A$5,
"[Calendario].[AñoMes]",
"[Calendario].[AñoMes].&amp;[" &amp; TEXT(AS$6,"yyyymm") &amp; "]",
"[Base].[Metrica]",
"[Base].[Metrica].&amp;[" &amp; $A64 &amp; "]",
"[Base].[SEGMENTO_DESCRIP]",
"[Base].[SEGMENTO_DESCRIP].&amp;[" &amp; $C$6 &amp; "]",
"[Base].[SITUACION]",
"[Base].[SITUACION].&amp;[" &amp; $C64 &amp; "]"
),0)/1000</f>
        <v>246.93038784909163</v>
      </c>
      <c r="AT64" s="8">
        <f>IFERROR(
GETPIVOTDATA(
"[Base].[Importe]",
TDinamica_R!$A$5,
"[Calendario].[AñoMes]",
"[Calendario].[AñoMes].&amp;[" &amp; TEXT(AT$6,"yyyymm")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U64" s="8">
        <f>IFERROR(
GETPIVOTDATA(
"[Base].[Importe]",
TDinamica_R!$A$5,
"[Calendario].[AñoMes]",
"[Calendario].[AñoMes].&amp;[" &amp; TEXT(AU$6,"yyyymm")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V64" s="8">
        <f>IFERROR(
GETPIVOTDATA(
"[Base].[Importe]",
TDinamica_R!$A$5,
"[Calendario].[AñoMes]",
"[Calendario].[AñoMes].&amp;[" &amp; TEXT(AV$6,"yyyymm")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W64" s="8">
        <f>IFERROR(
GETPIVOTDATA(
"[Base].[Importe]",
TDinamica_R!$A$5,
"[Calendario].[AñoMes]",
"[Calendario].[AñoMes].&amp;[" &amp; TEXT(AW$6,"yyyymm")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X64" s="8">
        <f>IFERROR(
GETPIVOTDATA(
"[Base].[Importe]",
TDinamica_R!$A$5,
"[Calendario].[AñoMes]",
"[Calendario].[AñoMes].&amp;[" &amp; TEXT(AX$6,"yyyymm")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Y64" s="8">
        <f>IFERROR(
GETPIVOTDATA(
"[Base].[Importe]",
TDinamica_R!$A$5,
"[Calendario].[AñoMes]",
"[Calendario].[AñoMes].&amp;[" &amp; TEXT(AY$6,"yyyymm")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Z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"[BASE_HIPO_PPTO].[Periodo]","[BASE_HIPO_PPTO].[Periodo].&amp;["&amp;TEXT(AZ$6,"yyyymm")&amp;"]"),
0)/1000</f>
        <v>225.83784202408961</v>
      </c>
      <c r="BA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"[BASE_HIPO_PPTO].[Periodo]","[BASE_HIPO_PPTO].[Periodo].&amp;["&amp;TEXT(BA$6,"yyyymm")&amp;"]"),
0)/1000</f>
        <v>227.01786464494867</v>
      </c>
      <c r="BB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"[BASE_HIPO_PPTO].[Periodo]","[BASE_HIPO_PPTO].[Periodo].&amp;["&amp;TEXT(BB$6,"yyyymm")&amp;"]"),
0)/1000</f>
        <v>227.93469758226681</v>
      </c>
      <c r="BC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"[BASE_HIPO_PPTO].[Periodo]","[BASE_HIPO_PPTO].[Periodo].&amp;["&amp;TEXT(BC$6,"yyyymm")&amp;"]"),
0)/1000</f>
        <v>229.02128774070809</v>
      </c>
      <c r="BD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"[BASE_HIPO_PPTO].[Periodo]","[BASE_HIPO_PPTO].[Periodo].&amp;["&amp;TEXT(BD$6,"yyyymm")&amp;"]"),
0)/1000</f>
        <v>230.36074575977483</v>
      </c>
      <c r="BE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"[BASE_HIPO_PPTO].[Periodo]","[BASE_HIPO_PPTO].[Periodo].&amp;["&amp;TEXT(BE$6,"yyyymm")&amp;"]"),
0)/1000</f>
        <v>231.89500913784366</v>
      </c>
      <c r="BF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"[BASE_HIPO_PPTO].[Periodo]","[BASE_HIPO_PPTO].[Periodo].&amp;["&amp;TEXT(BF$6,"yyyymm")&amp;"]"),
0)/1000</f>
        <v>233.23681146097908</v>
      </c>
      <c r="BG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"[BASE_HIPO_PPTO].[Periodo]","[BASE_HIPO_PPTO].[Periodo].&amp;["&amp;TEXT(BG$6,"yyyymm")&amp;"]"),
0)/1000</f>
        <v>235.13423583163035</v>
      </c>
      <c r="BH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"[BASE_HIPO_PPTO].[Periodo]","[BASE_HIPO_PPTO].[Periodo].&amp;["&amp;TEXT(BH$6,"yyyymm")&amp;"]"),
0)/1000</f>
        <v>236.95927297526211</v>
      </c>
      <c r="BI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"[BASE_HIPO_PPTO].[Periodo]","[BASE_HIPO_PPTO].[Periodo].&amp;["&amp;TEXT(BI$6,"yyyymm")&amp;"]"),
0)/1000</f>
        <v>239.23772231143218</v>
      </c>
      <c r="BJ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"[BASE_HIPO_PPTO].[Periodo]","[BASE_HIPO_PPTO].[Periodo].&amp;["&amp;TEXT(BJ$6,"yyyymm")&amp;"]"),
0)/1000</f>
        <v>241.10320952950173</v>
      </c>
      <c r="BK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"[BASE_HIPO_PPTO].[Periodo]","[BASE_HIPO_PPTO].[Periodo].&amp;["&amp;TEXT(BK$6,"yyyymm")&amp;"]"),
0)/1000</f>
        <v>242.69564686679936</v>
      </c>
      <c r="BO64" s="24">
        <f t="shared" si="149"/>
        <v>698.89877243790534</v>
      </c>
      <c r="BP64" s="24">
        <f t="shared" si="149"/>
        <v>680.79040425130506</v>
      </c>
      <c r="BQ64" s="24">
        <f t="shared" si="149"/>
        <v>499.9671165197326</v>
      </c>
      <c r="BR64" s="24">
        <f t="shared" si="149"/>
        <v>690.80413309999994</v>
      </c>
      <c r="BS64" s="24">
        <f t="shared" si="149"/>
        <v>714.90125870000008</v>
      </c>
      <c r="BT64" s="24">
        <f t="shared" si="149"/>
        <v>699.16707786000006</v>
      </c>
    </row>
    <row r="65" spans="1:72" hidden="1" outlineLevel="1" x14ac:dyDescent="0.25">
      <c r="A65" s="11" t="s">
        <v>71</v>
      </c>
      <c r="C65" s="2" t="s">
        <v>128</v>
      </c>
      <c r="D65" s="8">
        <f>IFERROR(
GETPIVOTDATA(
"[Base].[Importe]",
TDinamica_R!$A$5,
"[Calendario].[AñoMes]",
"[Calendario].[AñoMes].&amp;[" &amp; TEXT(D$6,"yyyymm") &amp; "]",
"[Base].[Metrica]",
"[Base].[Metrica].&amp;[" &amp; $A65 &amp; "]",
"[Base].[SEGMENTO_DESCRIP]",
"[Base].[SEGMENTO_DESCRIP].&amp;[" &amp; $C$6 &amp; "]",
"[Base].[SITUACION]",
"[Base].[SITUACION].&amp;[" &amp; $C65 &amp; "]"
),0)/1000</f>
        <v>-27.887021802999996</v>
      </c>
      <c r="E65" s="8">
        <f>IFERROR(
GETPIVOTDATA(
"[Base].[Importe]",
TDinamica_R!$A$5,
"[Calendario].[AñoMes]",
"[Calendario].[AñoMes].&amp;[" &amp; TEXT(E$6,"yyyymm") &amp; "]",
"[Base].[Metrica]",
"[Base].[Metrica].&amp;[" &amp; $A65 &amp; "]",
"[Base].[SEGMENTO_DESCRIP]",
"[Base].[SEGMENTO_DESCRIP].&amp;[" &amp; $C$6 &amp; "]",
"[Base].[SITUACION]",
"[Base].[SITUACION].&amp;[" &amp; $C65 &amp; "]"
),0)/1000</f>
        <v>-15.464757406000018</v>
      </c>
      <c r="F65" s="8">
        <f>IFERROR(
GETPIVOTDATA(
"[Base].[Importe]",
TDinamica_R!$A$5,
"[Calendario].[AñoMes]",
"[Calendario].[AñoMes].&amp;[" &amp; TEXT(F$6,"yyyymm") &amp; "]",
"[Base].[Metrica]",
"[Base].[Metrica].&amp;[" &amp; $A65 &amp; "]",
"[Base].[SEGMENTO_DESCRIP]",
"[Base].[SEGMENTO_DESCRIP].&amp;[" &amp; $C$6 &amp; "]",
"[Base].[SITUACION]",
"[Base].[SITUACION].&amp;[" &amp; $C65 &amp; "]"
),0)/1000</f>
        <v>-50.647257366000019</v>
      </c>
      <c r="G65" s="8">
        <f>IFERROR(
GETPIVOTDATA(
"[Base].[Importe]",
TDinamica_R!$A$5,
"[Calendario].[AñoMes]",
"[Calendario].[AñoMes].&amp;[" &amp; TEXT(G$6,"yyyymm") &amp; "]",
"[Base].[Metrica]",
"[Base].[Metrica].&amp;[" &amp; $A65 &amp; "]",
"[Base].[SEGMENTO_DESCRIP]",
"[Base].[SEGMENTO_DESCRIP].&amp;[" &amp; $C$6 &amp; "]",
"[Base].[SITUACION]",
"[Base].[SITUACION].&amp;[" &amp; $C65 &amp; "]"
),0)/1000</f>
        <v>-61.852667281000009</v>
      </c>
      <c r="H65" s="8">
        <f>IFERROR(
GETPIVOTDATA(
"[Base].[Importe]",
TDinamica_R!$A$5,
"[Calendario].[AñoMes]",
"[Calendario].[AñoMes].&amp;[" &amp; TEXT(H$6,"yyyymm") &amp; "]",
"[Base].[Metrica]",
"[Base].[Metrica].&amp;[" &amp; $A65 &amp; "]",
"[Base].[SEGMENTO_DESCRIP]",
"[Base].[SEGMENTO_DESCRIP].&amp;[" &amp; $C$6 &amp; "]",
"[Base].[SITUACION]",
"[Base].[SITUACION].&amp;[" &amp; $C65 &amp; "]"
),0)/1000</f>
        <v>-100.90290331100002</v>
      </c>
      <c r="I65" s="8">
        <f>IFERROR(
GETPIVOTDATA(
"[Base].[Importe]",
TDinamica_R!$A$5,
"[Calendario].[AñoMes]",
"[Calendario].[AñoMes].&amp;[" &amp; TEXT(I$6,"yyyymm") &amp; "]",
"[Base].[Metrica]",
"[Base].[Metrica].&amp;[" &amp; $A65 &amp; "]",
"[Base].[SEGMENTO_DESCRIP]",
"[Base].[SEGMENTO_DESCRIP].&amp;[" &amp; $C$6 &amp; "]",
"[Base].[SITUACION]",
"[Base].[SITUACION].&amp;[" &amp; $C65 &amp; "]"
),0)/1000</f>
        <v>-158.59485100500001</v>
      </c>
      <c r="J65" s="8">
        <f>IFERROR(
GETPIVOTDATA(
"[Base].[Importe]",
TDinamica_R!$A$5,
"[Calendario].[AñoMes]",
"[Calendario].[AñoMes].&amp;[" &amp; TEXT(J$6,"yyyymm") &amp; "]",
"[Base].[Metrica]",
"[Base].[Metrica].&amp;[" &amp; $A65 &amp; "]",
"[Base].[SEGMENTO_DESCRIP]",
"[Base].[SEGMENTO_DESCRIP].&amp;[" &amp; $C$6 &amp; "]",
"[Base].[SITUACION]",
"[Base].[SITUACION].&amp;[" &amp; $C65 &amp; "]"
),0)/1000</f>
        <v>-165.67344410429999</v>
      </c>
      <c r="K65" s="8">
        <f>IFERROR(
GETPIVOTDATA(
"[Base].[Importe]",
TDinamica_R!$A$5,
"[Calendario].[AñoMes]",
"[Calendario].[AñoMes].&amp;[" &amp; TEXT(K$6,"yyyymm") &amp; "]",
"[Base].[Metrica]",
"[Base].[Metrica].&amp;[" &amp; $A65 &amp; "]",
"[Base].[SEGMENTO_DESCRIP]",
"[Base].[SEGMENTO_DESCRIP].&amp;[" &amp; $C$6 &amp; "]",
"[Base].[SITUACION]",
"[Base].[SITUACION].&amp;[" &amp; $C65 &amp; "]"
),0)/1000</f>
        <v>-145.84277306699997</v>
      </c>
      <c r="L65" s="8">
        <f>IFERROR(
GETPIVOTDATA(
"[Base].[Importe]",
TDinamica_R!$A$5,
"[Calendario].[AñoMes]",
"[Calendario].[AñoMes].&amp;[" &amp; TEXT(L$6,"yyyymm") &amp; "]",
"[Base].[Metrica]",
"[Base].[Metrica].&amp;[" &amp; $A65 &amp; "]",
"[Base].[SEGMENTO_DESCRIP]",
"[Base].[SEGMENTO_DESCRIP].&amp;[" &amp; $C$6 &amp; "]",
"[Base].[SITUACION]",
"[Base].[SITUACION].&amp;[" &amp; $C65 &amp; "]"
),0)/1000</f>
        <v>-234.95123698519996</v>
      </c>
      <c r="M65" s="8">
        <f>IFERROR(
GETPIVOTDATA(
"[Base].[Importe]",
TDinamica_R!$A$5,
"[Calendario].[AñoMes]",
"[Calendario].[AñoMes].&amp;[" &amp; TEXT(M$6,"yyyymm") &amp; "]",
"[Base].[Metrica]",
"[Base].[Metrica].&amp;[" &amp; $A65 &amp; "]",
"[Base].[SEGMENTO_DESCRIP]",
"[Base].[SEGMENTO_DESCRIP].&amp;[" &amp; $C$6 &amp; "]",
"[Base].[SITUACION]",
"[Base].[SITUACION].&amp;[" &amp; $C65 &amp; "]"
),0)/1000</f>
        <v>-139.36855185720199</v>
      </c>
      <c r="N65" s="8">
        <f>IFERROR(
GETPIVOTDATA(
"[Base].[Importe]",
TDinamica_R!$A$5,
"[Calendario].[AñoMes]",
"[Calendario].[AñoMes].&amp;[" &amp; TEXT(N$6,"yyyymm") &amp; "]",
"[Base].[Metrica]",
"[Base].[Metrica].&amp;[" &amp; $A65 &amp; "]",
"[Base].[SEGMENTO_DESCRIP]",
"[Base].[SEGMENTO_DESCRIP].&amp;[" &amp; $C$6 &amp; "]",
"[Base].[SITUACION]",
"[Base].[SITUACION].&amp;[" &amp; $C65 &amp; "]"
),0)/1000</f>
        <v>-139.31890330899998</v>
      </c>
      <c r="O65" s="8">
        <f>IFERROR(
GETPIVOTDATA(
"[Base].[Importe]",
TDinamica_R!$A$5,
"[Calendario].[AñoMes]",
"[Calendario].[AñoMes].&amp;[" &amp; TEXT(O$6,"yyyymm") &amp; "]",
"[Base].[Metrica]",
"[Base].[Metrica].&amp;[" &amp; $A65 &amp; "]",
"[Base].[SEGMENTO_DESCRIP]",
"[Base].[SEGMENTO_DESCRIP].&amp;[" &amp; $C$6 &amp; "]",
"[Base].[SITUACION]",
"[Base].[SITUACION].&amp;[" &amp; $C65 &amp; "]"
),0)/1000</f>
        <v>-50.955370655000017</v>
      </c>
      <c r="P65" s="8">
        <f>IFERROR(
GETPIVOTDATA(
"[Base].[Importe]",
TDinamica_R!$A$5,
"[Calendario].[AñoMes]",
"[Calendario].[AñoMes].&amp;[" &amp; TEXT(P$6,"yyyymm") &amp; "]",
"[Base].[Metrica]",
"[Base].[Metrica].&amp;[" &amp; $A65 &amp; "]",
"[Base].[SEGMENTO_DESCRIP]",
"[Base].[SEGMENTO_DESCRIP].&amp;[" &amp; $C$6 &amp; "]",
"[Base].[SITUACION]",
"[Base].[SITUACION].&amp;[" &amp; $C65 &amp; "]"
),0)/1000</f>
        <v>-137.99173787779998</v>
      </c>
      <c r="Q65" s="8">
        <f>IFERROR(
GETPIVOTDATA(
"[Base].[Importe]",
TDinamica_R!$A$5,
"[Calendario].[AñoMes]",
"[Calendario].[AñoMes].&amp;[" &amp; TEXT(Q$6,"yyyymm") &amp; "]",
"[Base].[Metrica]",
"[Base].[Metrica].&amp;[" &amp; $A65 &amp; "]",
"[Base].[SEGMENTO_DESCRIP]",
"[Base].[SEGMENTO_DESCRIP].&amp;[" &amp; $C$6 &amp; "]",
"[Base].[SITUACION]",
"[Base].[SITUACION].&amp;[" &amp; $C65 &amp; "]"
),0)/1000</f>
        <v>-92.152740332700006</v>
      </c>
      <c r="R65" s="8">
        <f>IFERROR(
GETPIVOTDATA(
"[Base].[Importe]",
TDinamica_R!$A$5,
"[Calendario].[AñoMes]",
"[Calendario].[AñoMes].&amp;[" &amp; TEXT(R$6,"yyyymm") &amp; "]",
"[Base].[Metrica]",
"[Base].[Metrica].&amp;[" &amp; $A65 &amp; "]",
"[Base].[SEGMENTO_DESCRIP]",
"[Base].[SEGMENTO_DESCRIP].&amp;[" &amp; $C$6 &amp; "]",
"[Base].[SITUACION]",
"[Base].[SITUACION].&amp;[" &amp; $C65 &amp; "]"
),0)/1000</f>
        <v>-111.58170220799997</v>
      </c>
      <c r="S65" s="8">
        <f>IFERROR(
GETPIVOTDATA(
"[Base].[Importe]",
TDinamica_R!$A$5,
"[Calendario].[AñoMes]",
"[Calendario].[AñoMes].&amp;[" &amp; TEXT(S$6,"yyyymm") &amp; "]",
"[Base].[Metrica]",
"[Base].[Metrica].&amp;[" &amp; $A65 &amp; "]",
"[Base].[SEGMENTO_DESCRIP]",
"[Base].[SEGMENTO_DESCRIP].&amp;[" &amp; $C$6 &amp; "]",
"[Base].[SITUACION]",
"[Base].[SITUACION].&amp;[" &amp; $C65 &amp; "]"
),0)/1000</f>
        <v>-122.23002179699999</v>
      </c>
      <c r="T65" s="8">
        <f>IFERROR(
GETPIVOTDATA(
"[Base].[Importe]",
TDinamica_R!$A$5,
"[Calendario].[AñoMes]",
"[Calendario].[AñoMes].&amp;[" &amp; TEXT(T$6,"yyyymm") &amp; "]",
"[Base].[Metrica]",
"[Base].[Metrica].&amp;[" &amp; $A65 &amp; "]",
"[Base].[SEGMENTO_DESCRIP]",
"[Base].[SEGMENTO_DESCRIP].&amp;[" &amp; $C$6 &amp; "]",
"[Base].[SITUACION]",
"[Base].[SITUACION].&amp;[" &amp; $C65 &amp; "]"
),0)/1000</f>
        <v>-118.306570909</v>
      </c>
      <c r="U65" s="8">
        <f>IFERROR(
GETPIVOTDATA(
"[Base].[Importe]",
TDinamica_R!$A$5,
"[Calendario].[AñoMes]",
"[Calendario].[AñoMes].&amp;[" &amp; TEXT(U$6,"yyyymm") &amp; "]",
"[Base].[Metrica]",
"[Base].[Metrica].&amp;[" &amp; $A65 &amp; "]",
"[Base].[SEGMENTO_DESCRIP]",
"[Base].[SEGMENTO_DESCRIP].&amp;[" &amp; $C$6 &amp; "]",
"[Base].[SITUACION]",
"[Base].[SITUACION].&amp;[" &amp; $C65 &amp; "]"
),0)/1000</f>
        <v>-116.57158171199998</v>
      </c>
      <c r="V65" s="8">
        <f>IFERROR(
GETPIVOTDATA(
"[Base].[Importe]",
TDinamica_R!$A$5,
"[Calendario].[AñoMes]",
"[Calendario].[AñoMes].&amp;[" &amp; TEXT(V$6,"yyyymm") &amp; "]",
"[Base].[Metrica]",
"[Base].[Metrica].&amp;[" &amp; $A65 &amp; "]",
"[Base].[SEGMENTO_DESCRIP]",
"[Base].[SEGMENTO_DESCRIP].&amp;[" &amp; $C$6 &amp; "]",
"[Base].[SITUACION]",
"[Base].[SITUACION].&amp;[" &amp; $C65 &amp; "]"
),0)/1000</f>
        <v>-61.903355023999993</v>
      </c>
      <c r="W65" s="8">
        <f>IFERROR(
GETPIVOTDATA(
"[Base].[Importe]",
TDinamica_R!$A$5,
"[Calendario].[AñoMes]",
"[Calendario].[AñoMes].&amp;[" &amp; TEXT(W$6,"yyyymm") &amp; "]",
"[Base].[Metrica]",
"[Base].[Metrica].&amp;[" &amp; $A65 &amp; "]",
"[Base].[SEGMENTO_DESCRIP]",
"[Base].[SEGMENTO_DESCRIP].&amp;[" &amp; $C$6 &amp; "]",
"[Base].[SITUACION]",
"[Base].[SITUACION].&amp;[" &amp; $C65 &amp; "]"
),0)/1000</f>
        <v>-65.780366532999992</v>
      </c>
      <c r="X65" s="8">
        <f>IFERROR(
GETPIVOTDATA(
"[Base].[Importe]",
TDinamica_R!$A$5,
"[Calendario].[AñoMes]",
"[Calendario].[AñoMes].&amp;[" &amp; TEXT(X$6,"yyyymm") &amp; "]",
"[Base].[Metrica]",
"[Base].[Metrica].&amp;[" &amp; $A65 &amp; "]",
"[Base].[SEGMENTO_DESCRIP]",
"[Base].[SEGMENTO_DESCRIP].&amp;[" &amp; $C$6 &amp; "]",
"[Base].[SITUACION]",
"[Base].[SITUACION].&amp;[" &amp; $C65 &amp; "]"
),0)/1000</f>
        <v>-99.753913784999995</v>
      </c>
      <c r="Y65" s="8">
        <f>IFERROR(
GETPIVOTDATA(
"[Base].[Importe]",
TDinamica_R!$A$5,
"[Calendario].[AñoMes]",
"[Calendario].[AñoMes].&amp;[" &amp; TEXT(Y$6,"yyyymm") &amp; "]",
"[Base].[Metrica]",
"[Base].[Metrica].&amp;[" &amp; $A65 &amp; "]",
"[Base].[SEGMENTO_DESCRIP]",
"[Base].[SEGMENTO_DESCRIP].&amp;[" &amp; $C$6 &amp; "]",
"[Base].[SITUACION]",
"[Base].[SITUACION].&amp;[" &amp; $C65 &amp; "]"
),0)/1000</f>
        <v>-162.0703163817</v>
      </c>
      <c r="Z65" s="8">
        <f>IFERROR(
GETPIVOTDATA(
"[Base].[Importe]",
TDinamica_R!$A$5,
"[Calendario].[AñoMes]",
"[Calendario].[AñoMes].&amp;[" &amp; TEXT(Z$6,"yyyymm") &amp; "]",
"[Base].[Metrica]",
"[Base].[Metrica].&amp;[" &amp; $A65 &amp; "]",
"[Base].[SEGMENTO_DESCRIP]",
"[Base].[SEGMENTO_DESCRIP].&amp;[" &amp; $C$6 &amp; "]",
"[Base].[SITUACION]",
"[Base].[SITUACION].&amp;[" &amp; $C65 &amp; "]"
),0)/1000</f>
        <v>-79.442262528000015</v>
      </c>
      <c r="AA65" s="8">
        <f>IFERROR(
GETPIVOTDATA(
"[Base].[Importe]",
TDinamica_R!$A$5,
"[Calendario].[AñoMes]",
"[Calendario].[AñoMes].&amp;[" &amp; TEXT(AA$6,"yyyymm") &amp; "]",
"[Base].[Metrica]",
"[Base].[Metrica].&amp;[" &amp; $A65 &amp; "]",
"[Base].[SEGMENTO_DESCRIP]",
"[Base].[SEGMENTO_DESCRIP].&amp;[" &amp; $C$6 &amp; "]",
"[Base].[SITUACION]",
"[Base].[SITUACION].&amp;[" &amp; $C65 &amp; "]"
),0)/1000</f>
        <v>-5.1992887999999917</v>
      </c>
      <c r="AB65" s="8">
        <f>IFERROR(
GETPIVOTDATA(
"[Base].[Importe]",
TDinamica_R!$A$5,
"[Calendario].[AñoMes]",
"[Calendario].[AñoMes].&amp;[" &amp; TEXT(AB$6,"yyyymm") &amp; "]",
"[Base].[Metrica]",
"[Base].[Metrica].&amp;[" &amp; $A65 &amp; "]",
"[Base].[SEGMENTO_DESCRIP]",
"[Base].[SEGMENTO_DESCRIP].&amp;[" &amp; $C$6 &amp; "]",
"[Base].[SITUACION]",
"[Base].[SITUACION].&amp;[" &amp; $C65 &amp; "]"
),0)/1000</f>
        <v>-92.576065690000007</v>
      </c>
      <c r="AC65" s="8">
        <f>IFERROR(
GETPIVOTDATA(
"[Base].[Importe]",
TDinamica_R!$A$5,
"[Calendario].[AñoMes]",
"[Calendario].[AñoMes].&amp;[" &amp; TEXT(AC$6,"yyyymm") &amp; "]",
"[Base].[Metrica]",
"[Base].[Metrica].&amp;[" &amp; $A65 &amp; "]",
"[Base].[SEGMENTO_DESCRIP]",
"[Base].[SEGMENTO_DESCRIP].&amp;[" &amp; $C$6 &amp; "]",
"[Base].[SITUACION]",
"[Base].[SITUACION].&amp;[" &amp; $C65 &amp; "]"
),0)/1000</f>
        <v>12.029279769399974</v>
      </c>
      <c r="AD65" s="8">
        <f>IFERROR(
GETPIVOTDATA(
"[Base].[Importe]",
TDinamica_R!$A$5,
"[Calendario].[AñoMes]",
"[Calendario].[AñoMes].&amp;[" &amp; TEXT(AD$6,"yyyymm") &amp; "]",
"[Base].[Metrica]",
"[Base].[Metrica].&amp;[" &amp; $A65 &amp; "]",
"[Base].[SEGMENTO_DESCRIP]",
"[Base].[SEGMENTO_DESCRIP].&amp;[" &amp; $C$6 &amp; "]",
"[Base].[SITUACION]",
"[Base].[SITUACION].&amp;[" &amp; $C65 &amp; "]"
),0)/1000</f>
        <v>-59.005394611</v>
      </c>
      <c r="AE65" s="8">
        <f>IFERROR(
GETPIVOTDATA(
"[Base].[Importe]",
TDinamica_R!$A$5,
"[Calendario].[AñoMes]",
"[Calendario].[AñoMes].&amp;[" &amp; TEXT(AE$6,"yyyymm") &amp; "]",
"[Base].[Metrica]",
"[Base].[Metrica].&amp;[" &amp; $A65 &amp; "]",
"[Base].[SEGMENTO_DESCRIP]",
"[Base].[SEGMENTO_DESCRIP].&amp;[" &amp; $C$6 &amp; "]",
"[Base].[SITUACION]",
"[Base].[SITUACION].&amp;[" &amp; $C65 &amp; "]"
),0)/1000</f>
        <v>2.0397764944999635</v>
      </c>
      <c r="AF65" s="8">
        <f>IFERROR(
GETPIVOTDATA(
"[Base].[Importe]",
TDinamica_R!$A$5,
"[Calendario].[AñoMes]",
"[Calendario].[AñoMes].&amp;[" &amp; TEXT(AF$6,"yyyymm") &amp; "]",
"[Base].[Metrica]",
"[Base].[Metrica].&amp;[" &amp; $A65 &amp; "]",
"[Base].[SEGMENTO_DESCRIP]",
"[Base].[SEGMENTO_DESCRIP].&amp;[" &amp; $C$6 &amp; "]",
"[Base].[SITUACION]",
"[Base].[SITUACION].&amp;[" &amp; $C65 &amp; "]"
),0)/1000</f>
        <v>-95.445527569999982</v>
      </c>
      <c r="AG65" s="8">
        <f>IFERROR(
GETPIVOTDATA(
"[Base].[Importe]",
TDinamica_R!$A$5,
"[Calendario].[AñoMes]",
"[Calendario].[AñoMes].&amp;[" &amp; TEXT(AG$6,"yyyymm") &amp; "]",
"[Base].[Metrica]",
"[Base].[Metrica].&amp;[" &amp; $A65 &amp; "]",
"[Base].[SEGMENTO_DESCRIP]",
"[Base].[SEGMENTO_DESCRIP].&amp;[" &amp; $C$6 &amp; "]",
"[Base].[SITUACION]",
"[Base].[SITUACION].&amp;[" &amp; $C65 &amp; "]"
),0)/1000</f>
        <v>-17.282832892999952</v>
      </c>
      <c r="AH65" s="8">
        <f>IFERROR(
GETPIVOTDATA(
"[Base].[Importe]",
TDinamica_R!$A$5,
"[Calendario].[AñoMes]",
"[Calendario].[AñoMes].&amp;[" &amp; TEXT(AH$6,"yyyymm") &amp; "]",
"[Base].[Metrica]",
"[Base].[Metrica].&amp;[" &amp; $A65 &amp; "]",
"[Base].[SEGMENTO_DESCRIP]",
"[Base].[SEGMENTO_DESCRIP].&amp;[" &amp; $C$6 &amp; "]",
"[Base].[SITUACION]",
"[Base].[SITUACION].&amp;[" &amp; $C65 &amp; "]"
),0)/1000</f>
        <v>-26.937798574199988</v>
      </c>
      <c r="AI65" s="8">
        <f>IFERROR(
GETPIVOTDATA(
"[Base].[Importe]",
TDinamica_R!$A$5,
"[Calendario].[AñoMes]",
"[Calendario].[AñoMes].&amp;[" &amp; TEXT(AI$6,"yyyymm") &amp; "]",
"[Base].[Metrica]",
"[Base].[Metrica].&amp;[" &amp; $A65 &amp; "]",
"[Base].[SEGMENTO_DESCRIP]",
"[Base].[SEGMENTO_DESCRIP].&amp;[" &amp; $C$6 &amp; "]",
"[Base].[SITUACION]",
"[Base].[SITUACION].&amp;[" &amp; $C65 &amp; "]"
),0)/1000</f>
        <v>-68.972942552400013</v>
      </c>
      <c r="AJ65" s="8">
        <f>IFERROR(
GETPIVOTDATA(
"[Base].[Importe]",
TDinamica_R!$A$5,
"[Calendario].[AñoMes]",
"[Calendario].[AñoMes].&amp;[" &amp; TEXT(AJ$6,"yyyymm") &amp; "]",
"[Base].[Metrica]",
"[Base].[Metrica].&amp;[" &amp; $A65 &amp; "]",
"[Base].[SEGMENTO_DESCRIP]",
"[Base].[SEGMENTO_DESCRIP].&amp;[" &amp; $C$6 &amp; "]",
"[Base].[SITUACION]",
"[Base].[SITUACION].&amp;[" &amp; $C65 &amp; "]"
),0)/1000</f>
        <v>-19.405873429999978</v>
      </c>
      <c r="AK65" s="8">
        <f>IFERROR(
GETPIVOTDATA(
"[Base].[Importe]",
TDinamica_R!$A$5,
"[Calendario].[AñoMes]",
"[Calendario].[AñoMes].&amp;[" &amp; TEXT(AK$6,"yyyymm") &amp; "]",
"[Base].[Metrica]",
"[Base].[Metrica].&amp;[" &amp; $A65 &amp; "]",
"[Base].[SEGMENTO_DESCRIP]",
"[Base].[SEGMENTO_DESCRIP].&amp;[" &amp; $C$6 &amp; "]",
"[Base].[SITUACION]",
"[Base].[SITUACION].&amp;[" &amp; $C65 &amp; "]"
),0)/1000</f>
        <v>-11.640533296999974</v>
      </c>
      <c r="AL65" s="8">
        <f>IFERROR(
GETPIVOTDATA(
"[Base].[Importe]",
TDinamica_R!$A$5,
"[Calendario].[AñoMes]",
"[Calendario].[AñoMes].&amp;[" &amp; TEXT(AL$6,"yyyymm") &amp; "]",
"[Base].[Metrica]",
"[Base].[Metrica].&amp;[" &amp; $A65 &amp; "]",
"[Base].[SEGMENTO_DESCRIP]",
"[Base].[SEGMENTO_DESCRIP].&amp;[" &amp; $C$6 &amp; "]",
"[Base].[SITUACION]",
"[Base].[SITUACION].&amp;[" &amp; $C65 &amp; "]"
),0)/1000</f>
        <v>-73.648128839999927</v>
      </c>
      <c r="AM65" s="8">
        <f>IFERROR(
GETPIVOTDATA(
"[Base].[Importe]",
TDinamica_R!$A$5,
"[Calendario].[AñoMes]",
"[Calendario].[AñoMes].&amp;[" &amp; TEXT(AM$6,"yyyymm") &amp; "]",
"[Base].[Metrica]",
"[Base].[Metrica].&amp;[" &amp; $A65 &amp; "]",
"[Base].[SEGMENTO_DESCRIP]",
"[Base].[SEGMENTO_DESCRIP].&amp;[" &amp; $C$6 &amp; "]",
"[Base].[SITUACION]",
"[Base].[SITUACION].&amp;[" &amp; $C65 &amp; "]"
),0)/1000</f>
        <v>-18.245364696000042</v>
      </c>
      <c r="AN65" s="8">
        <f>IFERROR(
GETPIVOTDATA(
"[Base].[Importe]",
TDinamica_R!$A$5,
"[Calendario].[AñoMes]",
"[Calendario].[AñoMes].&amp;[" &amp; TEXT(AN$6,"yyyymm") &amp; "]",
"[Base].[Metrica]",
"[Base].[Metrica].&amp;[" &amp; $A65 &amp; "]",
"[Base].[SEGMENTO_DESCRIP]",
"[Base].[SEGMENTO_DESCRIP].&amp;[" &amp; $C$6 &amp; "]",
"[Base].[SITUACION]",
"[Base].[SITUACION].&amp;[" &amp; $C65 &amp; "]"
),0)/1000</f>
        <v>-77.0386179151363</v>
      </c>
      <c r="AO65" s="8">
        <f>IFERROR(
GETPIVOTDATA(
"[Base].[Importe]",
TDinamica_R!$A$5,
"[Calendario].[AñoMes]",
"[Calendario].[AñoMes].&amp;[" &amp; TEXT(AO$6,"yyyymm") &amp; "]",
"[Base].[Metrica]",
"[Base].[Metrica].&amp;[" &amp; $A65 &amp; "]",
"[Base].[SEGMENTO_DESCRIP]",
"[Base].[SEGMENTO_DESCRIP].&amp;[" &amp; $C$6 &amp; "]",
"[Base].[SITUACION]",
"[Base].[SITUACION].&amp;[" &amp; $C65 &amp; "]"
),0)/1000</f>
        <v>48.184413014928111</v>
      </c>
      <c r="AP65" s="8">
        <f>IFERROR(
GETPIVOTDATA(
"[Base].[Importe]",
TDinamica_R!$A$5,
"[Calendario].[AñoMes]",
"[Calendario].[AñoMes].&amp;[" &amp; TEXT(AP$6,"yyyymm") &amp; "]",
"[Base].[Metrica]",
"[Base].[Metrica].&amp;[" &amp; $A65 &amp; "]",
"[Base].[SEGMENTO_DESCRIP]",
"[Base].[SEGMENTO_DESCRIP].&amp;[" &amp; $C$6 &amp; "]",
"[Base].[SITUACION]",
"[Base].[SITUACION].&amp;[" &amp; $C65 &amp; "]"
),0)/1000</f>
        <v>-42.774017335168665</v>
      </c>
      <c r="AQ65" s="8">
        <f>IFERROR(
GETPIVOTDATA(
"[Base].[Importe]",
TDinamica_R!$A$5,
"[Calendario].[AñoMes]",
"[Calendario].[AñoMes].&amp;[" &amp; TEXT(AQ$6,"yyyymm") &amp; "]",
"[Base].[Metrica]",
"[Base].[Metrica].&amp;[" &amp; $A65 &amp; "]",
"[Base].[SEGMENTO_DESCRIP]",
"[Base].[SEGMENTO_DESCRIP].&amp;[" &amp; $C$6 &amp; "]",
"[Base].[SITUACION]",
"[Base].[SITUACION].&amp;[" &amp; $C65 &amp; "]"
),0)/1000</f>
        <v>-103.81717759768819</v>
      </c>
      <c r="AR65" s="8">
        <f>IFERROR(
GETPIVOTDATA(
"[Base].[Importe]",
TDinamica_R!$A$5,
"[Calendario].[AñoMes]",
"[Calendario].[AñoMes].&amp;[" &amp; TEXT(AR$6,"yyyymm") &amp; "]",
"[Base].[Metrica]",
"[Base].[Metrica].&amp;[" &amp; $A65 &amp; "]",
"[Base].[SEGMENTO_DESCRIP]",
"[Base].[SEGMENTO_DESCRIP].&amp;[" &amp; $C$6 &amp; "]",
"[Base].[SITUACION]",
"[Base].[SITUACION].&amp;[" &amp; $C65 &amp; "]"
),0)/1000</f>
        <v>17.986684595550621</v>
      </c>
      <c r="AS65" s="8">
        <f>IFERROR(
GETPIVOTDATA(
"[Base].[Importe]",
TDinamica_R!$A$5,
"[Calendario].[AñoMes]",
"[Calendario].[AñoMes].&amp;[" &amp; TEXT(AS$6,"yyyymm") &amp; "]",
"[Base].[Metrica]",
"[Base].[Metrica].&amp;[" &amp; $A65 &amp; "]",
"[Base].[SEGMENTO_DESCRIP]",
"[Base].[SEGMENTO_DESCRIP].&amp;[" &amp; $C$6 &amp; "]",
"[Base].[SITUACION]",
"[Base].[SITUACION].&amp;[" &amp; $C65 &amp; "]"
),0)/1000</f>
        <v>-118.81567721224825</v>
      </c>
      <c r="AT65" s="8">
        <f>IFERROR(
GETPIVOTDATA(
"[Base].[Importe]",
TDinamica_R!$A$5,
"[Calendario].[AñoMes]",
"[Calendario].[AñoMes].&amp;[" &amp; TEXT(AT$6,"yyyymm")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U65" s="8">
        <f>IFERROR(
GETPIVOTDATA(
"[Base].[Importe]",
TDinamica_R!$A$5,
"[Calendario].[AñoMes]",
"[Calendario].[AñoMes].&amp;[" &amp; TEXT(AU$6,"yyyymm")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V65" s="8">
        <f>IFERROR(
GETPIVOTDATA(
"[Base].[Importe]",
TDinamica_R!$A$5,
"[Calendario].[AñoMes]",
"[Calendario].[AñoMes].&amp;[" &amp; TEXT(AV$6,"yyyymm")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W65" s="8">
        <f>IFERROR(
GETPIVOTDATA(
"[Base].[Importe]",
TDinamica_R!$A$5,
"[Calendario].[AñoMes]",
"[Calendario].[AñoMes].&amp;[" &amp; TEXT(AW$6,"yyyymm")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X65" s="8">
        <f>IFERROR(
GETPIVOTDATA(
"[Base].[Importe]",
TDinamica_R!$A$5,
"[Calendario].[AñoMes]",
"[Calendario].[AñoMes].&amp;[" &amp; TEXT(AX$6,"yyyymm")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Y65" s="8">
        <f>IFERROR(
GETPIVOTDATA(
"[Base].[Importe]",
TDinamica_R!$A$5,
"[Calendario].[AñoMes]",
"[Calendario].[AñoMes].&amp;[" &amp; TEXT(AY$6,"yyyymm")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Z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"[BASE_HIPO_PPTO].[Periodo]","[BASE_HIPO_PPTO].[Periodo].&amp;["&amp;TEXT(AZ$6,"yyyymm")&amp;"]"),
0)/1000</f>
        <v>-34.928396000476305</v>
      </c>
      <c r="BA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"[BASE_HIPO_PPTO].[Periodo]","[BASE_HIPO_PPTO].[Periodo].&amp;["&amp;TEXT(BA$6,"yyyymm")&amp;"]"),
0)/1000</f>
        <v>-34.928396000476305</v>
      </c>
      <c r="BB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"[BASE_HIPO_PPTO].[Periodo]","[BASE_HIPO_PPTO].[Periodo].&amp;["&amp;TEXT(BB$6,"yyyymm")&amp;"]"),
0)/1000</f>
        <v>-34.928396000476305</v>
      </c>
      <c r="BC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"[BASE_HIPO_PPTO].[Periodo]","[BASE_HIPO_PPTO].[Periodo].&amp;["&amp;TEXT(BC$6,"yyyymm")&amp;"]"),
0)/1000</f>
        <v>-34.928396000476305</v>
      </c>
      <c r="BD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"[BASE_HIPO_PPTO].[Periodo]","[BASE_HIPO_PPTO].[Periodo].&amp;["&amp;TEXT(BD$6,"yyyymm")&amp;"]"),
0)/1000</f>
        <v>-34.928396000476305</v>
      </c>
      <c r="BE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"[BASE_HIPO_PPTO].[Periodo]","[BASE_HIPO_PPTO].[Periodo].&amp;["&amp;TEXT(BE$6,"yyyymm")&amp;"]"),
0)/1000</f>
        <v>-34.928396000476305</v>
      </c>
      <c r="BF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"[BASE_HIPO_PPTO].[Periodo]","[BASE_HIPO_PPTO].[Periodo].&amp;["&amp;TEXT(BF$6,"yyyymm")&amp;"]"),
0)/1000</f>
        <v>-34.928396000476305</v>
      </c>
      <c r="BG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"[BASE_HIPO_PPTO].[Periodo]","[BASE_HIPO_PPTO].[Periodo].&amp;["&amp;TEXT(BG$6,"yyyymm")&amp;"]"),
0)/1000</f>
        <v>-34.928396000476305</v>
      </c>
      <c r="BH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"[BASE_HIPO_PPTO].[Periodo]","[BASE_HIPO_PPTO].[Periodo].&amp;["&amp;TEXT(BH$6,"yyyymm")&amp;"]"),
0)/1000</f>
        <v>-34.928396000476305</v>
      </c>
      <c r="BI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"[BASE_HIPO_PPTO].[Periodo]","[BASE_HIPO_PPTO].[Periodo].&amp;["&amp;TEXT(BI$6,"yyyymm")&amp;"]"),
0)/1000</f>
        <v>-34.928396000476305</v>
      </c>
      <c r="BJ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"[BASE_HIPO_PPTO].[Periodo]","[BASE_HIPO_PPTO].[Periodo].&amp;["&amp;TEXT(BJ$6,"yyyymm")&amp;"]"),
0)/1000</f>
        <v>-34.928396000476305</v>
      </c>
      <c r="BK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"[BASE_HIPO_PPTO].[Periodo]","[BASE_HIPO_PPTO].[Periodo].&amp;["&amp;TEXT(BK$6,"yyyymm")&amp;"]"),
0)/1000</f>
        <v>-38.928396000476305</v>
      </c>
      <c r="BO65" s="24">
        <f t="shared" si="149"/>
        <v>-71.628222235376853</v>
      </c>
      <c r="BP65" s="24">
        <f t="shared" si="149"/>
        <v>-104.78518800142891</v>
      </c>
      <c r="BQ65" s="24">
        <f t="shared" si="149"/>
        <v>-28.854204900208188</v>
      </c>
      <c r="BR65" s="24">
        <f t="shared" si="149"/>
        <v>-139.55218053160002</v>
      </c>
      <c r="BS65" s="24">
        <f t="shared" si="149"/>
        <v>-341.72618041849995</v>
      </c>
      <c r="BT65" s="24">
        <f t="shared" si="149"/>
        <v>-93.999036575000034</v>
      </c>
    </row>
    <row r="66" spans="1:72" hidden="1" outlineLevel="1" x14ac:dyDescent="0.25">
      <c r="A66" s="11" t="s">
        <v>71</v>
      </c>
      <c r="C66" s="2" t="s">
        <v>129</v>
      </c>
      <c r="D66" s="8">
        <f>IFERROR(
GETPIVOTDATA(
"[Base].[Importe]",
TDinamica_R!$A$5,
"[Calendario].[AñoMes]",
"[Calendario].[AñoMes].&amp;[" &amp; TEXT(D$6,"yyyymm") &amp; "]",
"[Base].[Metrica]",
"[Base].[Metrica].&amp;[" &amp; $A66 &amp; "]",
"[Base].[SEGMENTO_DESCRIP]",
"[Base].[SEGMENTO_DESCRIP].&amp;[" &amp; $C$6 &amp; "]",
"[Base].[SITUACION]",
"[Base].[SITUACION].&amp;[" &amp; $C66 &amp; "]"
),0)/1000</f>
        <v>0.15993733004000002</v>
      </c>
      <c r="E66" s="8">
        <f>IFERROR(
GETPIVOTDATA(
"[Base].[Importe]",
TDinamica_R!$A$5,
"[Calendario].[AñoMes]",
"[Calendario].[AñoMes].&amp;[" &amp; TEXT(E$6,"yyyymm") &amp; "]",
"[Base].[Metrica]",
"[Base].[Metrica].&amp;[" &amp; $A66 &amp; "]",
"[Base].[SEGMENTO_DESCRIP]",
"[Base].[SEGMENTO_DESCRIP].&amp;[" &amp; $C$6 &amp; "]",
"[Base].[SITUACION]",
"[Base].[SITUACION].&amp;[" &amp; $C66 &amp; "]"
),0)/1000</f>
        <v>0.76162698002999996</v>
      </c>
      <c r="F66" s="8">
        <f>IFERROR(
GETPIVOTDATA(
"[Base].[Importe]",
TDinamica_R!$A$5,
"[Calendario].[AñoMes]",
"[Calendario].[AñoMes].&amp;[" &amp; TEXT(F$6,"yyyymm") &amp; "]",
"[Base].[Metrica]",
"[Base].[Metrica].&amp;[" &amp; $A66 &amp; "]",
"[Base].[SEGMENTO_DESCRIP]",
"[Base].[SEGMENTO_DESCRIP].&amp;[" &amp; $C$6 &amp; "]",
"[Base].[SITUACION]",
"[Base].[SITUACION].&amp;[" &amp; $C66 &amp; "]"
),0)/1000</f>
        <v>0.41913939999999994</v>
      </c>
      <c r="G66" s="8">
        <f>IFERROR(
GETPIVOTDATA(
"[Base].[Importe]",
TDinamica_R!$A$5,
"[Calendario].[AñoMes]",
"[Calendario].[AñoMes].&amp;[" &amp; TEXT(G$6,"yyyymm") &amp; "]",
"[Base].[Metrica]",
"[Base].[Metrica].&amp;[" &amp; $A66 &amp; "]",
"[Base].[SEGMENTO_DESCRIP]",
"[Base].[SEGMENTO_DESCRIP].&amp;[" &amp; $C$6 &amp; "]",
"[Base].[SITUACION]",
"[Base].[SITUACION].&amp;[" &amp; $C66 &amp; "]"
),0)/1000</f>
        <v>1.0761228403900001</v>
      </c>
      <c r="H66" s="8">
        <f>IFERROR(
GETPIVOTDATA(
"[Base].[Importe]",
TDinamica_R!$A$5,
"[Calendario].[AñoMes]",
"[Calendario].[AñoMes].&amp;[" &amp; TEXT(H$6,"yyyymm") &amp; "]",
"[Base].[Metrica]",
"[Base].[Metrica].&amp;[" &amp; $A66 &amp; "]",
"[Base].[SEGMENTO_DESCRIP]",
"[Base].[SEGMENTO_DESCRIP].&amp;[" &amp; $C$6 &amp; "]",
"[Base].[SITUACION]",
"[Base].[SITUACION].&amp;[" &amp; $C66 &amp; "]"
),0)/1000</f>
        <v>0.55995848003000004</v>
      </c>
      <c r="I66" s="8">
        <f>IFERROR(
GETPIVOTDATA(
"[Base].[Importe]",
TDinamica_R!$A$5,
"[Calendario].[AñoMes]",
"[Calendario].[AñoMes].&amp;[" &amp; TEXT(I$6,"yyyymm") &amp; "]",
"[Base].[Metrica]",
"[Base].[Metrica].&amp;[" &amp; $A66 &amp; "]",
"[Base].[SEGMENTO_DESCRIP]",
"[Base].[SEGMENTO_DESCRIP].&amp;[" &amp; $C$6 &amp; "]",
"[Base].[SITUACION]",
"[Base].[SITUACION].&amp;[" &amp; $C66 &amp; "]"
),0)/1000</f>
        <v>0.46031950003000005</v>
      </c>
      <c r="J66" s="8">
        <f>IFERROR(
GETPIVOTDATA(
"[Base].[Importe]",
TDinamica_R!$A$5,
"[Calendario].[AñoMes]",
"[Calendario].[AñoMes].&amp;[" &amp; TEXT(J$6,"yyyymm") &amp; "]",
"[Base].[Metrica]",
"[Base].[Metrica].&amp;[" &amp; $A66 &amp; "]",
"[Base].[SEGMENTO_DESCRIP]",
"[Base].[SEGMENTO_DESCRIP].&amp;[" &amp; $C$6 &amp; "]",
"[Base].[SITUACION]",
"[Base].[SITUACION].&amp;[" &amp; $C66 &amp; "]"
),0)/1000</f>
        <v>0.41099599001000003</v>
      </c>
      <c r="K66" s="8">
        <f>IFERROR(
GETPIVOTDATA(
"[Base].[Importe]",
TDinamica_R!$A$5,
"[Calendario].[AñoMes]",
"[Calendario].[AñoMes].&amp;[" &amp; TEXT(K$6,"yyyymm") &amp; "]",
"[Base].[Metrica]",
"[Base].[Metrica].&amp;[" &amp; $A66 &amp; "]",
"[Base].[SEGMENTO_DESCRIP]",
"[Base].[SEGMENTO_DESCRIP].&amp;[" &amp; $C$6 &amp; "]",
"[Base].[SITUACION]",
"[Base].[SITUACION].&amp;[" &amp; $C66 &amp; "]"
),0)/1000</f>
        <v>0.40721456001300005</v>
      </c>
      <c r="L66" s="8">
        <f>IFERROR(
GETPIVOTDATA(
"[Base].[Importe]",
TDinamica_R!$A$5,
"[Calendario].[AñoMes]",
"[Calendario].[AñoMes].&amp;[" &amp; TEXT(L$6,"yyyymm") &amp; "]",
"[Base].[Metrica]",
"[Base].[Metrica].&amp;[" &amp; $A66 &amp; "]",
"[Base].[SEGMENTO_DESCRIP]",
"[Base].[SEGMENTO_DESCRIP].&amp;[" &amp; $C$6 &amp; "]",
"[Base].[SITUACION]",
"[Base].[SITUACION].&amp;[" &amp; $C66 &amp; "]"
),0)/1000</f>
        <v>0.16045999995600002</v>
      </c>
      <c r="M66" s="8">
        <f>IFERROR(
GETPIVOTDATA(
"[Base].[Importe]",
TDinamica_R!$A$5,
"[Calendario].[AñoMes]",
"[Calendario].[AñoMes].&amp;[" &amp; TEXT(M$6,"yyyymm") &amp; "]",
"[Base].[Metrica]",
"[Base].[Metrica].&amp;[" &amp; $A66 &amp; "]",
"[Base].[SEGMENTO_DESCRIP]",
"[Base].[SEGMENTO_DESCRIP].&amp;[" &amp; $C$6 &amp; "]",
"[Base].[SITUACION]",
"[Base].[SITUACION].&amp;[" &amp; $C66 &amp; "]"
),0)/1000</f>
        <v>0.26550999996999997</v>
      </c>
      <c r="N66" s="8">
        <f>IFERROR(
GETPIVOTDATA(
"[Base].[Importe]",
TDinamica_R!$A$5,
"[Calendario].[AñoMes]",
"[Calendario].[AñoMes].&amp;[" &amp; TEXT(N$6,"yyyymm") &amp; "]",
"[Base].[Metrica]",
"[Base].[Metrica].&amp;[" &amp; $A66 &amp; "]",
"[Base].[SEGMENTO_DESCRIP]",
"[Base].[SEGMENTO_DESCRIP].&amp;[" &amp; $C$6 &amp; "]",
"[Base].[SITUACION]",
"[Base].[SITUACION].&amp;[" &amp; $C66 &amp; "]"
),0)/1000</f>
        <v>0.85298999995000013</v>
      </c>
      <c r="O66" s="8">
        <f>IFERROR(
GETPIVOTDATA(
"[Base].[Importe]",
TDinamica_R!$A$5,
"[Calendario].[AñoMes]",
"[Calendario].[AñoMes].&amp;[" &amp; TEXT(O$6,"yyyymm") &amp; "]",
"[Base].[Metrica]",
"[Base].[Metrica].&amp;[" &amp; $A66 &amp; "]",
"[Base].[SEGMENTO_DESCRIP]",
"[Base].[SEGMENTO_DESCRIP].&amp;[" &amp; $C$6 &amp; "]",
"[Base].[SITUACION]",
"[Base].[SITUACION].&amp;[" &amp; $C66 &amp; "]"
),0)/1000</f>
        <v>0.40751000000900001</v>
      </c>
      <c r="P66" s="8">
        <f>IFERROR(
GETPIVOTDATA(
"[Base].[Importe]",
TDinamica_R!$A$5,
"[Calendario].[AñoMes]",
"[Calendario].[AñoMes].&amp;[" &amp; TEXT(P$6,"yyyymm") &amp; "]",
"[Base].[Metrica]",
"[Base].[Metrica].&amp;[" &amp; $A66 &amp; "]",
"[Base].[SEGMENTO_DESCRIP]",
"[Base].[SEGMENTO_DESCRIP].&amp;[" &amp; $C$6 &amp; "]",
"[Base].[SITUACION]",
"[Base].[SITUACION].&amp;[" &amp; $C66 &amp; "]"
),0)/1000</f>
        <v>99.682226318699989</v>
      </c>
      <c r="Q66" s="8">
        <f>IFERROR(
GETPIVOTDATA(
"[Base].[Importe]",
TDinamica_R!$A$5,
"[Calendario].[AñoMes]",
"[Calendario].[AñoMes].&amp;[" &amp; TEXT(Q$6,"yyyymm") &amp; "]",
"[Base].[Metrica]",
"[Base].[Metrica].&amp;[" &amp; $A66 &amp; "]",
"[Base].[SEGMENTO_DESCRIP]",
"[Base].[SEGMENTO_DESCRIP].&amp;[" &amp; $C$6 &amp; "]",
"[Base].[SITUACION]",
"[Base].[SITUACION].&amp;[" &amp; $C66 &amp; "]"
),0)/1000</f>
        <v>-97.836549158499992</v>
      </c>
      <c r="R66" s="8">
        <f>IFERROR(
GETPIVOTDATA(
"[Base].[Importe]",
TDinamica_R!$A$5,
"[Calendario].[AñoMes]",
"[Calendario].[AñoMes].&amp;[" &amp; TEXT(R$6,"yyyymm") &amp; "]",
"[Base].[Metrica]",
"[Base].[Metrica].&amp;[" &amp; $A66 &amp; "]",
"[Base].[SEGMENTO_DESCRIP]",
"[Base].[SEGMENTO_DESCRIP].&amp;[" &amp; $C$6 &amp; "]",
"[Base].[SITUACION]",
"[Base].[SITUACION].&amp;[" &amp; $C66 &amp; "]"
),0)/1000</f>
        <v>0.86615090005000006</v>
      </c>
      <c r="S66" s="8">
        <f>IFERROR(
GETPIVOTDATA(
"[Base].[Importe]",
TDinamica_R!$A$5,
"[Calendario].[AñoMes]",
"[Calendario].[AñoMes].&amp;[" &amp; TEXT(S$6,"yyyymm") &amp; "]",
"[Base].[Metrica]",
"[Base].[Metrica].&amp;[" &amp; $A66 &amp; "]",
"[Base].[SEGMENTO_DESCRIP]",
"[Base].[SEGMENTO_DESCRIP].&amp;[" &amp; $C$6 &amp; "]",
"[Base].[SITUACION]",
"[Base].[SITUACION].&amp;[" &amp; $C66 &amp; "]"
),0)/1000</f>
        <v>0.71418672003000006</v>
      </c>
      <c r="T66" s="8">
        <f>IFERROR(
GETPIVOTDATA(
"[Base].[Importe]",
TDinamica_R!$A$5,
"[Calendario].[AñoMes]",
"[Calendario].[AñoMes].&amp;[" &amp; TEXT(T$6,"yyyymm") &amp; "]",
"[Base].[Metrica]",
"[Base].[Metrica].&amp;[" &amp; $A66 &amp; "]",
"[Base].[SEGMENTO_DESCRIP]",
"[Base].[SEGMENTO_DESCRIP].&amp;[" &amp; $C$6 &amp; "]",
"[Base].[SITUACION]",
"[Base].[SITUACION].&amp;[" &amp; $C66 &amp; "]"
),0)/1000</f>
        <v>0.56653999997000004</v>
      </c>
      <c r="U66" s="8">
        <f>IFERROR(
GETPIVOTDATA(
"[Base].[Importe]",
TDinamica_R!$A$5,
"[Calendario].[AñoMes]",
"[Calendario].[AñoMes].&amp;[" &amp; TEXT(U$6,"yyyymm") &amp; "]",
"[Base].[Metrica]",
"[Base].[Metrica].&amp;[" &amp; $A66 &amp; "]",
"[Base].[SEGMENTO_DESCRIP]",
"[Base].[SEGMENTO_DESCRIP].&amp;[" &amp; $C$6 &amp; "]",
"[Base].[SITUACION]",
"[Base].[SITUACION].&amp;[" &amp; $C66 &amp; "]"
),0)/1000</f>
        <v>2.1896073298000003</v>
      </c>
      <c r="V66" s="8">
        <f>IFERROR(
GETPIVOTDATA(
"[Base].[Importe]",
TDinamica_R!$A$5,
"[Calendario].[AñoMes]",
"[Calendario].[AñoMes].&amp;[" &amp; TEXT(V$6,"yyyymm") &amp; "]",
"[Base].[Metrica]",
"[Base].[Metrica].&amp;[" &amp; $A66 &amp; "]",
"[Base].[SEGMENTO_DESCRIP]",
"[Base].[SEGMENTO_DESCRIP].&amp;[" &amp; $C$6 &amp; "]",
"[Base].[SITUACION]",
"[Base].[SITUACION].&amp;[" &amp; $C66 &amp; "]"
),0)/1000</f>
        <v>0.16413000000000003</v>
      </c>
      <c r="W66" s="8">
        <f>IFERROR(
GETPIVOTDATA(
"[Base].[Importe]",
TDinamica_R!$A$5,
"[Calendario].[AñoMes]",
"[Calendario].[AñoMes].&amp;[" &amp; TEXT(W$6,"yyyymm") &amp; "]",
"[Base].[Metrica]",
"[Base].[Metrica].&amp;[" &amp; $A66 &amp; "]",
"[Base].[SEGMENTO_DESCRIP]",
"[Base].[SEGMENTO_DESCRIP].&amp;[" &amp; $C$6 &amp; "]",
"[Base].[SITUACION]",
"[Base].[SITUACION].&amp;[" &amp; $C66 &amp; "]"
),0)/1000</f>
        <v>0.96280000000999999</v>
      </c>
      <c r="X66" s="8">
        <f>IFERROR(
GETPIVOTDATA(
"[Base].[Importe]",
TDinamica_R!$A$5,
"[Calendario].[AñoMes]",
"[Calendario].[AñoMes].&amp;[" &amp; TEXT(X$6,"yyyymm") &amp; "]",
"[Base].[Metrica]",
"[Base].[Metrica].&amp;[" &amp; $A66 &amp; "]",
"[Base].[SEGMENTO_DESCRIP]",
"[Base].[SEGMENTO_DESCRIP].&amp;[" &amp; $C$6 &amp; "]",
"[Base].[SITUACION]",
"[Base].[SITUACION].&amp;[" &amp; $C66 &amp; "]"
),0)/1000</f>
        <v>0.60868999997599993</v>
      </c>
      <c r="Y66" s="8">
        <f>IFERROR(
GETPIVOTDATA(
"[Base].[Importe]",
TDinamica_R!$A$5,
"[Calendario].[AñoMes]",
"[Calendario].[AñoMes].&amp;[" &amp; TEXT(Y$6,"yyyymm") &amp; "]",
"[Base].[Metrica]",
"[Base].[Metrica].&amp;[" &amp; $A66 &amp; "]",
"[Base].[SEGMENTO_DESCRIP]",
"[Base].[SEGMENTO_DESCRIP].&amp;[" &amp; $C$6 &amp; "]",
"[Base].[SITUACION]",
"[Base].[SITUACION].&amp;[" &amp; $C66 &amp; "]"
),0)/1000</f>
        <v>1.78558999995</v>
      </c>
      <c r="Z66" s="8">
        <f>IFERROR(
GETPIVOTDATA(
"[Base].[Importe]",
TDinamica_R!$A$5,
"[Calendario].[AñoMes]",
"[Calendario].[AñoMes].&amp;[" &amp; TEXT(Z$6,"yyyymm") &amp; "]",
"[Base].[Metrica]",
"[Base].[Metrica].&amp;[" &amp; $A66 &amp; "]",
"[Base].[SEGMENTO_DESCRIP]",
"[Base].[SEGMENTO_DESCRIP].&amp;[" &amp; $C$6 &amp; "]",
"[Base].[SITUACION]",
"[Base].[SITUACION].&amp;[" &amp; $C66 &amp; "]"
),0)/1000</f>
        <v>0.57699999999999996</v>
      </c>
      <c r="AA66" s="8">
        <f>IFERROR(
GETPIVOTDATA(
"[Base].[Importe]",
TDinamica_R!$A$5,
"[Calendario].[AñoMes]",
"[Calendario].[AñoMes].&amp;[" &amp; TEXT(AA$6,"yyyymm") &amp; "]",
"[Base].[Metrica]",
"[Base].[Metrica].&amp;[" &amp; $A66 &amp; "]",
"[Base].[SEGMENTO_DESCRIP]",
"[Base].[SEGMENTO_DESCRIP].&amp;[" &amp; $C$6 &amp; "]",
"[Base].[SITUACION]",
"[Base].[SITUACION].&amp;[" &amp; $C66 &amp; "]"
),0)/1000</f>
        <v>0.88576000004</v>
      </c>
      <c r="AB66" s="8">
        <f>IFERROR(
GETPIVOTDATA(
"[Base].[Importe]",
TDinamica_R!$A$5,
"[Calendario].[AñoMes]",
"[Calendario].[AñoMes].&amp;[" &amp; TEXT(AB$6,"yyyymm") &amp; "]",
"[Base].[Metrica]",
"[Base].[Metrica].&amp;[" &amp; $A66 &amp; "]",
"[Base].[SEGMENTO_DESCRIP]",
"[Base].[SEGMENTO_DESCRIP].&amp;[" &amp; $C$6 &amp; "]",
"[Base].[SITUACION]",
"[Base].[SITUACION].&amp;[" &amp; $C66 &amp; "]"
),0)/1000</f>
        <v>0.86330000000000007</v>
      </c>
      <c r="AC66" s="8">
        <f>IFERROR(
GETPIVOTDATA(
"[Base].[Importe]",
TDinamica_R!$A$5,
"[Calendario].[AñoMes]",
"[Calendario].[AñoMes].&amp;[" &amp; TEXT(AC$6,"yyyymm") &amp; "]",
"[Base].[Metrica]",
"[Base].[Metrica].&amp;[" &amp; $A66 &amp; "]",
"[Base].[SEGMENTO_DESCRIP]",
"[Base].[SEGMENTO_DESCRIP].&amp;[" &amp; $C$6 &amp; "]",
"[Base].[SITUACION]",
"[Base].[SITUACION].&amp;[" &amp; $C66 &amp; "]"
),0)/1000</f>
        <v>0.98520999996000003</v>
      </c>
      <c r="AD66" s="8">
        <f>IFERROR(
GETPIVOTDATA(
"[Base].[Importe]",
TDinamica_R!$A$5,
"[Calendario].[AñoMes]",
"[Calendario].[AñoMes].&amp;[" &amp; TEXT(AD$6,"yyyymm") &amp; "]",
"[Base].[Metrica]",
"[Base].[Metrica].&amp;[" &amp; $A66 &amp; "]",
"[Base].[SEGMENTO_DESCRIP]",
"[Base].[SEGMENTO_DESCRIP].&amp;[" &amp; $C$6 &amp; "]",
"[Base].[SITUACION]",
"[Base].[SITUACION].&amp;[" &amp; $C66 &amp; "]"
),0)/1000</f>
        <v>1.4647000000099999</v>
      </c>
      <c r="AE66" s="8">
        <f>IFERROR(
GETPIVOTDATA(
"[Base].[Importe]",
TDinamica_R!$A$5,
"[Calendario].[AñoMes]",
"[Calendario].[AñoMes].&amp;[" &amp; TEXT(AE$6,"yyyymm") &amp; "]",
"[Base].[Metrica]",
"[Base].[Metrica].&amp;[" &amp; $A66 &amp; "]",
"[Base].[SEGMENTO_DESCRIP]",
"[Base].[SEGMENTO_DESCRIP].&amp;[" &amp; $C$6 &amp; "]",
"[Base].[SITUACION]",
"[Base].[SITUACION].&amp;[" &amp; $C66 &amp; "]"
),0)/1000</f>
        <v>1.01627</v>
      </c>
      <c r="AF66" s="8">
        <f>IFERROR(
GETPIVOTDATA(
"[Base].[Importe]",
TDinamica_R!$A$5,
"[Calendario].[AñoMes]",
"[Calendario].[AñoMes].&amp;[" &amp; TEXT(AF$6,"yyyymm") &amp; "]",
"[Base].[Metrica]",
"[Base].[Metrica].&amp;[" &amp; $A66 &amp; "]",
"[Base].[SEGMENTO_DESCRIP]",
"[Base].[SEGMENTO_DESCRIP].&amp;[" &amp; $C$6 &amp; "]",
"[Base].[SITUACION]",
"[Base].[SITUACION].&amp;[" &amp; $C66 &amp; "]"
),0)/1000</f>
        <v>0.26995999996000003</v>
      </c>
      <c r="AG66" s="8">
        <f>IFERROR(
GETPIVOTDATA(
"[Base].[Importe]",
TDinamica_R!$A$5,
"[Calendario].[AñoMes]",
"[Calendario].[AñoMes].&amp;[" &amp; TEXT(AG$6,"yyyymm") &amp; "]",
"[Base].[Metrica]",
"[Base].[Metrica].&amp;[" &amp; $A66 &amp; "]",
"[Base].[SEGMENTO_DESCRIP]",
"[Base].[SEGMENTO_DESCRIP].&amp;[" &amp; $C$6 &amp; "]",
"[Base].[SITUACION]",
"[Base].[SITUACION].&amp;[" &amp; $C66 &amp; "]"
),0)/1000</f>
        <v>1.5780200002200002</v>
      </c>
      <c r="AH66" s="8">
        <f>IFERROR(
GETPIVOTDATA(
"[Base].[Importe]",
TDinamica_R!$A$5,
"[Calendario].[AñoMes]",
"[Calendario].[AñoMes].&amp;[" &amp; TEXT(AH$6,"yyyymm") &amp; "]",
"[Base].[Metrica]",
"[Base].[Metrica].&amp;[" &amp; $A66 &amp; "]",
"[Base].[SEGMENTO_DESCRIP]",
"[Base].[SEGMENTO_DESCRIP].&amp;[" &amp; $C$6 &amp; "]",
"[Base].[SITUACION]",
"[Base].[SITUACION].&amp;[" &amp; $C66 &amp; "]"
),0)/1000</f>
        <v>1.016349999717</v>
      </c>
      <c r="AI66" s="8">
        <f>IFERROR(
GETPIVOTDATA(
"[Base].[Importe]",
TDinamica_R!$A$5,
"[Calendario].[AñoMes]",
"[Calendario].[AñoMes].&amp;[" &amp; TEXT(AI$6,"yyyymm") &amp; "]",
"[Base].[Metrica]",
"[Base].[Metrica].&amp;[" &amp; $A66 &amp; "]",
"[Base].[SEGMENTO_DESCRIP]",
"[Base].[SEGMENTO_DESCRIP].&amp;[" &amp; $C$6 &amp; "]",
"[Base].[SITUACION]",
"[Base].[SITUACION].&amp;[" &amp; $C66 &amp; "]"
),0)/1000</f>
        <v>0.75940000004999997</v>
      </c>
      <c r="AJ66" s="8">
        <f>IFERROR(
GETPIVOTDATA(
"[Base].[Importe]",
TDinamica_R!$A$5,
"[Calendario].[AñoMes]",
"[Calendario].[AñoMes].&amp;[" &amp; TEXT(AJ$6,"yyyymm") &amp; "]",
"[Base].[Metrica]",
"[Base].[Metrica].&amp;[" &amp; $A66 &amp; "]",
"[Base].[SEGMENTO_DESCRIP]",
"[Base].[SEGMENTO_DESCRIP].&amp;[" &amp; $C$6 &amp; "]",
"[Base].[SITUACION]",
"[Base].[SITUACION].&amp;[" &amp; $C66 &amp; "]"
),0)/1000</f>
        <v>1.91027999977</v>
      </c>
      <c r="AK66" s="8">
        <f>IFERROR(
GETPIVOTDATA(
"[Base].[Importe]",
TDinamica_R!$A$5,
"[Calendario].[AñoMes]",
"[Calendario].[AñoMes].&amp;[" &amp; TEXT(AK$6,"yyyymm") &amp; "]",
"[Base].[Metrica]",
"[Base].[Metrica].&amp;[" &amp; $A66 &amp; "]",
"[Base].[SEGMENTO_DESCRIP]",
"[Base].[SEGMENTO_DESCRIP].&amp;[" &amp; $C$6 &amp; "]",
"[Base].[SITUACION]",
"[Base].[SITUACION].&amp;[" &amp; $C66 &amp; "]"
),0)/1000</f>
        <v>1.02999999983</v>
      </c>
      <c r="AL66" s="8">
        <f>IFERROR(
GETPIVOTDATA(
"[Base].[Importe]",
TDinamica_R!$A$5,
"[Calendario].[AñoMes]",
"[Calendario].[AñoMes].&amp;[" &amp; TEXT(AL$6,"yyyymm") &amp; "]",
"[Base].[Metrica]",
"[Base].[Metrica].&amp;[" &amp; $A66 &amp; "]",
"[Base].[SEGMENTO_DESCRIP]",
"[Base].[SEGMENTO_DESCRIP].&amp;[" &amp; $C$6 &amp; "]",
"[Base].[SITUACION]",
"[Base].[SITUACION].&amp;[" &amp; $C66 &amp; "]"
),0)/1000</f>
        <v>1.9066800004070001</v>
      </c>
      <c r="AM66" s="8">
        <f>IFERROR(
GETPIVOTDATA(
"[Base].[Importe]",
TDinamica_R!$A$5,
"[Calendario].[AñoMes]",
"[Calendario].[AñoMes].&amp;[" &amp; TEXT(AM$6,"yyyymm") &amp; "]",
"[Base].[Metrica]",
"[Base].[Metrica].&amp;[" &amp; $A66 &amp; "]",
"[Base].[SEGMENTO_DESCRIP]",
"[Base].[SEGMENTO_DESCRIP].&amp;[" &amp; $C$6 &amp; "]",
"[Base].[SITUACION]",
"[Base].[SITUACION].&amp;[" &amp; $C66 &amp; "]"
),0)/1000</f>
        <v>0.72633999996999998</v>
      </c>
      <c r="AN66" s="8">
        <f>IFERROR(
GETPIVOTDATA(
"[Base].[Importe]",
TDinamica_R!$A$5,
"[Calendario].[AñoMes]",
"[Calendario].[AñoMes].&amp;[" &amp; TEXT(AN$6,"yyyymm") &amp; "]",
"[Base].[Metrica]",
"[Base].[Metrica].&amp;[" &amp; $A66 &amp; "]",
"[Base].[SEGMENTO_DESCRIP]",
"[Base].[SEGMENTO_DESCRIP].&amp;[" &amp; $C$6 &amp; "]",
"[Base].[SITUACION]",
"[Base].[SITUACION].&amp;[" &amp; $C66 &amp; "]"
),0)/1000</f>
        <v>1.2839400000000001</v>
      </c>
      <c r="AO66" s="8">
        <f>IFERROR(
GETPIVOTDATA(
"[Base].[Importe]",
TDinamica_R!$A$5,
"[Calendario].[AñoMes]",
"[Calendario].[AñoMes].&amp;[" &amp; TEXT(AO$6,"yyyymm") &amp; "]",
"[Base].[Metrica]",
"[Base].[Metrica].&amp;[" &amp; $A66 &amp; "]",
"[Base].[SEGMENTO_DESCRIP]",
"[Base].[SEGMENTO_DESCRIP].&amp;[" &amp; $C$6 &amp; "]",
"[Base].[SITUACION]",
"[Base].[SITUACION].&amp;[" &amp; $C66 &amp; "]"
),0)/1000</f>
        <v>0.66439000000000004</v>
      </c>
      <c r="AP66" s="8">
        <f>IFERROR(
GETPIVOTDATA(
"[Base].[Importe]",
TDinamica_R!$A$5,
"[Calendario].[AñoMes]",
"[Calendario].[AñoMes].&amp;[" &amp; TEXT(AP$6,"yyyymm") &amp; "]",
"[Base].[Metrica]",
"[Base].[Metrica].&amp;[" &amp; $A66 &amp; "]",
"[Base].[SEGMENTO_DESCRIP]",
"[Base].[SEGMENTO_DESCRIP].&amp;[" &amp; $C$6 &amp; "]",
"[Base].[SITUACION]",
"[Base].[SITUACION].&amp;[" &amp; $C66 &amp; "]"
),0)/1000</f>
        <v>2.93059</v>
      </c>
      <c r="AQ66" s="8">
        <f>IFERROR(
GETPIVOTDATA(
"[Base].[Importe]",
TDinamica_R!$A$5,
"[Calendario].[AñoMes]",
"[Calendario].[AñoMes].&amp;[" &amp; TEXT(AQ$6,"yyyymm") &amp; "]",
"[Base].[Metrica]",
"[Base].[Metrica].&amp;[" &amp; $A66 &amp; "]",
"[Base].[SEGMENTO_DESCRIP]",
"[Base].[SEGMENTO_DESCRIP].&amp;[" &amp; $C$6 &amp; "]",
"[Base].[SITUACION]",
"[Base].[SITUACION].&amp;[" &amp; $C66 &amp; "]"
),0)/1000</f>
        <v>1.5302200000000001</v>
      </c>
      <c r="AR66" s="8">
        <f>IFERROR(
GETPIVOTDATA(
"[Base].[Importe]",
TDinamica_R!$A$5,
"[Calendario].[AñoMes]",
"[Calendario].[AñoMes].&amp;[" &amp; TEXT(AR$6,"yyyymm") &amp; "]",
"[Base].[Metrica]",
"[Base].[Metrica].&amp;[" &amp; $A66 &amp; "]",
"[Base].[SEGMENTO_DESCRIP]",
"[Base].[SEGMENTO_DESCRIP].&amp;[" &amp; $C$6 &amp; "]",
"[Base].[SITUACION]",
"[Base].[SITUACION].&amp;[" &amp; $C66 &amp; "]"
),0)/1000</f>
        <v>0.46076000000000006</v>
      </c>
      <c r="AS66" s="8">
        <f>IFERROR(
GETPIVOTDATA(
"[Base].[Importe]",
TDinamica_R!$A$5,
"[Calendario].[AñoMes]",
"[Calendario].[AñoMes].&amp;[" &amp; TEXT(AS$6,"yyyymm") &amp; "]",
"[Base].[Metrica]",
"[Base].[Metrica].&amp;[" &amp; $A66 &amp; "]",
"[Base].[SEGMENTO_DESCRIP]",
"[Base].[SEGMENTO_DESCRIP].&amp;[" &amp; $C$6 &amp; "]",
"[Base].[SITUACION]",
"[Base].[SITUACION].&amp;[" &amp; $C66 &amp; "]"
),0)/1000</f>
        <v>1.7399099999999998</v>
      </c>
      <c r="AT66" s="8">
        <f>IFERROR(
GETPIVOTDATA(
"[Base].[Importe]",
TDinamica_R!$A$5,
"[Calendario].[AñoMes]",
"[Calendario].[AñoMes].&amp;[" &amp; TEXT(AT$6,"yyyymm")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U66" s="8">
        <f>IFERROR(
GETPIVOTDATA(
"[Base].[Importe]",
TDinamica_R!$A$5,
"[Calendario].[AñoMes]",
"[Calendario].[AñoMes].&amp;[" &amp; TEXT(AU$6,"yyyymm")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V66" s="8">
        <f>IFERROR(
GETPIVOTDATA(
"[Base].[Importe]",
TDinamica_R!$A$5,
"[Calendario].[AñoMes]",
"[Calendario].[AñoMes].&amp;[" &amp; TEXT(AV$6,"yyyymm")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W66" s="8">
        <f>IFERROR(
GETPIVOTDATA(
"[Base].[Importe]",
TDinamica_R!$A$5,
"[Calendario].[AñoMes]",
"[Calendario].[AñoMes].&amp;[" &amp; TEXT(AW$6,"yyyymm")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X66" s="8">
        <f>IFERROR(
GETPIVOTDATA(
"[Base].[Importe]",
TDinamica_R!$A$5,
"[Calendario].[AñoMes]",
"[Calendario].[AñoMes].&amp;[" &amp; TEXT(AX$6,"yyyymm")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Y66" s="8">
        <f>IFERROR(
GETPIVOTDATA(
"[Base].[Importe]",
TDinamica_R!$A$5,
"[Calendario].[AñoMes]",
"[Calendario].[AñoMes].&amp;[" &amp; TEXT(AY$6,"yyyymm")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Z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"[BASE_HIPO_PPTO].[Periodo]","[BASE_HIPO_PPTO].[Periodo].&amp;["&amp;TEXT(AZ$6,"yyyymm")&amp;"]"),
0)/1000</f>
        <v>0.78900556948803602</v>
      </c>
      <c r="BA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"[BASE_HIPO_PPTO].[Periodo]","[BASE_HIPO_PPTO].[Periodo].&amp;["&amp;TEXT(BA$6,"yyyymm")&amp;"]"),
0)/1000</f>
        <v>0.79312819309989446</v>
      </c>
      <c r="BB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"[BASE_HIPO_PPTO].[Periodo]","[BASE_HIPO_PPTO].[Periodo].&amp;["&amp;TEXT(BB$6,"yyyymm")&amp;"]"),
0)/1000</f>
        <v>0.79633131569153226</v>
      </c>
      <c r="BC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"[BASE_HIPO_PPTO].[Periodo]","[BASE_HIPO_PPTO].[Periodo].&amp;["&amp;TEXT(BC$6,"yyyymm")&amp;"]"),
0)/1000</f>
        <v>0.80012751600533816</v>
      </c>
      <c r="BD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"[BASE_HIPO_PPTO].[Periodo]","[BASE_HIPO_PPTO].[Periodo].&amp;["&amp;TEXT(BD$6,"yyyymm")&amp;"]"),
0)/1000</f>
        <v>0.80480715617399667</v>
      </c>
      <c r="BE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"[BASE_HIPO_PPTO].[Periodo]","[BASE_HIPO_PPTO].[Periodo].&amp;["&amp;TEXT(BE$6,"yyyymm")&amp;"]"),
0)/1000</f>
        <v>0.81016738428948087</v>
      </c>
      <c r="BF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"[BASE_HIPO_PPTO].[Periodo]","[BASE_HIPO_PPTO].[Periodo].&amp;["&amp;TEXT(BF$6,"yyyymm")&amp;"]"),
0)/1000</f>
        <v>0.81485521471071243</v>
      </c>
      <c r="BG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"[BASE_HIPO_PPTO].[Periodo]","[BASE_HIPO_PPTO].[Periodo].&amp;["&amp;TEXT(BG$6,"yyyymm")&amp;"]"),
0)/1000</f>
        <v>0.82148421179423281</v>
      </c>
      <c r="BH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"[BASE_HIPO_PPTO].[Periodo]","[BASE_HIPO_PPTO].[Periodo].&amp;["&amp;TEXT(BH$6,"yyyymm")&amp;"]"),
0)/1000</f>
        <v>0.82786031093661816</v>
      </c>
      <c r="BI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"[BASE_HIPO_PPTO].[Periodo]","[BASE_HIPO_PPTO].[Periodo].&amp;["&amp;TEXT(BI$6,"yyyymm")&amp;"]"),
0)/1000</f>
        <v>0.83582048802617237</v>
      </c>
      <c r="BJ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"[BASE_HIPO_PPTO].[Periodo]","[BASE_HIPO_PPTO].[Periodo].&amp;["&amp;TEXT(BJ$6,"yyyymm")&amp;"]"),
0)/1000</f>
        <v>0.84233790685941035</v>
      </c>
      <c r="BK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"[BASE_HIPO_PPTO].[Periodo]","[BASE_HIPO_PPTO].[Periodo].&amp;["&amp;TEXT(BK$6,"yyyymm")&amp;"]"),
0)/1000</f>
        <v>0.84790137628033446</v>
      </c>
      <c r="BO66" s="24">
        <f t="shared" si="149"/>
        <v>4.8789199999999999</v>
      </c>
      <c r="BP66" s="24">
        <f t="shared" si="149"/>
        <v>2.3784650782794627</v>
      </c>
      <c r="BQ66" s="24">
        <f t="shared" si="149"/>
        <v>1.9483300000000001</v>
      </c>
      <c r="BR66" s="24">
        <f t="shared" si="149"/>
        <v>3.3132099999699998</v>
      </c>
      <c r="BS66" s="24">
        <f t="shared" si="149"/>
        <v>2.7118280602499976</v>
      </c>
      <c r="BT66" s="24">
        <f t="shared" si="149"/>
        <v>1.3407037100699999</v>
      </c>
    </row>
    <row r="67" spans="1:72" hidden="1" outlineLevel="1" x14ac:dyDescent="0.25">
      <c r="A67" s="11" t="s">
        <v>71</v>
      </c>
      <c r="C67" s="2"/>
      <c r="D67" s="8">
        <f>IFERROR(
GETPIVOTDATA(
"[Base].[Importe]",
TDinamica_R!$A$5,
"[Calendario].[AñoMes]",
"[Calendario].[AñoMes].&amp;[" &amp; TEXT(D$6,"yyyymm")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E67" s="8">
        <f>IFERROR(
GETPIVOTDATA(
"[Base].[Importe]",
TDinamica_R!$A$5,
"[Calendario].[AñoMes]",
"[Calendario].[AñoMes].&amp;[" &amp; TEXT(E$6,"yyyymm")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F67" s="8">
        <f>IFERROR(
GETPIVOTDATA(
"[Base].[Importe]",
TDinamica_R!$A$5,
"[Calendario].[AñoMes]",
"[Calendario].[AñoMes].&amp;[" &amp; TEXT(F$6,"yyyymm")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G67" s="8">
        <f>IFERROR(
GETPIVOTDATA(
"[Base].[Importe]",
TDinamica_R!$A$5,
"[Calendario].[AñoMes]",
"[Calendario].[AñoMes].&amp;[" &amp; TEXT(G$6,"yyyymm")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H67" s="8">
        <f>IFERROR(
GETPIVOTDATA(
"[Base].[Importe]",
TDinamica_R!$A$5,
"[Calendario].[AñoMes]",
"[Calendario].[AñoMes].&amp;[" &amp; TEXT(H$6,"yyyymm")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I67" s="8">
        <f>IFERROR(
GETPIVOTDATA(
"[Base].[Importe]",
TDinamica_R!$A$5,
"[Calendario].[AñoMes]",
"[Calendario].[AñoMes].&amp;[" &amp; TEXT(I$6,"yyyymm")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J67" s="8">
        <f>IFERROR(
GETPIVOTDATA(
"[Base].[Importe]",
TDinamica_R!$A$5,
"[Calendario].[AñoMes]",
"[Calendario].[AñoMes].&amp;[" &amp; TEXT(J$6,"yyyymm")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K67" s="8">
        <f>IFERROR(
GETPIVOTDATA(
"[Base].[Importe]",
TDinamica_R!$A$5,
"[Calendario].[AñoMes]",
"[Calendario].[AñoMes].&amp;[" &amp; TEXT(K$6,"yyyymm")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L67" s="8">
        <f>IFERROR(
GETPIVOTDATA(
"[Base].[Importe]",
TDinamica_R!$A$5,
"[Calendario].[AñoMes]",
"[Calendario].[AñoMes].&amp;[" &amp; TEXT(L$6,"yyyymm")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M67" s="8">
        <f>IFERROR(
GETPIVOTDATA(
"[Base].[Importe]",
TDinamica_R!$A$5,
"[Calendario].[AñoMes]",
"[Calendario].[AñoMes].&amp;[" &amp; TEXT(M$6,"yyyymm")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N67" s="8">
        <f>IFERROR(
GETPIVOTDATA(
"[Base].[Importe]",
TDinamica_R!$A$5,
"[Calendario].[AñoMes]",
"[Calendario].[AñoMes].&amp;[" &amp; TEXT(N$6,"yyyymm")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O67" s="8">
        <f>IFERROR(
GETPIVOTDATA(
"[Base].[Importe]",
TDinamica_R!$A$5,
"[Calendario].[AñoMes]",
"[Calendario].[AñoMes].&amp;[" &amp; TEXT(O$6,"yyyymm")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P67" s="8">
        <f>IFERROR(
GETPIVOTDATA(
"[Base].[Importe]",
TDinamica_R!$A$5,
"[Calendario].[AñoMes]",
"[Calendario].[AñoMes].&amp;[" &amp; TEXT(P$6,"yyyymm")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Q67" s="8">
        <f>IFERROR(
GETPIVOTDATA(
"[Base].[Importe]",
TDinamica_R!$A$5,
"[Calendario].[AñoMes]",
"[Calendario].[AñoMes].&amp;[" &amp; TEXT(Q$6,"yyyymm")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R67" s="8">
        <f>IFERROR(
GETPIVOTDATA(
"[Base].[Importe]",
TDinamica_R!$A$5,
"[Calendario].[AñoMes]",
"[Calendario].[AñoMes].&amp;[" &amp; TEXT(R$6,"yyyymm")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S67" s="8">
        <f>IFERROR(
GETPIVOTDATA(
"[Base].[Importe]",
TDinamica_R!$A$5,
"[Calendario].[AñoMes]",
"[Calendario].[AñoMes].&amp;[" &amp; TEXT(S$6,"yyyymm")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T67" s="8">
        <f>IFERROR(
GETPIVOTDATA(
"[Base].[Importe]",
TDinamica_R!$A$5,
"[Calendario].[AñoMes]",
"[Calendario].[AñoMes].&amp;[" &amp; TEXT(T$6,"yyyymm")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U67" s="8">
        <f>IFERROR(
GETPIVOTDATA(
"[Base].[Importe]",
TDinamica_R!$A$5,
"[Calendario].[AñoMes]",
"[Calendario].[AñoMes].&amp;[" &amp; TEXT(U$6,"yyyymm")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V67" s="8">
        <f>IFERROR(
GETPIVOTDATA(
"[Base].[Importe]",
TDinamica_R!$A$5,
"[Calendario].[AñoMes]",
"[Calendario].[AñoMes].&amp;[" &amp; TEXT(V$6,"yyyymm")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W67" s="8">
        <f>IFERROR(
GETPIVOTDATA(
"[Base].[Importe]",
TDinamica_R!$A$5,
"[Calendario].[AñoMes]",
"[Calendario].[AñoMes].&amp;[" &amp; TEXT(W$6,"yyyymm")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X67" s="8">
        <f>IFERROR(
GETPIVOTDATA(
"[Base].[Importe]",
TDinamica_R!$A$5,
"[Calendario].[AñoMes]",
"[Calendario].[AñoMes].&amp;[" &amp; TEXT(X$6,"yyyymm")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Y67" s="8">
        <f>IFERROR(
GETPIVOTDATA(
"[Base].[Importe]",
TDinamica_R!$A$5,
"[Calendario].[AñoMes]",
"[Calendario].[AñoMes].&amp;[" &amp; TEXT(Y$6,"yyyymm")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Z67" s="8">
        <f>IFERROR(
GETPIVOTDATA(
"[Base].[Importe]",
TDinamica_R!$A$5,
"[Calendario].[AñoMes]",
"[Calendario].[AñoMes].&amp;[" &amp; TEXT(Z$6,"yyyymm")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A67" s="8">
        <f>IFERROR(
GETPIVOTDATA(
"[Base].[Importe]",
TDinamica_R!$A$5,
"[Calendario].[AñoMes]",
"[Calendario].[AñoMes].&amp;[" &amp; TEXT(AA$6,"yyyymm")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B67" s="8">
        <f>IFERROR(
GETPIVOTDATA(
"[Base].[Importe]",
TDinamica_R!$A$5,
"[Calendario].[AñoMes]",
"[Calendario].[AñoMes].&amp;[" &amp; TEXT(AB$6,"yyyymm")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C67" s="8">
        <f>IFERROR(
GETPIVOTDATA(
"[Base].[Importe]",
TDinamica_R!$A$5,
"[Calendario].[AñoMes]",
"[Calendario].[AñoMes].&amp;[" &amp; TEXT(AC$6,"yyyymm")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D67" s="8">
        <f>IFERROR(
GETPIVOTDATA(
"[Base].[Importe]",
TDinamica_R!$A$5,
"[Calendario].[AñoMes]",
"[Calendario].[AñoMes].&amp;[" &amp; TEXT(AD$6,"yyyymm")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E67" s="8">
        <f>IFERROR(
GETPIVOTDATA(
"[Base].[Importe]",
TDinamica_R!$A$5,
"[Calendario].[AñoMes]",
"[Calendario].[AñoMes].&amp;[" &amp; TEXT(AE$6,"yyyymm")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F67" s="8">
        <f>IFERROR(
GETPIVOTDATA(
"[Base].[Importe]",
TDinamica_R!$A$5,
"[Calendario].[AñoMes]",
"[Calendario].[AñoMes].&amp;[" &amp; TEXT(AF$6,"yyyymm")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G67" s="8">
        <f>IFERROR(
GETPIVOTDATA(
"[Base].[Importe]",
TDinamica_R!$A$5,
"[Calendario].[AñoMes]",
"[Calendario].[AñoMes].&amp;[" &amp; TEXT(AG$6,"yyyymm")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H67" s="8">
        <f>IFERROR(
GETPIVOTDATA(
"[Base].[Importe]",
TDinamica_R!$A$5,
"[Calendario].[AñoMes]",
"[Calendario].[AñoMes].&amp;[" &amp; TEXT(AH$6,"yyyymm")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I67" s="8">
        <f>IFERROR(
GETPIVOTDATA(
"[Base].[Importe]",
TDinamica_R!$A$5,
"[Calendario].[AñoMes]",
"[Calendario].[AñoMes].&amp;[" &amp; TEXT(AI$6,"yyyymm")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J67" s="8">
        <f>IFERROR(
GETPIVOTDATA(
"[Base].[Importe]",
TDinamica_R!$A$5,
"[Calendario].[AñoMes]",
"[Calendario].[AñoMes].&amp;[" &amp; TEXT(AJ$6,"yyyymm")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K67" s="8">
        <f>IFERROR(
GETPIVOTDATA(
"[Base].[Importe]",
TDinamica_R!$A$5,
"[Calendario].[AñoMes]",
"[Calendario].[AñoMes].&amp;[" &amp; TEXT(AK$6,"yyyymm")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L67" s="8">
        <f>IFERROR(
GETPIVOTDATA(
"[Base].[Importe]",
TDinamica_R!$A$5,
"[Calendario].[AñoMes]",
"[Calendario].[AñoMes].&amp;[" &amp; TEXT(AL$6,"yyyymm")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M67" s="8">
        <f>IFERROR(
GETPIVOTDATA(
"[Base].[Importe]",
TDinamica_R!$A$5,
"[Calendario].[AñoMes]",
"[Calendario].[AñoMes].&amp;[" &amp; TEXT(AM$6,"yyyymm")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N67" s="8">
        <f>IFERROR(
GETPIVOTDATA(
"[Base].[Importe]",
TDinamica_R!$A$5,
"[Calendario].[AñoMes]",
"[Calendario].[AñoMes].&amp;[" &amp; TEXT(AN$6,"yyyymm")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O67" s="8">
        <f>IFERROR(
GETPIVOTDATA(
"[Base].[Importe]",
TDinamica_R!$A$5,
"[Calendario].[AñoMes]",
"[Calendario].[AñoMes].&amp;[" &amp; TEXT(AO$6,"yyyymm")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P67" s="8">
        <f>IFERROR(
GETPIVOTDATA(
"[Base].[Importe]",
TDinamica_R!$A$5,
"[Calendario].[AñoMes]",
"[Calendario].[AñoMes].&amp;[" &amp; TEXT(AP$6,"yyyymm")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Q67" s="8">
        <f>IFERROR(
GETPIVOTDATA(
"[Base].[Importe]",
TDinamica_R!$A$5,
"[Calendario].[AñoMes]",
"[Calendario].[AñoMes].&amp;[" &amp; TEXT(AQ$6,"yyyymm")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R67" s="8">
        <f>IFERROR(
GETPIVOTDATA(
"[Base].[Importe]",
TDinamica_R!$A$5,
"[Calendario].[AñoMes]",
"[Calendario].[AñoMes].&amp;[" &amp; TEXT(AR$6,"yyyymm")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S67" s="8">
        <f>IFERROR(
GETPIVOTDATA(
"[Base].[Importe]",
TDinamica_R!$A$5,
"[Calendario].[AñoMes]",
"[Calendario].[AñoMes].&amp;[" &amp; TEXT(AS$6,"yyyymm")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T67" s="8">
        <f>IFERROR(
GETPIVOTDATA(
"[Base].[Importe]",
TDinamica_R!$A$5,
"[Calendario].[AñoMes]",
"[Calendario].[AñoMes].&amp;[" &amp; TEXT(AT$6,"yyyymm")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U67" s="8">
        <f>IFERROR(
GETPIVOTDATA(
"[Base].[Importe]",
TDinamica_R!$A$5,
"[Calendario].[AñoMes]",
"[Calendario].[AñoMes].&amp;[" &amp; TEXT(AU$6,"yyyymm")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V67" s="8">
        <f>IFERROR(
GETPIVOTDATA(
"[Base].[Importe]",
TDinamica_R!$A$5,
"[Calendario].[AñoMes]",
"[Calendario].[AñoMes].&amp;[" &amp; TEXT(AV$6,"yyyymm")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W67" s="8">
        <f>IFERROR(
GETPIVOTDATA(
"[Base].[Importe]",
TDinamica_R!$A$5,
"[Calendario].[AñoMes]",
"[Calendario].[AñoMes].&amp;[" &amp; TEXT(AW$6,"yyyymm")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X67" s="8">
        <f>IFERROR(
GETPIVOTDATA(
"[Base].[Importe]",
TDinamica_R!$A$5,
"[Calendario].[AñoMes]",
"[Calendario].[AñoMes].&amp;[" &amp; TEXT(AX$6,"yyyymm")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Y67" s="8">
        <f>IFERROR(
GETPIVOTDATA(
"[Base].[Importe]",
TDinamica_R!$A$5,
"[Calendario].[AñoMes]",
"[Calendario].[AñoMes].&amp;[" &amp; TEXT(AY$6,"yyyymm")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Z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"[BASE_HIPO_PPTO].[Periodo]","[BASE_HIPO_PPTO].[Periodo].&amp;["&amp;TEXT(AZ$6,"yyyymm")&amp;"]"),
0)/1000</f>
        <v>0</v>
      </c>
      <c r="BA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"[BASE_HIPO_PPTO].[Periodo]","[BASE_HIPO_PPTO].[Periodo].&amp;["&amp;TEXT(BA$6,"yyyymm")&amp;"]"),
0)/1000</f>
        <v>0</v>
      </c>
      <c r="BB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"[BASE_HIPO_PPTO].[Periodo]","[BASE_HIPO_PPTO].[Periodo].&amp;["&amp;TEXT(BB$6,"yyyymm")&amp;"]"),
0)/1000</f>
        <v>0</v>
      </c>
      <c r="BC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"[BASE_HIPO_PPTO].[Periodo]","[BASE_HIPO_PPTO].[Periodo].&amp;["&amp;TEXT(BC$6,"yyyymm")&amp;"]"),
0)/1000</f>
        <v>0</v>
      </c>
      <c r="BD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"[BASE_HIPO_PPTO].[Periodo]","[BASE_HIPO_PPTO].[Periodo].&amp;["&amp;TEXT(BD$6,"yyyymm")&amp;"]"),
0)/1000</f>
        <v>0</v>
      </c>
      <c r="BE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"[BASE_HIPO_PPTO].[Periodo]","[BASE_HIPO_PPTO].[Periodo].&amp;["&amp;TEXT(BE$6,"yyyymm")&amp;"]"),
0)/1000</f>
        <v>0</v>
      </c>
      <c r="BF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"[BASE_HIPO_PPTO].[Periodo]","[BASE_HIPO_PPTO].[Periodo].&amp;["&amp;TEXT(BF$6,"yyyymm")&amp;"]"),
0)/1000</f>
        <v>0</v>
      </c>
      <c r="BG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"[BASE_HIPO_PPTO].[Periodo]","[BASE_HIPO_PPTO].[Periodo].&amp;["&amp;TEXT(BG$6,"yyyymm")&amp;"]"),
0)/1000</f>
        <v>0</v>
      </c>
      <c r="BH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"[BASE_HIPO_PPTO].[Periodo]","[BASE_HIPO_PPTO].[Periodo].&amp;["&amp;TEXT(BH$6,"yyyymm")&amp;"]"),
0)/1000</f>
        <v>0</v>
      </c>
      <c r="BI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"[BASE_HIPO_PPTO].[Periodo]","[BASE_HIPO_PPTO].[Periodo].&amp;["&amp;TEXT(BI$6,"yyyymm")&amp;"]"),
0)/1000</f>
        <v>0</v>
      </c>
      <c r="BJ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"[BASE_HIPO_PPTO].[Periodo]","[BASE_HIPO_PPTO].[Periodo].&amp;["&amp;TEXT(BJ$6,"yyyymm")&amp;"]"),
0)/1000</f>
        <v>0</v>
      </c>
      <c r="BK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"[BASE_HIPO_PPTO].[Periodo]","[BASE_HIPO_PPTO].[Periodo].&amp;["&amp;TEXT(BK$6,"yyyymm")&amp;"]"),
0)/1000</f>
        <v>0</v>
      </c>
      <c r="BO67" s="24">
        <f t="shared" si="149"/>
        <v>0</v>
      </c>
      <c r="BP67" s="24">
        <f t="shared" si="149"/>
        <v>0</v>
      </c>
      <c r="BQ67" s="24">
        <f t="shared" si="149"/>
        <v>0</v>
      </c>
      <c r="BR67" s="24">
        <f t="shared" si="149"/>
        <v>0</v>
      </c>
      <c r="BS67" s="24">
        <f t="shared" si="149"/>
        <v>0</v>
      </c>
      <c r="BT67" s="24">
        <f t="shared" si="149"/>
        <v>0</v>
      </c>
    </row>
    <row r="68" spans="1:72" hidden="1" outlineLevel="1" x14ac:dyDescent="0.25">
      <c r="A68" s="11" t="s">
        <v>71</v>
      </c>
      <c r="C68" s="2"/>
      <c r="D68" s="8">
        <f>IFERROR(
GETPIVOTDATA(
"[Base].[Importe]",
TDinamica_R!$A$5,
"[Calendario].[AñoMes]",
"[Calendario].[AñoMes].&amp;[" &amp; TEXT(D$6,"yyyymm")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E68" s="8">
        <f>IFERROR(
GETPIVOTDATA(
"[Base].[Importe]",
TDinamica_R!$A$5,
"[Calendario].[AñoMes]",
"[Calendario].[AñoMes].&amp;[" &amp; TEXT(E$6,"yyyymm")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F68" s="8">
        <f>IFERROR(
GETPIVOTDATA(
"[Base].[Importe]",
TDinamica_R!$A$5,
"[Calendario].[AñoMes]",
"[Calendario].[AñoMes].&amp;[" &amp; TEXT(F$6,"yyyymm")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G68" s="8">
        <f>IFERROR(
GETPIVOTDATA(
"[Base].[Importe]",
TDinamica_R!$A$5,
"[Calendario].[AñoMes]",
"[Calendario].[AñoMes].&amp;[" &amp; TEXT(G$6,"yyyymm")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H68" s="8">
        <f>IFERROR(
GETPIVOTDATA(
"[Base].[Importe]",
TDinamica_R!$A$5,
"[Calendario].[AñoMes]",
"[Calendario].[AñoMes].&amp;[" &amp; TEXT(H$6,"yyyymm")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I68" s="8">
        <f>IFERROR(
GETPIVOTDATA(
"[Base].[Importe]",
TDinamica_R!$A$5,
"[Calendario].[AñoMes]",
"[Calendario].[AñoMes].&amp;[" &amp; TEXT(I$6,"yyyymm")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J68" s="8">
        <f>IFERROR(
GETPIVOTDATA(
"[Base].[Importe]",
TDinamica_R!$A$5,
"[Calendario].[AñoMes]",
"[Calendario].[AñoMes].&amp;[" &amp; TEXT(J$6,"yyyymm")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K68" s="8">
        <f>IFERROR(
GETPIVOTDATA(
"[Base].[Importe]",
TDinamica_R!$A$5,
"[Calendario].[AñoMes]",
"[Calendario].[AñoMes].&amp;[" &amp; TEXT(K$6,"yyyymm")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L68" s="8">
        <f>IFERROR(
GETPIVOTDATA(
"[Base].[Importe]",
TDinamica_R!$A$5,
"[Calendario].[AñoMes]",
"[Calendario].[AñoMes].&amp;[" &amp; TEXT(L$6,"yyyymm")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M68" s="8">
        <f>IFERROR(
GETPIVOTDATA(
"[Base].[Importe]",
TDinamica_R!$A$5,
"[Calendario].[AñoMes]",
"[Calendario].[AñoMes].&amp;[" &amp; TEXT(M$6,"yyyymm")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N68" s="8">
        <f>IFERROR(
GETPIVOTDATA(
"[Base].[Importe]",
TDinamica_R!$A$5,
"[Calendario].[AñoMes]",
"[Calendario].[AñoMes].&amp;[" &amp; TEXT(N$6,"yyyymm")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O68" s="8">
        <f>IFERROR(
GETPIVOTDATA(
"[Base].[Importe]",
TDinamica_R!$A$5,
"[Calendario].[AñoMes]",
"[Calendario].[AñoMes].&amp;[" &amp; TEXT(O$6,"yyyymm")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P68" s="8">
        <f>IFERROR(
GETPIVOTDATA(
"[Base].[Importe]",
TDinamica_R!$A$5,
"[Calendario].[AñoMes]",
"[Calendario].[AñoMes].&amp;[" &amp; TEXT(P$6,"yyyymm")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Q68" s="8">
        <f>IFERROR(
GETPIVOTDATA(
"[Base].[Importe]",
TDinamica_R!$A$5,
"[Calendario].[AñoMes]",
"[Calendario].[AñoMes].&amp;[" &amp; TEXT(Q$6,"yyyymm")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R68" s="8">
        <f>IFERROR(
GETPIVOTDATA(
"[Base].[Importe]",
TDinamica_R!$A$5,
"[Calendario].[AñoMes]",
"[Calendario].[AñoMes].&amp;[" &amp; TEXT(R$6,"yyyymm")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S68" s="8">
        <f>IFERROR(
GETPIVOTDATA(
"[Base].[Importe]",
TDinamica_R!$A$5,
"[Calendario].[AñoMes]",
"[Calendario].[AñoMes].&amp;[" &amp; TEXT(S$6,"yyyymm")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T68" s="8">
        <f>IFERROR(
GETPIVOTDATA(
"[Base].[Importe]",
TDinamica_R!$A$5,
"[Calendario].[AñoMes]",
"[Calendario].[AñoMes].&amp;[" &amp; TEXT(T$6,"yyyymm")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U68" s="8">
        <f>IFERROR(
GETPIVOTDATA(
"[Base].[Importe]",
TDinamica_R!$A$5,
"[Calendario].[AñoMes]",
"[Calendario].[AñoMes].&amp;[" &amp; TEXT(U$6,"yyyymm")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V68" s="8">
        <f>IFERROR(
GETPIVOTDATA(
"[Base].[Importe]",
TDinamica_R!$A$5,
"[Calendario].[AñoMes]",
"[Calendario].[AñoMes].&amp;[" &amp; TEXT(V$6,"yyyymm")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W68" s="8">
        <f>IFERROR(
GETPIVOTDATA(
"[Base].[Importe]",
TDinamica_R!$A$5,
"[Calendario].[AñoMes]",
"[Calendario].[AñoMes].&amp;[" &amp; TEXT(W$6,"yyyymm")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X68" s="8">
        <f>IFERROR(
GETPIVOTDATA(
"[Base].[Importe]",
TDinamica_R!$A$5,
"[Calendario].[AñoMes]",
"[Calendario].[AñoMes].&amp;[" &amp; TEXT(X$6,"yyyymm")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Y68" s="8">
        <f>IFERROR(
GETPIVOTDATA(
"[Base].[Importe]",
TDinamica_R!$A$5,
"[Calendario].[AñoMes]",
"[Calendario].[AñoMes].&amp;[" &amp; TEXT(Y$6,"yyyymm")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Z68" s="8">
        <f>IFERROR(
GETPIVOTDATA(
"[Base].[Importe]",
TDinamica_R!$A$5,
"[Calendario].[AñoMes]",
"[Calendario].[AñoMes].&amp;[" &amp; TEXT(Z$6,"yyyymm")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A68" s="8">
        <f>IFERROR(
GETPIVOTDATA(
"[Base].[Importe]",
TDinamica_R!$A$5,
"[Calendario].[AñoMes]",
"[Calendario].[AñoMes].&amp;[" &amp; TEXT(AA$6,"yyyymm")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B68" s="8">
        <f>IFERROR(
GETPIVOTDATA(
"[Base].[Importe]",
TDinamica_R!$A$5,
"[Calendario].[AñoMes]",
"[Calendario].[AñoMes].&amp;[" &amp; TEXT(AB$6,"yyyymm")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C68" s="8">
        <f>IFERROR(
GETPIVOTDATA(
"[Base].[Importe]",
TDinamica_R!$A$5,
"[Calendario].[AñoMes]",
"[Calendario].[AñoMes].&amp;[" &amp; TEXT(AC$6,"yyyymm")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D68" s="8">
        <f>IFERROR(
GETPIVOTDATA(
"[Base].[Importe]",
TDinamica_R!$A$5,
"[Calendario].[AñoMes]",
"[Calendario].[AñoMes].&amp;[" &amp; TEXT(AD$6,"yyyymm")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E68" s="8">
        <f>IFERROR(
GETPIVOTDATA(
"[Base].[Importe]",
TDinamica_R!$A$5,
"[Calendario].[AñoMes]",
"[Calendario].[AñoMes].&amp;[" &amp; TEXT(AE$6,"yyyymm")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F68" s="8">
        <f>IFERROR(
GETPIVOTDATA(
"[Base].[Importe]",
TDinamica_R!$A$5,
"[Calendario].[AñoMes]",
"[Calendario].[AñoMes].&amp;[" &amp; TEXT(AF$6,"yyyymm")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G68" s="8">
        <f>IFERROR(
GETPIVOTDATA(
"[Base].[Importe]",
TDinamica_R!$A$5,
"[Calendario].[AñoMes]",
"[Calendario].[AñoMes].&amp;[" &amp; TEXT(AG$6,"yyyymm")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H68" s="8">
        <f>IFERROR(
GETPIVOTDATA(
"[Base].[Importe]",
TDinamica_R!$A$5,
"[Calendario].[AñoMes]",
"[Calendario].[AñoMes].&amp;[" &amp; TEXT(AH$6,"yyyymm")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I68" s="8">
        <f>IFERROR(
GETPIVOTDATA(
"[Base].[Importe]",
TDinamica_R!$A$5,
"[Calendario].[AñoMes]",
"[Calendario].[AñoMes].&amp;[" &amp; TEXT(AI$6,"yyyymm")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J68" s="8">
        <f>IFERROR(
GETPIVOTDATA(
"[Base].[Importe]",
TDinamica_R!$A$5,
"[Calendario].[AñoMes]",
"[Calendario].[AñoMes].&amp;[" &amp; TEXT(AJ$6,"yyyymm")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K68" s="8">
        <f>IFERROR(
GETPIVOTDATA(
"[Base].[Importe]",
TDinamica_R!$A$5,
"[Calendario].[AñoMes]",
"[Calendario].[AñoMes].&amp;[" &amp; TEXT(AK$6,"yyyymm")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L68" s="8">
        <f>IFERROR(
GETPIVOTDATA(
"[Base].[Importe]",
TDinamica_R!$A$5,
"[Calendario].[AñoMes]",
"[Calendario].[AñoMes].&amp;[" &amp; TEXT(AL$6,"yyyymm")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M68" s="8">
        <f>IFERROR(
GETPIVOTDATA(
"[Base].[Importe]",
TDinamica_R!$A$5,
"[Calendario].[AñoMes]",
"[Calendario].[AñoMes].&amp;[" &amp; TEXT(AM$6,"yyyymm")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N68" s="8">
        <f>IFERROR(
GETPIVOTDATA(
"[Base].[Importe]",
TDinamica_R!$A$5,
"[Calendario].[AñoMes]",
"[Calendario].[AñoMes].&amp;[" &amp; TEXT(AN$6,"yyyymm")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O68" s="8">
        <f>IFERROR(
GETPIVOTDATA(
"[Base].[Importe]",
TDinamica_R!$A$5,
"[Calendario].[AñoMes]",
"[Calendario].[AñoMes].&amp;[" &amp; TEXT(AO$6,"yyyymm")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P68" s="8">
        <f>IFERROR(
GETPIVOTDATA(
"[Base].[Importe]",
TDinamica_R!$A$5,
"[Calendario].[AñoMes]",
"[Calendario].[AñoMes].&amp;[" &amp; TEXT(AP$6,"yyyymm")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Q68" s="8">
        <f>IFERROR(
GETPIVOTDATA(
"[Base].[Importe]",
TDinamica_R!$A$5,
"[Calendario].[AñoMes]",
"[Calendario].[AñoMes].&amp;[" &amp; TEXT(AQ$6,"yyyymm")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R68" s="8">
        <f>IFERROR(
GETPIVOTDATA(
"[Base].[Importe]",
TDinamica_R!$A$5,
"[Calendario].[AñoMes]",
"[Calendario].[AñoMes].&amp;[" &amp; TEXT(AR$6,"yyyymm")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S68" s="8">
        <f>IFERROR(
GETPIVOTDATA(
"[Base].[Importe]",
TDinamica_R!$A$5,
"[Calendario].[AñoMes]",
"[Calendario].[AñoMes].&amp;[" &amp; TEXT(AS$6,"yyyymm")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T68" s="8">
        <f>IFERROR(
GETPIVOTDATA(
"[Base].[Importe]",
TDinamica_R!$A$5,
"[Calendario].[AñoMes]",
"[Calendario].[AñoMes].&amp;[" &amp; TEXT(AT$6,"yyyymm")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U68" s="8">
        <f>IFERROR(
GETPIVOTDATA(
"[Base].[Importe]",
TDinamica_R!$A$5,
"[Calendario].[AñoMes]",
"[Calendario].[AñoMes].&amp;[" &amp; TEXT(AU$6,"yyyymm")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V68" s="8">
        <f>IFERROR(
GETPIVOTDATA(
"[Base].[Importe]",
TDinamica_R!$A$5,
"[Calendario].[AñoMes]",
"[Calendario].[AñoMes].&amp;[" &amp; TEXT(AV$6,"yyyymm")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W68" s="8">
        <f>IFERROR(
GETPIVOTDATA(
"[Base].[Importe]",
TDinamica_R!$A$5,
"[Calendario].[AñoMes]",
"[Calendario].[AñoMes].&amp;[" &amp; TEXT(AW$6,"yyyymm")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X68" s="8">
        <f>IFERROR(
GETPIVOTDATA(
"[Base].[Importe]",
TDinamica_R!$A$5,
"[Calendario].[AñoMes]",
"[Calendario].[AñoMes].&amp;[" &amp; TEXT(AX$6,"yyyymm")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Y68" s="8">
        <f>IFERROR(
GETPIVOTDATA(
"[Base].[Importe]",
TDinamica_R!$A$5,
"[Calendario].[AñoMes]",
"[Calendario].[AñoMes].&amp;[" &amp; TEXT(AY$6,"yyyymm")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Z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"[BASE_HIPO_PPTO].[Periodo]","[BASE_HIPO_PPTO].[Periodo].&amp;["&amp;TEXT(AZ$6,"yyyymm")&amp;"]"),
0)/1000</f>
        <v>0</v>
      </c>
      <c r="BA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"[BASE_HIPO_PPTO].[Periodo]","[BASE_HIPO_PPTO].[Periodo].&amp;["&amp;TEXT(BA$6,"yyyymm")&amp;"]"),
0)/1000</f>
        <v>0</v>
      </c>
      <c r="BB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"[BASE_HIPO_PPTO].[Periodo]","[BASE_HIPO_PPTO].[Periodo].&amp;["&amp;TEXT(BB$6,"yyyymm")&amp;"]"),
0)/1000</f>
        <v>0</v>
      </c>
      <c r="BC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"[BASE_HIPO_PPTO].[Periodo]","[BASE_HIPO_PPTO].[Periodo].&amp;["&amp;TEXT(BC$6,"yyyymm")&amp;"]"),
0)/1000</f>
        <v>0</v>
      </c>
      <c r="BD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"[BASE_HIPO_PPTO].[Periodo]","[BASE_HIPO_PPTO].[Periodo].&amp;["&amp;TEXT(BD$6,"yyyymm")&amp;"]"),
0)/1000</f>
        <v>0</v>
      </c>
      <c r="BE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"[BASE_HIPO_PPTO].[Periodo]","[BASE_HIPO_PPTO].[Periodo].&amp;["&amp;TEXT(BE$6,"yyyymm")&amp;"]"),
0)/1000</f>
        <v>0</v>
      </c>
      <c r="BF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"[BASE_HIPO_PPTO].[Periodo]","[BASE_HIPO_PPTO].[Periodo].&amp;["&amp;TEXT(BF$6,"yyyymm")&amp;"]"),
0)/1000</f>
        <v>0</v>
      </c>
      <c r="BG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"[BASE_HIPO_PPTO].[Periodo]","[BASE_HIPO_PPTO].[Periodo].&amp;["&amp;TEXT(BG$6,"yyyymm")&amp;"]"),
0)/1000</f>
        <v>0</v>
      </c>
      <c r="BH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"[BASE_HIPO_PPTO].[Periodo]","[BASE_HIPO_PPTO].[Periodo].&amp;["&amp;TEXT(BH$6,"yyyymm")&amp;"]"),
0)/1000</f>
        <v>0</v>
      </c>
      <c r="BI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"[BASE_HIPO_PPTO].[Periodo]","[BASE_HIPO_PPTO].[Periodo].&amp;["&amp;TEXT(BI$6,"yyyymm")&amp;"]"),
0)/1000</f>
        <v>0</v>
      </c>
      <c r="BJ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"[BASE_HIPO_PPTO].[Periodo]","[BASE_HIPO_PPTO].[Periodo].&amp;["&amp;TEXT(BJ$6,"yyyymm")&amp;"]"),
0)/1000</f>
        <v>0</v>
      </c>
      <c r="BK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"[BASE_HIPO_PPTO].[Periodo]","[BASE_HIPO_PPTO].[Periodo].&amp;["&amp;TEXT(BK$6,"yyyymm")&amp;"]"),
0)/1000</f>
        <v>0</v>
      </c>
      <c r="BO68" s="24">
        <f t="shared" si="149"/>
        <v>0</v>
      </c>
      <c r="BP68" s="24">
        <f t="shared" si="149"/>
        <v>0</v>
      </c>
      <c r="BQ68" s="24">
        <f t="shared" si="149"/>
        <v>0</v>
      </c>
      <c r="BR68" s="24">
        <f t="shared" si="149"/>
        <v>0</v>
      </c>
      <c r="BS68" s="24">
        <f t="shared" si="149"/>
        <v>0</v>
      </c>
      <c r="BT68" s="24">
        <f t="shared" si="149"/>
        <v>0</v>
      </c>
    </row>
    <row r="69" spans="1:72" hidden="1" outlineLevel="1" x14ac:dyDescent="0.25">
      <c r="A69" s="11" t="s">
        <v>71</v>
      </c>
      <c r="C69" s="2"/>
      <c r="D69" s="8">
        <f>IFERROR(
GETPIVOTDATA(
"[Base].[Importe]",
TDinamica_R!$A$5,
"[Calendario].[AñoMes]",
"[Calendario].[AñoMes].&amp;[" &amp; TEXT(D$6,"yyyymm")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E69" s="8">
        <f>IFERROR(
GETPIVOTDATA(
"[Base].[Importe]",
TDinamica_R!$A$5,
"[Calendario].[AñoMes]",
"[Calendario].[AñoMes].&amp;[" &amp; TEXT(E$6,"yyyymm")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F69" s="8">
        <f>IFERROR(
GETPIVOTDATA(
"[Base].[Importe]",
TDinamica_R!$A$5,
"[Calendario].[AñoMes]",
"[Calendario].[AñoMes].&amp;[" &amp; TEXT(F$6,"yyyymm")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G69" s="8">
        <f>IFERROR(
GETPIVOTDATA(
"[Base].[Importe]",
TDinamica_R!$A$5,
"[Calendario].[AñoMes]",
"[Calendario].[AñoMes].&amp;[" &amp; TEXT(G$6,"yyyymm")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H69" s="8">
        <f>IFERROR(
GETPIVOTDATA(
"[Base].[Importe]",
TDinamica_R!$A$5,
"[Calendario].[AñoMes]",
"[Calendario].[AñoMes].&amp;[" &amp; TEXT(H$6,"yyyymm")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I69" s="8">
        <f>IFERROR(
GETPIVOTDATA(
"[Base].[Importe]",
TDinamica_R!$A$5,
"[Calendario].[AñoMes]",
"[Calendario].[AñoMes].&amp;[" &amp; TEXT(I$6,"yyyymm")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J69" s="8">
        <f>IFERROR(
GETPIVOTDATA(
"[Base].[Importe]",
TDinamica_R!$A$5,
"[Calendario].[AñoMes]",
"[Calendario].[AñoMes].&amp;[" &amp; TEXT(J$6,"yyyymm")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K69" s="8">
        <f>IFERROR(
GETPIVOTDATA(
"[Base].[Importe]",
TDinamica_R!$A$5,
"[Calendario].[AñoMes]",
"[Calendario].[AñoMes].&amp;[" &amp; TEXT(K$6,"yyyymm")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L69" s="8">
        <f>IFERROR(
GETPIVOTDATA(
"[Base].[Importe]",
TDinamica_R!$A$5,
"[Calendario].[AñoMes]",
"[Calendario].[AñoMes].&amp;[" &amp; TEXT(L$6,"yyyymm")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M69" s="8">
        <f>IFERROR(
GETPIVOTDATA(
"[Base].[Importe]",
TDinamica_R!$A$5,
"[Calendario].[AñoMes]",
"[Calendario].[AñoMes].&amp;[" &amp; TEXT(M$6,"yyyymm")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N69" s="8">
        <f>IFERROR(
GETPIVOTDATA(
"[Base].[Importe]",
TDinamica_R!$A$5,
"[Calendario].[AñoMes]",
"[Calendario].[AñoMes].&amp;[" &amp; TEXT(N$6,"yyyymm")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O69" s="8">
        <f>IFERROR(
GETPIVOTDATA(
"[Base].[Importe]",
TDinamica_R!$A$5,
"[Calendario].[AñoMes]",
"[Calendario].[AñoMes].&amp;[" &amp; TEXT(O$6,"yyyymm")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P69" s="8">
        <f>IFERROR(
GETPIVOTDATA(
"[Base].[Importe]",
TDinamica_R!$A$5,
"[Calendario].[AñoMes]",
"[Calendario].[AñoMes].&amp;[" &amp; TEXT(P$6,"yyyymm")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Q69" s="8">
        <f>IFERROR(
GETPIVOTDATA(
"[Base].[Importe]",
TDinamica_R!$A$5,
"[Calendario].[AñoMes]",
"[Calendario].[AñoMes].&amp;[" &amp; TEXT(Q$6,"yyyymm")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R69" s="8">
        <f>IFERROR(
GETPIVOTDATA(
"[Base].[Importe]",
TDinamica_R!$A$5,
"[Calendario].[AñoMes]",
"[Calendario].[AñoMes].&amp;[" &amp; TEXT(R$6,"yyyymm")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S69" s="8">
        <f>IFERROR(
GETPIVOTDATA(
"[Base].[Importe]",
TDinamica_R!$A$5,
"[Calendario].[AñoMes]",
"[Calendario].[AñoMes].&amp;[" &amp; TEXT(S$6,"yyyymm")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T69" s="8">
        <f>IFERROR(
GETPIVOTDATA(
"[Base].[Importe]",
TDinamica_R!$A$5,
"[Calendario].[AñoMes]",
"[Calendario].[AñoMes].&amp;[" &amp; TEXT(T$6,"yyyymm")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U69" s="8">
        <f>IFERROR(
GETPIVOTDATA(
"[Base].[Importe]",
TDinamica_R!$A$5,
"[Calendario].[AñoMes]",
"[Calendario].[AñoMes].&amp;[" &amp; TEXT(U$6,"yyyymm")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V69" s="8">
        <f>IFERROR(
GETPIVOTDATA(
"[Base].[Importe]",
TDinamica_R!$A$5,
"[Calendario].[AñoMes]",
"[Calendario].[AñoMes].&amp;[" &amp; TEXT(V$6,"yyyymm")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W69" s="8">
        <f>IFERROR(
GETPIVOTDATA(
"[Base].[Importe]",
TDinamica_R!$A$5,
"[Calendario].[AñoMes]",
"[Calendario].[AñoMes].&amp;[" &amp; TEXT(W$6,"yyyymm")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X69" s="8">
        <f>IFERROR(
GETPIVOTDATA(
"[Base].[Importe]",
TDinamica_R!$A$5,
"[Calendario].[AñoMes]",
"[Calendario].[AñoMes].&amp;[" &amp; TEXT(X$6,"yyyymm")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Y69" s="8">
        <f>IFERROR(
GETPIVOTDATA(
"[Base].[Importe]",
TDinamica_R!$A$5,
"[Calendario].[AñoMes]",
"[Calendario].[AñoMes].&amp;[" &amp; TEXT(Y$6,"yyyymm")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Z69" s="8">
        <f>IFERROR(
GETPIVOTDATA(
"[Base].[Importe]",
TDinamica_R!$A$5,
"[Calendario].[AñoMes]",
"[Calendario].[AñoMes].&amp;[" &amp; TEXT(Z$6,"yyyymm")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A69" s="8">
        <f>IFERROR(
GETPIVOTDATA(
"[Base].[Importe]",
TDinamica_R!$A$5,
"[Calendario].[AñoMes]",
"[Calendario].[AñoMes].&amp;[" &amp; TEXT(AA$6,"yyyymm")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B69" s="8">
        <f>IFERROR(
GETPIVOTDATA(
"[Base].[Importe]",
TDinamica_R!$A$5,
"[Calendario].[AñoMes]",
"[Calendario].[AñoMes].&amp;[" &amp; TEXT(AB$6,"yyyymm")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C69" s="8">
        <f>IFERROR(
GETPIVOTDATA(
"[Base].[Importe]",
TDinamica_R!$A$5,
"[Calendario].[AñoMes]",
"[Calendario].[AñoMes].&amp;[" &amp; TEXT(AC$6,"yyyymm")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D69" s="8">
        <f>IFERROR(
GETPIVOTDATA(
"[Base].[Importe]",
TDinamica_R!$A$5,
"[Calendario].[AñoMes]",
"[Calendario].[AñoMes].&amp;[" &amp; TEXT(AD$6,"yyyymm")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E69" s="8">
        <f>IFERROR(
GETPIVOTDATA(
"[Base].[Importe]",
TDinamica_R!$A$5,
"[Calendario].[AñoMes]",
"[Calendario].[AñoMes].&amp;[" &amp; TEXT(AE$6,"yyyymm")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F69" s="8">
        <f>IFERROR(
GETPIVOTDATA(
"[Base].[Importe]",
TDinamica_R!$A$5,
"[Calendario].[AñoMes]",
"[Calendario].[AñoMes].&amp;[" &amp; TEXT(AF$6,"yyyymm")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G69" s="8">
        <f>IFERROR(
GETPIVOTDATA(
"[Base].[Importe]",
TDinamica_R!$A$5,
"[Calendario].[AñoMes]",
"[Calendario].[AñoMes].&amp;[" &amp; TEXT(AG$6,"yyyymm")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H69" s="8">
        <f>IFERROR(
GETPIVOTDATA(
"[Base].[Importe]",
TDinamica_R!$A$5,
"[Calendario].[AñoMes]",
"[Calendario].[AñoMes].&amp;[" &amp; TEXT(AH$6,"yyyymm")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I69" s="8">
        <f>IFERROR(
GETPIVOTDATA(
"[Base].[Importe]",
TDinamica_R!$A$5,
"[Calendario].[AñoMes]",
"[Calendario].[AñoMes].&amp;[" &amp; TEXT(AI$6,"yyyymm")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J69" s="8">
        <f>IFERROR(
GETPIVOTDATA(
"[Base].[Importe]",
TDinamica_R!$A$5,
"[Calendario].[AñoMes]",
"[Calendario].[AñoMes].&amp;[" &amp; TEXT(AJ$6,"yyyymm")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K69" s="8">
        <f>IFERROR(
GETPIVOTDATA(
"[Base].[Importe]",
TDinamica_R!$A$5,
"[Calendario].[AñoMes]",
"[Calendario].[AñoMes].&amp;[" &amp; TEXT(AK$6,"yyyymm")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L69" s="8">
        <f>IFERROR(
GETPIVOTDATA(
"[Base].[Importe]",
TDinamica_R!$A$5,
"[Calendario].[AñoMes]",
"[Calendario].[AñoMes].&amp;[" &amp; TEXT(AL$6,"yyyymm")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M69" s="8">
        <f>IFERROR(
GETPIVOTDATA(
"[Base].[Importe]",
TDinamica_R!$A$5,
"[Calendario].[AñoMes]",
"[Calendario].[AñoMes].&amp;[" &amp; TEXT(AM$6,"yyyymm")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N69" s="8">
        <f>IFERROR(
GETPIVOTDATA(
"[Base].[Importe]",
TDinamica_R!$A$5,
"[Calendario].[AñoMes]",
"[Calendario].[AñoMes].&amp;[" &amp; TEXT(AN$6,"yyyymm")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O69" s="8">
        <f>IFERROR(
GETPIVOTDATA(
"[Base].[Importe]",
TDinamica_R!$A$5,
"[Calendario].[AñoMes]",
"[Calendario].[AñoMes].&amp;[" &amp; TEXT(AO$6,"yyyymm")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P69" s="8">
        <f>IFERROR(
GETPIVOTDATA(
"[Base].[Importe]",
TDinamica_R!$A$5,
"[Calendario].[AñoMes]",
"[Calendario].[AñoMes].&amp;[" &amp; TEXT(AP$6,"yyyymm")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Q69" s="8">
        <f>IFERROR(
GETPIVOTDATA(
"[Base].[Importe]",
TDinamica_R!$A$5,
"[Calendario].[AñoMes]",
"[Calendario].[AñoMes].&amp;[" &amp; TEXT(AQ$6,"yyyymm")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R69" s="8">
        <f>IFERROR(
GETPIVOTDATA(
"[Base].[Importe]",
TDinamica_R!$A$5,
"[Calendario].[AñoMes]",
"[Calendario].[AñoMes].&amp;[" &amp; TEXT(AR$6,"yyyymm")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S69" s="8">
        <f>IFERROR(
GETPIVOTDATA(
"[Base].[Importe]",
TDinamica_R!$A$5,
"[Calendario].[AñoMes]",
"[Calendario].[AñoMes].&amp;[" &amp; TEXT(AS$6,"yyyymm")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T69" s="8">
        <f>IFERROR(
GETPIVOTDATA(
"[Base].[Importe]",
TDinamica_R!$A$5,
"[Calendario].[AñoMes]",
"[Calendario].[AñoMes].&amp;[" &amp; TEXT(AT$6,"yyyymm")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U69" s="8">
        <f>IFERROR(
GETPIVOTDATA(
"[Base].[Importe]",
TDinamica_R!$A$5,
"[Calendario].[AñoMes]",
"[Calendario].[AñoMes].&amp;[" &amp; TEXT(AU$6,"yyyymm")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V69" s="8">
        <f>IFERROR(
GETPIVOTDATA(
"[Base].[Importe]",
TDinamica_R!$A$5,
"[Calendario].[AñoMes]",
"[Calendario].[AñoMes].&amp;[" &amp; TEXT(AV$6,"yyyymm")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W69" s="8">
        <f>IFERROR(
GETPIVOTDATA(
"[Base].[Importe]",
TDinamica_R!$A$5,
"[Calendario].[AñoMes]",
"[Calendario].[AñoMes].&amp;[" &amp; TEXT(AW$6,"yyyymm")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X69" s="8">
        <f>IFERROR(
GETPIVOTDATA(
"[Base].[Importe]",
TDinamica_R!$A$5,
"[Calendario].[AñoMes]",
"[Calendario].[AñoMes].&amp;[" &amp; TEXT(AX$6,"yyyymm")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Y69" s="8">
        <f>IFERROR(
GETPIVOTDATA(
"[Base].[Importe]",
TDinamica_R!$A$5,
"[Calendario].[AñoMes]",
"[Calendario].[AñoMes].&amp;[" &amp; TEXT(AY$6,"yyyymm")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Z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"[BASE_HIPO_PPTO].[Periodo]","[BASE_HIPO_PPTO].[Periodo].&amp;["&amp;TEXT(AZ$6,"yyyymm")&amp;"]"),
0)/1000</f>
        <v>0</v>
      </c>
      <c r="BA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"[BASE_HIPO_PPTO].[Periodo]","[BASE_HIPO_PPTO].[Periodo].&amp;["&amp;TEXT(BA$6,"yyyymm")&amp;"]"),
0)/1000</f>
        <v>0</v>
      </c>
      <c r="BB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"[BASE_HIPO_PPTO].[Periodo]","[BASE_HIPO_PPTO].[Periodo].&amp;["&amp;TEXT(BB$6,"yyyymm")&amp;"]"),
0)/1000</f>
        <v>0</v>
      </c>
      <c r="BC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"[BASE_HIPO_PPTO].[Periodo]","[BASE_HIPO_PPTO].[Periodo].&amp;["&amp;TEXT(BC$6,"yyyymm")&amp;"]"),
0)/1000</f>
        <v>0</v>
      </c>
      <c r="BD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"[BASE_HIPO_PPTO].[Periodo]","[BASE_HIPO_PPTO].[Periodo].&amp;["&amp;TEXT(BD$6,"yyyymm")&amp;"]"),
0)/1000</f>
        <v>0</v>
      </c>
      <c r="BE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"[BASE_HIPO_PPTO].[Periodo]","[BASE_HIPO_PPTO].[Periodo].&amp;["&amp;TEXT(BE$6,"yyyymm")&amp;"]"),
0)/1000</f>
        <v>0</v>
      </c>
      <c r="BF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"[BASE_HIPO_PPTO].[Periodo]","[BASE_HIPO_PPTO].[Periodo].&amp;["&amp;TEXT(BF$6,"yyyymm")&amp;"]"),
0)/1000</f>
        <v>0</v>
      </c>
      <c r="BG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"[BASE_HIPO_PPTO].[Periodo]","[BASE_HIPO_PPTO].[Periodo].&amp;["&amp;TEXT(BG$6,"yyyymm")&amp;"]"),
0)/1000</f>
        <v>0</v>
      </c>
      <c r="BH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"[BASE_HIPO_PPTO].[Periodo]","[BASE_HIPO_PPTO].[Periodo].&amp;["&amp;TEXT(BH$6,"yyyymm")&amp;"]"),
0)/1000</f>
        <v>0</v>
      </c>
      <c r="BI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"[BASE_HIPO_PPTO].[Periodo]","[BASE_HIPO_PPTO].[Periodo].&amp;["&amp;TEXT(BI$6,"yyyymm")&amp;"]"),
0)/1000</f>
        <v>0</v>
      </c>
      <c r="BJ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"[BASE_HIPO_PPTO].[Periodo]","[BASE_HIPO_PPTO].[Periodo].&amp;["&amp;TEXT(BJ$6,"yyyymm")&amp;"]"),
0)/1000</f>
        <v>0</v>
      </c>
      <c r="BK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"[BASE_HIPO_PPTO].[Periodo]","[BASE_HIPO_PPTO].[Periodo].&amp;["&amp;TEXT(BK$6,"yyyymm")&amp;"]"),
0)/1000</f>
        <v>0</v>
      </c>
      <c r="BO69" s="24">
        <f t="shared" si="149"/>
        <v>0</v>
      </c>
      <c r="BP69" s="24">
        <f t="shared" si="149"/>
        <v>0</v>
      </c>
      <c r="BQ69" s="24">
        <f t="shared" si="149"/>
        <v>0</v>
      </c>
      <c r="BR69" s="24">
        <f t="shared" si="149"/>
        <v>0</v>
      </c>
      <c r="BS69" s="24">
        <f t="shared" si="149"/>
        <v>0</v>
      </c>
      <c r="BT69" s="24">
        <f t="shared" si="149"/>
        <v>0</v>
      </c>
    </row>
    <row r="70" spans="1:72" hidden="1" outlineLevel="1" x14ac:dyDescent="0.25">
      <c r="A70" s="11" t="s">
        <v>71</v>
      </c>
      <c r="C70" s="2"/>
      <c r="D70" s="8">
        <f>IFERROR(
GETPIVOTDATA(
"[Base].[Importe]",
TDinamica_R!$A$5,
"[Calendario].[AñoMes]",
"[Calendario].[AñoMes].&amp;[" &amp; TEXT(D$6,"yyyymm")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E70" s="8">
        <f>IFERROR(
GETPIVOTDATA(
"[Base].[Importe]",
TDinamica_R!$A$5,
"[Calendario].[AñoMes]",
"[Calendario].[AñoMes].&amp;[" &amp; TEXT(E$6,"yyyymm")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F70" s="8">
        <f>IFERROR(
GETPIVOTDATA(
"[Base].[Importe]",
TDinamica_R!$A$5,
"[Calendario].[AñoMes]",
"[Calendario].[AñoMes].&amp;[" &amp; TEXT(F$6,"yyyymm")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G70" s="8">
        <f>IFERROR(
GETPIVOTDATA(
"[Base].[Importe]",
TDinamica_R!$A$5,
"[Calendario].[AñoMes]",
"[Calendario].[AñoMes].&amp;[" &amp; TEXT(G$6,"yyyymm")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H70" s="8">
        <f>IFERROR(
GETPIVOTDATA(
"[Base].[Importe]",
TDinamica_R!$A$5,
"[Calendario].[AñoMes]",
"[Calendario].[AñoMes].&amp;[" &amp; TEXT(H$6,"yyyymm")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I70" s="8">
        <f>IFERROR(
GETPIVOTDATA(
"[Base].[Importe]",
TDinamica_R!$A$5,
"[Calendario].[AñoMes]",
"[Calendario].[AñoMes].&amp;[" &amp; TEXT(I$6,"yyyymm")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J70" s="8">
        <f>IFERROR(
GETPIVOTDATA(
"[Base].[Importe]",
TDinamica_R!$A$5,
"[Calendario].[AñoMes]",
"[Calendario].[AñoMes].&amp;[" &amp; TEXT(J$6,"yyyymm")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K70" s="8">
        <f>IFERROR(
GETPIVOTDATA(
"[Base].[Importe]",
TDinamica_R!$A$5,
"[Calendario].[AñoMes]",
"[Calendario].[AñoMes].&amp;[" &amp; TEXT(K$6,"yyyymm")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L70" s="8">
        <f>IFERROR(
GETPIVOTDATA(
"[Base].[Importe]",
TDinamica_R!$A$5,
"[Calendario].[AñoMes]",
"[Calendario].[AñoMes].&amp;[" &amp; TEXT(L$6,"yyyymm")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M70" s="8">
        <f>IFERROR(
GETPIVOTDATA(
"[Base].[Importe]",
TDinamica_R!$A$5,
"[Calendario].[AñoMes]",
"[Calendario].[AñoMes].&amp;[" &amp; TEXT(M$6,"yyyymm")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N70" s="8">
        <f>IFERROR(
GETPIVOTDATA(
"[Base].[Importe]",
TDinamica_R!$A$5,
"[Calendario].[AñoMes]",
"[Calendario].[AñoMes].&amp;[" &amp; TEXT(N$6,"yyyymm")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O70" s="8">
        <f>IFERROR(
GETPIVOTDATA(
"[Base].[Importe]",
TDinamica_R!$A$5,
"[Calendario].[AñoMes]",
"[Calendario].[AñoMes].&amp;[" &amp; TEXT(O$6,"yyyymm")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P70" s="8">
        <f>IFERROR(
GETPIVOTDATA(
"[Base].[Importe]",
TDinamica_R!$A$5,
"[Calendario].[AñoMes]",
"[Calendario].[AñoMes].&amp;[" &amp; TEXT(P$6,"yyyymm")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Q70" s="8">
        <f>IFERROR(
GETPIVOTDATA(
"[Base].[Importe]",
TDinamica_R!$A$5,
"[Calendario].[AñoMes]",
"[Calendario].[AñoMes].&amp;[" &amp; TEXT(Q$6,"yyyymm")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R70" s="8">
        <f>IFERROR(
GETPIVOTDATA(
"[Base].[Importe]",
TDinamica_R!$A$5,
"[Calendario].[AñoMes]",
"[Calendario].[AñoMes].&amp;[" &amp; TEXT(R$6,"yyyymm")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S70" s="8">
        <f>IFERROR(
GETPIVOTDATA(
"[Base].[Importe]",
TDinamica_R!$A$5,
"[Calendario].[AñoMes]",
"[Calendario].[AñoMes].&amp;[" &amp; TEXT(S$6,"yyyymm")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T70" s="8">
        <f>IFERROR(
GETPIVOTDATA(
"[Base].[Importe]",
TDinamica_R!$A$5,
"[Calendario].[AñoMes]",
"[Calendario].[AñoMes].&amp;[" &amp; TEXT(T$6,"yyyymm")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U70" s="8">
        <f>IFERROR(
GETPIVOTDATA(
"[Base].[Importe]",
TDinamica_R!$A$5,
"[Calendario].[AñoMes]",
"[Calendario].[AñoMes].&amp;[" &amp; TEXT(U$6,"yyyymm")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V70" s="8">
        <f>IFERROR(
GETPIVOTDATA(
"[Base].[Importe]",
TDinamica_R!$A$5,
"[Calendario].[AñoMes]",
"[Calendario].[AñoMes].&amp;[" &amp; TEXT(V$6,"yyyymm")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W70" s="8">
        <f>IFERROR(
GETPIVOTDATA(
"[Base].[Importe]",
TDinamica_R!$A$5,
"[Calendario].[AñoMes]",
"[Calendario].[AñoMes].&amp;[" &amp; TEXT(W$6,"yyyymm")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X70" s="8">
        <f>IFERROR(
GETPIVOTDATA(
"[Base].[Importe]",
TDinamica_R!$A$5,
"[Calendario].[AñoMes]",
"[Calendario].[AñoMes].&amp;[" &amp; TEXT(X$6,"yyyymm")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Y70" s="8">
        <f>IFERROR(
GETPIVOTDATA(
"[Base].[Importe]",
TDinamica_R!$A$5,
"[Calendario].[AñoMes]",
"[Calendario].[AñoMes].&amp;[" &amp; TEXT(Y$6,"yyyymm")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Z70" s="8">
        <f>IFERROR(
GETPIVOTDATA(
"[Base].[Importe]",
TDinamica_R!$A$5,
"[Calendario].[AñoMes]",
"[Calendario].[AñoMes].&amp;[" &amp; TEXT(Z$6,"yyyymm")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A70" s="8">
        <f>IFERROR(
GETPIVOTDATA(
"[Base].[Importe]",
TDinamica_R!$A$5,
"[Calendario].[AñoMes]",
"[Calendario].[AñoMes].&amp;[" &amp; TEXT(AA$6,"yyyymm")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B70" s="8">
        <f>IFERROR(
GETPIVOTDATA(
"[Base].[Importe]",
TDinamica_R!$A$5,
"[Calendario].[AñoMes]",
"[Calendario].[AñoMes].&amp;[" &amp; TEXT(AB$6,"yyyymm")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C70" s="8">
        <f>IFERROR(
GETPIVOTDATA(
"[Base].[Importe]",
TDinamica_R!$A$5,
"[Calendario].[AñoMes]",
"[Calendario].[AñoMes].&amp;[" &amp; TEXT(AC$6,"yyyymm")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D70" s="8">
        <f>IFERROR(
GETPIVOTDATA(
"[Base].[Importe]",
TDinamica_R!$A$5,
"[Calendario].[AñoMes]",
"[Calendario].[AñoMes].&amp;[" &amp; TEXT(AD$6,"yyyymm")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E70" s="8">
        <f>IFERROR(
GETPIVOTDATA(
"[Base].[Importe]",
TDinamica_R!$A$5,
"[Calendario].[AñoMes]",
"[Calendario].[AñoMes].&amp;[" &amp; TEXT(AE$6,"yyyymm")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F70" s="8">
        <f>IFERROR(
GETPIVOTDATA(
"[Base].[Importe]",
TDinamica_R!$A$5,
"[Calendario].[AñoMes]",
"[Calendario].[AñoMes].&amp;[" &amp; TEXT(AF$6,"yyyymm")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G70" s="8">
        <f>IFERROR(
GETPIVOTDATA(
"[Base].[Importe]",
TDinamica_R!$A$5,
"[Calendario].[AñoMes]",
"[Calendario].[AñoMes].&amp;[" &amp; TEXT(AG$6,"yyyymm")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H70" s="8">
        <f>IFERROR(
GETPIVOTDATA(
"[Base].[Importe]",
TDinamica_R!$A$5,
"[Calendario].[AñoMes]",
"[Calendario].[AñoMes].&amp;[" &amp; TEXT(AH$6,"yyyymm")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I70" s="8">
        <f>IFERROR(
GETPIVOTDATA(
"[Base].[Importe]",
TDinamica_R!$A$5,
"[Calendario].[AñoMes]",
"[Calendario].[AñoMes].&amp;[" &amp; TEXT(AI$6,"yyyymm")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J70" s="8">
        <f>IFERROR(
GETPIVOTDATA(
"[Base].[Importe]",
TDinamica_R!$A$5,
"[Calendario].[AñoMes]",
"[Calendario].[AñoMes].&amp;[" &amp; TEXT(AJ$6,"yyyymm")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K70" s="8">
        <f>IFERROR(
GETPIVOTDATA(
"[Base].[Importe]",
TDinamica_R!$A$5,
"[Calendario].[AñoMes]",
"[Calendario].[AñoMes].&amp;[" &amp; TEXT(AK$6,"yyyymm")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L70" s="8">
        <f>IFERROR(
GETPIVOTDATA(
"[Base].[Importe]",
TDinamica_R!$A$5,
"[Calendario].[AñoMes]",
"[Calendario].[AñoMes].&amp;[" &amp; TEXT(AL$6,"yyyymm")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M70" s="8">
        <f>IFERROR(
GETPIVOTDATA(
"[Base].[Importe]",
TDinamica_R!$A$5,
"[Calendario].[AñoMes]",
"[Calendario].[AñoMes].&amp;[" &amp; TEXT(AM$6,"yyyymm")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N70" s="8">
        <f>IFERROR(
GETPIVOTDATA(
"[Base].[Importe]",
TDinamica_R!$A$5,
"[Calendario].[AñoMes]",
"[Calendario].[AñoMes].&amp;[" &amp; TEXT(AN$6,"yyyymm")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O70" s="8">
        <f>IFERROR(
GETPIVOTDATA(
"[Base].[Importe]",
TDinamica_R!$A$5,
"[Calendario].[AñoMes]",
"[Calendario].[AñoMes].&amp;[" &amp; TEXT(AO$6,"yyyymm")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P70" s="8">
        <f>IFERROR(
GETPIVOTDATA(
"[Base].[Importe]",
TDinamica_R!$A$5,
"[Calendario].[AñoMes]",
"[Calendario].[AñoMes].&amp;[" &amp; TEXT(AP$6,"yyyymm")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Q70" s="8">
        <f>IFERROR(
GETPIVOTDATA(
"[Base].[Importe]",
TDinamica_R!$A$5,
"[Calendario].[AñoMes]",
"[Calendario].[AñoMes].&amp;[" &amp; TEXT(AQ$6,"yyyymm")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R70" s="8">
        <f>IFERROR(
GETPIVOTDATA(
"[Base].[Importe]",
TDinamica_R!$A$5,
"[Calendario].[AñoMes]",
"[Calendario].[AñoMes].&amp;[" &amp; TEXT(AR$6,"yyyymm")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S70" s="8">
        <f>IFERROR(
GETPIVOTDATA(
"[Base].[Importe]",
TDinamica_R!$A$5,
"[Calendario].[AñoMes]",
"[Calendario].[AñoMes].&amp;[" &amp; TEXT(AS$6,"yyyymm")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T70" s="8">
        <f>IFERROR(
GETPIVOTDATA(
"[Base].[Importe]",
TDinamica_R!$A$5,
"[Calendario].[AñoMes]",
"[Calendario].[AñoMes].&amp;[" &amp; TEXT(AT$6,"yyyymm")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U70" s="8">
        <f>IFERROR(
GETPIVOTDATA(
"[Base].[Importe]",
TDinamica_R!$A$5,
"[Calendario].[AñoMes]",
"[Calendario].[AñoMes].&amp;[" &amp; TEXT(AU$6,"yyyymm")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V70" s="8">
        <f>IFERROR(
GETPIVOTDATA(
"[Base].[Importe]",
TDinamica_R!$A$5,
"[Calendario].[AñoMes]",
"[Calendario].[AñoMes].&amp;[" &amp; TEXT(AV$6,"yyyymm")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W70" s="8">
        <f>IFERROR(
GETPIVOTDATA(
"[Base].[Importe]",
TDinamica_R!$A$5,
"[Calendario].[AñoMes]",
"[Calendario].[AñoMes].&amp;[" &amp; TEXT(AW$6,"yyyymm")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X70" s="8">
        <f>IFERROR(
GETPIVOTDATA(
"[Base].[Importe]",
TDinamica_R!$A$5,
"[Calendario].[AñoMes]",
"[Calendario].[AñoMes].&amp;[" &amp; TEXT(AX$6,"yyyymm")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Y70" s="8">
        <f>IFERROR(
GETPIVOTDATA(
"[Base].[Importe]",
TDinamica_R!$A$5,
"[Calendario].[AñoMes]",
"[Calendario].[AñoMes].&amp;[" &amp; TEXT(AY$6,"yyyymm")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Z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"[BASE_HIPO_PPTO].[Periodo]","[BASE_HIPO_PPTO].[Periodo].&amp;["&amp;TEXT(AZ$6,"yyyymm")&amp;"]"),
0)/1000</f>
        <v>0</v>
      </c>
      <c r="BA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"[BASE_HIPO_PPTO].[Periodo]","[BASE_HIPO_PPTO].[Periodo].&amp;["&amp;TEXT(BA$6,"yyyymm")&amp;"]"),
0)/1000</f>
        <v>0</v>
      </c>
      <c r="BB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"[BASE_HIPO_PPTO].[Periodo]","[BASE_HIPO_PPTO].[Periodo].&amp;["&amp;TEXT(BB$6,"yyyymm")&amp;"]"),
0)/1000</f>
        <v>0</v>
      </c>
      <c r="BC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"[BASE_HIPO_PPTO].[Periodo]","[BASE_HIPO_PPTO].[Periodo].&amp;["&amp;TEXT(BC$6,"yyyymm")&amp;"]"),
0)/1000</f>
        <v>0</v>
      </c>
      <c r="BD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"[BASE_HIPO_PPTO].[Periodo]","[BASE_HIPO_PPTO].[Periodo].&amp;["&amp;TEXT(BD$6,"yyyymm")&amp;"]"),
0)/1000</f>
        <v>0</v>
      </c>
      <c r="BE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"[BASE_HIPO_PPTO].[Periodo]","[BASE_HIPO_PPTO].[Periodo].&amp;["&amp;TEXT(BE$6,"yyyymm")&amp;"]"),
0)/1000</f>
        <v>0</v>
      </c>
      <c r="BF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"[BASE_HIPO_PPTO].[Periodo]","[BASE_HIPO_PPTO].[Periodo].&amp;["&amp;TEXT(BF$6,"yyyymm")&amp;"]"),
0)/1000</f>
        <v>0</v>
      </c>
      <c r="BG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"[BASE_HIPO_PPTO].[Periodo]","[BASE_HIPO_PPTO].[Periodo].&amp;["&amp;TEXT(BG$6,"yyyymm")&amp;"]"),
0)/1000</f>
        <v>0</v>
      </c>
      <c r="BH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"[BASE_HIPO_PPTO].[Periodo]","[BASE_HIPO_PPTO].[Periodo].&amp;["&amp;TEXT(BH$6,"yyyymm")&amp;"]"),
0)/1000</f>
        <v>0</v>
      </c>
      <c r="BI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"[BASE_HIPO_PPTO].[Periodo]","[BASE_HIPO_PPTO].[Periodo].&amp;["&amp;TEXT(BI$6,"yyyymm")&amp;"]"),
0)/1000</f>
        <v>0</v>
      </c>
      <c r="BJ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"[BASE_HIPO_PPTO].[Periodo]","[BASE_HIPO_PPTO].[Periodo].&amp;["&amp;TEXT(BJ$6,"yyyymm")&amp;"]"),
0)/1000</f>
        <v>0</v>
      </c>
      <c r="BK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"[BASE_HIPO_PPTO].[Periodo]","[BASE_HIPO_PPTO].[Periodo].&amp;["&amp;TEXT(BK$6,"yyyymm")&amp;"]"),
0)/1000</f>
        <v>0</v>
      </c>
      <c r="BO70" s="24">
        <f t="shared" si="149"/>
        <v>0</v>
      </c>
      <c r="BP70" s="24">
        <f t="shared" si="149"/>
        <v>0</v>
      </c>
      <c r="BQ70" s="24">
        <f t="shared" si="149"/>
        <v>0</v>
      </c>
      <c r="BR70" s="24">
        <f t="shared" si="149"/>
        <v>0</v>
      </c>
      <c r="BS70" s="24">
        <f t="shared" si="149"/>
        <v>0</v>
      </c>
      <c r="BT70" s="24">
        <f t="shared" si="149"/>
        <v>0</v>
      </c>
    </row>
    <row r="71" spans="1:72" hidden="1" outlineLevel="1" x14ac:dyDescent="0.25">
      <c r="A71" s="11" t="s">
        <v>71</v>
      </c>
      <c r="C71" s="2"/>
      <c r="D71" s="8">
        <f>IFERROR(
GETPIVOTDATA(
"[Base].[Importe]",
TDinamica_R!$A$5,
"[Calendario].[AñoMes]",
"[Calendario].[AñoMes].&amp;[" &amp; TEXT(D$6,"yyyymm")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E71" s="8">
        <f>IFERROR(
GETPIVOTDATA(
"[Base].[Importe]",
TDinamica_R!$A$5,
"[Calendario].[AñoMes]",
"[Calendario].[AñoMes].&amp;[" &amp; TEXT(E$6,"yyyymm")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F71" s="8">
        <f>IFERROR(
GETPIVOTDATA(
"[Base].[Importe]",
TDinamica_R!$A$5,
"[Calendario].[AñoMes]",
"[Calendario].[AñoMes].&amp;[" &amp; TEXT(F$6,"yyyymm")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G71" s="8">
        <f>IFERROR(
GETPIVOTDATA(
"[Base].[Importe]",
TDinamica_R!$A$5,
"[Calendario].[AñoMes]",
"[Calendario].[AñoMes].&amp;[" &amp; TEXT(G$6,"yyyymm")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H71" s="8">
        <f>IFERROR(
GETPIVOTDATA(
"[Base].[Importe]",
TDinamica_R!$A$5,
"[Calendario].[AñoMes]",
"[Calendario].[AñoMes].&amp;[" &amp; TEXT(H$6,"yyyymm")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I71" s="8">
        <f>IFERROR(
GETPIVOTDATA(
"[Base].[Importe]",
TDinamica_R!$A$5,
"[Calendario].[AñoMes]",
"[Calendario].[AñoMes].&amp;[" &amp; TEXT(I$6,"yyyymm")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J71" s="8">
        <f>IFERROR(
GETPIVOTDATA(
"[Base].[Importe]",
TDinamica_R!$A$5,
"[Calendario].[AñoMes]",
"[Calendario].[AñoMes].&amp;[" &amp; TEXT(J$6,"yyyymm")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K71" s="8">
        <f>IFERROR(
GETPIVOTDATA(
"[Base].[Importe]",
TDinamica_R!$A$5,
"[Calendario].[AñoMes]",
"[Calendario].[AñoMes].&amp;[" &amp; TEXT(K$6,"yyyymm")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L71" s="8">
        <f>IFERROR(
GETPIVOTDATA(
"[Base].[Importe]",
TDinamica_R!$A$5,
"[Calendario].[AñoMes]",
"[Calendario].[AñoMes].&amp;[" &amp; TEXT(L$6,"yyyymm")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M71" s="8">
        <f>IFERROR(
GETPIVOTDATA(
"[Base].[Importe]",
TDinamica_R!$A$5,
"[Calendario].[AñoMes]",
"[Calendario].[AñoMes].&amp;[" &amp; TEXT(M$6,"yyyymm")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N71" s="8">
        <f>IFERROR(
GETPIVOTDATA(
"[Base].[Importe]",
TDinamica_R!$A$5,
"[Calendario].[AñoMes]",
"[Calendario].[AñoMes].&amp;[" &amp; TEXT(N$6,"yyyymm")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O71" s="8">
        <f>IFERROR(
GETPIVOTDATA(
"[Base].[Importe]",
TDinamica_R!$A$5,
"[Calendario].[AñoMes]",
"[Calendario].[AñoMes].&amp;[" &amp; TEXT(O$6,"yyyymm")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P71" s="8">
        <f>IFERROR(
GETPIVOTDATA(
"[Base].[Importe]",
TDinamica_R!$A$5,
"[Calendario].[AñoMes]",
"[Calendario].[AñoMes].&amp;[" &amp; TEXT(P$6,"yyyymm")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Q71" s="8">
        <f>IFERROR(
GETPIVOTDATA(
"[Base].[Importe]",
TDinamica_R!$A$5,
"[Calendario].[AñoMes]",
"[Calendario].[AñoMes].&amp;[" &amp; TEXT(Q$6,"yyyymm")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R71" s="8">
        <f>IFERROR(
GETPIVOTDATA(
"[Base].[Importe]",
TDinamica_R!$A$5,
"[Calendario].[AñoMes]",
"[Calendario].[AñoMes].&amp;[" &amp; TEXT(R$6,"yyyymm")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S71" s="8">
        <f>IFERROR(
GETPIVOTDATA(
"[Base].[Importe]",
TDinamica_R!$A$5,
"[Calendario].[AñoMes]",
"[Calendario].[AñoMes].&amp;[" &amp; TEXT(S$6,"yyyymm")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T71" s="8">
        <f>IFERROR(
GETPIVOTDATA(
"[Base].[Importe]",
TDinamica_R!$A$5,
"[Calendario].[AñoMes]",
"[Calendario].[AñoMes].&amp;[" &amp; TEXT(T$6,"yyyymm")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U71" s="8">
        <f>IFERROR(
GETPIVOTDATA(
"[Base].[Importe]",
TDinamica_R!$A$5,
"[Calendario].[AñoMes]",
"[Calendario].[AñoMes].&amp;[" &amp; TEXT(U$6,"yyyymm")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V71" s="8">
        <f>IFERROR(
GETPIVOTDATA(
"[Base].[Importe]",
TDinamica_R!$A$5,
"[Calendario].[AñoMes]",
"[Calendario].[AñoMes].&amp;[" &amp; TEXT(V$6,"yyyymm")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W71" s="8">
        <f>IFERROR(
GETPIVOTDATA(
"[Base].[Importe]",
TDinamica_R!$A$5,
"[Calendario].[AñoMes]",
"[Calendario].[AñoMes].&amp;[" &amp; TEXT(W$6,"yyyymm")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X71" s="8">
        <f>IFERROR(
GETPIVOTDATA(
"[Base].[Importe]",
TDinamica_R!$A$5,
"[Calendario].[AñoMes]",
"[Calendario].[AñoMes].&amp;[" &amp; TEXT(X$6,"yyyymm")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Y71" s="8">
        <f>IFERROR(
GETPIVOTDATA(
"[Base].[Importe]",
TDinamica_R!$A$5,
"[Calendario].[AñoMes]",
"[Calendario].[AñoMes].&amp;[" &amp; TEXT(Y$6,"yyyymm")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Z71" s="8">
        <f>IFERROR(
GETPIVOTDATA(
"[Base].[Importe]",
TDinamica_R!$A$5,
"[Calendario].[AñoMes]",
"[Calendario].[AñoMes].&amp;[" &amp; TEXT(Z$6,"yyyymm")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A71" s="8">
        <f>IFERROR(
GETPIVOTDATA(
"[Base].[Importe]",
TDinamica_R!$A$5,
"[Calendario].[AñoMes]",
"[Calendario].[AñoMes].&amp;[" &amp; TEXT(AA$6,"yyyymm")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B71" s="8">
        <f>IFERROR(
GETPIVOTDATA(
"[Base].[Importe]",
TDinamica_R!$A$5,
"[Calendario].[AñoMes]",
"[Calendario].[AñoMes].&amp;[" &amp; TEXT(AB$6,"yyyymm")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C71" s="8">
        <f>IFERROR(
GETPIVOTDATA(
"[Base].[Importe]",
TDinamica_R!$A$5,
"[Calendario].[AñoMes]",
"[Calendario].[AñoMes].&amp;[" &amp; TEXT(AC$6,"yyyymm")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D71" s="8">
        <f>IFERROR(
GETPIVOTDATA(
"[Base].[Importe]",
TDinamica_R!$A$5,
"[Calendario].[AñoMes]",
"[Calendario].[AñoMes].&amp;[" &amp; TEXT(AD$6,"yyyymm")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E71" s="8">
        <f>IFERROR(
GETPIVOTDATA(
"[Base].[Importe]",
TDinamica_R!$A$5,
"[Calendario].[AñoMes]",
"[Calendario].[AñoMes].&amp;[" &amp; TEXT(AE$6,"yyyymm")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F71" s="8">
        <f>IFERROR(
GETPIVOTDATA(
"[Base].[Importe]",
TDinamica_R!$A$5,
"[Calendario].[AñoMes]",
"[Calendario].[AñoMes].&amp;[" &amp; TEXT(AF$6,"yyyymm")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G71" s="8">
        <f>IFERROR(
GETPIVOTDATA(
"[Base].[Importe]",
TDinamica_R!$A$5,
"[Calendario].[AñoMes]",
"[Calendario].[AñoMes].&amp;[" &amp; TEXT(AG$6,"yyyymm")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H71" s="8">
        <f>IFERROR(
GETPIVOTDATA(
"[Base].[Importe]",
TDinamica_R!$A$5,
"[Calendario].[AñoMes]",
"[Calendario].[AñoMes].&amp;[" &amp; TEXT(AH$6,"yyyymm")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I71" s="8">
        <f>IFERROR(
GETPIVOTDATA(
"[Base].[Importe]",
TDinamica_R!$A$5,
"[Calendario].[AñoMes]",
"[Calendario].[AñoMes].&amp;[" &amp; TEXT(AI$6,"yyyymm")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J71" s="8">
        <f>IFERROR(
GETPIVOTDATA(
"[Base].[Importe]",
TDinamica_R!$A$5,
"[Calendario].[AñoMes]",
"[Calendario].[AñoMes].&amp;[" &amp; TEXT(AJ$6,"yyyymm")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K71" s="8">
        <f>IFERROR(
GETPIVOTDATA(
"[Base].[Importe]",
TDinamica_R!$A$5,
"[Calendario].[AñoMes]",
"[Calendario].[AñoMes].&amp;[" &amp; TEXT(AK$6,"yyyymm")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L71" s="8">
        <f>IFERROR(
GETPIVOTDATA(
"[Base].[Importe]",
TDinamica_R!$A$5,
"[Calendario].[AñoMes]",
"[Calendario].[AñoMes].&amp;[" &amp; TEXT(AL$6,"yyyymm")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M71" s="8">
        <f>IFERROR(
GETPIVOTDATA(
"[Base].[Importe]",
TDinamica_R!$A$5,
"[Calendario].[AñoMes]",
"[Calendario].[AñoMes].&amp;[" &amp; TEXT(AM$6,"yyyymm")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N71" s="8">
        <f>IFERROR(
GETPIVOTDATA(
"[Base].[Importe]",
TDinamica_R!$A$5,
"[Calendario].[AñoMes]",
"[Calendario].[AñoMes].&amp;[" &amp; TEXT(AN$6,"yyyymm")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O71" s="8">
        <f>IFERROR(
GETPIVOTDATA(
"[Base].[Importe]",
TDinamica_R!$A$5,
"[Calendario].[AñoMes]",
"[Calendario].[AñoMes].&amp;[" &amp; TEXT(AO$6,"yyyymm")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P71" s="8">
        <f>IFERROR(
GETPIVOTDATA(
"[Base].[Importe]",
TDinamica_R!$A$5,
"[Calendario].[AñoMes]",
"[Calendario].[AñoMes].&amp;[" &amp; TEXT(AP$6,"yyyymm")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Q71" s="8">
        <f>IFERROR(
GETPIVOTDATA(
"[Base].[Importe]",
TDinamica_R!$A$5,
"[Calendario].[AñoMes]",
"[Calendario].[AñoMes].&amp;[" &amp; TEXT(AQ$6,"yyyymm")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R71" s="8">
        <f>IFERROR(
GETPIVOTDATA(
"[Base].[Importe]",
TDinamica_R!$A$5,
"[Calendario].[AñoMes]",
"[Calendario].[AñoMes].&amp;[" &amp; TEXT(AR$6,"yyyymm")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S71" s="8">
        <f>IFERROR(
GETPIVOTDATA(
"[Base].[Importe]",
TDinamica_R!$A$5,
"[Calendario].[AñoMes]",
"[Calendario].[AñoMes].&amp;[" &amp; TEXT(AS$6,"yyyymm")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T71" s="8">
        <f>IFERROR(
GETPIVOTDATA(
"[Base].[Importe]",
TDinamica_R!$A$5,
"[Calendario].[AñoMes]",
"[Calendario].[AñoMes].&amp;[" &amp; TEXT(AT$6,"yyyymm")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U71" s="8">
        <f>IFERROR(
GETPIVOTDATA(
"[Base].[Importe]",
TDinamica_R!$A$5,
"[Calendario].[AñoMes]",
"[Calendario].[AñoMes].&amp;[" &amp; TEXT(AU$6,"yyyymm")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V71" s="8">
        <f>IFERROR(
GETPIVOTDATA(
"[Base].[Importe]",
TDinamica_R!$A$5,
"[Calendario].[AñoMes]",
"[Calendario].[AñoMes].&amp;[" &amp; TEXT(AV$6,"yyyymm")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W71" s="8">
        <f>IFERROR(
GETPIVOTDATA(
"[Base].[Importe]",
TDinamica_R!$A$5,
"[Calendario].[AñoMes]",
"[Calendario].[AñoMes].&amp;[" &amp; TEXT(AW$6,"yyyymm")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X71" s="8">
        <f>IFERROR(
GETPIVOTDATA(
"[Base].[Importe]",
TDinamica_R!$A$5,
"[Calendario].[AñoMes]",
"[Calendario].[AñoMes].&amp;[" &amp; TEXT(AX$6,"yyyymm")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Y71" s="8">
        <f>IFERROR(
GETPIVOTDATA(
"[Base].[Importe]",
TDinamica_R!$A$5,
"[Calendario].[AñoMes]",
"[Calendario].[AñoMes].&amp;[" &amp; TEXT(AY$6,"yyyymm")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Z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"[BASE_HIPO_PPTO].[Periodo]","[BASE_HIPO_PPTO].[Periodo].&amp;["&amp;TEXT(AZ$6,"yyyymm")&amp;"]"),
0)/1000</f>
        <v>0</v>
      </c>
      <c r="BA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"[BASE_HIPO_PPTO].[Periodo]","[BASE_HIPO_PPTO].[Periodo].&amp;["&amp;TEXT(BA$6,"yyyymm")&amp;"]"),
0)/1000</f>
        <v>0</v>
      </c>
      <c r="BB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"[BASE_HIPO_PPTO].[Periodo]","[BASE_HIPO_PPTO].[Periodo].&amp;["&amp;TEXT(BB$6,"yyyymm")&amp;"]"),
0)/1000</f>
        <v>0</v>
      </c>
      <c r="BC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"[BASE_HIPO_PPTO].[Periodo]","[BASE_HIPO_PPTO].[Periodo].&amp;["&amp;TEXT(BC$6,"yyyymm")&amp;"]"),
0)/1000</f>
        <v>0</v>
      </c>
      <c r="BD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"[BASE_HIPO_PPTO].[Periodo]","[BASE_HIPO_PPTO].[Periodo].&amp;["&amp;TEXT(BD$6,"yyyymm")&amp;"]"),
0)/1000</f>
        <v>0</v>
      </c>
      <c r="BE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"[BASE_HIPO_PPTO].[Periodo]","[BASE_HIPO_PPTO].[Periodo].&amp;["&amp;TEXT(BE$6,"yyyymm")&amp;"]"),
0)/1000</f>
        <v>0</v>
      </c>
      <c r="BF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"[BASE_HIPO_PPTO].[Periodo]","[BASE_HIPO_PPTO].[Periodo].&amp;["&amp;TEXT(BF$6,"yyyymm")&amp;"]"),
0)/1000</f>
        <v>0</v>
      </c>
      <c r="BG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"[BASE_HIPO_PPTO].[Periodo]","[BASE_HIPO_PPTO].[Periodo].&amp;["&amp;TEXT(BG$6,"yyyymm")&amp;"]"),
0)/1000</f>
        <v>0</v>
      </c>
      <c r="BH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"[BASE_HIPO_PPTO].[Periodo]","[BASE_HIPO_PPTO].[Periodo].&amp;["&amp;TEXT(BH$6,"yyyymm")&amp;"]"),
0)/1000</f>
        <v>0</v>
      </c>
      <c r="BI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"[BASE_HIPO_PPTO].[Periodo]","[BASE_HIPO_PPTO].[Periodo].&amp;["&amp;TEXT(BI$6,"yyyymm")&amp;"]"),
0)/1000</f>
        <v>0</v>
      </c>
      <c r="BJ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"[BASE_HIPO_PPTO].[Periodo]","[BASE_HIPO_PPTO].[Periodo].&amp;["&amp;TEXT(BJ$6,"yyyymm")&amp;"]"),
0)/1000</f>
        <v>0</v>
      </c>
      <c r="BK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"[BASE_HIPO_PPTO].[Periodo]","[BASE_HIPO_PPTO].[Periodo].&amp;["&amp;TEXT(BK$6,"yyyymm")&amp;"]"),
0)/1000</f>
        <v>0</v>
      </c>
      <c r="BO71" s="24">
        <f t="shared" si="149"/>
        <v>0</v>
      </c>
      <c r="BP71" s="24">
        <f t="shared" si="149"/>
        <v>0</v>
      </c>
      <c r="BQ71" s="24">
        <f t="shared" si="149"/>
        <v>0</v>
      </c>
      <c r="BR71" s="24">
        <f t="shared" si="149"/>
        <v>0</v>
      </c>
      <c r="BS71" s="24">
        <f t="shared" si="149"/>
        <v>0</v>
      </c>
      <c r="BT71" s="24">
        <f t="shared" si="149"/>
        <v>0</v>
      </c>
    </row>
    <row r="72" spans="1:72" hidden="1" outlineLevel="1" x14ac:dyDescent="0.25">
      <c r="A72" s="11" t="s">
        <v>71</v>
      </c>
      <c r="C72" s="2"/>
      <c r="D72" s="8">
        <f>IFERROR(
GETPIVOTDATA(
"[Base].[Importe]",
TDinamica_R!$A$5,
"[Calendario].[AñoMes]",
"[Calendario].[AñoMes].&amp;[" &amp; TEXT(D$6,"yyyymm")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E72" s="8">
        <f>IFERROR(
GETPIVOTDATA(
"[Base].[Importe]",
TDinamica_R!$A$5,
"[Calendario].[AñoMes]",
"[Calendario].[AñoMes].&amp;[" &amp; TEXT(E$6,"yyyymm")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F72" s="8">
        <f>IFERROR(
GETPIVOTDATA(
"[Base].[Importe]",
TDinamica_R!$A$5,
"[Calendario].[AñoMes]",
"[Calendario].[AñoMes].&amp;[" &amp; TEXT(F$6,"yyyymm")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G72" s="8">
        <f>IFERROR(
GETPIVOTDATA(
"[Base].[Importe]",
TDinamica_R!$A$5,
"[Calendario].[AñoMes]",
"[Calendario].[AñoMes].&amp;[" &amp; TEXT(G$6,"yyyymm")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H72" s="8">
        <f>IFERROR(
GETPIVOTDATA(
"[Base].[Importe]",
TDinamica_R!$A$5,
"[Calendario].[AñoMes]",
"[Calendario].[AñoMes].&amp;[" &amp; TEXT(H$6,"yyyymm")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I72" s="8">
        <f>IFERROR(
GETPIVOTDATA(
"[Base].[Importe]",
TDinamica_R!$A$5,
"[Calendario].[AñoMes]",
"[Calendario].[AñoMes].&amp;[" &amp; TEXT(I$6,"yyyymm")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J72" s="8">
        <f>IFERROR(
GETPIVOTDATA(
"[Base].[Importe]",
TDinamica_R!$A$5,
"[Calendario].[AñoMes]",
"[Calendario].[AñoMes].&amp;[" &amp; TEXT(J$6,"yyyymm")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K72" s="8">
        <f>IFERROR(
GETPIVOTDATA(
"[Base].[Importe]",
TDinamica_R!$A$5,
"[Calendario].[AñoMes]",
"[Calendario].[AñoMes].&amp;[" &amp; TEXT(K$6,"yyyymm")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L72" s="8">
        <f>IFERROR(
GETPIVOTDATA(
"[Base].[Importe]",
TDinamica_R!$A$5,
"[Calendario].[AñoMes]",
"[Calendario].[AñoMes].&amp;[" &amp; TEXT(L$6,"yyyymm")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M72" s="8">
        <f>IFERROR(
GETPIVOTDATA(
"[Base].[Importe]",
TDinamica_R!$A$5,
"[Calendario].[AñoMes]",
"[Calendario].[AñoMes].&amp;[" &amp; TEXT(M$6,"yyyymm")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N72" s="8">
        <f>IFERROR(
GETPIVOTDATA(
"[Base].[Importe]",
TDinamica_R!$A$5,
"[Calendario].[AñoMes]",
"[Calendario].[AñoMes].&amp;[" &amp; TEXT(N$6,"yyyymm")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O72" s="8">
        <f>IFERROR(
GETPIVOTDATA(
"[Base].[Importe]",
TDinamica_R!$A$5,
"[Calendario].[AñoMes]",
"[Calendario].[AñoMes].&amp;[" &amp; TEXT(O$6,"yyyymm")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P72" s="8">
        <f>IFERROR(
GETPIVOTDATA(
"[Base].[Importe]",
TDinamica_R!$A$5,
"[Calendario].[AñoMes]",
"[Calendario].[AñoMes].&amp;[" &amp; TEXT(P$6,"yyyymm")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Q72" s="8">
        <f>IFERROR(
GETPIVOTDATA(
"[Base].[Importe]",
TDinamica_R!$A$5,
"[Calendario].[AñoMes]",
"[Calendario].[AñoMes].&amp;[" &amp; TEXT(Q$6,"yyyymm")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R72" s="8">
        <f>IFERROR(
GETPIVOTDATA(
"[Base].[Importe]",
TDinamica_R!$A$5,
"[Calendario].[AñoMes]",
"[Calendario].[AñoMes].&amp;[" &amp; TEXT(R$6,"yyyymm")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S72" s="8">
        <f>IFERROR(
GETPIVOTDATA(
"[Base].[Importe]",
TDinamica_R!$A$5,
"[Calendario].[AñoMes]",
"[Calendario].[AñoMes].&amp;[" &amp; TEXT(S$6,"yyyymm")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T72" s="8">
        <f>IFERROR(
GETPIVOTDATA(
"[Base].[Importe]",
TDinamica_R!$A$5,
"[Calendario].[AñoMes]",
"[Calendario].[AñoMes].&amp;[" &amp; TEXT(T$6,"yyyymm")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U72" s="8">
        <f>IFERROR(
GETPIVOTDATA(
"[Base].[Importe]",
TDinamica_R!$A$5,
"[Calendario].[AñoMes]",
"[Calendario].[AñoMes].&amp;[" &amp; TEXT(U$6,"yyyymm")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V72" s="8">
        <f>IFERROR(
GETPIVOTDATA(
"[Base].[Importe]",
TDinamica_R!$A$5,
"[Calendario].[AñoMes]",
"[Calendario].[AñoMes].&amp;[" &amp; TEXT(V$6,"yyyymm")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W72" s="8">
        <f>IFERROR(
GETPIVOTDATA(
"[Base].[Importe]",
TDinamica_R!$A$5,
"[Calendario].[AñoMes]",
"[Calendario].[AñoMes].&amp;[" &amp; TEXT(W$6,"yyyymm")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X72" s="8">
        <f>IFERROR(
GETPIVOTDATA(
"[Base].[Importe]",
TDinamica_R!$A$5,
"[Calendario].[AñoMes]",
"[Calendario].[AñoMes].&amp;[" &amp; TEXT(X$6,"yyyymm")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Y72" s="8">
        <f>IFERROR(
GETPIVOTDATA(
"[Base].[Importe]",
TDinamica_R!$A$5,
"[Calendario].[AñoMes]",
"[Calendario].[AñoMes].&amp;[" &amp; TEXT(Y$6,"yyyymm")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Z72" s="8">
        <f>IFERROR(
GETPIVOTDATA(
"[Base].[Importe]",
TDinamica_R!$A$5,
"[Calendario].[AñoMes]",
"[Calendario].[AñoMes].&amp;[" &amp; TEXT(Z$6,"yyyymm")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A72" s="8">
        <f>IFERROR(
GETPIVOTDATA(
"[Base].[Importe]",
TDinamica_R!$A$5,
"[Calendario].[AñoMes]",
"[Calendario].[AñoMes].&amp;[" &amp; TEXT(AA$6,"yyyymm")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B72" s="8">
        <f>IFERROR(
GETPIVOTDATA(
"[Base].[Importe]",
TDinamica_R!$A$5,
"[Calendario].[AñoMes]",
"[Calendario].[AñoMes].&amp;[" &amp; TEXT(AB$6,"yyyymm")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C72" s="8">
        <f>IFERROR(
GETPIVOTDATA(
"[Base].[Importe]",
TDinamica_R!$A$5,
"[Calendario].[AñoMes]",
"[Calendario].[AñoMes].&amp;[" &amp; TEXT(AC$6,"yyyymm")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D72" s="8">
        <f>IFERROR(
GETPIVOTDATA(
"[Base].[Importe]",
TDinamica_R!$A$5,
"[Calendario].[AñoMes]",
"[Calendario].[AñoMes].&amp;[" &amp; TEXT(AD$6,"yyyymm")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E72" s="8">
        <f>IFERROR(
GETPIVOTDATA(
"[Base].[Importe]",
TDinamica_R!$A$5,
"[Calendario].[AñoMes]",
"[Calendario].[AñoMes].&amp;[" &amp; TEXT(AE$6,"yyyymm")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F72" s="8">
        <f>IFERROR(
GETPIVOTDATA(
"[Base].[Importe]",
TDinamica_R!$A$5,
"[Calendario].[AñoMes]",
"[Calendario].[AñoMes].&amp;[" &amp; TEXT(AF$6,"yyyymm")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G72" s="8">
        <f>IFERROR(
GETPIVOTDATA(
"[Base].[Importe]",
TDinamica_R!$A$5,
"[Calendario].[AñoMes]",
"[Calendario].[AñoMes].&amp;[" &amp; TEXT(AG$6,"yyyymm")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H72" s="8">
        <f>IFERROR(
GETPIVOTDATA(
"[Base].[Importe]",
TDinamica_R!$A$5,
"[Calendario].[AñoMes]",
"[Calendario].[AñoMes].&amp;[" &amp; TEXT(AH$6,"yyyymm")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I72" s="8">
        <f>IFERROR(
GETPIVOTDATA(
"[Base].[Importe]",
TDinamica_R!$A$5,
"[Calendario].[AñoMes]",
"[Calendario].[AñoMes].&amp;[" &amp; TEXT(AI$6,"yyyymm")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J72" s="8">
        <f>IFERROR(
GETPIVOTDATA(
"[Base].[Importe]",
TDinamica_R!$A$5,
"[Calendario].[AñoMes]",
"[Calendario].[AñoMes].&amp;[" &amp; TEXT(AJ$6,"yyyymm")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K72" s="8">
        <f>IFERROR(
GETPIVOTDATA(
"[Base].[Importe]",
TDinamica_R!$A$5,
"[Calendario].[AñoMes]",
"[Calendario].[AñoMes].&amp;[" &amp; TEXT(AK$6,"yyyymm")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L72" s="8">
        <f>IFERROR(
GETPIVOTDATA(
"[Base].[Importe]",
TDinamica_R!$A$5,
"[Calendario].[AñoMes]",
"[Calendario].[AñoMes].&amp;[" &amp; TEXT(AL$6,"yyyymm")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M72" s="8">
        <f>IFERROR(
GETPIVOTDATA(
"[Base].[Importe]",
TDinamica_R!$A$5,
"[Calendario].[AñoMes]",
"[Calendario].[AñoMes].&amp;[" &amp; TEXT(AM$6,"yyyymm")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N72" s="8">
        <f>IFERROR(
GETPIVOTDATA(
"[Base].[Importe]",
TDinamica_R!$A$5,
"[Calendario].[AñoMes]",
"[Calendario].[AñoMes].&amp;[" &amp; TEXT(AN$6,"yyyymm")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O72" s="8">
        <f>IFERROR(
GETPIVOTDATA(
"[Base].[Importe]",
TDinamica_R!$A$5,
"[Calendario].[AñoMes]",
"[Calendario].[AñoMes].&amp;[" &amp; TEXT(AO$6,"yyyymm")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P72" s="8">
        <f>IFERROR(
GETPIVOTDATA(
"[Base].[Importe]",
TDinamica_R!$A$5,
"[Calendario].[AñoMes]",
"[Calendario].[AñoMes].&amp;[" &amp; TEXT(AP$6,"yyyymm")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Q72" s="8">
        <f>IFERROR(
GETPIVOTDATA(
"[Base].[Importe]",
TDinamica_R!$A$5,
"[Calendario].[AñoMes]",
"[Calendario].[AñoMes].&amp;[" &amp; TEXT(AQ$6,"yyyymm")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R72" s="8">
        <f>IFERROR(
GETPIVOTDATA(
"[Base].[Importe]",
TDinamica_R!$A$5,
"[Calendario].[AñoMes]",
"[Calendario].[AñoMes].&amp;[" &amp; TEXT(AR$6,"yyyymm")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S72" s="8">
        <f>IFERROR(
GETPIVOTDATA(
"[Base].[Importe]",
TDinamica_R!$A$5,
"[Calendario].[AñoMes]",
"[Calendario].[AñoMes].&amp;[" &amp; TEXT(AS$6,"yyyymm")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T72" s="8">
        <f>IFERROR(
GETPIVOTDATA(
"[Base].[Importe]",
TDinamica_R!$A$5,
"[Calendario].[AñoMes]",
"[Calendario].[AñoMes].&amp;[" &amp; TEXT(AT$6,"yyyymm")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U72" s="8">
        <f>IFERROR(
GETPIVOTDATA(
"[Base].[Importe]",
TDinamica_R!$A$5,
"[Calendario].[AñoMes]",
"[Calendario].[AñoMes].&amp;[" &amp; TEXT(AU$6,"yyyymm")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V72" s="8">
        <f>IFERROR(
GETPIVOTDATA(
"[Base].[Importe]",
TDinamica_R!$A$5,
"[Calendario].[AñoMes]",
"[Calendario].[AñoMes].&amp;[" &amp; TEXT(AV$6,"yyyymm")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W72" s="8">
        <f>IFERROR(
GETPIVOTDATA(
"[Base].[Importe]",
TDinamica_R!$A$5,
"[Calendario].[AñoMes]",
"[Calendario].[AñoMes].&amp;[" &amp; TEXT(AW$6,"yyyymm")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X72" s="8">
        <f>IFERROR(
GETPIVOTDATA(
"[Base].[Importe]",
TDinamica_R!$A$5,
"[Calendario].[AñoMes]",
"[Calendario].[AñoMes].&amp;[" &amp; TEXT(AX$6,"yyyymm")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Y72" s="8">
        <f>IFERROR(
GETPIVOTDATA(
"[Base].[Importe]",
TDinamica_R!$A$5,
"[Calendario].[AñoMes]",
"[Calendario].[AñoMes].&amp;[" &amp; TEXT(AY$6,"yyyymm")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Z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"[BASE_HIPO_PPTO].[Periodo]","[BASE_HIPO_PPTO].[Periodo].&amp;["&amp;TEXT(AZ$6,"yyyymm")&amp;"]"),
0)/1000</f>
        <v>0</v>
      </c>
      <c r="BA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"[BASE_HIPO_PPTO].[Periodo]","[BASE_HIPO_PPTO].[Periodo].&amp;["&amp;TEXT(BA$6,"yyyymm")&amp;"]"),
0)/1000</f>
        <v>0</v>
      </c>
      <c r="BB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"[BASE_HIPO_PPTO].[Periodo]","[BASE_HIPO_PPTO].[Periodo].&amp;["&amp;TEXT(BB$6,"yyyymm")&amp;"]"),
0)/1000</f>
        <v>0</v>
      </c>
      <c r="BC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"[BASE_HIPO_PPTO].[Periodo]","[BASE_HIPO_PPTO].[Periodo].&amp;["&amp;TEXT(BC$6,"yyyymm")&amp;"]"),
0)/1000</f>
        <v>0</v>
      </c>
      <c r="BD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"[BASE_HIPO_PPTO].[Periodo]","[BASE_HIPO_PPTO].[Periodo].&amp;["&amp;TEXT(BD$6,"yyyymm")&amp;"]"),
0)/1000</f>
        <v>0</v>
      </c>
      <c r="BE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"[BASE_HIPO_PPTO].[Periodo]","[BASE_HIPO_PPTO].[Periodo].&amp;["&amp;TEXT(BE$6,"yyyymm")&amp;"]"),
0)/1000</f>
        <v>0</v>
      </c>
      <c r="BF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"[BASE_HIPO_PPTO].[Periodo]","[BASE_HIPO_PPTO].[Periodo].&amp;["&amp;TEXT(BF$6,"yyyymm")&amp;"]"),
0)/1000</f>
        <v>0</v>
      </c>
      <c r="BG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"[BASE_HIPO_PPTO].[Periodo]","[BASE_HIPO_PPTO].[Periodo].&amp;["&amp;TEXT(BG$6,"yyyymm")&amp;"]"),
0)/1000</f>
        <v>0</v>
      </c>
      <c r="BH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"[BASE_HIPO_PPTO].[Periodo]","[BASE_HIPO_PPTO].[Periodo].&amp;["&amp;TEXT(BH$6,"yyyymm")&amp;"]"),
0)/1000</f>
        <v>0</v>
      </c>
      <c r="BI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"[BASE_HIPO_PPTO].[Periodo]","[BASE_HIPO_PPTO].[Periodo].&amp;["&amp;TEXT(BI$6,"yyyymm")&amp;"]"),
0)/1000</f>
        <v>0</v>
      </c>
      <c r="BJ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"[BASE_HIPO_PPTO].[Periodo]","[BASE_HIPO_PPTO].[Periodo].&amp;["&amp;TEXT(BJ$6,"yyyymm")&amp;"]"),
0)/1000</f>
        <v>0</v>
      </c>
      <c r="BK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"[BASE_HIPO_PPTO].[Periodo]","[BASE_HIPO_PPTO].[Periodo].&amp;["&amp;TEXT(BK$6,"yyyymm")&amp;"]"),
0)/1000</f>
        <v>0</v>
      </c>
      <c r="BO72" s="24">
        <f t="shared" si="149"/>
        <v>0</v>
      </c>
      <c r="BP72" s="24">
        <f t="shared" si="149"/>
        <v>0</v>
      </c>
      <c r="BQ72" s="24">
        <f t="shared" si="149"/>
        <v>0</v>
      </c>
      <c r="BR72" s="24">
        <f t="shared" si="149"/>
        <v>0</v>
      </c>
      <c r="BS72" s="24">
        <f t="shared" si="149"/>
        <v>0</v>
      </c>
      <c r="BT72" s="24">
        <f t="shared" si="149"/>
        <v>0</v>
      </c>
    </row>
    <row r="73" spans="1:72" hidden="1" outlineLevel="1" x14ac:dyDescent="0.25">
      <c r="A73" s="11" t="s">
        <v>71</v>
      </c>
      <c r="C73" s="2"/>
      <c r="D73" s="8">
        <f>IFERROR(
GETPIVOTDATA(
"[Base].[Importe]",
TDinamica_R!$A$5,
"[Calendario].[AñoMes]",
"[Calendario].[AñoMes].&amp;[" &amp; TEXT(D$6,"yyyymm")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E73" s="8">
        <f>IFERROR(
GETPIVOTDATA(
"[Base].[Importe]",
TDinamica_R!$A$5,
"[Calendario].[AñoMes]",
"[Calendario].[AñoMes].&amp;[" &amp; TEXT(E$6,"yyyymm")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F73" s="8">
        <f>IFERROR(
GETPIVOTDATA(
"[Base].[Importe]",
TDinamica_R!$A$5,
"[Calendario].[AñoMes]",
"[Calendario].[AñoMes].&amp;[" &amp; TEXT(F$6,"yyyymm")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G73" s="8">
        <f>IFERROR(
GETPIVOTDATA(
"[Base].[Importe]",
TDinamica_R!$A$5,
"[Calendario].[AñoMes]",
"[Calendario].[AñoMes].&amp;[" &amp; TEXT(G$6,"yyyymm")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H73" s="8">
        <f>IFERROR(
GETPIVOTDATA(
"[Base].[Importe]",
TDinamica_R!$A$5,
"[Calendario].[AñoMes]",
"[Calendario].[AñoMes].&amp;[" &amp; TEXT(H$6,"yyyymm")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I73" s="8">
        <f>IFERROR(
GETPIVOTDATA(
"[Base].[Importe]",
TDinamica_R!$A$5,
"[Calendario].[AñoMes]",
"[Calendario].[AñoMes].&amp;[" &amp; TEXT(I$6,"yyyymm")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J73" s="8">
        <f>IFERROR(
GETPIVOTDATA(
"[Base].[Importe]",
TDinamica_R!$A$5,
"[Calendario].[AñoMes]",
"[Calendario].[AñoMes].&amp;[" &amp; TEXT(J$6,"yyyymm")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K73" s="8">
        <f>IFERROR(
GETPIVOTDATA(
"[Base].[Importe]",
TDinamica_R!$A$5,
"[Calendario].[AñoMes]",
"[Calendario].[AñoMes].&amp;[" &amp; TEXT(K$6,"yyyymm")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L73" s="8">
        <f>IFERROR(
GETPIVOTDATA(
"[Base].[Importe]",
TDinamica_R!$A$5,
"[Calendario].[AñoMes]",
"[Calendario].[AñoMes].&amp;[" &amp; TEXT(L$6,"yyyymm")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M73" s="8">
        <f>IFERROR(
GETPIVOTDATA(
"[Base].[Importe]",
TDinamica_R!$A$5,
"[Calendario].[AñoMes]",
"[Calendario].[AñoMes].&amp;[" &amp; TEXT(M$6,"yyyymm")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N73" s="8">
        <f>IFERROR(
GETPIVOTDATA(
"[Base].[Importe]",
TDinamica_R!$A$5,
"[Calendario].[AñoMes]",
"[Calendario].[AñoMes].&amp;[" &amp; TEXT(N$6,"yyyymm")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O73" s="8">
        <f>IFERROR(
GETPIVOTDATA(
"[Base].[Importe]",
TDinamica_R!$A$5,
"[Calendario].[AñoMes]",
"[Calendario].[AñoMes].&amp;[" &amp; TEXT(O$6,"yyyymm")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P73" s="8">
        <f>IFERROR(
GETPIVOTDATA(
"[Base].[Importe]",
TDinamica_R!$A$5,
"[Calendario].[AñoMes]",
"[Calendario].[AñoMes].&amp;[" &amp; TEXT(P$6,"yyyymm")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Q73" s="8">
        <f>IFERROR(
GETPIVOTDATA(
"[Base].[Importe]",
TDinamica_R!$A$5,
"[Calendario].[AñoMes]",
"[Calendario].[AñoMes].&amp;[" &amp; TEXT(Q$6,"yyyymm")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R73" s="8">
        <f>IFERROR(
GETPIVOTDATA(
"[Base].[Importe]",
TDinamica_R!$A$5,
"[Calendario].[AñoMes]",
"[Calendario].[AñoMes].&amp;[" &amp; TEXT(R$6,"yyyymm")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S73" s="8">
        <f>IFERROR(
GETPIVOTDATA(
"[Base].[Importe]",
TDinamica_R!$A$5,
"[Calendario].[AñoMes]",
"[Calendario].[AñoMes].&amp;[" &amp; TEXT(S$6,"yyyymm")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T73" s="8">
        <f>IFERROR(
GETPIVOTDATA(
"[Base].[Importe]",
TDinamica_R!$A$5,
"[Calendario].[AñoMes]",
"[Calendario].[AñoMes].&amp;[" &amp; TEXT(T$6,"yyyymm")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U73" s="8">
        <f>IFERROR(
GETPIVOTDATA(
"[Base].[Importe]",
TDinamica_R!$A$5,
"[Calendario].[AñoMes]",
"[Calendario].[AñoMes].&amp;[" &amp; TEXT(U$6,"yyyymm")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V73" s="8">
        <f>IFERROR(
GETPIVOTDATA(
"[Base].[Importe]",
TDinamica_R!$A$5,
"[Calendario].[AñoMes]",
"[Calendario].[AñoMes].&amp;[" &amp; TEXT(V$6,"yyyymm")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W73" s="8">
        <f>IFERROR(
GETPIVOTDATA(
"[Base].[Importe]",
TDinamica_R!$A$5,
"[Calendario].[AñoMes]",
"[Calendario].[AñoMes].&amp;[" &amp; TEXT(W$6,"yyyymm")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X73" s="8">
        <f>IFERROR(
GETPIVOTDATA(
"[Base].[Importe]",
TDinamica_R!$A$5,
"[Calendario].[AñoMes]",
"[Calendario].[AñoMes].&amp;[" &amp; TEXT(X$6,"yyyymm")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Y73" s="8">
        <f>IFERROR(
GETPIVOTDATA(
"[Base].[Importe]",
TDinamica_R!$A$5,
"[Calendario].[AñoMes]",
"[Calendario].[AñoMes].&amp;[" &amp; TEXT(Y$6,"yyyymm")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Z73" s="8">
        <f>IFERROR(
GETPIVOTDATA(
"[Base].[Importe]",
TDinamica_R!$A$5,
"[Calendario].[AñoMes]",
"[Calendario].[AñoMes].&amp;[" &amp; TEXT(Z$6,"yyyymm")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A73" s="8">
        <f>IFERROR(
GETPIVOTDATA(
"[Base].[Importe]",
TDinamica_R!$A$5,
"[Calendario].[AñoMes]",
"[Calendario].[AñoMes].&amp;[" &amp; TEXT(AA$6,"yyyymm")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B73" s="8">
        <f>IFERROR(
GETPIVOTDATA(
"[Base].[Importe]",
TDinamica_R!$A$5,
"[Calendario].[AñoMes]",
"[Calendario].[AñoMes].&amp;[" &amp; TEXT(AB$6,"yyyymm")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C73" s="8">
        <f>IFERROR(
GETPIVOTDATA(
"[Base].[Importe]",
TDinamica_R!$A$5,
"[Calendario].[AñoMes]",
"[Calendario].[AñoMes].&amp;[" &amp; TEXT(AC$6,"yyyymm")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D73" s="8">
        <f>IFERROR(
GETPIVOTDATA(
"[Base].[Importe]",
TDinamica_R!$A$5,
"[Calendario].[AñoMes]",
"[Calendario].[AñoMes].&amp;[" &amp; TEXT(AD$6,"yyyymm")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E73" s="8">
        <f>IFERROR(
GETPIVOTDATA(
"[Base].[Importe]",
TDinamica_R!$A$5,
"[Calendario].[AñoMes]",
"[Calendario].[AñoMes].&amp;[" &amp; TEXT(AE$6,"yyyymm")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F73" s="8">
        <f>IFERROR(
GETPIVOTDATA(
"[Base].[Importe]",
TDinamica_R!$A$5,
"[Calendario].[AñoMes]",
"[Calendario].[AñoMes].&amp;[" &amp; TEXT(AF$6,"yyyymm")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G73" s="8">
        <f>IFERROR(
GETPIVOTDATA(
"[Base].[Importe]",
TDinamica_R!$A$5,
"[Calendario].[AñoMes]",
"[Calendario].[AñoMes].&amp;[" &amp; TEXT(AG$6,"yyyymm")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H73" s="8">
        <f>IFERROR(
GETPIVOTDATA(
"[Base].[Importe]",
TDinamica_R!$A$5,
"[Calendario].[AñoMes]",
"[Calendario].[AñoMes].&amp;[" &amp; TEXT(AH$6,"yyyymm")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I73" s="8">
        <f>IFERROR(
GETPIVOTDATA(
"[Base].[Importe]",
TDinamica_R!$A$5,
"[Calendario].[AñoMes]",
"[Calendario].[AñoMes].&amp;[" &amp; TEXT(AI$6,"yyyymm")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J73" s="8">
        <f>IFERROR(
GETPIVOTDATA(
"[Base].[Importe]",
TDinamica_R!$A$5,
"[Calendario].[AñoMes]",
"[Calendario].[AñoMes].&amp;[" &amp; TEXT(AJ$6,"yyyymm")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K73" s="8">
        <f>IFERROR(
GETPIVOTDATA(
"[Base].[Importe]",
TDinamica_R!$A$5,
"[Calendario].[AñoMes]",
"[Calendario].[AñoMes].&amp;[" &amp; TEXT(AK$6,"yyyymm")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L73" s="8">
        <f>IFERROR(
GETPIVOTDATA(
"[Base].[Importe]",
TDinamica_R!$A$5,
"[Calendario].[AñoMes]",
"[Calendario].[AñoMes].&amp;[" &amp; TEXT(AL$6,"yyyymm")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M73" s="8">
        <f>IFERROR(
GETPIVOTDATA(
"[Base].[Importe]",
TDinamica_R!$A$5,
"[Calendario].[AñoMes]",
"[Calendario].[AñoMes].&amp;[" &amp; TEXT(AM$6,"yyyymm")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N73" s="8">
        <f>IFERROR(
GETPIVOTDATA(
"[Base].[Importe]",
TDinamica_R!$A$5,
"[Calendario].[AñoMes]",
"[Calendario].[AñoMes].&amp;[" &amp; TEXT(AN$6,"yyyymm")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O73" s="8">
        <f>IFERROR(
GETPIVOTDATA(
"[Base].[Importe]",
TDinamica_R!$A$5,
"[Calendario].[AñoMes]",
"[Calendario].[AñoMes].&amp;[" &amp; TEXT(AO$6,"yyyymm")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P73" s="8">
        <f>IFERROR(
GETPIVOTDATA(
"[Base].[Importe]",
TDinamica_R!$A$5,
"[Calendario].[AñoMes]",
"[Calendario].[AñoMes].&amp;[" &amp; TEXT(AP$6,"yyyymm")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Q73" s="8">
        <f>IFERROR(
GETPIVOTDATA(
"[Base].[Importe]",
TDinamica_R!$A$5,
"[Calendario].[AñoMes]",
"[Calendario].[AñoMes].&amp;[" &amp; TEXT(AQ$6,"yyyymm")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R73" s="8">
        <f>IFERROR(
GETPIVOTDATA(
"[Base].[Importe]",
TDinamica_R!$A$5,
"[Calendario].[AñoMes]",
"[Calendario].[AñoMes].&amp;[" &amp; TEXT(AR$6,"yyyymm")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S73" s="8">
        <f>IFERROR(
GETPIVOTDATA(
"[Base].[Importe]",
TDinamica_R!$A$5,
"[Calendario].[AñoMes]",
"[Calendario].[AñoMes].&amp;[" &amp; TEXT(AS$6,"yyyymm")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T73" s="8">
        <f>IFERROR(
GETPIVOTDATA(
"[Base].[Importe]",
TDinamica_R!$A$5,
"[Calendario].[AñoMes]",
"[Calendario].[AñoMes].&amp;[" &amp; TEXT(AT$6,"yyyymm")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U73" s="8">
        <f>IFERROR(
GETPIVOTDATA(
"[Base].[Importe]",
TDinamica_R!$A$5,
"[Calendario].[AñoMes]",
"[Calendario].[AñoMes].&amp;[" &amp; TEXT(AU$6,"yyyymm")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V73" s="8">
        <f>IFERROR(
GETPIVOTDATA(
"[Base].[Importe]",
TDinamica_R!$A$5,
"[Calendario].[AñoMes]",
"[Calendario].[AñoMes].&amp;[" &amp; TEXT(AV$6,"yyyymm")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W73" s="8">
        <f>IFERROR(
GETPIVOTDATA(
"[Base].[Importe]",
TDinamica_R!$A$5,
"[Calendario].[AñoMes]",
"[Calendario].[AñoMes].&amp;[" &amp; TEXT(AW$6,"yyyymm")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X73" s="8">
        <f>IFERROR(
GETPIVOTDATA(
"[Base].[Importe]",
TDinamica_R!$A$5,
"[Calendario].[AñoMes]",
"[Calendario].[AñoMes].&amp;[" &amp; TEXT(AX$6,"yyyymm")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Y73" s="8">
        <f>IFERROR(
GETPIVOTDATA(
"[Base].[Importe]",
TDinamica_R!$A$5,
"[Calendario].[AñoMes]",
"[Calendario].[AñoMes].&amp;[" &amp; TEXT(AY$6,"yyyymm")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Z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"[BASE_HIPO_PPTO].[Periodo]","[BASE_HIPO_PPTO].[Periodo].&amp;["&amp;TEXT(AZ$6,"yyyymm")&amp;"]"),
0)/1000</f>
        <v>0</v>
      </c>
      <c r="BA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"[BASE_HIPO_PPTO].[Periodo]","[BASE_HIPO_PPTO].[Periodo].&amp;["&amp;TEXT(BA$6,"yyyymm")&amp;"]"),
0)/1000</f>
        <v>0</v>
      </c>
      <c r="BB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"[BASE_HIPO_PPTO].[Periodo]","[BASE_HIPO_PPTO].[Periodo].&amp;["&amp;TEXT(BB$6,"yyyymm")&amp;"]"),
0)/1000</f>
        <v>0</v>
      </c>
      <c r="BC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"[BASE_HIPO_PPTO].[Periodo]","[BASE_HIPO_PPTO].[Periodo].&amp;["&amp;TEXT(BC$6,"yyyymm")&amp;"]"),
0)/1000</f>
        <v>0</v>
      </c>
      <c r="BD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"[BASE_HIPO_PPTO].[Periodo]","[BASE_HIPO_PPTO].[Periodo].&amp;["&amp;TEXT(BD$6,"yyyymm")&amp;"]"),
0)/1000</f>
        <v>0</v>
      </c>
      <c r="BE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"[BASE_HIPO_PPTO].[Periodo]","[BASE_HIPO_PPTO].[Periodo].&amp;["&amp;TEXT(BE$6,"yyyymm")&amp;"]"),
0)/1000</f>
        <v>0</v>
      </c>
      <c r="BF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"[BASE_HIPO_PPTO].[Periodo]","[BASE_HIPO_PPTO].[Periodo].&amp;["&amp;TEXT(BF$6,"yyyymm")&amp;"]"),
0)/1000</f>
        <v>0</v>
      </c>
      <c r="BG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"[BASE_HIPO_PPTO].[Periodo]","[BASE_HIPO_PPTO].[Periodo].&amp;["&amp;TEXT(BG$6,"yyyymm")&amp;"]"),
0)/1000</f>
        <v>0</v>
      </c>
      <c r="BH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"[BASE_HIPO_PPTO].[Periodo]","[BASE_HIPO_PPTO].[Periodo].&amp;["&amp;TEXT(BH$6,"yyyymm")&amp;"]"),
0)/1000</f>
        <v>0</v>
      </c>
      <c r="BI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"[BASE_HIPO_PPTO].[Periodo]","[BASE_HIPO_PPTO].[Periodo].&amp;["&amp;TEXT(BI$6,"yyyymm")&amp;"]"),
0)/1000</f>
        <v>0</v>
      </c>
      <c r="BJ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"[BASE_HIPO_PPTO].[Periodo]","[BASE_HIPO_PPTO].[Periodo].&amp;["&amp;TEXT(BJ$6,"yyyymm")&amp;"]"),
0)/1000</f>
        <v>0</v>
      </c>
      <c r="BK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"[BASE_HIPO_PPTO].[Periodo]","[BASE_HIPO_PPTO].[Periodo].&amp;["&amp;TEXT(BK$6,"yyyymm")&amp;"]"),
0)/1000</f>
        <v>0</v>
      </c>
      <c r="BO73" s="24">
        <f t="shared" ref="BO73:BT82" si="150">SUMIFS($D73:$BM73,$D$6:$BM$6,"&gt;="&amp;BO$2,$D$6:$BM$6,"&lt;="&amp;BO$6,$D$5:$BM$5,BO$5)</f>
        <v>0</v>
      </c>
      <c r="BP73" s="24">
        <f t="shared" si="150"/>
        <v>0</v>
      </c>
      <c r="BQ73" s="24">
        <f t="shared" si="150"/>
        <v>0</v>
      </c>
      <c r="BR73" s="24">
        <f t="shared" si="150"/>
        <v>0</v>
      </c>
      <c r="BS73" s="24">
        <f t="shared" si="150"/>
        <v>0</v>
      </c>
      <c r="BT73" s="24">
        <f t="shared" si="150"/>
        <v>0</v>
      </c>
    </row>
    <row r="74" spans="1:72" hidden="1" outlineLevel="1" x14ac:dyDescent="0.25">
      <c r="A74" s="11" t="s">
        <v>71</v>
      </c>
      <c r="C74" s="2"/>
      <c r="D74" s="8">
        <f>IFERROR(
GETPIVOTDATA(
"[Base].[Importe]",
TDinamica_R!$A$5,
"[Calendario].[AñoMes]",
"[Calendario].[AñoMes].&amp;[" &amp; TEXT(D$6,"yyyymm")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E74" s="8">
        <f>IFERROR(
GETPIVOTDATA(
"[Base].[Importe]",
TDinamica_R!$A$5,
"[Calendario].[AñoMes]",
"[Calendario].[AñoMes].&amp;[" &amp; TEXT(E$6,"yyyymm")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F74" s="8">
        <f>IFERROR(
GETPIVOTDATA(
"[Base].[Importe]",
TDinamica_R!$A$5,
"[Calendario].[AñoMes]",
"[Calendario].[AñoMes].&amp;[" &amp; TEXT(F$6,"yyyymm")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G74" s="8">
        <f>IFERROR(
GETPIVOTDATA(
"[Base].[Importe]",
TDinamica_R!$A$5,
"[Calendario].[AñoMes]",
"[Calendario].[AñoMes].&amp;[" &amp; TEXT(G$6,"yyyymm")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H74" s="8">
        <f>IFERROR(
GETPIVOTDATA(
"[Base].[Importe]",
TDinamica_R!$A$5,
"[Calendario].[AñoMes]",
"[Calendario].[AñoMes].&amp;[" &amp; TEXT(H$6,"yyyymm")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I74" s="8">
        <f>IFERROR(
GETPIVOTDATA(
"[Base].[Importe]",
TDinamica_R!$A$5,
"[Calendario].[AñoMes]",
"[Calendario].[AñoMes].&amp;[" &amp; TEXT(I$6,"yyyymm")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J74" s="8">
        <f>IFERROR(
GETPIVOTDATA(
"[Base].[Importe]",
TDinamica_R!$A$5,
"[Calendario].[AñoMes]",
"[Calendario].[AñoMes].&amp;[" &amp; TEXT(J$6,"yyyymm")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K74" s="8">
        <f>IFERROR(
GETPIVOTDATA(
"[Base].[Importe]",
TDinamica_R!$A$5,
"[Calendario].[AñoMes]",
"[Calendario].[AñoMes].&amp;[" &amp; TEXT(K$6,"yyyymm")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L74" s="8">
        <f>IFERROR(
GETPIVOTDATA(
"[Base].[Importe]",
TDinamica_R!$A$5,
"[Calendario].[AñoMes]",
"[Calendario].[AñoMes].&amp;[" &amp; TEXT(L$6,"yyyymm")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M74" s="8">
        <f>IFERROR(
GETPIVOTDATA(
"[Base].[Importe]",
TDinamica_R!$A$5,
"[Calendario].[AñoMes]",
"[Calendario].[AñoMes].&amp;[" &amp; TEXT(M$6,"yyyymm")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N74" s="8">
        <f>IFERROR(
GETPIVOTDATA(
"[Base].[Importe]",
TDinamica_R!$A$5,
"[Calendario].[AñoMes]",
"[Calendario].[AñoMes].&amp;[" &amp; TEXT(N$6,"yyyymm")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O74" s="8">
        <f>IFERROR(
GETPIVOTDATA(
"[Base].[Importe]",
TDinamica_R!$A$5,
"[Calendario].[AñoMes]",
"[Calendario].[AñoMes].&amp;[" &amp; TEXT(O$6,"yyyymm")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P74" s="8">
        <f>IFERROR(
GETPIVOTDATA(
"[Base].[Importe]",
TDinamica_R!$A$5,
"[Calendario].[AñoMes]",
"[Calendario].[AñoMes].&amp;[" &amp; TEXT(P$6,"yyyymm")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Q74" s="8">
        <f>IFERROR(
GETPIVOTDATA(
"[Base].[Importe]",
TDinamica_R!$A$5,
"[Calendario].[AñoMes]",
"[Calendario].[AñoMes].&amp;[" &amp; TEXT(Q$6,"yyyymm")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R74" s="8">
        <f>IFERROR(
GETPIVOTDATA(
"[Base].[Importe]",
TDinamica_R!$A$5,
"[Calendario].[AñoMes]",
"[Calendario].[AñoMes].&amp;[" &amp; TEXT(R$6,"yyyymm")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S74" s="8">
        <f>IFERROR(
GETPIVOTDATA(
"[Base].[Importe]",
TDinamica_R!$A$5,
"[Calendario].[AñoMes]",
"[Calendario].[AñoMes].&amp;[" &amp; TEXT(S$6,"yyyymm")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T74" s="8">
        <f>IFERROR(
GETPIVOTDATA(
"[Base].[Importe]",
TDinamica_R!$A$5,
"[Calendario].[AñoMes]",
"[Calendario].[AñoMes].&amp;[" &amp; TEXT(T$6,"yyyymm")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U74" s="8">
        <f>IFERROR(
GETPIVOTDATA(
"[Base].[Importe]",
TDinamica_R!$A$5,
"[Calendario].[AñoMes]",
"[Calendario].[AñoMes].&amp;[" &amp; TEXT(U$6,"yyyymm")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V74" s="8">
        <f>IFERROR(
GETPIVOTDATA(
"[Base].[Importe]",
TDinamica_R!$A$5,
"[Calendario].[AñoMes]",
"[Calendario].[AñoMes].&amp;[" &amp; TEXT(V$6,"yyyymm")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W74" s="8">
        <f>IFERROR(
GETPIVOTDATA(
"[Base].[Importe]",
TDinamica_R!$A$5,
"[Calendario].[AñoMes]",
"[Calendario].[AñoMes].&amp;[" &amp; TEXT(W$6,"yyyymm")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X74" s="8">
        <f>IFERROR(
GETPIVOTDATA(
"[Base].[Importe]",
TDinamica_R!$A$5,
"[Calendario].[AñoMes]",
"[Calendario].[AñoMes].&amp;[" &amp; TEXT(X$6,"yyyymm")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Y74" s="8">
        <f>IFERROR(
GETPIVOTDATA(
"[Base].[Importe]",
TDinamica_R!$A$5,
"[Calendario].[AñoMes]",
"[Calendario].[AñoMes].&amp;[" &amp; TEXT(Y$6,"yyyymm")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Z74" s="8">
        <f>IFERROR(
GETPIVOTDATA(
"[Base].[Importe]",
TDinamica_R!$A$5,
"[Calendario].[AñoMes]",
"[Calendario].[AñoMes].&amp;[" &amp; TEXT(Z$6,"yyyymm")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A74" s="8">
        <f>IFERROR(
GETPIVOTDATA(
"[Base].[Importe]",
TDinamica_R!$A$5,
"[Calendario].[AñoMes]",
"[Calendario].[AñoMes].&amp;[" &amp; TEXT(AA$6,"yyyymm")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B74" s="8">
        <f>IFERROR(
GETPIVOTDATA(
"[Base].[Importe]",
TDinamica_R!$A$5,
"[Calendario].[AñoMes]",
"[Calendario].[AñoMes].&amp;[" &amp; TEXT(AB$6,"yyyymm")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C74" s="8">
        <f>IFERROR(
GETPIVOTDATA(
"[Base].[Importe]",
TDinamica_R!$A$5,
"[Calendario].[AñoMes]",
"[Calendario].[AñoMes].&amp;[" &amp; TEXT(AC$6,"yyyymm")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D74" s="8">
        <f>IFERROR(
GETPIVOTDATA(
"[Base].[Importe]",
TDinamica_R!$A$5,
"[Calendario].[AñoMes]",
"[Calendario].[AñoMes].&amp;[" &amp; TEXT(AD$6,"yyyymm")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E74" s="8">
        <f>IFERROR(
GETPIVOTDATA(
"[Base].[Importe]",
TDinamica_R!$A$5,
"[Calendario].[AñoMes]",
"[Calendario].[AñoMes].&amp;[" &amp; TEXT(AE$6,"yyyymm")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F74" s="8">
        <f>IFERROR(
GETPIVOTDATA(
"[Base].[Importe]",
TDinamica_R!$A$5,
"[Calendario].[AñoMes]",
"[Calendario].[AñoMes].&amp;[" &amp; TEXT(AF$6,"yyyymm")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G74" s="8">
        <f>IFERROR(
GETPIVOTDATA(
"[Base].[Importe]",
TDinamica_R!$A$5,
"[Calendario].[AñoMes]",
"[Calendario].[AñoMes].&amp;[" &amp; TEXT(AG$6,"yyyymm")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H74" s="8">
        <f>IFERROR(
GETPIVOTDATA(
"[Base].[Importe]",
TDinamica_R!$A$5,
"[Calendario].[AñoMes]",
"[Calendario].[AñoMes].&amp;[" &amp; TEXT(AH$6,"yyyymm")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I74" s="8">
        <f>IFERROR(
GETPIVOTDATA(
"[Base].[Importe]",
TDinamica_R!$A$5,
"[Calendario].[AñoMes]",
"[Calendario].[AñoMes].&amp;[" &amp; TEXT(AI$6,"yyyymm")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J74" s="8">
        <f>IFERROR(
GETPIVOTDATA(
"[Base].[Importe]",
TDinamica_R!$A$5,
"[Calendario].[AñoMes]",
"[Calendario].[AñoMes].&amp;[" &amp; TEXT(AJ$6,"yyyymm")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K74" s="8">
        <f>IFERROR(
GETPIVOTDATA(
"[Base].[Importe]",
TDinamica_R!$A$5,
"[Calendario].[AñoMes]",
"[Calendario].[AñoMes].&amp;[" &amp; TEXT(AK$6,"yyyymm")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L74" s="8">
        <f>IFERROR(
GETPIVOTDATA(
"[Base].[Importe]",
TDinamica_R!$A$5,
"[Calendario].[AñoMes]",
"[Calendario].[AñoMes].&amp;[" &amp; TEXT(AL$6,"yyyymm")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M74" s="8">
        <f>IFERROR(
GETPIVOTDATA(
"[Base].[Importe]",
TDinamica_R!$A$5,
"[Calendario].[AñoMes]",
"[Calendario].[AñoMes].&amp;[" &amp; TEXT(AM$6,"yyyymm")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N74" s="8">
        <f>IFERROR(
GETPIVOTDATA(
"[Base].[Importe]",
TDinamica_R!$A$5,
"[Calendario].[AñoMes]",
"[Calendario].[AñoMes].&amp;[" &amp; TEXT(AN$6,"yyyymm")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O74" s="8">
        <f>IFERROR(
GETPIVOTDATA(
"[Base].[Importe]",
TDinamica_R!$A$5,
"[Calendario].[AñoMes]",
"[Calendario].[AñoMes].&amp;[" &amp; TEXT(AO$6,"yyyymm")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P74" s="8">
        <f>IFERROR(
GETPIVOTDATA(
"[Base].[Importe]",
TDinamica_R!$A$5,
"[Calendario].[AñoMes]",
"[Calendario].[AñoMes].&amp;[" &amp; TEXT(AP$6,"yyyymm")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Q74" s="8">
        <f>IFERROR(
GETPIVOTDATA(
"[Base].[Importe]",
TDinamica_R!$A$5,
"[Calendario].[AñoMes]",
"[Calendario].[AñoMes].&amp;[" &amp; TEXT(AQ$6,"yyyymm")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R74" s="8">
        <f>IFERROR(
GETPIVOTDATA(
"[Base].[Importe]",
TDinamica_R!$A$5,
"[Calendario].[AñoMes]",
"[Calendario].[AñoMes].&amp;[" &amp; TEXT(AR$6,"yyyymm")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S74" s="8">
        <f>IFERROR(
GETPIVOTDATA(
"[Base].[Importe]",
TDinamica_R!$A$5,
"[Calendario].[AñoMes]",
"[Calendario].[AñoMes].&amp;[" &amp; TEXT(AS$6,"yyyymm")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T74" s="8">
        <f>IFERROR(
GETPIVOTDATA(
"[Base].[Importe]",
TDinamica_R!$A$5,
"[Calendario].[AñoMes]",
"[Calendario].[AñoMes].&amp;[" &amp; TEXT(AT$6,"yyyymm")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U74" s="8">
        <f>IFERROR(
GETPIVOTDATA(
"[Base].[Importe]",
TDinamica_R!$A$5,
"[Calendario].[AñoMes]",
"[Calendario].[AñoMes].&amp;[" &amp; TEXT(AU$6,"yyyymm")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V74" s="8">
        <f>IFERROR(
GETPIVOTDATA(
"[Base].[Importe]",
TDinamica_R!$A$5,
"[Calendario].[AñoMes]",
"[Calendario].[AñoMes].&amp;[" &amp; TEXT(AV$6,"yyyymm")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W74" s="8">
        <f>IFERROR(
GETPIVOTDATA(
"[Base].[Importe]",
TDinamica_R!$A$5,
"[Calendario].[AñoMes]",
"[Calendario].[AñoMes].&amp;[" &amp; TEXT(AW$6,"yyyymm")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X74" s="8">
        <f>IFERROR(
GETPIVOTDATA(
"[Base].[Importe]",
TDinamica_R!$A$5,
"[Calendario].[AñoMes]",
"[Calendario].[AñoMes].&amp;[" &amp; TEXT(AX$6,"yyyymm")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Y74" s="8">
        <f>IFERROR(
GETPIVOTDATA(
"[Base].[Importe]",
TDinamica_R!$A$5,
"[Calendario].[AñoMes]",
"[Calendario].[AñoMes].&amp;[" &amp; TEXT(AY$6,"yyyymm")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Z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"[BASE_HIPO_PPTO].[Periodo]","[BASE_HIPO_PPTO].[Periodo].&amp;["&amp;TEXT(AZ$6,"yyyymm")&amp;"]"),
0)/1000</f>
        <v>0</v>
      </c>
      <c r="BA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"[BASE_HIPO_PPTO].[Periodo]","[BASE_HIPO_PPTO].[Periodo].&amp;["&amp;TEXT(BA$6,"yyyymm")&amp;"]"),
0)/1000</f>
        <v>0</v>
      </c>
      <c r="BB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"[BASE_HIPO_PPTO].[Periodo]","[BASE_HIPO_PPTO].[Periodo].&amp;["&amp;TEXT(BB$6,"yyyymm")&amp;"]"),
0)/1000</f>
        <v>0</v>
      </c>
      <c r="BC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"[BASE_HIPO_PPTO].[Periodo]","[BASE_HIPO_PPTO].[Periodo].&amp;["&amp;TEXT(BC$6,"yyyymm")&amp;"]"),
0)/1000</f>
        <v>0</v>
      </c>
      <c r="BD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"[BASE_HIPO_PPTO].[Periodo]","[BASE_HIPO_PPTO].[Periodo].&amp;["&amp;TEXT(BD$6,"yyyymm")&amp;"]"),
0)/1000</f>
        <v>0</v>
      </c>
      <c r="BE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"[BASE_HIPO_PPTO].[Periodo]","[BASE_HIPO_PPTO].[Periodo].&amp;["&amp;TEXT(BE$6,"yyyymm")&amp;"]"),
0)/1000</f>
        <v>0</v>
      </c>
      <c r="BF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"[BASE_HIPO_PPTO].[Periodo]","[BASE_HIPO_PPTO].[Periodo].&amp;["&amp;TEXT(BF$6,"yyyymm")&amp;"]"),
0)/1000</f>
        <v>0</v>
      </c>
      <c r="BG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"[BASE_HIPO_PPTO].[Periodo]","[BASE_HIPO_PPTO].[Periodo].&amp;["&amp;TEXT(BG$6,"yyyymm")&amp;"]"),
0)/1000</f>
        <v>0</v>
      </c>
      <c r="BH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"[BASE_HIPO_PPTO].[Periodo]","[BASE_HIPO_PPTO].[Periodo].&amp;["&amp;TEXT(BH$6,"yyyymm")&amp;"]"),
0)/1000</f>
        <v>0</v>
      </c>
      <c r="BI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"[BASE_HIPO_PPTO].[Periodo]","[BASE_HIPO_PPTO].[Periodo].&amp;["&amp;TEXT(BI$6,"yyyymm")&amp;"]"),
0)/1000</f>
        <v>0</v>
      </c>
      <c r="BJ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"[BASE_HIPO_PPTO].[Periodo]","[BASE_HIPO_PPTO].[Periodo].&amp;["&amp;TEXT(BJ$6,"yyyymm")&amp;"]"),
0)/1000</f>
        <v>0</v>
      </c>
      <c r="BK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"[BASE_HIPO_PPTO].[Periodo]","[BASE_HIPO_PPTO].[Periodo].&amp;["&amp;TEXT(BK$6,"yyyymm")&amp;"]"),
0)/1000</f>
        <v>0</v>
      </c>
      <c r="BO74" s="24">
        <f t="shared" si="150"/>
        <v>0</v>
      </c>
      <c r="BP74" s="24">
        <f t="shared" si="150"/>
        <v>0</v>
      </c>
      <c r="BQ74" s="24">
        <f t="shared" si="150"/>
        <v>0</v>
      </c>
      <c r="BR74" s="24">
        <f t="shared" si="150"/>
        <v>0</v>
      </c>
      <c r="BS74" s="24">
        <f t="shared" si="150"/>
        <v>0</v>
      </c>
      <c r="BT74" s="24">
        <f t="shared" si="150"/>
        <v>0</v>
      </c>
    </row>
    <row r="75" spans="1:72" hidden="1" outlineLevel="1" x14ac:dyDescent="0.25">
      <c r="A75" s="11" t="s">
        <v>71</v>
      </c>
      <c r="C75" s="2"/>
      <c r="D75" s="8">
        <f>IFERROR(
GETPIVOTDATA(
"[Base].[Importe]",
TDinamica_R!$A$5,
"[Calendario].[AñoMes]",
"[Calendario].[AñoMes].&amp;[" &amp; TEXT(D$6,"yyyymm")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E75" s="8">
        <f>IFERROR(
GETPIVOTDATA(
"[Base].[Importe]",
TDinamica_R!$A$5,
"[Calendario].[AñoMes]",
"[Calendario].[AñoMes].&amp;[" &amp; TEXT(E$6,"yyyymm")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F75" s="8">
        <f>IFERROR(
GETPIVOTDATA(
"[Base].[Importe]",
TDinamica_R!$A$5,
"[Calendario].[AñoMes]",
"[Calendario].[AñoMes].&amp;[" &amp; TEXT(F$6,"yyyymm")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G75" s="8">
        <f>IFERROR(
GETPIVOTDATA(
"[Base].[Importe]",
TDinamica_R!$A$5,
"[Calendario].[AñoMes]",
"[Calendario].[AñoMes].&amp;[" &amp; TEXT(G$6,"yyyymm")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H75" s="8">
        <f>IFERROR(
GETPIVOTDATA(
"[Base].[Importe]",
TDinamica_R!$A$5,
"[Calendario].[AñoMes]",
"[Calendario].[AñoMes].&amp;[" &amp; TEXT(H$6,"yyyymm")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I75" s="8">
        <f>IFERROR(
GETPIVOTDATA(
"[Base].[Importe]",
TDinamica_R!$A$5,
"[Calendario].[AñoMes]",
"[Calendario].[AñoMes].&amp;[" &amp; TEXT(I$6,"yyyymm")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J75" s="8">
        <f>IFERROR(
GETPIVOTDATA(
"[Base].[Importe]",
TDinamica_R!$A$5,
"[Calendario].[AñoMes]",
"[Calendario].[AñoMes].&amp;[" &amp; TEXT(J$6,"yyyymm")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K75" s="8">
        <f>IFERROR(
GETPIVOTDATA(
"[Base].[Importe]",
TDinamica_R!$A$5,
"[Calendario].[AñoMes]",
"[Calendario].[AñoMes].&amp;[" &amp; TEXT(K$6,"yyyymm")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L75" s="8">
        <f>IFERROR(
GETPIVOTDATA(
"[Base].[Importe]",
TDinamica_R!$A$5,
"[Calendario].[AñoMes]",
"[Calendario].[AñoMes].&amp;[" &amp; TEXT(L$6,"yyyymm")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M75" s="8">
        <f>IFERROR(
GETPIVOTDATA(
"[Base].[Importe]",
TDinamica_R!$A$5,
"[Calendario].[AñoMes]",
"[Calendario].[AñoMes].&amp;[" &amp; TEXT(M$6,"yyyymm")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N75" s="8">
        <f>IFERROR(
GETPIVOTDATA(
"[Base].[Importe]",
TDinamica_R!$A$5,
"[Calendario].[AñoMes]",
"[Calendario].[AñoMes].&amp;[" &amp; TEXT(N$6,"yyyymm")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O75" s="8">
        <f>IFERROR(
GETPIVOTDATA(
"[Base].[Importe]",
TDinamica_R!$A$5,
"[Calendario].[AñoMes]",
"[Calendario].[AñoMes].&amp;[" &amp; TEXT(O$6,"yyyymm")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P75" s="8">
        <f>IFERROR(
GETPIVOTDATA(
"[Base].[Importe]",
TDinamica_R!$A$5,
"[Calendario].[AñoMes]",
"[Calendario].[AñoMes].&amp;[" &amp; TEXT(P$6,"yyyymm")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Q75" s="8">
        <f>IFERROR(
GETPIVOTDATA(
"[Base].[Importe]",
TDinamica_R!$A$5,
"[Calendario].[AñoMes]",
"[Calendario].[AñoMes].&amp;[" &amp; TEXT(Q$6,"yyyymm")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R75" s="8">
        <f>IFERROR(
GETPIVOTDATA(
"[Base].[Importe]",
TDinamica_R!$A$5,
"[Calendario].[AñoMes]",
"[Calendario].[AñoMes].&amp;[" &amp; TEXT(R$6,"yyyymm")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S75" s="8">
        <f>IFERROR(
GETPIVOTDATA(
"[Base].[Importe]",
TDinamica_R!$A$5,
"[Calendario].[AñoMes]",
"[Calendario].[AñoMes].&amp;[" &amp; TEXT(S$6,"yyyymm")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T75" s="8">
        <f>IFERROR(
GETPIVOTDATA(
"[Base].[Importe]",
TDinamica_R!$A$5,
"[Calendario].[AñoMes]",
"[Calendario].[AñoMes].&amp;[" &amp; TEXT(T$6,"yyyymm")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U75" s="8">
        <f>IFERROR(
GETPIVOTDATA(
"[Base].[Importe]",
TDinamica_R!$A$5,
"[Calendario].[AñoMes]",
"[Calendario].[AñoMes].&amp;[" &amp; TEXT(U$6,"yyyymm")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V75" s="8">
        <f>IFERROR(
GETPIVOTDATA(
"[Base].[Importe]",
TDinamica_R!$A$5,
"[Calendario].[AñoMes]",
"[Calendario].[AñoMes].&amp;[" &amp; TEXT(V$6,"yyyymm")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W75" s="8">
        <f>IFERROR(
GETPIVOTDATA(
"[Base].[Importe]",
TDinamica_R!$A$5,
"[Calendario].[AñoMes]",
"[Calendario].[AñoMes].&amp;[" &amp; TEXT(W$6,"yyyymm")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X75" s="8">
        <f>IFERROR(
GETPIVOTDATA(
"[Base].[Importe]",
TDinamica_R!$A$5,
"[Calendario].[AñoMes]",
"[Calendario].[AñoMes].&amp;[" &amp; TEXT(X$6,"yyyymm")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Y75" s="8">
        <f>IFERROR(
GETPIVOTDATA(
"[Base].[Importe]",
TDinamica_R!$A$5,
"[Calendario].[AñoMes]",
"[Calendario].[AñoMes].&amp;[" &amp; TEXT(Y$6,"yyyymm")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Z75" s="8">
        <f>IFERROR(
GETPIVOTDATA(
"[Base].[Importe]",
TDinamica_R!$A$5,
"[Calendario].[AñoMes]",
"[Calendario].[AñoMes].&amp;[" &amp; TEXT(Z$6,"yyyymm")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A75" s="8">
        <f>IFERROR(
GETPIVOTDATA(
"[Base].[Importe]",
TDinamica_R!$A$5,
"[Calendario].[AñoMes]",
"[Calendario].[AñoMes].&amp;[" &amp; TEXT(AA$6,"yyyymm")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B75" s="8">
        <f>IFERROR(
GETPIVOTDATA(
"[Base].[Importe]",
TDinamica_R!$A$5,
"[Calendario].[AñoMes]",
"[Calendario].[AñoMes].&amp;[" &amp; TEXT(AB$6,"yyyymm")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C75" s="8">
        <f>IFERROR(
GETPIVOTDATA(
"[Base].[Importe]",
TDinamica_R!$A$5,
"[Calendario].[AñoMes]",
"[Calendario].[AñoMes].&amp;[" &amp; TEXT(AC$6,"yyyymm")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D75" s="8">
        <f>IFERROR(
GETPIVOTDATA(
"[Base].[Importe]",
TDinamica_R!$A$5,
"[Calendario].[AñoMes]",
"[Calendario].[AñoMes].&amp;[" &amp; TEXT(AD$6,"yyyymm")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E75" s="8">
        <f>IFERROR(
GETPIVOTDATA(
"[Base].[Importe]",
TDinamica_R!$A$5,
"[Calendario].[AñoMes]",
"[Calendario].[AñoMes].&amp;[" &amp; TEXT(AE$6,"yyyymm")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F75" s="8">
        <f>IFERROR(
GETPIVOTDATA(
"[Base].[Importe]",
TDinamica_R!$A$5,
"[Calendario].[AñoMes]",
"[Calendario].[AñoMes].&amp;[" &amp; TEXT(AF$6,"yyyymm")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G75" s="8">
        <f>IFERROR(
GETPIVOTDATA(
"[Base].[Importe]",
TDinamica_R!$A$5,
"[Calendario].[AñoMes]",
"[Calendario].[AñoMes].&amp;[" &amp; TEXT(AG$6,"yyyymm")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H75" s="8">
        <f>IFERROR(
GETPIVOTDATA(
"[Base].[Importe]",
TDinamica_R!$A$5,
"[Calendario].[AñoMes]",
"[Calendario].[AñoMes].&amp;[" &amp; TEXT(AH$6,"yyyymm")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I75" s="8">
        <f>IFERROR(
GETPIVOTDATA(
"[Base].[Importe]",
TDinamica_R!$A$5,
"[Calendario].[AñoMes]",
"[Calendario].[AñoMes].&amp;[" &amp; TEXT(AI$6,"yyyymm")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J75" s="8">
        <f>IFERROR(
GETPIVOTDATA(
"[Base].[Importe]",
TDinamica_R!$A$5,
"[Calendario].[AñoMes]",
"[Calendario].[AñoMes].&amp;[" &amp; TEXT(AJ$6,"yyyymm")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K75" s="8">
        <f>IFERROR(
GETPIVOTDATA(
"[Base].[Importe]",
TDinamica_R!$A$5,
"[Calendario].[AñoMes]",
"[Calendario].[AñoMes].&amp;[" &amp; TEXT(AK$6,"yyyymm")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L75" s="8">
        <f>IFERROR(
GETPIVOTDATA(
"[Base].[Importe]",
TDinamica_R!$A$5,
"[Calendario].[AñoMes]",
"[Calendario].[AñoMes].&amp;[" &amp; TEXT(AL$6,"yyyymm")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M75" s="8">
        <f>IFERROR(
GETPIVOTDATA(
"[Base].[Importe]",
TDinamica_R!$A$5,
"[Calendario].[AñoMes]",
"[Calendario].[AñoMes].&amp;[" &amp; TEXT(AM$6,"yyyymm")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N75" s="8">
        <f>IFERROR(
GETPIVOTDATA(
"[Base].[Importe]",
TDinamica_R!$A$5,
"[Calendario].[AñoMes]",
"[Calendario].[AñoMes].&amp;[" &amp; TEXT(AN$6,"yyyymm")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O75" s="8">
        <f>IFERROR(
GETPIVOTDATA(
"[Base].[Importe]",
TDinamica_R!$A$5,
"[Calendario].[AñoMes]",
"[Calendario].[AñoMes].&amp;[" &amp; TEXT(AO$6,"yyyymm")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P75" s="8">
        <f>IFERROR(
GETPIVOTDATA(
"[Base].[Importe]",
TDinamica_R!$A$5,
"[Calendario].[AñoMes]",
"[Calendario].[AñoMes].&amp;[" &amp; TEXT(AP$6,"yyyymm")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Q75" s="8">
        <f>IFERROR(
GETPIVOTDATA(
"[Base].[Importe]",
TDinamica_R!$A$5,
"[Calendario].[AñoMes]",
"[Calendario].[AñoMes].&amp;[" &amp; TEXT(AQ$6,"yyyymm")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R75" s="8">
        <f>IFERROR(
GETPIVOTDATA(
"[Base].[Importe]",
TDinamica_R!$A$5,
"[Calendario].[AñoMes]",
"[Calendario].[AñoMes].&amp;[" &amp; TEXT(AR$6,"yyyymm")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S75" s="8">
        <f>IFERROR(
GETPIVOTDATA(
"[Base].[Importe]",
TDinamica_R!$A$5,
"[Calendario].[AñoMes]",
"[Calendario].[AñoMes].&amp;[" &amp; TEXT(AS$6,"yyyymm")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T75" s="8">
        <f>IFERROR(
GETPIVOTDATA(
"[Base].[Importe]",
TDinamica_R!$A$5,
"[Calendario].[AñoMes]",
"[Calendario].[AñoMes].&amp;[" &amp; TEXT(AT$6,"yyyymm")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U75" s="8">
        <f>IFERROR(
GETPIVOTDATA(
"[Base].[Importe]",
TDinamica_R!$A$5,
"[Calendario].[AñoMes]",
"[Calendario].[AñoMes].&amp;[" &amp; TEXT(AU$6,"yyyymm")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V75" s="8">
        <f>IFERROR(
GETPIVOTDATA(
"[Base].[Importe]",
TDinamica_R!$A$5,
"[Calendario].[AñoMes]",
"[Calendario].[AñoMes].&amp;[" &amp; TEXT(AV$6,"yyyymm")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W75" s="8">
        <f>IFERROR(
GETPIVOTDATA(
"[Base].[Importe]",
TDinamica_R!$A$5,
"[Calendario].[AñoMes]",
"[Calendario].[AñoMes].&amp;[" &amp; TEXT(AW$6,"yyyymm")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X75" s="8">
        <f>IFERROR(
GETPIVOTDATA(
"[Base].[Importe]",
TDinamica_R!$A$5,
"[Calendario].[AñoMes]",
"[Calendario].[AñoMes].&amp;[" &amp; TEXT(AX$6,"yyyymm")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Y75" s="8">
        <f>IFERROR(
GETPIVOTDATA(
"[Base].[Importe]",
TDinamica_R!$A$5,
"[Calendario].[AñoMes]",
"[Calendario].[AñoMes].&amp;[" &amp; TEXT(AY$6,"yyyymm")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Z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"[BASE_HIPO_PPTO].[Periodo]","[BASE_HIPO_PPTO].[Periodo].&amp;["&amp;TEXT(AZ$6,"yyyymm")&amp;"]"),
0)/1000</f>
        <v>0</v>
      </c>
      <c r="BA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"[BASE_HIPO_PPTO].[Periodo]","[BASE_HIPO_PPTO].[Periodo].&amp;["&amp;TEXT(BA$6,"yyyymm")&amp;"]"),
0)/1000</f>
        <v>0</v>
      </c>
      <c r="BB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"[BASE_HIPO_PPTO].[Periodo]","[BASE_HIPO_PPTO].[Periodo].&amp;["&amp;TEXT(BB$6,"yyyymm")&amp;"]"),
0)/1000</f>
        <v>0</v>
      </c>
      <c r="BC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"[BASE_HIPO_PPTO].[Periodo]","[BASE_HIPO_PPTO].[Periodo].&amp;["&amp;TEXT(BC$6,"yyyymm")&amp;"]"),
0)/1000</f>
        <v>0</v>
      </c>
      <c r="BD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"[BASE_HIPO_PPTO].[Periodo]","[BASE_HIPO_PPTO].[Periodo].&amp;["&amp;TEXT(BD$6,"yyyymm")&amp;"]"),
0)/1000</f>
        <v>0</v>
      </c>
      <c r="BE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"[BASE_HIPO_PPTO].[Periodo]","[BASE_HIPO_PPTO].[Periodo].&amp;["&amp;TEXT(BE$6,"yyyymm")&amp;"]"),
0)/1000</f>
        <v>0</v>
      </c>
      <c r="BF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"[BASE_HIPO_PPTO].[Periodo]","[BASE_HIPO_PPTO].[Periodo].&amp;["&amp;TEXT(BF$6,"yyyymm")&amp;"]"),
0)/1000</f>
        <v>0</v>
      </c>
      <c r="BG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"[BASE_HIPO_PPTO].[Periodo]","[BASE_HIPO_PPTO].[Periodo].&amp;["&amp;TEXT(BG$6,"yyyymm")&amp;"]"),
0)/1000</f>
        <v>0</v>
      </c>
      <c r="BH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"[BASE_HIPO_PPTO].[Periodo]","[BASE_HIPO_PPTO].[Periodo].&amp;["&amp;TEXT(BH$6,"yyyymm")&amp;"]"),
0)/1000</f>
        <v>0</v>
      </c>
      <c r="BI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"[BASE_HIPO_PPTO].[Periodo]","[BASE_HIPO_PPTO].[Periodo].&amp;["&amp;TEXT(BI$6,"yyyymm")&amp;"]"),
0)/1000</f>
        <v>0</v>
      </c>
      <c r="BJ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"[BASE_HIPO_PPTO].[Periodo]","[BASE_HIPO_PPTO].[Periodo].&amp;["&amp;TEXT(BJ$6,"yyyymm")&amp;"]"),
0)/1000</f>
        <v>0</v>
      </c>
      <c r="BK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"[BASE_HIPO_PPTO].[Periodo]","[BASE_HIPO_PPTO].[Periodo].&amp;["&amp;TEXT(BK$6,"yyyymm")&amp;"]"),
0)/1000</f>
        <v>0</v>
      </c>
      <c r="BO75" s="24">
        <f t="shared" si="150"/>
        <v>0</v>
      </c>
      <c r="BP75" s="24">
        <f t="shared" si="150"/>
        <v>0</v>
      </c>
      <c r="BQ75" s="24">
        <f t="shared" si="150"/>
        <v>0</v>
      </c>
      <c r="BR75" s="24">
        <f t="shared" si="150"/>
        <v>0</v>
      </c>
      <c r="BS75" s="24">
        <f t="shared" si="150"/>
        <v>0</v>
      </c>
      <c r="BT75" s="24">
        <f t="shared" si="150"/>
        <v>0</v>
      </c>
    </row>
    <row r="76" spans="1:72" hidden="1" outlineLevel="1" x14ac:dyDescent="0.25">
      <c r="A76" s="11" t="s">
        <v>71</v>
      </c>
      <c r="C76" s="2"/>
      <c r="D76" s="8">
        <f>IFERROR(
GETPIVOTDATA(
"[Base].[Importe]",
TDinamica_R!$A$5,
"[Calendario].[AñoMes]",
"[Calendario].[AñoMes].&amp;[" &amp; TEXT(D$6,"yyyymm")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E76" s="8">
        <f>IFERROR(
GETPIVOTDATA(
"[Base].[Importe]",
TDinamica_R!$A$5,
"[Calendario].[AñoMes]",
"[Calendario].[AñoMes].&amp;[" &amp; TEXT(E$6,"yyyymm")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F76" s="8">
        <f>IFERROR(
GETPIVOTDATA(
"[Base].[Importe]",
TDinamica_R!$A$5,
"[Calendario].[AñoMes]",
"[Calendario].[AñoMes].&amp;[" &amp; TEXT(F$6,"yyyymm")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G76" s="8">
        <f>IFERROR(
GETPIVOTDATA(
"[Base].[Importe]",
TDinamica_R!$A$5,
"[Calendario].[AñoMes]",
"[Calendario].[AñoMes].&amp;[" &amp; TEXT(G$6,"yyyymm")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H76" s="8">
        <f>IFERROR(
GETPIVOTDATA(
"[Base].[Importe]",
TDinamica_R!$A$5,
"[Calendario].[AñoMes]",
"[Calendario].[AñoMes].&amp;[" &amp; TEXT(H$6,"yyyymm")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I76" s="8">
        <f>IFERROR(
GETPIVOTDATA(
"[Base].[Importe]",
TDinamica_R!$A$5,
"[Calendario].[AñoMes]",
"[Calendario].[AñoMes].&amp;[" &amp; TEXT(I$6,"yyyymm")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J76" s="8">
        <f>IFERROR(
GETPIVOTDATA(
"[Base].[Importe]",
TDinamica_R!$A$5,
"[Calendario].[AñoMes]",
"[Calendario].[AñoMes].&amp;[" &amp; TEXT(J$6,"yyyymm")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K76" s="8">
        <f>IFERROR(
GETPIVOTDATA(
"[Base].[Importe]",
TDinamica_R!$A$5,
"[Calendario].[AñoMes]",
"[Calendario].[AñoMes].&amp;[" &amp; TEXT(K$6,"yyyymm")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L76" s="8">
        <f>IFERROR(
GETPIVOTDATA(
"[Base].[Importe]",
TDinamica_R!$A$5,
"[Calendario].[AñoMes]",
"[Calendario].[AñoMes].&amp;[" &amp; TEXT(L$6,"yyyymm")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M76" s="8">
        <f>IFERROR(
GETPIVOTDATA(
"[Base].[Importe]",
TDinamica_R!$A$5,
"[Calendario].[AñoMes]",
"[Calendario].[AñoMes].&amp;[" &amp; TEXT(M$6,"yyyymm")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N76" s="8">
        <f>IFERROR(
GETPIVOTDATA(
"[Base].[Importe]",
TDinamica_R!$A$5,
"[Calendario].[AñoMes]",
"[Calendario].[AñoMes].&amp;[" &amp; TEXT(N$6,"yyyymm")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O76" s="8">
        <f>IFERROR(
GETPIVOTDATA(
"[Base].[Importe]",
TDinamica_R!$A$5,
"[Calendario].[AñoMes]",
"[Calendario].[AñoMes].&amp;[" &amp; TEXT(O$6,"yyyymm")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P76" s="8">
        <f>IFERROR(
GETPIVOTDATA(
"[Base].[Importe]",
TDinamica_R!$A$5,
"[Calendario].[AñoMes]",
"[Calendario].[AñoMes].&amp;[" &amp; TEXT(P$6,"yyyymm")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Q76" s="8">
        <f>IFERROR(
GETPIVOTDATA(
"[Base].[Importe]",
TDinamica_R!$A$5,
"[Calendario].[AñoMes]",
"[Calendario].[AñoMes].&amp;[" &amp; TEXT(Q$6,"yyyymm")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R76" s="8">
        <f>IFERROR(
GETPIVOTDATA(
"[Base].[Importe]",
TDinamica_R!$A$5,
"[Calendario].[AñoMes]",
"[Calendario].[AñoMes].&amp;[" &amp; TEXT(R$6,"yyyymm")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S76" s="8">
        <f>IFERROR(
GETPIVOTDATA(
"[Base].[Importe]",
TDinamica_R!$A$5,
"[Calendario].[AñoMes]",
"[Calendario].[AñoMes].&amp;[" &amp; TEXT(S$6,"yyyymm")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T76" s="8">
        <f>IFERROR(
GETPIVOTDATA(
"[Base].[Importe]",
TDinamica_R!$A$5,
"[Calendario].[AñoMes]",
"[Calendario].[AñoMes].&amp;[" &amp; TEXT(T$6,"yyyymm")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U76" s="8">
        <f>IFERROR(
GETPIVOTDATA(
"[Base].[Importe]",
TDinamica_R!$A$5,
"[Calendario].[AñoMes]",
"[Calendario].[AñoMes].&amp;[" &amp; TEXT(U$6,"yyyymm")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V76" s="8">
        <f>IFERROR(
GETPIVOTDATA(
"[Base].[Importe]",
TDinamica_R!$A$5,
"[Calendario].[AñoMes]",
"[Calendario].[AñoMes].&amp;[" &amp; TEXT(V$6,"yyyymm")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W76" s="8">
        <f>IFERROR(
GETPIVOTDATA(
"[Base].[Importe]",
TDinamica_R!$A$5,
"[Calendario].[AñoMes]",
"[Calendario].[AñoMes].&amp;[" &amp; TEXT(W$6,"yyyymm")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X76" s="8">
        <f>IFERROR(
GETPIVOTDATA(
"[Base].[Importe]",
TDinamica_R!$A$5,
"[Calendario].[AñoMes]",
"[Calendario].[AñoMes].&amp;[" &amp; TEXT(X$6,"yyyymm")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Y76" s="8">
        <f>IFERROR(
GETPIVOTDATA(
"[Base].[Importe]",
TDinamica_R!$A$5,
"[Calendario].[AñoMes]",
"[Calendario].[AñoMes].&amp;[" &amp; TEXT(Y$6,"yyyymm")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Z76" s="8">
        <f>IFERROR(
GETPIVOTDATA(
"[Base].[Importe]",
TDinamica_R!$A$5,
"[Calendario].[AñoMes]",
"[Calendario].[AñoMes].&amp;[" &amp; TEXT(Z$6,"yyyymm")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A76" s="8">
        <f>IFERROR(
GETPIVOTDATA(
"[Base].[Importe]",
TDinamica_R!$A$5,
"[Calendario].[AñoMes]",
"[Calendario].[AñoMes].&amp;[" &amp; TEXT(AA$6,"yyyymm")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B76" s="8">
        <f>IFERROR(
GETPIVOTDATA(
"[Base].[Importe]",
TDinamica_R!$A$5,
"[Calendario].[AñoMes]",
"[Calendario].[AñoMes].&amp;[" &amp; TEXT(AB$6,"yyyymm")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C76" s="8">
        <f>IFERROR(
GETPIVOTDATA(
"[Base].[Importe]",
TDinamica_R!$A$5,
"[Calendario].[AñoMes]",
"[Calendario].[AñoMes].&amp;[" &amp; TEXT(AC$6,"yyyymm")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D76" s="8">
        <f>IFERROR(
GETPIVOTDATA(
"[Base].[Importe]",
TDinamica_R!$A$5,
"[Calendario].[AñoMes]",
"[Calendario].[AñoMes].&amp;[" &amp; TEXT(AD$6,"yyyymm")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E76" s="8">
        <f>IFERROR(
GETPIVOTDATA(
"[Base].[Importe]",
TDinamica_R!$A$5,
"[Calendario].[AñoMes]",
"[Calendario].[AñoMes].&amp;[" &amp; TEXT(AE$6,"yyyymm")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F76" s="8">
        <f>IFERROR(
GETPIVOTDATA(
"[Base].[Importe]",
TDinamica_R!$A$5,
"[Calendario].[AñoMes]",
"[Calendario].[AñoMes].&amp;[" &amp; TEXT(AF$6,"yyyymm")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G76" s="8">
        <f>IFERROR(
GETPIVOTDATA(
"[Base].[Importe]",
TDinamica_R!$A$5,
"[Calendario].[AñoMes]",
"[Calendario].[AñoMes].&amp;[" &amp; TEXT(AG$6,"yyyymm")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H76" s="8">
        <f>IFERROR(
GETPIVOTDATA(
"[Base].[Importe]",
TDinamica_R!$A$5,
"[Calendario].[AñoMes]",
"[Calendario].[AñoMes].&amp;[" &amp; TEXT(AH$6,"yyyymm")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I76" s="8">
        <f>IFERROR(
GETPIVOTDATA(
"[Base].[Importe]",
TDinamica_R!$A$5,
"[Calendario].[AñoMes]",
"[Calendario].[AñoMes].&amp;[" &amp; TEXT(AI$6,"yyyymm")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J76" s="8">
        <f>IFERROR(
GETPIVOTDATA(
"[Base].[Importe]",
TDinamica_R!$A$5,
"[Calendario].[AñoMes]",
"[Calendario].[AñoMes].&amp;[" &amp; TEXT(AJ$6,"yyyymm")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K76" s="8">
        <f>IFERROR(
GETPIVOTDATA(
"[Base].[Importe]",
TDinamica_R!$A$5,
"[Calendario].[AñoMes]",
"[Calendario].[AñoMes].&amp;[" &amp; TEXT(AK$6,"yyyymm")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L76" s="8">
        <f>IFERROR(
GETPIVOTDATA(
"[Base].[Importe]",
TDinamica_R!$A$5,
"[Calendario].[AñoMes]",
"[Calendario].[AñoMes].&amp;[" &amp; TEXT(AL$6,"yyyymm")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M76" s="8">
        <f>IFERROR(
GETPIVOTDATA(
"[Base].[Importe]",
TDinamica_R!$A$5,
"[Calendario].[AñoMes]",
"[Calendario].[AñoMes].&amp;[" &amp; TEXT(AM$6,"yyyymm")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N76" s="8">
        <f>IFERROR(
GETPIVOTDATA(
"[Base].[Importe]",
TDinamica_R!$A$5,
"[Calendario].[AñoMes]",
"[Calendario].[AñoMes].&amp;[" &amp; TEXT(AN$6,"yyyymm")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O76" s="8">
        <f>IFERROR(
GETPIVOTDATA(
"[Base].[Importe]",
TDinamica_R!$A$5,
"[Calendario].[AñoMes]",
"[Calendario].[AñoMes].&amp;[" &amp; TEXT(AO$6,"yyyymm")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P76" s="8">
        <f>IFERROR(
GETPIVOTDATA(
"[Base].[Importe]",
TDinamica_R!$A$5,
"[Calendario].[AñoMes]",
"[Calendario].[AñoMes].&amp;[" &amp; TEXT(AP$6,"yyyymm")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Q76" s="8">
        <f>IFERROR(
GETPIVOTDATA(
"[Base].[Importe]",
TDinamica_R!$A$5,
"[Calendario].[AñoMes]",
"[Calendario].[AñoMes].&amp;[" &amp; TEXT(AQ$6,"yyyymm")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R76" s="8">
        <f>IFERROR(
GETPIVOTDATA(
"[Base].[Importe]",
TDinamica_R!$A$5,
"[Calendario].[AñoMes]",
"[Calendario].[AñoMes].&amp;[" &amp; TEXT(AR$6,"yyyymm")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S76" s="8">
        <f>IFERROR(
GETPIVOTDATA(
"[Base].[Importe]",
TDinamica_R!$A$5,
"[Calendario].[AñoMes]",
"[Calendario].[AñoMes].&amp;[" &amp; TEXT(AS$6,"yyyymm")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T76" s="8">
        <f>IFERROR(
GETPIVOTDATA(
"[Base].[Importe]",
TDinamica_R!$A$5,
"[Calendario].[AñoMes]",
"[Calendario].[AñoMes].&amp;[" &amp; TEXT(AT$6,"yyyymm")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U76" s="8">
        <f>IFERROR(
GETPIVOTDATA(
"[Base].[Importe]",
TDinamica_R!$A$5,
"[Calendario].[AñoMes]",
"[Calendario].[AñoMes].&amp;[" &amp; TEXT(AU$6,"yyyymm")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V76" s="8">
        <f>IFERROR(
GETPIVOTDATA(
"[Base].[Importe]",
TDinamica_R!$A$5,
"[Calendario].[AñoMes]",
"[Calendario].[AñoMes].&amp;[" &amp; TEXT(AV$6,"yyyymm")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W76" s="8">
        <f>IFERROR(
GETPIVOTDATA(
"[Base].[Importe]",
TDinamica_R!$A$5,
"[Calendario].[AñoMes]",
"[Calendario].[AñoMes].&amp;[" &amp; TEXT(AW$6,"yyyymm")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X76" s="8">
        <f>IFERROR(
GETPIVOTDATA(
"[Base].[Importe]",
TDinamica_R!$A$5,
"[Calendario].[AñoMes]",
"[Calendario].[AñoMes].&amp;[" &amp; TEXT(AX$6,"yyyymm")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Y76" s="8">
        <f>IFERROR(
GETPIVOTDATA(
"[Base].[Importe]",
TDinamica_R!$A$5,
"[Calendario].[AñoMes]",
"[Calendario].[AñoMes].&amp;[" &amp; TEXT(AY$6,"yyyymm")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Z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"[BASE_HIPO_PPTO].[Periodo]","[BASE_HIPO_PPTO].[Periodo].&amp;["&amp;TEXT(AZ$6,"yyyymm")&amp;"]"),
0)/1000</f>
        <v>0</v>
      </c>
      <c r="BA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"[BASE_HIPO_PPTO].[Periodo]","[BASE_HIPO_PPTO].[Periodo].&amp;["&amp;TEXT(BA$6,"yyyymm")&amp;"]"),
0)/1000</f>
        <v>0</v>
      </c>
      <c r="BB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"[BASE_HIPO_PPTO].[Periodo]","[BASE_HIPO_PPTO].[Periodo].&amp;["&amp;TEXT(BB$6,"yyyymm")&amp;"]"),
0)/1000</f>
        <v>0</v>
      </c>
      <c r="BC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"[BASE_HIPO_PPTO].[Periodo]","[BASE_HIPO_PPTO].[Periodo].&amp;["&amp;TEXT(BC$6,"yyyymm")&amp;"]"),
0)/1000</f>
        <v>0</v>
      </c>
      <c r="BD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"[BASE_HIPO_PPTO].[Periodo]","[BASE_HIPO_PPTO].[Periodo].&amp;["&amp;TEXT(BD$6,"yyyymm")&amp;"]"),
0)/1000</f>
        <v>0</v>
      </c>
      <c r="BE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"[BASE_HIPO_PPTO].[Periodo]","[BASE_HIPO_PPTO].[Periodo].&amp;["&amp;TEXT(BE$6,"yyyymm")&amp;"]"),
0)/1000</f>
        <v>0</v>
      </c>
      <c r="BF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"[BASE_HIPO_PPTO].[Periodo]","[BASE_HIPO_PPTO].[Periodo].&amp;["&amp;TEXT(BF$6,"yyyymm")&amp;"]"),
0)/1000</f>
        <v>0</v>
      </c>
      <c r="BG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"[BASE_HIPO_PPTO].[Periodo]","[BASE_HIPO_PPTO].[Periodo].&amp;["&amp;TEXT(BG$6,"yyyymm")&amp;"]"),
0)/1000</f>
        <v>0</v>
      </c>
      <c r="BH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"[BASE_HIPO_PPTO].[Periodo]","[BASE_HIPO_PPTO].[Periodo].&amp;["&amp;TEXT(BH$6,"yyyymm")&amp;"]"),
0)/1000</f>
        <v>0</v>
      </c>
      <c r="BI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"[BASE_HIPO_PPTO].[Periodo]","[BASE_HIPO_PPTO].[Periodo].&amp;["&amp;TEXT(BI$6,"yyyymm")&amp;"]"),
0)/1000</f>
        <v>0</v>
      </c>
      <c r="BJ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"[BASE_HIPO_PPTO].[Periodo]","[BASE_HIPO_PPTO].[Periodo].&amp;["&amp;TEXT(BJ$6,"yyyymm")&amp;"]"),
0)/1000</f>
        <v>0</v>
      </c>
      <c r="BK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"[BASE_HIPO_PPTO].[Periodo]","[BASE_HIPO_PPTO].[Periodo].&amp;["&amp;TEXT(BK$6,"yyyymm")&amp;"]"),
0)/1000</f>
        <v>0</v>
      </c>
      <c r="BO76" s="24">
        <f t="shared" si="150"/>
        <v>0</v>
      </c>
      <c r="BP76" s="24">
        <f t="shared" si="150"/>
        <v>0</v>
      </c>
      <c r="BQ76" s="24">
        <f t="shared" si="150"/>
        <v>0</v>
      </c>
      <c r="BR76" s="24">
        <f t="shared" si="150"/>
        <v>0</v>
      </c>
      <c r="BS76" s="24">
        <f t="shared" si="150"/>
        <v>0</v>
      </c>
      <c r="BT76" s="24">
        <f t="shared" si="150"/>
        <v>0</v>
      </c>
    </row>
    <row r="77" spans="1:72" hidden="1" outlineLevel="1" x14ac:dyDescent="0.25">
      <c r="A77" s="11" t="s">
        <v>71</v>
      </c>
      <c r="C77" s="2"/>
      <c r="D77" s="8">
        <f>IFERROR(
GETPIVOTDATA(
"[Base].[Importe]",
TDinamica_R!$A$5,
"[Calendario].[AñoMes]",
"[Calendario].[AñoMes].&amp;[" &amp; TEXT(D$6,"yyyymm")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E77" s="8">
        <f>IFERROR(
GETPIVOTDATA(
"[Base].[Importe]",
TDinamica_R!$A$5,
"[Calendario].[AñoMes]",
"[Calendario].[AñoMes].&amp;[" &amp; TEXT(E$6,"yyyymm")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F77" s="8">
        <f>IFERROR(
GETPIVOTDATA(
"[Base].[Importe]",
TDinamica_R!$A$5,
"[Calendario].[AñoMes]",
"[Calendario].[AñoMes].&amp;[" &amp; TEXT(F$6,"yyyymm")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G77" s="8">
        <f>IFERROR(
GETPIVOTDATA(
"[Base].[Importe]",
TDinamica_R!$A$5,
"[Calendario].[AñoMes]",
"[Calendario].[AñoMes].&amp;[" &amp; TEXT(G$6,"yyyymm")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H77" s="8">
        <f>IFERROR(
GETPIVOTDATA(
"[Base].[Importe]",
TDinamica_R!$A$5,
"[Calendario].[AñoMes]",
"[Calendario].[AñoMes].&amp;[" &amp; TEXT(H$6,"yyyymm")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I77" s="8">
        <f>IFERROR(
GETPIVOTDATA(
"[Base].[Importe]",
TDinamica_R!$A$5,
"[Calendario].[AñoMes]",
"[Calendario].[AñoMes].&amp;[" &amp; TEXT(I$6,"yyyymm")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J77" s="8">
        <f>IFERROR(
GETPIVOTDATA(
"[Base].[Importe]",
TDinamica_R!$A$5,
"[Calendario].[AñoMes]",
"[Calendario].[AñoMes].&amp;[" &amp; TEXT(J$6,"yyyymm")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K77" s="8">
        <f>IFERROR(
GETPIVOTDATA(
"[Base].[Importe]",
TDinamica_R!$A$5,
"[Calendario].[AñoMes]",
"[Calendario].[AñoMes].&amp;[" &amp; TEXT(K$6,"yyyymm")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L77" s="8">
        <f>IFERROR(
GETPIVOTDATA(
"[Base].[Importe]",
TDinamica_R!$A$5,
"[Calendario].[AñoMes]",
"[Calendario].[AñoMes].&amp;[" &amp; TEXT(L$6,"yyyymm")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M77" s="8">
        <f>IFERROR(
GETPIVOTDATA(
"[Base].[Importe]",
TDinamica_R!$A$5,
"[Calendario].[AñoMes]",
"[Calendario].[AñoMes].&amp;[" &amp; TEXT(M$6,"yyyymm")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N77" s="8">
        <f>IFERROR(
GETPIVOTDATA(
"[Base].[Importe]",
TDinamica_R!$A$5,
"[Calendario].[AñoMes]",
"[Calendario].[AñoMes].&amp;[" &amp; TEXT(N$6,"yyyymm")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O77" s="8">
        <f>IFERROR(
GETPIVOTDATA(
"[Base].[Importe]",
TDinamica_R!$A$5,
"[Calendario].[AñoMes]",
"[Calendario].[AñoMes].&amp;[" &amp; TEXT(O$6,"yyyymm")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P77" s="8">
        <f>IFERROR(
GETPIVOTDATA(
"[Base].[Importe]",
TDinamica_R!$A$5,
"[Calendario].[AñoMes]",
"[Calendario].[AñoMes].&amp;[" &amp; TEXT(P$6,"yyyymm")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Q77" s="8">
        <f>IFERROR(
GETPIVOTDATA(
"[Base].[Importe]",
TDinamica_R!$A$5,
"[Calendario].[AñoMes]",
"[Calendario].[AñoMes].&amp;[" &amp; TEXT(Q$6,"yyyymm")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R77" s="8">
        <f>IFERROR(
GETPIVOTDATA(
"[Base].[Importe]",
TDinamica_R!$A$5,
"[Calendario].[AñoMes]",
"[Calendario].[AñoMes].&amp;[" &amp; TEXT(R$6,"yyyymm")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S77" s="8">
        <f>IFERROR(
GETPIVOTDATA(
"[Base].[Importe]",
TDinamica_R!$A$5,
"[Calendario].[AñoMes]",
"[Calendario].[AñoMes].&amp;[" &amp; TEXT(S$6,"yyyymm")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T77" s="8">
        <f>IFERROR(
GETPIVOTDATA(
"[Base].[Importe]",
TDinamica_R!$A$5,
"[Calendario].[AñoMes]",
"[Calendario].[AñoMes].&amp;[" &amp; TEXT(T$6,"yyyymm")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U77" s="8">
        <f>IFERROR(
GETPIVOTDATA(
"[Base].[Importe]",
TDinamica_R!$A$5,
"[Calendario].[AñoMes]",
"[Calendario].[AñoMes].&amp;[" &amp; TEXT(U$6,"yyyymm")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V77" s="8">
        <f>IFERROR(
GETPIVOTDATA(
"[Base].[Importe]",
TDinamica_R!$A$5,
"[Calendario].[AñoMes]",
"[Calendario].[AñoMes].&amp;[" &amp; TEXT(V$6,"yyyymm")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W77" s="8">
        <f>IFERROR(
GETPIVOTDATA(
"[Base].[Importe]",
TDinamica_R!$A$5,
"[Calendario].[AñoMes]",
"[Calendario].[AñoMes].&amp;[" &amp; TEXT(W$6,"yyyymm")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X77" s="8">
        <f>IFERROR(
GETPIVOTDATA(
"[Base].[Importe]",
TDinamica_R!$A$5,
"[Calendario].[AñoMes]",
"[Calendario].[AñoMes].&amp;[" &amp; TEXT(X$6,"yyyymm")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Y77" s="8">
        <f>IFERROR(
GETPIVOTDATA(
"[Base].[Importe]",
TDinamica_R!$A$5,
"[Calendario].[AñoMes]",
"[Calendario].[AñoMes].&amp;[" &amp; TEXT(Y$6,"yyyymm")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Z77" s="8">
        <f>IFERROR(
GETPIVOTDATA(
"[Base].[Importe]",
TDinamica_R!$A$5,
"[Calendario].[AñoMes]",
"[Calendario].[AñoMes].&amp;[" &amp; TEXT(Z$6,"yyyymm")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A77" s="8">
        <f>IFERROR(
GETPIVOTDATA(
"[Base].[Importe]",
TDinamica_R!$A$5,
"[Calendario].[AñoMes]",
"[Calendario].[AñoMes].&amp;[" &amp; TEXT(AA$6,"yyyymm")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B77" s="8">
        <f>IFERROR(
GETPIVOTDATA(
"[Base].[Importe]",
TDinamica_R!$A$5,
"[Calendario].[AñoMes]",
"[Calendario].[AñoMes].&amp;[" &amp; TEXT(AB$6,"yyyymm")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C77" s="8">
        <f>IFERROR(
GETPIVOTDATA(
"[Base].[Importe]",
TDinamica_R!$A$5,
"[Calendario].[AñoMes]",
"[Calendario].[AñoMes].&amp;[" &amp; TEXT(AC$6,"yyyymm")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D77" s="8">
        <f>IFERROR(
GETPIVOTDATA(
"[Base].[Importe]",
TDinamica_R!$A$5,
"[Calendario].[AñoMes]",
"[Calendario].[AñoMes].&amp;[" &amp; TEXT(AD$6,"yyyymm")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E77" s="8">
        <f>IFERROR(
GETPIVOTDATA(
"[Base].[Importe]",
TDinamica_R!$A$5,
"[Calendario].[AñoMes]",
"[Calendario].[AñoMes].&amp;[" &amp; TEXT(AE$6,"yyyymm")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F77" s="8">
        <f>IFERROR(
GETPIVOTDATA(
"[Base].[Importe]",
TDinamica_R!$A$5,
"[Calendario].[AñoMes]",
"[Calendario].[AñoMes].&amp;[" &amp; TEXT(AF$6,"yyyymm")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G77" s="8">
        <f>IFERROR(
GETPIVOTDATA(
"[Base].[Importe]",
TDinamica_R!$A$5,
"[Calendario].[AñoMes]",
"[Calendario].[AñoMes].&amp;[" &amp; TEXT(AG$6,"yyyymm")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H77" s="8">
        <f>IFERROR(
GETPIVOTDATA(
"[Base].[Importe]",
TDinamica_R!$A$5,
"[Calendario].[AñoMes]",
"[Calendario].[AñoMes].&amp;[" &amp; TEXT(AH$6,"yyyymm")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I77" s="8">
        <f>IFERROR(
GETPIVOTDATA(
"[Base].[Importe]",
TDinamica_R!$A$5,
"[Calendario].[AñoMes]",
"[Calendario].[AñoMes].&amp;[" &amp; TEXT(AI$6,"yyyymm")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J77" s="8">
        <f>IFERROR(
GETPIVOTDATA(
"[Base].[Importe]",
TDinamica_R!$A$5,
"[Calendario].[AñoMes]",
"[Calendario].[AñoMes].&amp;[" &amp; TEXT(AJ$6,"yyyymm")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K77" s="8">
        <f>IFERROR(
GETPIVOTDATA(
"[Base].[Importe]",
TDinamica_R!$A$5,
"[Calendario].[AñoMes]",
"[Calendario].[AñoMes].&amp;[" &amp; TEXT(AK$6,"yyyymm")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L77" s="8">
        <f>IFERROR(
GETPIVOTDATA(
"[Base].[Importe]",
TDinamica_R!$A$5,
"[Calendario].[AñoMes]",
"[Calendario].[AñoMes].&amp;[" &amp; TEXT(AL$6,"yyyymm")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M77" s="8">
        <f>IFERROR(
GETPIVOTDATA(
"[Base].[Importe]",
TDinamica_R!$A$5,
"[Calendario].[AñoMes]",
"[Calendario].[AñoMes].&amp;[" &amp; TEXT(AM$6,"yyyymm")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N77" s="8">
        <f>IFERROR(
GETPIVOTDATA(
"[Base].[Importe]",
TDinamica_R!$A$5,
"[Calendario].[AñoMes]",
"[Calendario].[AñoMes].&amp;[" &amp; TEXT(AN$6,"yyyymm")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O77" s="8">
        <f>IFERROR(
GETPIVOTDATA(
"[Base].[Importe]",
TDinamica_R!$A$5,
"[Calendario].[AñoMes]",
"[Calendario].[AñoMes].&amp;[" &amp; TEXT(AO$6,"yyyymm")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P77" s="8">
        <f>IFERROR(
GETPIVOTDATA(
"[Base].[Importe]",
TDinamica_R!$A$5,
"[Calendario].[AñoMes]",
"[Calendario].[AñoMes].&amp;[" &amp; TEXT(AP$6,"yyyymm")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Q77" s="8">
        <f>IFERROR(
GETPIVOTDATA(
"[Base].[Importe]",
TDinamica_R!$A$5,
"[Calendario].[AñoMes]",
"[Calendario].[AñoMes].&amp;[" &amp; TEXT(AQ$6,"yyyymm")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R77" s="8">
        <f>IFERROR(
GETPIVOTDATA(
"[Base].[Importe]",
TDinamica_R!$A$5,
"[Calendario].[AñoMes]",
"[Calendario].[AñoMes].&amp;[" &amp; TEXT(AR$6,"yyyymm")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S77" s="8">
        <f>IFERROR(
GETPIVOTDATA(
"[Base].[Importe]",
TDinamica_R!$A$5,
"[Calendario].[AñoMes]",
"[Calendario].[AñoMes].&amp;[" &amp; TEXT(AS$6,"yyyymm")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T77" s="8">
        <f>IFERROR(
GETPIVOTDATA(
"[Base].[Importe]",
TDinamica_R!$A$5,
"[Calendario].[AñoMes]",
"[Calendario].[AñoMes].&amp;[" &amp; TEXT(AT$6,"yyyymm")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U77" s="8">
        <f>IFERROR(
GETPIVOTDATA(
"[Base].[Importe]",
TDinamica_R!$A$5,
"[Calendario].[AñoMes]",
"[Calendario].[AñoMes].&amp;[" &amp; TEXT(AU$6,"yyyymm")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V77" s="8">
        <f>IFERROR(
GETPIVOTDATA(
"[Base].[Importe]",
TDinamica_R!$A$5,
"[Calendario].[AñoMes]",
"[Calendario].[AñoMes].&amp;[" &amp; TEXT(AV$6,"yyyymm")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W77" s="8">
        <f>IFERROR(
GETPIVOTDATA(
"[Base].[Importe]",
TDinamica_R!$A$5,
"[Calendario].[AñoMes]",
"[Calendario].[AñoMes].&amp;[" &amp; TEXT(AW$6,"yyyymm")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X77" s="8">
        <f>IFERROR(
GETPIVOTDATA(
"[Base].[Importe]",
TDinamica_R!$A$5,
"[Calendario].[AñoMes]",
"[Calendario].[AñoMes].&amp;[" &amp; TEXT(AX$6,"yyyymm")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Y77" s="8">
        <f>IFERROR(
GETPIVOTDATA(
"[Base].[Importe]",
TDinamica_R!$A$5,
"[Calendario].[AñoMes]",
"[Calendario].[AñoMes].&amp;[" &amp; TEXT(AY$6,"yyyymm")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Z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"[BASE_HIPO_PPTO].[Periodo]","[BASE_HIPO_PPTO].[Periodo].&amp;["&amp;TEXT(AZ$6,"yyyymm")&amp;"]"),
0)/1000</f>
        <v>0</v>
      </c>
      <c r="BA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"[BASE_HIPO_PPTO].[Periodo]","[BASE_HIPO_PPTO].[Periodo].&amp;["&amp;TEXT(BA$6,"yyyymm")&amp;"]"),
0)/1000</f>
        <v>0</v>
      </c>
      <c r="BB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"[BASE_HIPO_PPTO].[Periodo]","[BASE_HIPO_PPTO].[Periodo].&amp;["&amp;TEXT(BB$6,"yyyymm")&amp;"]"),
0)/1000</f>
        <v>0</v>
      </c>
      <c r="BC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"[BASE_HIPO_PPTO].[Periodo]","[BASE_HIPO_PPTO].[Periodo].&amp;["&amp;TEXT(BC$6,"yyyymm")&amp;"]"),
0)/1000</f>
        <v>0</v>
      </c>
      <c r="BD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"[BASE_HIPO_PPTO].[Periodo]","[BASE_HIPO_PPTO].[Periodo].&amp;["&amp;TEXT(BD$6,"yyyymm")&amp;"]"),
0)/1000</f>
        <v>0</v>
      </c>
      <c r="BE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"[BASE_HIPO_PPTO].[Periodo]","[BASE_HIPO_PPTO].[Periodo].&amp;["&amp;TEXT(BE$6,"yyyymm")&amp;"]"),
0)/1000</f>
        <v>0</v>
      </c>
      <c r="BF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"[BASE_HIPO_PPTO].[Periodo]","[BASE_HIPO_PPTO].[Periodo].&amp;["&amp;TEXT(BF$6,"yyyymm")&amp;"]"),
0)/1000</f>
        <v>0</v>
      </c>
      <c r="BG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"[BASE_HIPO_PPTO].[Periodo]","[BASE_HIPO_PPTO].[Periodo].&amp;["&amp;TEXT(BG$6,"yyyymm")&amp;"]"),
0)/1000</f>
        <v>0</v>
      </c>
      <c r="BH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"[BASE_HIPO_PPTO].[Periodo]","[BASE_HIPO_PPTO].[Periodo].&amp;["&amp;TEXT(BH$6,"yyyymm")&amp;"]"),
0)/1000</f>
        <v>0</v>
      </c>
      <c r="BI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"[BASE_HIPO_PPTO].[Periodo]","[BASE_HIPO_PPTO].[Periodo].&amp;["&amp;TEXT(BI$6,"yyyymm")&amp;"]"),
0)/1000</f>
        <v>0</v>
      </c>
      <c r="BJ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"[BASE_HIPO_PPTO].[Periodo]","[BASE_HIPO_PPTO].[Periodo].&amp;["&amp;TEXT(BJ$6,"yyyymm")&amp;"]"),
0)/1000</f>
        <v>0</v>
      </c>
      <c r="BK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"[BASE_HIPO_PPTO].[Periodo]","[BASE_HIPO_PPTO].[Periodo].&amp;["&amp;TEXT(BK$6,"yyyymm")&amp;"]"),
0)/1000</f>
        <v>0</v>
      </c>
      <c r="BO77" s="24">
        <f t="shared" si="150"/>
        <v>0</v>
      </c>
      <c r="BP77" s="24">
        <f t="shared" si="150"/>
        <v>0</v>
      </c>
      <c r="BQ77" s="24">
        <f t="shared" si="150"/>
        <v>0</v>
      </c>
      <c r="BR77" s="24">
        <f t="shared" si="150"/>
        <v>0</v>
      </c>
      <c r="BS77" s="24">
        <f t="shared" si="150"/>
        <v>0</v>
      </c>
      <c r="BT77" s="24">
        <f t="shared" si="150"/>
        <v>0</v>
      </c>
    </row>
    <row r="78" spans="1:72" hidden="1" outlineLevel="1" x14ac:dyDescent="0.25">
      <c r="A78" s="11" t="s">
        <v>71</v>
      </c>
      <c r="C78" s="2"/>
      <c r="D78" s="8">
        <f>IFERROR(
GETPIVOTDATA(
"[Base].[Importe]",
TDinamica_R!$A$5,
"[Calendario].[AñoMes]",
"[Calendario].[AñoMes].&amp;[" &amp; TEXT(D$6,"yyyymm")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E78" s="8">
        <f>IFERROR(
GETPIVOTDATA(
"[Base].[Importe]",
TDinamica_R!$A$5,
"[Calendario].[AñoMes]",
"[Calendario].[AñoMes].&amp;[" &amp; TEXT(E$6,"yyyymm")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F78" s="8">
        <f>IFERROR(
GETPIVOTDATA(
"[Base].[Importe]",
TDinamica_R!$A$5,
"[Calendario].[AñoMes]",
"[Calendario].[AñoMes].&amp;[" &amp; TEXT(F$6,"yyyymm")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G78" s="8">
        <f>IFERROR(
GETPIVOTDATA(
"[Base].[Importe]",
TDinamica_R!$A$5,
"[Calendario].[AñoMes]",
"[Calendario].[AñoMes].&amp;[" &amp; TEXT(G$6,"yyyymm")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H78" s="8">
        <f>IFERROR(
GETPIVOTDATA(
"[Base].[Importe]",
TDinamica_R!$A$5,
"[Calendario].[AñoMes]",
"[Calendario].[AñoMes].&amp;[" &amp; TEXT(H$6,"yyyymm")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I78" s="8">
        <f>IFERROR(
GETPIVOTDATA(
"[Base].[Importe]",
TDinamica_R!$A$5,
"[Calendario].[AñoMes]",
"[Calendario].[AñoMes].&amp;[" &amp; TEXT(I$6,"yyyymm")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J78" s="8">
        <f>IFERROR(
GETPIVOTDATA(
"[Base].[Importe]",
TDinamica_R!$A$5,
"[Calendario].[AñoMes]",
"[Calendario].[AñoMes].&amp;[" &amp; TEXT(J$6,"yyyymm")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K78" s="8">
        <f>IFERROR(
GETPIVOTDATA(
"[Base].[Importe]",
TDinamica_R!$A$5,
"[Calendario].[AñoMes]",
"[Calendario].[AñoMes].&amp;[" &amp; TEXT(K$6,"yyyymm")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L78" s="8">
        <f>IFERROR(
GETPIVOTDATA(
"[Base].[Importe]",
TDinamica_R!$A$5,
"[Calendario].[AñoMes]",
"[Calendario].[AñoMes].&amp;[" &amp; TEXT(L$6,"yyyymm")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M78" s="8">
        <f>IFERROR(
GETPIVOTDATA(
"[Base].[Importe]",
TDinamica_R!$A$5,
"[Calendario].[AñoMes]",
"[Calendario].[AñoMes].&amp;[" &amp; TEXT(M$6,"yyyymm")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N78" s="8">
        <f>IFERROR(
GETPIVOTDATA(
"[Base].[Importe]",
TDinamica_R!$A$5,
"[Calendario].[AñoMes]",
"[Calendario].[AñoMes].&amp;[" &amp; TEXT(N$6,"yyyymm")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O78" s="8">
        <f>IFERROR(
GETPIVOTDATA(
"[Base].[Importe]",
TDinamica_R!$A$5,
"[Calendario].[AñoMes]",
"[Calendario].[AñoMes].&amp;[" &amp; TEXT(O$6,"yyyymm")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P78" s="8">
        <f>IFERROR(
GETPIVOTDATA(
"[Base].[Importe]",
TDinamica_R!$A$5,
"[Calendario].[AñoMes]",
"[Calendario].[AñoMes].&amp;[" &amp; TEXT(P$6,"yyyymm")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Q78" s="8">
        <f>IFERROR(
GETPIVOTDATA(
"[Base].[Importe]",
TDinamica_R!$A$5,
"[Calendario].[AñoMes]",
"[Calendario].[AñoMes].&amp;[" &amp; TEXT(Q$6,"yyyymm")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R78" s="8">
        <f>IFERROR(
GETPIVOTDATA(
"[Base].[Importe]",
TDinamica_R!$A$5,
"[Calendario].[AñoMes]",
"[Calendario].[AñoMes].&amp;[" &amp; TEXT(R$6,"yyyymm")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S78" s="8">
        <f>IFERROR(
GETPIVOTDATA(
"[Base].[Importe]",
TDinamica_R!$A$5,
"[Calendario].[AñoMes]",
"[Calendario].[AñoMes].&amp;[" &amp; TEXT(S$6,"yyyymm")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T78" s="8">
        <f>IFERROR(
GETPIVOTDATA(
"[Base].[Importe]",
TDinamica_R!$A$5,
"[Calendario].[AñoMes]",
"[Calendario].[AñoMes].&amp;[" &amp; TEXT(T$6,"yyyymm")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U78" s="8">
        <f>IFERROR(
GETPIVOTDATA(
"[Base].[Importe]",
TDinamica_R!$A$5,
"[Calendario].[AñoMes]",
"[Calendario].[AñoMes].&amp;[" &amp; TEXT(U$6,"yyyymm")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V78" s="8">
        <f>IFERROR(
GETPIVOTDATA(
"[Base].[Importe]",
TDinamica_R!$A$5,
"[Calendario].[AñoMes]",
"[Calendario].[AñoMes].&amp;[" &amp; TEXT(V$6,"yyyymm")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W78" s="8">
        <f>IFERROR(
GETPIVOTDATA(
"[Base].[Importe]",
TDinamica_R!$A$5,
"[Calendario].[AñoMes]",
"[Calendario].[AñoMes].&amp;[" &amp; TEXT(W$6,"yyyymm")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X78" s="8">
        <f>IFERROR(
GETPIVOTDATA(
"[Base].[Importe]",
TDinamica_R!$A$5,
"[Calendario].[AñoMes]",
"[Calendario].[AñoMes].&amp;[" &amp; TEXT(X$6,"yyyymm")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Y78" s="8">
        <f>IFERROR(
GETPIVOTDATA(
"[Base].[Importe]",
TDinamica_R!$A$5,
"[Calendario].[AñoMes]",
"[Calendario].[AñoMes].&amp;[" &amp; TEXT(Y$6,"yyyymm")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Z78" s="8">
        <f>IFERROR(
GETPIVOTDATA(
"[Base].[Importe]",
TDinamica_R!$A$5,
"[Calendario].[AñoMes]",
"[Calendario].[AñoMes].&amp;[" &amp; TEXT(Z$6,"yyyymm")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A78" s="8">
        <f>IFERROR(
GETPIVOTDATA(
"[Base].[Importe]",
TDinamica_R!$A$5,
"[Calendario].[AñoMes]",
"[Calendario].[AñoMes].&amp;[" &amp; TEXT(AA$6,"yyyymm")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B78" s="8">
        <f>IFERROR(
GETPIVOTDATA(
"[Base].[Importe]",
TDinamica_R!$A$5,
"[Calendario].[AñoMes]",
"[Calendario].[AñoMes].&amp;[" &amp; TEXT(AB$6,"yyyymm")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C78" s="8">
        <f>IFERROR(
GETPIVOTDATA(
"[Base].[Importe]",
TDinamica_R!$A$5,
"[Calendario].[AñoMes]",
"[Calendario].[AñoMes].&amp;[" &amp; TEXT(AC$6,"yyyymm")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D78" s="8">
        <f>IFERROR(
GETPIVOTDATA(
"[Base].[Importe]",
TDinamica_R!$A$5,
"[Calendario].[AñoMes]",
"[Calendario].[AñoMes].&amp;[" &amp; TEXT(AD$6,"yyyymm")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E78" s="8">
        <f>IFERROR(
GETPIVOTDATA(
"[Base].[Importe]",
TDinamica_R!$A$5,
"[Calendario].[AñoMes]",
"[Calendario].[AñoMes].&amp;[" &amp; TEXT(AE$6,"yyyymm")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F78" s="8">
        <f>IFERROR(
GETPIVOTDATA(
"[Base].[Importe]",
TDinamica_R!$A$5,
"[Calendario].[AñoMes]",
"[Calendario].[AñoMes].&amp;[" &amp; TEXT(AF$6,"yyyymm")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G78" s="8">
        <f>IFERROR(
GETPIVOTDATA(
"[Base].[Importe]",
TDinamica_R!$A$5,
"[Calendario].[AñoMes]",
"[Calendario].[AñoMes].&amp;[" &amp; TEXT(AG$6,"yyyymm")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H78" s="8">
        <f>IFERROR(
GETPIVOTDATA(
"[Base].[Importe]",
TDinamica_R!$A$5,
"[Calendario].[AñoMes]",
"[Calendario].[AñoMes].&amp;[" &amp; TEXT(AH$6,"yyyymm")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I78" s="8">
        <f>IFERROR(
GETPIVOTDATA(
"[Base].[Importe]",
TDinamica_R!$A$5,
"[Calendario].[AñoMes]",
"[Calendario].[AñoMes].&amp;[" &amp; TEXT(AI$6,"yyyymm")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J78" s="8">
        <f>IFERROR(
GETPIVOTDATA(
"[Base].[Importe]",
TDinamica_R!$A$5,
"[Calendario].[AñoMes]",
"[Calendario].[AñoMes].&amp;[" &amp; TEXT(AJ$6,"yyyymm")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K78" s="8">
        <f>IFERROR(
GETPIVOTDATA(
"[Base].[Importe]",
TDinamica_R!$A$5,
"[Calendario].[AñoMes]",
"[Calendario].[AñoMes].&amp;[" &amp; TEXT(AK$6,"yyyymm")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L78" s="8">
        <f>IFERROR(
GETPIVOTDATA(
"[Base].[Importe]",
TDinamica_R!$A$5,
"[Calendario].[AñoMes]",
"[Calendario].[AñoMes].&amp;[" &amp; TEXT(AL$6,"yyyymm")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M78" s="8">
        <f>IFERROR(
GETPIVOTDATA(
"[Base].[Importe]",
TDinamica_R!$A$5,
"[Calendario].[AñoMes]",
"[Calendario].[AñoMes].&amp;[" &amp; TEXT(AM$6,"yyyymm")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N78" s="8">
        <f>IFERROR(
GETPIVOTDATA(
"[Base].[Importe]",
TDinamica_R!$A$5,
"[Calendario].[AñoMes]",
"[Calendario].[AñoMes].&amp;[" &amp; TEXT(AN$6,"yyyymm")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O78" s="8">
        <f>IFERROR(
GETPIVOTDATA(
"[Base].[Importe]",
TDinamica_R!$A$5,
"[Calendario].[AñoMes]",
"[Calendario].[AñoMes].&amp;[" &amp; TEXT(AO$6,"yyyymm")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P78" s="8">
        <f>IFERROR(
GETPIVOTDATA(
"[Base].[Importe]",
TDinamica_R!$A$5,
"[Calendario].[AñoMes]",
"[Calendario].[AñoMes].&amp;[" &amp; TEXT(AP$6,"yyyymm")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Q78" s="8">
        <f>IFERROR(
GETPIVOTDATA(
"[Base].[Importe]",
TDinamica_R!$A$5,
"[Calendario].[AñoMes]",
"[Calendario].[AñoMes].&amp;[" &amp; TEXT(AQ$6,"yyyymm")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R78" s="8">
        <f>IFERROR(
GETPIVOTDATA(
"[Base].[Importe]",
TDinamica_R!$A$5,
"[Calendario].[AñoMes]",
"[Calendario].[AñoMes].&amp;[" &amp; TEXT(AR$6,"yyyymm")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S78" s="8">
        <f>IFERROR(
GETPIVOTDATA(
"[Base].[Importe]",
TDinamica_R!$A$5,
"[Calendario].[AñoMes]",
"[Calendario].[AñoMes].&amp;[" &amp; TEXT(AS$6,"yyyymm")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T78" s="8">
        <f>IFERROR(
GETPIVOTDATA(
"[Base].[Importe]",
TDinamica_R!$A$5,
"[Calendario].[AñoMes]",
"[Calendario].[AñoMes].&amp;[" &amp; TEXT(AT$6,"yyyymm")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U78" s="8">
        <f>IFERROR(
GETPIVOTDATA(
"[Base].[Importe]",
TDinamica_R!$A$5,
"[Calendario].[AñoMes]",
"[Calendario].[AñoMes].&amp;[" &amp; TEXT(AU$6,"yyyymm")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V78" s="8">
        <f>IFERROR(
GETPIVOTDATA(
"[Base].[Importe]",
TDinamica_R!$A$5,
"[Calendario].[AñoMes]",
"[Calendario].[AñoMes].&amp;[" &amp; TEXT(AV$6,"yyyymm")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W78" s="8">
        <f>IFERROR(
GETPIVOTDATA(
"[Base].[Importe]",
TDinamica_R!$A$5,
"[Calendario].[AñoMes]",
"[Calendario].[AñoMes].&amp;[" &amp; TEXT(AW$6,"yyyymm")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X78" s="8">
        <f>IFERROR(
GETPIVOTDATA(
"[Base].[Importe]",
TDinamica_R!$A$5,
"[Calendario].[AñoMes]",
"[Calendario].[AñoMes].&amp;[" &amp; TEXT(AX$6,"yyyymm")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Y78" s="8">
        <f>IFERROR(
GETPIVOTDATA(
"[Base].[Importe]",
TDinamica_R!$A$5,
"[Calendario].[AñoMes]",
"[Calendario].[AñoMes].&amp;[" &amp; TEXT(AY$6,"yyyymm")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Z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"[BASE_HIPO_PPTO].[Periodo]","[BASE_HIPO_PPTO].[Periodo].&amp;["&amp;TEXT(AZ$6,"yyyymm")&amp;"]"),
0)/1000</f>
        <v>0</v>
      </c>
      <c r="BA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"[BASE_HIPO_PPTO].[Periodo]","[BASE_HIPO_PPTO].[Periodo].&amp;["&amp;TEXT(BA$6,"yyyymm")&amp;"]"),
0)/1000</f>
        <v>0</v>
      </c>
      <c r="BB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"[BASE_HIPO_PPTO].[Periodo]","[BASE_HIPO_PPTO].[Periodo].&amp;["&amp;TEXT(BB$6,"yyyymm")&amp;"]"),
0)/1000</f>
        <v>0</v>
      </c>
      <c r="BC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"[BASE_HIPO_PPTO].[Periodo]","[BASE_HIPO_PPTO].[Periodo].&amp;["&amp;TEXT(BC$6,"yyyymm")&amp;"]"),
0)/1000</f>
        <v>0</v>
      </c>
      <c r="BD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"[BASE_HIPO_PPTO].[Periodo]","[BASE_HIPO_PPTO].[Periodo].&amp;["&amp;TEXT(BD$6,"yyyymm")&amp;"]"),
0)/1000</f>
        <v>0</v>
      </c>
      <c r="BE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"[BASE_HIPO_PPTO].[Periodo]","[BASE_HIPO_PPTO].[Periodo].&amp;["&amp;TEXT(BE$6,"yyyymm")&amp;"]"),
0)/1000</f>
        <v>0</v>
      </c>
      <c r="BF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"[BASE_HIPO_PPTO].[Periodo]","[BASE_HIPO_PPTO].[Periodo].&amp;["&amp;TEXT(BF$6,"yyyymm")&amp;"]"),
0)/1000</f>
        <v>0</v>
      </c>
      <c r="BG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"[BASE_HIPO_PPTO].[Periodo]","[BASE_HIPO_PPTO].[Periodo].&amp;["&amp;TEXT(BG$6,"yyyymm")&amp;"]"),
0)/1000</f>
        <v>0</v>
      </c>
      <c r="BH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"[BASE_HIPO_PPTO].[Periodo]","[BASE_HIPO_PPTO].[Periodo].&amp;["&amp;TEXT(BH$6,"yyyymm")&amp;"]"),
0)/1000</f>
        <v>0</v>
      </c>
      <c r="BI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"[BASE_HIPO_PPTO].[Periodo]","[BASE_HIPO_PPTO].[Periodo].&amp;["&amp;TEXT(BI$6,"yyyymm")&amp;"]"),
0)/1000</f>
        <v>0</v>
      </c>
      <c r="BJ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"[BASE_HIPO_PPTO].[Periodo]","[BASE_HIPO_PPTO].[Periodo].&amp;["&amp;TEXT(BJ$6,"yyyymm")&amp;"]"),
0)/1000</f>
        <v>0</v>
      </c>
      <c r="BK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"[BASE_HIPO_PPTO].[Periodo]","[BASE_HIPO_PPTO].[Periodo].&amp;["&amp;TEXT(BK$6,"yyyymm")&amp;"]"),
0)/1000</f>
        <v>0</v>
      </c>
      <c r="BO78" s="24">
        <f t="shared" si="150"/>
        <v>0</v>
      </c>
      <c r="BP78" s="24">
        <f t="shared" si="150"/>
        <v>0</v>
      </c>
      <c r="BQ78" s="24">
        <f t="shared" si="150"/>
        <v>0</v>
      </c>
      <c r="BR78" s="24">
        <f t="shared" si="150"/>
        <v>0</v>
      </c>
      <c r="BS78" s="24">
        <f t="shared" si="150"/>
        <v>0</v>
      </c>
      <c r="BT78" s="24">
        <f t="shared" si="150"/>
        <v>0</v>
      </c>
    </row>
    <row r="79" spans="1:72" hidden="1" outlineLevel="1" x14ac:dyDescent="0.25">
      <c r="A79" s="11" t="s">
        <v>71</v>
      </c>
      <c r="C79" s="2"/>
      <c r="D79" s="8">
        <f>IFERROR(
GETPIVOTDATA(
"[Base].[Importe]",
TDinamica_R!$A$5,
"[Calendario].[AñoMes]",
"[Calendario].[AñoMes].&amp;[" &amp; TEXT(D$6,"yyyymm")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E79" s="8">
        <f>IFERROR(
GETPIVOTDATA(
"[Base].[Importe]",
TDinamica_R!$A$5,
"[Calendario].[AñoMes]",
"[Calendario].[AñoMes].&amp;[" &amp; TEXT(E$6,"yyyymm")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F79" s="8">
        <f>IFERROR(
GETPIVOTDATA(
"[Base].[Importe]",
TDinamica_R!$A$5,
"[Calendario].[AñoMes]",
"[Calendario].[AñoMes].&amp;[" &amp; TEXT(F$6,"yyyymm")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G79" s="8">
        <f>IFERROR(
GETPIVOTDATA(
"[Base].[Importe]",
TDinamica_R!$A$5,
"[Calendario].[AñoMes]",
"[Calendario].[AñoMes].&amp;[" &amp; TEXT(G$6,"yyyymm")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H79" s="8">
        <f>IFERROR(
GETPIVOTDATA(
"[Base].[Importe]",
TDinamica_R!$A$5,
"[Calendario].[AñoMes]",
"[Calendario].[AñoMes].&amp;[" &amp; TEXT(H$6,"yyyymm")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I79" s="8">
        <f>IFERROR(
GETPIVOTDATA(
"[Base].[Importe]",
TDinamica_R!$A$5,
"[Calendario].[AñoMes]",
"[Calendario].[AñoMes].&amp;[" &amp; TEXT(I$6,"yyyymm")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J79" s="8">
        <f>IFERROR(
GETPIVOTDATA(
"[Base].[Importe]",
TDinamica_R!$A$5,
"[Calendario].[AñoMes]",
"[Calendario].[AñoMes].&amp;[" &amp; TEXT(J$6,"yyyymm")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K79" s="8">
        <f>IFERROR(
GETPIVOTDATA(
"[Base].[Importe]",
TDinamica_R!$A$5,
"[Calendario].[AñoMes]",
"[Calendario].[AñoMes].&amp;[" &amp; TEXT(K$6,"yyyymm")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L79" s="8">
        <f>IFERROR(
GETPIVOTDATA(
"[Base].[Importe]",
TDinamica_R!$A$5,
"[Calendario].[AñoMes]",
"[Calendario].[AñoMes].&amp;[" &amp; TEXT(L$6,"yyyymm")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M79" s="8">
        <f>IFERROR(
GETPIVOTDATA(
"[Base].[Importe]",
TDinamica_R!$A$5,
"[Calendario].[AñoMes]",
"[Calendario].[AñoMes].&amp;[" &amp; TEXT(M$6,"yyyymm")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N79" s="8">
        <f>IFERROR(
GETPIVOTDATA(
"[Base].[Importe]",
TDinamica_R!$A$5,
"[Calendario].[AñoMes]",
"[Calendario].[AñoMes].&amp;[" &amp; TEXT(N$6,"yyyymm")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O79" s="8">
        <f>IFERROR(
GETPIVOTDATA(
"[Base].[Importe]",
TDinamica_R!$A$5,
"[Calendario].[AñoMes]",
"[Calendario].[AñoMes].&amp;[" &amp; TEXT(O$6,"yyyymm")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P79" s="8">
        <f>IFERROR(
GETPIVOTDATA(
"[Base].[Importe]",
TDinamica_R!$A$5,
"[Calendario].[AñoMes]",
"[Calendario].[AñoMes].&amp;[" &amp; TEXT(P$6,"yyyymm")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Q79" s="8">
        <f>IFERROR(
GETPIVOTDATA(
"[Base].[Importe]",
TDinamica_R!$A$5,
"[Calendario].[AñoMes]",
"[Calendario].[AñoMes].&amp;[" &amp; TEXT(Q$6,"yyyymm")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R79" s="8">
        <f>IFERROR(
GETPIVOTDATA(
"[Base].[Importe]",
TDinamica_R!$A$5,
"[Calendario].[AñoMes]",
"[Calendario].[AñoMes].&amp;[" &amp; TEXT(R$6,"yyyymm")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S79" s="8">
        <f>IFERROR(
GETPIVOTDATA(
"[Base].[Importe]",
TDinamica_R!$A$5,
"[Calendario].[AñoMes]",
"[Calendario].[AñoMes].&amp;[" &amp; TEXT(S$6,"yyyymm")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T79" s="8">
        <f>IFERROR(
GETPIVOTDATA(
"[Base].[Importe]",
TDinamica_R!$A$5,
"[Calendario].[AñoMes]",
"[Calendario].[AñoMes].&amp;[" &amp; TEXT(T$6,"yyyymm")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U79" s="8">
        <f>IFERROR(
GETPIVOTDATA(
"[Base].[Importe]",
TDinamica_R!$A$5,
"[Calendario].[AñoMes]",
"[Calendario].[AñoMes].&amp;[" &amp; TEXT(U$6,"yyyymm")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V79" s="8">
        <f>IFERROR(
GETPIVOTDATA(
"[Base].[Importe]",
TDinamica_R!$A$5,
"[Calendario].[AñoMes]",
"[Calendario].[AñoMes].&amp;[" &amp; TEXT(V$6,"yyyymm")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W79" s="8">
        <f>IFERROR(
GETPIVOTDATA(
"[Base].[Importe]",
TDinamica_R!$A$5,
"[Calendario].[AñoMes]",
"[Calendario].[AñoMes].&amp;[" &amp; TEXT(W$6,"yyyymm")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X79" s="8">
        <f>IFERROR(
GETPIVOTDATA(
"[Base].[Importe]",
TDinamica_R!$A$5,
"[Calendario].[AñoMes]",
"[Calendario].[AñoMes].&amp;[" &amp; TEXT(X$6,"yyyymm")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Y79" s="8">
        <f>IFERROR(
GETPIVOTDATA(
"[Base].[Importe]",
TDinamica_R!$A$5,
"[Calendario].[AñoMes]",
"[Calendario].[AñoMes].&amp;[" &amp; TEXT(Y$6,"yyyymm")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Z79" s="8">
        <f>IFERROR(
GETPIVOTDATA(
"[Base].[Importe]",
TDinamica_R!$A$5,
"[Calendario].[AñoMes]",
"[Calendario].[AñoMes].&amp;[" &amp; TEXT(Z$6,"yyyymm")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A79" s="8">
        <f>IFERROR(
GETPIVOTDATA(
"[Base].[Importe]",
TDinamica_R!$A$5,
"[Calendario].[AñoMes]",
"[Calendario].[AñoMes].&amp;[" &amp; TEXT(AA$6,"yyyymm")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B79" s="8">
        <f>IFERROR(
GETPIVOTDATA(
"[Base].[Importe]",
TDinamica_R!$A$5,
"[Calendario].[AñoMes]",
"[Calendario].[AñoMes].&amp;[" &amp; TEXT(AB$6,"yyyymm")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C79" s="8">
        <f>IFERROR(
GETPIVOTDATA(
"[Base].[Importe]",
TDinamica_R!$A$5,
"[Calendario].[AñoMes]",
"[Calendario].[AñoMes].&amp;[" &amp; TEXT(AC$6,"yyyymm")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D79" s="8">
        <f>IFERROR(
GETPIVOTDATA(
"[Base].[Importe]",
TDinamica_R!$A$5,
"[Calendario].[AñoMes]",
"[Calendario].[AñoMes].&amp;[" &amp; TEXT(AD$6,"yyyymm")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E79" s="8">
        <f>IFERROR(
GETPIVOTDATA(
"[Base].[Importe]",
TDinamica_R!$A$5,
"[Calendario].[AñoMes]",
"[Calendario].[AñoMes].&amp;[" &amp; TEXT(AE$6,"yyyymm")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F79" s="8">
        <f>IFERROR(
GETPIVOTDATA(
"[Base].[Importe]",
TDinamica_R!$A$5,
"[Calendario].[AñoMes]",
"[Calendario].[AñoMes].&amp;[" &amp; TEXT(AF$6,"yyyymm")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G79" s="8">
        <f>IFERROR(
GETPIVOTDATA(
"[Base].[Importe]",
TDinamica_R!$A$5,
"[Calendario].[AñoMes]",
"[Calendario].[AñoMes].&amp;[" &amp; TEXT(AG$6,"yyyymm")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H79" s="8">
        <f>IFERROR(
GETPIVOTDATA(
"[Base].[Importe]",
TDinamica_R!$A$5,
"[Calendario].[AñoMes]",
"[Calendario].[AñoMes].&amp;[" &amp; TEXT(AH$6,"yyyymm")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I79" s="8">
        <f>IFERROR(
GETPIVOTDATA(
"[Base].[Importe]",
TDinamica_R!$A$5,
"[Calendario].[AñoMes]",
"[Calendario].[AñoMes].&amp;[" &amp; TEXT(AI$6,"yyyymm")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J79" s="8">
        <f>IFERROR(
GETPIVOTDATA(
"[Base].[Importe]",
TDinamica_R!$A$5,
"[Calendario].[AñoMes]",
"[Calendario].[AñoMes].&amp;[" &amp; TEXT(AJ$6,"yyyymm")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K79" s="8">
        <f>IFERROR(
GETPIVOTDATA(
"[Base].[Importe]",
TDinamica_R!$A$5,
"[Calendario].[AñoMes]",
"[Calendario].[AñoMes].&amp;[" &amp; TEXT(AK$6,"yyyymm")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L79" s="8">
        <f>IFERROR(
GETPIVOTDATA(
"[Base].[Importe]",
TDinamica_R!$A$5,
"[Calendario].[AñoMes]",
"[Calendario].[AñoMes].&amp;[" &amp; TEXT(AL$6,"yyyymm")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M79" s="8">
        <f>IFERROR(
GETPIVOTDATA(
"[Base].[Importe]",
TDinamica_R!$A$5,
"[Calendario].[AñoMes]",
"[Calendario].[AñoMes].&amp;[" &amp; TEXT(AM$6,"yyyymm")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N79" s="8">
        <f>IFERROR(
GETPIVOTDATA(
"[Base].[Importe]",
TDinamica_R!$A$5,
"[Calendario].[AñoMes]",
"[Calendario].[AñoMes].&amp;[" &amp; TEXT(AN$6,"yyyymm")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O79" s="8">
        <f>IFERROR(
GETPIVOTDATA(
"[Base].[Importe]",
TDinamica_R!$A$5,
"[Calendario].[AñoMes]",
"[Calendario].[AñoMes].&amp;[" &amp; TEXT(AO$6,"yyyymm")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P79" s="8">
        <f>IFERROR(
GETPIVOTDATA(
"[Base].[Importe]",
TDinamica_R!$A$5,
"[Calendario].[AñoMes]",
"[Calendario].[AñoMes].&amp;[" &amp; TEXT(AP$6,"yyyymm")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Q79" s="8">
        <f>IFERROR(
GETPIVOTDATA(
"[Base].[Importe]",
TDinamica_R!$A$5,
"[Calendario].[AñoMes]",
"[Calendario].[AñoMes].&amp;[" &amp; TEXT(AQ$6,"yyyymm")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R79" s="8">
        <f>IFERROR(
GETPIVOTDATA(
"[Base].[Importe]",
TDinamica_R!$A$5,
"[Calendario].[AñoMes]",
"[Calendario].[AñoMes].&amp;[" &amp; TEXT(AR$6,"yyyymm")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S79" s="8">
        <f>IFERROR(
GETPIVOTDATA(
"[Base].[Importe]",
TDinamica_R!$A$5,
"[Calendario].[AñoMes]",
"[Calendario].[AñoMes].&amp;[" &amp; TEXT(AS$6,"yyyymm")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T79" s="8">
        <f>IFERROR(
GETPIVOTDATA(
"[Base].[Importe]",
TDinamica_R!$A$5,
"[Calendario].[AñoMes]",
"[Calendario].[AñoMes].&amp;[" &amp; TEXT(AT$6,"yyyymm")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U79" s="8">
        <f>IFERROR(
GETPIVOTDATA(
"[Base].[Importe]",
TDinamica_R!$A$5,
"[Calendario].[AñoMes]",
"[Calendario].[AñoMes].&amp;[" &amp; TEXT(AU$6,"yyyymm")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V79" s="8">
        <f>IFERROR(
GETPIVOTDATA(
"[Base].[Importe]",
TDinamica_R!$A$5,
"[Calendario].[AñoMes]",
"[Calendario].[AñoMes].&amp;[" &amp; TEXT(AV$6,"yyyymm")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W79" s="8">
        <f>IFERROR(
GETPIVOTDATA(
"[Base].[Importe]",
TDinamica_R!$A$5,
"[Calendario].[AñoMes]",
"[Calendario].[AñoMes].&amp;[" &amp; TEXT(AW$6,"yyyymm")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X79" s="8">
        <f>IFERROR(
GETPIVOTDATA(
"[Base].[Importe]",
TDinamica_R!$A$5,
"[Calendario].[AñoMes]",
"[Calendario].[AñoMes].&amp;[" &amp; TEXT(AX$6,"yyyymm")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Y79" s="8">
        <f>IFERROR(
GETPIVOTDATA(
"[Base].[Importe]",
TDinamica_R!$A$5,
"[Calendario].[AñoMes]",
"[Calendario].[AñoMes].&amp;[" &amp; TEXT(AY$6,"yyyymm")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Z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"[BASE_HIPO_PPTO].[Periodo]","[BASE_HIPO_PPTO].[Periodo].&amp;["&amp;TEXT(AZ$6,"yyyymm")&amp;"]"),
0)/1000</f>
        <v>0</v>
      </c>
      <c r="BA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"[BASE_HIPO_PPTO].[Periodo]","[BASE_HIPO_PPTO].[Periodo].&amp;["&amp;TEXT(BA$6,"yyyymm")&amp;"]"),
0)/1000</f>
        <v>0</v>
      </c>
      <c r="BB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"[BASE_HIPO_PPTO].[Periodo]","[BASE_HIPO_PPTO].[Periodo].&amp;["&amp;TEXT(BB$6,"yyyymm")&amp;"]"),
0)/1000</f>
        <v>0</v>
      </c>
      <c r="BC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"[BASE_HIPO_PPTO].[Periodo]","[BASE_HIPO_PPTO].[Periodo].&amp;["&amp;TEXT(BC$6,"yyyymm")&amp;"]"),
0)/1000</f>
        <v>0</v>
      </c>
      <c r="BD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"[BASE_HIPO_PPTO].[Periodo]","[BASE_HIPO_PPTO].[Periodo].&amp;["&amp;TEXT(BD$6,"yyyymm")&amp;"]"),
0)/1000</f>
        <v>0</v>
      </c>
      <c r="BE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"[BASE_HIPO_PPTO].[Periodo]","[BASE_HIPO_PPTO].[Periodo].&amp;["&amp;TEXT(BE$6,"yyyymm")&amp;"]"),
0)/1000</f>
        <v>0</v>
      </c>
      <c r="BF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"[BASE_HIPO_PPTO].[Periodo]","[BASE_HIPO_PPTO].[Periodo].&amp;["&amp;TEXT(BF$6,"yyyymm")&amp;"]"),
0)/1000</f>
        <v>0</v>
      </c>
      <c r="BG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"[BASE_HIPO_PPTO].[Periodo]","[BASE_HIPO_PPTO].[Periodo].&amp;["&amp;TEXT(BG$6,"yyyymm")&amp;"]"),
0)/1000</f>
        <v>0</v>
      </c>
      <c r="BH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"[BASE_HIPO_PPTO].[Periodo]","[BASE_HIPO_PPTO].[Periodo].&amp;["&amp;TEXT(BH$6,"yyyymm")&amp;"]"),
0)/1000</f>
        <v>0</v>
      </c>
      <c r="BI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"[BASE_HIPO_PPTO].[Periodo]","[BASE_HIPO_PPTO].[Periodo].&amp;["&amp;TEXT(BI$6,"yyyymm")&amp;"]"),
0)/1000</f>
        <v>0</v>
      </c>
      <c r="BJ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"[BASE_HIPO_PPTO].[Periodo]","[BASE_HIPO_PPTO].[Periodo].&amp;["&amp;TEXT(BJ$6,"yyyymm")&amp;"]"),
0)/1000</f>
        <v>0</v>
      </c>
      <c r="BK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"[BASE_HIPO_PPTO].[Periodo]","[BASE_HIPO_PPTO].[Periodo].&amp;["&amp;TEXT(BK$6,"yyyymm")&amp;"]"),
0)/1000</f>
        <v>0</v>
      </c>
      <c r="BO79" s="24">
        <f t="shared" si="150"/>
        <v>0</v>
      </c>
      <c r="BP79" s="24">
        <f t="shared" si="150"/>
        <v>0</v>
      </c>
      <c r="BQ79" s="24">
        <f t="shared" si="150"/>
        <v>0</v>
      </c>
      <c r="BR79" s="24">
        <f t="shared" si="150"/>
        <v>0</v>
      </c>
      <c r="BS79" s="24">
        <f t="shared" si="150"/>
        <v>0</v>
      </c>
      <c r="BT79" s="24">
        <f t="shared" si="150"/>
        <v>0</v>
      </c>
    </row>
    <row r="80" spans="1:72" hidden="1" outlineLevel="1" x14ac:dyDescent="0.25">
      <c r="A80" s="11" t="s">
        <v>71</v>
      </c>
      <c r="C80" s="2"/>
      <c r="D80" s="8">
        <f>IFERROR(
GETPIVOTDATA(
"[Base].[Importe]",
TDinamica_R!$A$5,
"[Calendario].[AñoMes]",
"[Calendario].[AñoMes].&amp;[" &amp; TEXT(D$6,"yyyymm")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E80" s="8">
        <f>IFERROR(
GETPIVOTDATA(
"[Base].[Importe]",
TDinamica_R!$A$5,
"[Calendario].[AñoMes]",
"[Calendario].[AñoMes].&amp;[" &amp; TEXT(E$6,"yyyymm")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F80" s="8">
        <f>IFERROR(
GETPIVOTDATA(
"[Base].[Importe]",
TDinamica_R!$A$5,
"[Calendario].[AñoMes]",
"[Calendario].[AñoMes].&amp;[" &amp; TEXT(F$6,"yyyymm")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G80" s="8">
        <f>IFERROR(
GETPIVOTDATA(
"[Base].[Importe]",
TDinamica_R!$A$5,
"[Calendario].[AñoMes]",
"[Calendario].[AñoMes].&amp;[" &amp; TEXT(G$6,"yyyymm")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H80" s="8">
        <f>IFERROR(
GETPIVOTDATA(
"[Base].[Importe]",
TDinamica_R!$A$5,
"[Calendario].[AñoMes]",
"[Calendario].[AñoMes].&amp;[" &amp; TEXT(H$6,"yyyymm")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I80" s="8">
        <f>IFERROR(
GETPIVOTDATA(
"[Base].[Importe]",
TDinamica_R!$A$5,
"[Calendario].[AñoMes]",
"[Calendario].[AñoMes].&amp;[" &amp; TEXT(I$6,"yyyymm")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J80" s="8">
        <f>IFERROR(
GETPIVOTDATA(
"[Base].[Importe]",
TDinamica_R!$A$5,
"[Calendario].[AñoMes]",
"[Calendario].[AñoMes].&amp;[" &amp; TEXT(J$6,"yyyymm")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K80" s="8">
        <f>IFERROR(
GETPIVOTDATA(
"[Base].[Importe]",
TDinamica_R!$A$5,
"[Calendario].[AñoMes]",
"[Calendario].[AñoMes].&amp;[" &amp; TEXT(K$6,"yyyymm")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L80" s="8">
        <f>IFERROR(
GETPIVOTDATA(
"[Base].[Importe]",
TDinamica_R!$A$5,
"[Calendario].[AñoMes]",
"[Calendario].[AñoMes].&amp;[" &amp; TEXT(L$6,"yyyymm")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M80" s="8">
        <f>IFERROR(
GETPIVOTDATA(
"[Base].[Importe]",
TDinamica_R!$A$5,
"[Calendario].[AñoMes]",
"[Calendario].[AñoMes].&amp;[" &amp; TEXT(M$6,"yyyymm")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N80" s="8">
        <f>IFERROR(
GETPIVOTDATA(
"[Base].[Importe]",
TDinamica_R!$A$5,
"[Calendario].[AñoMes]",
"[Calendario].[AñoMes].&amp;[" &amp; TEXT(N$6,"yyyymm")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O80" s="8">
        <f>IFERROR(
GETPIVOTDATA(
"[Base].[Importe]",
TDinamica_R!$A$5,
"[Calendario].[AñoMes]",
"[Calendario].[AñoMes].&amp;[" &amp; TEXT(O$6,"yyyymm")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P80" s="8">
        <f>IFERROR(
GETPIVOTDATA(
"[Base].[Importe]",
TDinamica_R!$A$5,
"[Calendario].[AñoMes]",
"[Calendario].[AñoMes].&amp;[" &amp; TEXT(P$6,"yyyymm")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Q80" s="8">
        <f>IFERROR(
GETPIVOTDATA(
"[Base].[Importe]",
TDinamica_R!$A$5,
"[Calendario].[AñoMes]",
"[Calendario].[AñoMes].&amp;[" &amp; TEXT(Q$6,"yyyymm")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R80" s="8">
        <f>IFERROR(
GETPIVOTDATA(
"[Base].[Importe]",
TDinamica_R!$A$5,
"[Calendario].[AñoMes]",
"[Calendario].[AñoMes].&amp;[" &amp; TEXT(R$6,"yyyymm")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S80" s="8">
        <f>IFERROR(
GETPIVOTDATA(
"[Base].[Importe]",
TDinamica_R!$A$5,
"[Calendario].[AñoMes]",
"[Calendario].[AñoMes].&amp;[" &amp; TEXT(S$6,"yyyymm")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T80" s="8">
        <f>IFERROR(
GETPIVOTDATA(
"[Base].[Importe]",
TDinamica_R!$A$5,
"[Calendario].[AñoMes]",
"[Calendario].[AñoMes].&amp;[" &amp; TEXT(T$6,"yyyymm")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U80" s="8">
        <f>IFERROR(
GETPIVOTDATA(
"[Base].[Importe]",
TDinamica_R!$A$5,
"[Calendario].[AñoMes]",
"[Calendario].[AñoMes].&amp;[" &amp; TEXT(U$6,"yyyymm")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V80" s="8">
        <f>IFERROR(
GETPIVOTDATA(
"[Base].[Importe]",
TDinamica_R!$A$5,
"[Calendario].[AñoMes]",
"[Calendario].[AñoMes].&amp;[" &amp; TEXT(V$6,"yyyymm")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W80" s="8">
        <f>IFERROR(
GETPIVOTDATA(
"[Base].[Importe]",
TDinamica_R!$A$5,
"[Calendario].[AñoMes]",
"[Calendario].[AñoMes].&amp;[" &amp; TEXT(W$6,"yyyymm")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X80" s="8">
        <f>IFERROR(
GETPIVOTDATA(
"[Base].[Importe]",
TDinamica_R!$A$5,
"[Calendario].[AñoMes]",
"[Calendario].[AñoMes].&amp;[" &amp; TEXT(X$6,"yyyymm")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Y80" s="8">
        <f>IFERROR(
GETPIVOTDATA(
"[Base].[Importe]",
TDinamica_R!$A$5,
"[Calendario].[AñoMes]",
"[Calendario].[AñoMes].&amp;[" &amp; TEXT(Y$6,"yyyymm")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Z80" s="8">
        <f>IFERROR(
GETPIVOTDATA(
"[Base].[Importe]",
TDinamica_R!$A$5,
"[Calendario].[AñoMes]",
"[Calendario].[AñoMes].&amp;[" &amp; TEXT(Z$6,"yyyymm")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A80" s="8">
        <f>IFERROR(
GETPIVOTDATA(
"[Base].[Importe]",
TDinamica_R!$A$5,
"[Calendario].[AñoMes]",
"[Calendario].[AñoMes].&amp;[" &amp; TEXT(AA$6,"yyyymm")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B80" s="8">
        <f>IFERROR(
GETPIVOTDATA(
"[Base].[Importe]",
TDinamica_R!$A$5,
"[Calendario].[AñoMes]",
"[Calendario].[AñoMes].&amp;[" &amp; TEXT(AB$6,"yyyymm")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C80" s="8">
        <f>IFERROR(
GETPIVOTDATA(
"[Base].[Importe]",
TDinamica_R!$A$5,
"[Calendario].[AñoMes]",
"[Calendario].[AñoMes].&amp;[" &amp; TEXT(AC$6,"yyyymm")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D80" s="8">
        <f>IFERROR(
GETPIVOTDATA(
"[Base].[Importe]",
TDinamica_R!$A$5,
"[Calendario].[AñoMes]",
"[Calendario].[AñoMes].&amp;[" &amp; TEXT(AD$6,"yyyymm")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E80" s="8">
        <f>IFERROR(
GETPIVOTDATA(
"[Base].[Importe]",
TDinamica_R!$A$5,
"[Calendario].[AñoMes]",
"[Calendario].[AñoMes].&amp;[" &amp; TEXT(AE$6,"yyyymm")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F80" s="8">
        <f>IFERROR(
GETPIVOTDATA(
"[Base].[Importe]",
TDinamica_R!$A$5,
"[Calendario].[AñoMes]",
"[Calendario].[AñoMes].&amp;[" &amp; TEXT(AF$6,"yyyymm")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G80" s="8">
        <f>IFERROR(
GETPIVOTDATA(
"[Base].[Importe]",
TDinamica_R!$A$5,
"[Calendario].[AñoMes]",
"[Calendario].[AñoMes].&amp;[" &amp; TEXT(AG$6,"yyyymm")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H80" s="8">
        <f>IFERROR(
GETPIVOTDATA(
"[Base].[Importe]",
TDinamica_R!$A$5,
"[Calendario].[AñoMes]",
"[Calendario].[AñoMes].&amp;[" &amp; TEXT(AH$6,"yyyymm")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I80" s="8">
        <f>IFERROR(
GETPIVOTDATA(
"[Base].[Importe]",
TDinamica_R!$A$5,
"[Calendario].[AñoMes]",
"[Calendario].[AñoMes].&amp;[" &amp; TEXT(AI$6,"yyyymm")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J80" s="8">
        <f>IFERROR(
GETPIVOTDATA(
"[Base].[Importe]",
TDinamica_R!$A$5,
"[Calendario].[AñoMes]",
"[Calendario].[AñoMes].&amp;[" &amp; TEXT(AJ$6,"yyyymm")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K80" s="8">
        <f>IFERROR(
GETPIVOTDATA(
"[Base].[Importe]",
TDinamica_R!$A$5,
"[Calendario].[AñoMes]",
"[Calendario].[AñoMes].&amp;[" &amp; TEXT(AK$6,"yyyymm")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L80" s="8">
        <f>IFERROR(
GETPIVOTDATA(
"[Base].[Importe]",
TDinamica_R!$A$5,
"[Calendario].[AñoMes]",
"[Calendario].[AñoMes].&amp;[" &amp; TEXT(AL$6,"yyyymm")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M80" s="8">
        <f>IFERROR(
GETPIVOTDATA(
"[Base].[Importe]",
TDinamica_R!$A$5,
"[Calendario].[AñoMes]",
"[Calendario].[AñoMes].&amp;[" &amp; TEXT(AM$6,"yyyymm")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N80" s="8">
        <f>IFERROR(
GETPIVOTDATA(
"[Base].[Importe]",
TDinamica_R!$A$5,
"[Calendario].[AñoMes]",
"[Calendario].[AñoMes].&amp;[" &amp; TEXT(AN$6,"yyyymm")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O80" s="8">
        <f>IFERROR(
GETPIVOTDATA(
"[Base].[Importe]",
TDinamica_R!$A$5,
"[Calendario].[AñoMes]",
"[Calendario].[AñoMes].&amp;[" &amp; TEXT(AO$6,"yyyymm")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P80" s="8">
        <f>IFERROR(
GETPIVOTDATA(
"[Base].[Importe]",
TDinamica_R!$A$5,
"[Calendario].[AñoMes]",
"[Calendario].[AñoMes].&amp;[" &amp; TEXT(AP$6,"yyyymm")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Q80" s="8">
        <f>IFERROR(
GETPIVOTDATA(
"[Base].[Importe]",
TDinamica_R!$A$5,
"[Calendario].[AñoMes]",
"[Calendario].[AñoMes].&amp;[" &amp; TEXT(AQ$6,"yyyymm")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R80" s="8">
        <f>IFERROR(
GETPIVOTDATA(
"[Base].[Importe]",
TDinamica_R!$A$5,
"[Calendario].[AñoMes]",
"[Calendario].[AñoMes].&amp;[" &amp; TEXT(AR$6,"yyyymm")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S80" s="8">
        <f>IFERROR(
GETPIVOTDATA(
"[Base].[Importe]",
TDinamica_R!$A$5,
"[Calendario].[AñoMes]",
"[Calendario].[AñoMes].&amp;[" &amp; TEXT(AS$6,"yyyymm")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T80" s="8">
        <f>IFERROR(
GETPIVOTDATA(
"[Base].[Importe]",
TDinamica_R!$A$5,
"[Calendario].[AñoMes]",
"[Calendario].[AñoMes].&amp;[" &amp; TEXT(AT$6,"yyyymm")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U80" s="8">
        <f>IFERROR(
GETPIVOTDATA(
"[Base].[Importe]",
TDinamica_R!$A$5,
"[Calendario].[AñoMes]",
"[Calendario].[AñoMes].&amp;[" &amp; TEXT(AU$6,"yyyymm")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V80" s="8">
        <f>IFERROR(
GETPIVOTDATA(
"[Base].[Importe]",
TDinamica_R!$A$5,
"[Calendario].[AñoMes]",
"[Calendario].[AñoMes].&amp;[" &amp; TEXT(AV$6,"yyyymm")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W80" s="8">
        <f>IFERROR(
GETPIVOTDATA(
"[Base].[Importe]",
TDinamica_R!$A$5,
"[Calendario].[AñoMes]",
"[Calendario].[AñoMes].&amp;[" &amp; TEXT(AW$6,"yyyymm")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X80" s="8">
        <f>IFERROR(
GETPIVOTDATA(
"[Base].[Importe]",
TDinamica_R!$A$5,
"[Calendario].[AñoMes]",
"[Calendario].[AñoMes].&amp;[" &amp; TEXT(AX$6,"yyyymm")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Y80" s="8">
        <f>IFERROR(
GETPIVOTDATA(
"[Base].[Importe]",
TDinamica_R!$A$5,
"[Calendario].[AñoMes]",
"[Calendario].[AñoMes].&amp;[" &amp; TEXT(AY$6,"yyyymm")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Z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"[BASE_HIPO_PPTO].[Periodo]","[BASE_HIPO_PPTO].[Periodo].&amp;["&amp;TEXT(AZ$6,"yyyymm")&amp;"]"),
0)/1000</f>
        <v>0</v>
      </c>
      <c r="BA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"[BASE_HIPO_PPTO].[Periodo]","[BASE_HIPO_PPTO].[Periodo].&amp;["&amp;TEXT(BA$6,"yyyymm")&amp;"]"),
0)/1000</f>
        <v>0</v>
      </c>
      <c r="BB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"[BASE_HIPO_PPTO].[Periodo]","[BASE_HIPO_PPTO].[Periodo].&amp;["&amp;TEXT(BB$6,"yyyymm")&amp;"]"),
0)/1000</f>
        <v>0</v>
      </c>
      <c r="BC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"[BASE_HIPO_PPTO].[Periodo]","[BASE_HIPO_PPTO].[Periodo].&amp;["&amp;TEXT(BC$6,"yyyymm")&amp;"]"),
0)/1000</f>
        <v>0</v>
      </c>
      <c r="BD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"[BASE_HIPO_PPTO].[Periodo]","[BASE_HIPO_PPTO].[Periodo].&amp;["&amp;TEXT(BD$6,"yyyymm")&amp;"]"),
0)/1000</f>
        <v>0</v>
      </c>
      <c r="BE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"[BASE_HIPO_PPTO].[Periodo]","[BASE_HIPO_PPTO].[Periodo].&amp;["&amp;TEXT(BE$6,"yyyymm")&amp;"]"),
0)/1000</f>
        <v>0</v>
      </c>
      <c r="BF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"[BASE_HIPO_PPTO].[Periodo]","[BASE_HIPO_PPTO].[Periodo].&amp;["&amp;TEXT(BF$6,"yyyymm")&amp;"]"),
0)/1000</f>
        <v>0</v>
      </c>
      <c r="BG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"[BASE_HIPO_PPTO].[Periodo]","[BASE_HIPO_PPTO].[Periodo].&amp;["&amp;TEXT(BG$6,"yyyymm")&amp;"]"),
0)/1000</f>
        <v>0</v>
      </c>
      <c r="BH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"[BASE_HIPO_PPTO].[Periodo]","[BASE_HIPO_PPTO].[Periodo].&amp;["&amp;TEXT(BH$6,"yyyymm")&amp;"]"),
0)/1000</f>
        <v>0</v>
      </c>
      <c r="BI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"[BASE_HIPO_PPTO].[Periodo]","[BASE_HIPO_PPTO].[Periodo].&amp;["&amp;TEXT(BI$6,"yyyymm")&amp;"]"),
0)/1000</f>
        <v>0</v>
      </c>
      <c r="BJ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"[BASE_HIPO_PPTO].[Periodo]","[BASE_HIPO_PPTO].[Periodo].&amp;["&amp;TEXT(BJ$6,"yyyymm")&amp;"]"),
0)/1000</f>
        <v>0</v>
      </c>
      <c r="BK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"[BASE_HIPO_PPTO].[Periodo]","[BASE_HIPO_PPTO].[Periodo].&amp;["&amp;TEXT(BK$6,"yyyymm")&amp;"]"),
0)/1000</f>
        <v>0</v>
      </c>
      <c r="BO80" s="24">
        <f t="shared" si="150"/>
        <v>0</v>
      </c>
      <c r="BP80" s="24">
        <f t="shared" si="150"/>
        <v>0</v>
      </c>
      <c r="BQ80" s="24">
        <f t="shared" si="150"/>
        <v>0</v>
      </c>
      <c r="BR80" s="24">
        <f t="shared" si="150"/>
        <v>0</v>
      </c>
      <c r="BS80" s="24">
        <f t="shared" si="150"/>
        <v>0</v>
      </c>
      <c r="BT80" s="24">
        <f t="shared" si="150"/>
        <v>0</v>
      </c>
    </row>
    <row r="81" spans="1:72" hidden="1" outlineLevel="1" x14ac:dyDescent="0.25">
      <c r="A81" s="11" t="s">
        <v>71</v>
      </c>
      <c r="C81" s="2"/>
      <c r="D81" s="8">
        <f>IFERROR(
GETPIVOTDATA(
"[Base].[Importe]",
TDinamica_R!$A$5,
"[Calendario].[AñoMes]",
"[Calendario].[AñoMes].&amp;[" &amp; TEXT(D$6,"yyyymm")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E81" s="8">
        <f>IFERROR(
GETPIVOTDATA(
"[Base].[Importe]",
TDinamica_R!$A$5,
"[Calendario].[AñoMes]",
"[Calendario].[AñoMes].&amp;[" &amp; TEXT(E$6,"yyyymm")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F81" s="8">
        <f>IFERROR(
GETPIVOTDATA(
"[Base].[Importe]",
TDinamica_R!$A$5,
"[Calendario].[AñoMes]",
"[Calendario].[AñoMes].&amp;[" &amp; TEXT(F$6,"yyyymm")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G81" s="8">
        <f>IFERROR(
GETPIVOTDATA(
"[Base].[Importe]",
TDinamica_R!$A$5,
"[Calendario].[AñoMes]",
"[Calendario].[AñoMes].&amp;[" &amp; TEXT(G$6,"yyyymm")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H81" s="8">
        <f>IFERROR(
GETPIVOTDATA(
"[Base].[Importe]",
TDinamica_R!$A$5,
"[Calendario].[AñoMes]",
"[Calendario].[AñoMes].&amp;[" &amp; TEXT(H$6,"yyyymm")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I81" s="8">
        <f>IFERROR(
GETPIVOTDATA(
"[Base].[Importe]",
TDinamica_R!$A$5,
"[Calendario].[AñoMes]",
"[Calendario].[AñoMes].&amp;[" &amp; TEXT(I$6,"yyyymm")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J81" s="8">
        <f>IFERROR(
GETPIVOTDATA(
"[Base].[Importe]",
TDinamica_R!$A$5,
"[Calendario].[AñoMes]",
"[Calendario].[AñoMes].&amp;[" &amp; TEXT(J$6,"yyyymm")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K81" s="8">
        <f>IFERROR(
GETPIVOTDATA(
"[Base].[Importe]",
TDinamica_R!$A$5,
"[Calendario].[AñoMes]",
"[Calendario].[AñoMes].&amp;[" &amp; TEXT(K$6,"yyyymm")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L81" s="8">
        <f>IFERROR(
GETPIVOTDATA(
"[Base].[Importe]",
TDinamica_R!$A$5,
"[Calendario].[AñoMes]",
"[Calendario].[AñoMes].&amp;[" &amp; TEXT(L$6,"yyyymm")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M81" s="8">
        <f>IFERROR(
GETPIVOTDATA(
"[Base].[Importe]",
TDinamica_R!$A$5,
"[Calendario].[AñoMes]",
"[Calendario].[AñoMes].&amp;[" &amp; TEXT(M$6,"yyyymm")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N81" s="8">
        <f>IFERROR(
GETPIVOTDATA(
"[Base].[Importe]",
TDinamica_R!$A$5,
"[Calendario].[AñoMes]",
"[Calendario].[AñoMes].&amp;[" &amp; TEXT(N$6,"yyyymm")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O81" s="8">
        <f>IFERROR(
GETPIVOTDATA(
"[Base].[Importe]",
TDinamica_R!$A$5,
"[Calendario].[AñoMes]",
"[Calendario].[AñoMes].&amp;[" &amp; TEXT(O$6,"yyyymm")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P81" s="8">
        <f>IFERROR(
GETPIVOTDATA(
"[Base].[Importe]",
TDinamica_R!$A$5,
"[Calendario].[AñoMes]",
"[Calendario].[AñoMes].&amp;[" &amp; TEXT(P$6,"yyyymm")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Q81" s="8">
        <f>IFERROR(
GETPIVOTDATA(
"[Base].[Importe]",
TDinamica_R!$A$5,
"[Calendario].[AñoMes]",
"[Calendario].[AñoMes].&amp;[" &amp; TEXT(Q$6,"yyyymm")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R81" s="8">
        <f>IFERROR(
GETPIVOTDATA(
"[Base].[Importe]",
TDinamica_R!$A$5,
"[Calendario].[AñoMes]",
"[Calendario].[AñoMes].&amp;[" &amp; TEXT(R$6,"yyyymm")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S81" s="8">
        <f>IFERROR(
GETPIVOTDATA(
"[Base].[Importe]",
TDinamica_R!$A$5,
"[Calendario].[AñoMes]",
"[Calendario].[AñoMes].&amp;[" &amp; TEXT(S$6,"yyyymm")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T81" s="8">
        <f>IFERROR(
GETPIVOTDATA(
"[Base].[Importe]",
TDinamica_R!$A$5,
"[Calendario].[AñoMes]",
"[Calendario].[AñoMes].&amp;[" &amp; TEXT(T$6,"yyyymm")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U81" s="8">
        <f>IFERROR(
GETPIVOTDATA(
"[Base].[Importe]",
TDinamica_R!$A$5,
"[Calendario].[AñoMes]",
"[Calendario].[AñoMes].&amp;[" &amp; TEXT(U$6,"yyyymm")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V81" s="8">
        <f>IFERROR(
GETPIVOTDATA(
"[Base].[Importe]",
TDinamica_R!$A$5,
"[Calendario].[AñoMes]",
"[Calendario].[AñoMes].&amp;[" &amp; TEXT(V$6,"yyyymm")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W81" s="8">
        <f>IFERROR(
GETPIVOTDATA(
"[Base].[Importe]",
TDinamica_R!$A$5,
"[Calendario].[AñoMes]",
"[Calendario].[AñoMes].&amp;[" &amp; TEXT(W$6,"yyyymm")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X81" s="8">
        <f>IFERROR(
GETPIVOTDATA(
"[Base].[Importe]",
TDinamica_R!$A$5,
"[Calendario].[AñoMes]",
"[Calendario].[AñoMes].&amp;[" &amp; TEXT(X$6,"yyyymm")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Y81" s="8">
        <f>IFERROR(
GETPIVOTDATA(
"[Base].[Importe]",
TDinamica_R!$A$5,
"[Calendario].[AñoMes]",
"[Calendario].[AñoMes].&amp;[" &amp; TEXT(Y$6,"yyyymm")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Z81" s="8">
        <f>IFERROR(
GETPIVOTDATA(
"[Base].[Importe]",
TDinamica_R!$A$5,
"[Calendario].[AñoMes]",
"[Calendario].[AñoMes].&amp;[" &amp; TEXT(Z$6,"yyyymm")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A81" s="8">
        <f>IFERROR(
GETPIVOTDATA(
"[Base].[Importe]",
TDinamica_R!$A$5,
"[Calendario].[AñoMes]",
"[Calendario].[AñoMes].&amp;[" &amp; TEXT(AA$6,"yyyymm")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B81" s="8">
        <f>IFERROR(
GETPIVOTDATA(
"[Base].[Importe]",
TDinamica_R!$A$5,
"[Calendario].[AñoMes]",
"[Calendario].[AñoMes].&amp;[" &amp; TEXT(AB$6,"yyyymm")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C81" s="8">
        <f>IFERROR(
GETPIVOTDATA(
"[Base].[Importe]",
TDinamica_R!$A$5,
"[Calendario].[AñoMes]",
"[Calendario].[AñoMes].&amp;[" &amp; TEXT(AC$6,"yyyymm")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D81" s="8">
        <f>IFERROR(
GETPIVOTDATA(
"[Base].[Importe]",
TDinamica_R!$A$5,
"[Calendario].[AñoMes]",
"[Calendario].[AñoMes].&amp;[" &amp; TEXT(AD$6,"yyyymm")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E81" s="8">
        <f>IFERROR(
GETPIVOTDATA(
"[Base].[Importe]",
TDinamica_R!$A$5,
"[Calendario].[AñoMes]",
"[Calendario].[AñoMes].&amp;[" &amp; TEXT(AE$6,"yyyymm")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F81" s="8">
        <f>IFERROR(
GETPIVOTDATA(
"[Base].[Importe]",
TDinamica_R!$A$5,
"[Calendario].[AñoMes]",
"[Calendario].[AñoMes].&amp;[" &amp; TEXT(AF$6,"yyyymm")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G81" s="8">
        <f>IFERROR(
GETPIVOTDATA(
"[Base].[Importe]",
TDinamica_R!$A$5,
"[Calendario].[AñoMes]",
"[Calendario].[AñoMes].&amp;[" &amp; TEXT(AG$6,"yyyymm")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H81" s="8">
        <f>IFERROR(
GETPIVOTDATA(
"[Base].[Importe]",
TDinamica_R!$A$5,
"[Calendario].[AñoMes]",
"[Calendario].[AñoMes].&amp;[" &amp; TEXT(AH$6,"yyyymm")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I81" s="8">
        <f>IFERROR(
GETPIVOTDATA(
"[Base].[Importe]",
TDinamica_R!$A$5,
"[Calendario].[AñoMes]",
"[Calendario].[AñoMes].&amp;[" &amp; TEXT(AI$6,"yyyymm")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J81" s="8">
        <f>IFERROR(
GETPIVOTDATA(
"[Base].[Importe]",
TDinamica_R!$A$5,
"[Calendario].[AñoMes]",
"[Calendario].[AñoMes].&amp;[" &amp; TEXT(AJ$6,"yyyymm")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K81" s="8">
        <f>IFERROR(
GETPIVOTDATA(
"[Base].[Importe]",
TDinamica_R!$A$5,
"[Calendario].[AñoMes]",
"[Calendario].[AñoMes].&amp;[" &amp; TEXT(AK$6,"yyyymm")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L81" s="8">
        <f>IFERROR(
GETPIVOTDATA(
"[Base].[Importe]",
TDinamica_R!$A$5,
"[Calendario].[AñoMes]",
"[Calendario].[AñoMes].&amp;[" &amp; TEXT(AL$6,"yyyymm")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M81" s="8">
        <f>IFERROR(
GETPIVOTDATA(
"[Base].[Importe]",
TDinamica_R!$A$5,
"[Calendario].[AñoMes]",
"[Calendario].[AñoMes].&amp;[" &amp; TEXT(AM$6,"yyyymm")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N81" s="8">
        <f>IFERROR(
GETPIVOTDATA(
"[Base].[Importe]",
TDinamica_R!$A$5,
"[Calendario].[AñoMes]",
"[Calendario].[AñoMes].&amp;[" &amp; TEXT(AN$6,"yyyymm")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O81" s="8">
        <f>IFERROR(
GETPIVOTDATA(
"[Base].[Importe]",
TDinamica_R!$A$5,
"[Calendario].[AñoMes]",
"[Calendario].[AñoMes].&amp;[" &amp; TEXT(AO$6,"yyyymm")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P81" s="8">
        <f>IFERROR(
GETPIVOTDATA(
"[Base].[Importe]",
TDinamica_R!$A$5,
"[Calendario].[AñoMes]",
"[Calendario].[AñoMes].&amp;[" &amp; TEXT(AP$6,"yyyymm")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Q81" s="8">
        <f>IFERROR(
GETPIVOTDATA(
"[Base].[Importe]",
TDinamica_R!$A$5,
"[Calendario].[AñoMes]",
"[Calendario].[AñoMes].&amp;[" &amp; TEXT(AQ$6,"yyyymm")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R81" s="8">
        <f>IFERROR(
GETPIVOTDATA(
"[Base].[Importe]",
TDinamica_R!$A$5,
"[Calendario].[AñoMes]",
"[Calendario].[AñoMes].&amp;[" &amp; TEXT(AR$6,"yyyymm")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S81" s="8">
        <f>IFERROR(
GETPIVOTDATA(
"[Base].[Importe]",
TDinamica_R!$A$5,
"[Calendario].[AñoMes]",
"[Calendario].[AñoMes].&amp;[" &amp; TEXT(AS$6,"yyyymm")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T81" s="8">
        <f>IFERROR(
GETPIVOTDATA(
"[Base].[Importe]",
TDinamica_R!$A$5,
"[Calendario].[AñoMes]",
"[Calendario].[AñoMes].&amp;[" &amp; TEXT(AT$6,"yyyymm")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U81" s="8">
        <f>IFERROR(
GETPIVOTDATA(
"[Base].[Importe]",
TDinamica_R!$A$5,
"[Calendario].[AñoMes]",
"[Calendario].[AñoMes].&amp;[" &amp; TEXT(AU$6,"yyyymm")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V81" s="8">
        <f>IFERROR(
GETPIVOTDATA(
"[Base].[Importe]",
TDinamica_R!$A$5,
"[Calendario].[AñoMes]",
"[Calendario].[AñoMes].&amp;[" &amp; TEXT(AV$6,"yyyymm")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W81" s="8">
        <f>IFERROR(
GETPIVOTDATA(
"[Base].[Importe]",
TDinamica_R!$A$5,
"[Calendario].[AñoMes]",
"[Calendario].[AñoMes].&amp;[" &amp; TEXT(AW$6,"yyyymm")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X81" s="8">
        <f>IFERROR(
GETPIVOTDATA(
"[Base].[Importe]",
TDinamica_R!$A$5,
"[Calendario].[AñoMes]",
"[Calendario].[AñoMes].&amp;[" &amp; TEXT(AX$6,"yyyymm")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Y81" s="8">
        <f>IFERROR(
GETPIVOTDATA(
"[Base].[Importe]",
TDinamica_R!$A$5,
"[Calendario].[AñoMes]",
"[Calendario].[AñoMes].&amp;[" &amp; TEXT(AY$6,"yyyymm")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Z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"[BASE_HIPO_PPTO].[Periodo]","[BASE_HIPO_PPTO].[Periodo].&amp;["&amp;TEXT(AZ$6,"yyyymm")&amp;"]"),
0)/1000</f>
        <v>0</v>
      </c>
      <c r="BA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"[BASE_HIPO_PPTO].[Periodo]","[BASE_HIPO_PPTO].[Periodo].&amp;["&amp;TEXT(BA$6,"yyyymm")&amp;"]"),
0)/1000</f>
        <v>0</v>
      </c>
      <c r="BB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"[BASE_HIPO_PPTO].[Periodo]","[BASE_HIPO_PPTO].[Periodo].&amp;["&amp;TEXT(BB$6,"yyyymm")&amp;"]"),
0)/1000</f>
        <v>0</v>
      </c>
      <c r="BC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"[BASE_HIPO_PPTO].[Periodo]","[BASE_HIPO_PPTO].[Periodo].&amp;["&amp;TEXT(BC$6,"yyyymm")&amp;"]"),
0)/1000</f>
        <v>0</v>
      </c>
      <c r="BD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"[BASE_HIPO_PPTO].[Periodo]","[BASE_HIPO_PPTO].[Periodo].&amp;["&amp;TEXT(BD$6,"yyyymm")&amp;"]"),
0)/1000</f>
        <v>0</v>
      </c>
      <c r="BE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"[BASE_HIPO_PPTO].[Periodo]","[BASE_HIPO_PPTO].[Periodo].&amp;["&amp;TEXT(BE$6,"yyyymm")&amp;"]"),
0)/1000</f>
        <v>0</v>
      </c>
      <c r="BF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"[BASE_HIPO_PPTO].[Periodo]","[BASE_HIPO_PPTO].[Periodo].&amp;["&amp;TEXT(BF$6,"yyyymm")&amp;"]"),
0)/1000</f>
        <v>0</v>
      </c>
      <c r="BG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"[BASE_HIPO_PPTO].[Periodo]","[BASE_HIPO_PPTO].[Periodo].&amp;["&amp;TEXT(BG$6,"yyyymm")&amp;"]"),
0)/1000</f>
        <v>0</v>
      </c>
      <c r="BH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"[BASE_HIPO_PPTO].[Periodo]","[BASE_HIPO_PPTO].[Periodo].&amp;["&amp;TEXT(BH$6,"yyyymm")&amp;"]"),
0)/1000</f>
        <v>0</v>
      </c>
      <c r="BI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"[BASE_HIPO_PPTO].[Periodo]","[BASE_HIPO_PPTO].[Periodo].&amp;["&amp;TEXT(BI$6,"yyyymm")&amp;"]"),
0)/1000</f>
        <v>0</v>
      </c>
      <c r="BJ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"[BASE_HIPO_PPTO].[Periodo]","[BASE_HIPO_PPTO].[Periodo].&amp;["&amp;TEXT(BJ$6,"yyyymm")&amp;"]"),
0)/1000</f>
        <v>0</v>
      </c>
      <c r="BK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"[BASE_HIPO_PPTO].[Periodo]","[BASE_HIPO_PPTO].[Periodo].&amp;["&amp;TEXT(BK$6,"yyyymm")&amp;"]"),
0)/1000</f>
        <v>0</v>
      </c>
      <c r="BO81" s="24">
        <f t="shared" si="150"/>
        <v>0</v>
      </c>
      <c r="BP81" s="24">
        <f t="shared" si="150"/>
        <v>0</v>
      </c>
      <c r="BQ81" s="24">
        <f t="shared" si="150"/>
        <v>0</v>
      </c>
      <c r="BR81" s="24">
        <f t="shared" si="150"/>
        <v>0</v>
      </c>
      <c r="BS81" s="24">
        <f t="shared" si="150"/>
        <v>0</v>
      </c>
      <c r="BT81" s="24">
        <f t="shared" si="150"/>
        <v>0</v>
      </c>
    </row>
    <row r="82" spans="1:72" hidden="1" outlineLevel="1" x14ac:dyDescent="0.25">
      <c r="A82" s="11" t="s">
        <v>71</v>
      </c>
      <c r="C82" s="2"/>
      <c r="D82" s="8">
        <f>IFERROR(
GETPIVOTDATA(
"[Base].[Importe]",
TDinamica_R!$A$5,
"[Calendario].[AñoMes]",
"[Calendario].[AñoMes].&amp;[" &amp; TEXT(D$6,"yyyymm")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E82" s="8">
        <f>IFERROR(
GETPIVOTDATA(
"[Base].[Importe]",
TDinamica_R!$A$5,
"[Calendario].[AñoMes]",
"[Calendario].[AñoMes].&amp;[" &amp; TEXT(E$6,"yyyymm")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F82" s="8">
        <f>IFERROR(
GETPIVOTDATA(
"[Base].[Importe]",
TDinamica_R!$A$5,
"[Calendario].[AñoMes]",
"[Calendario].[AñoMes].&amp;[" &amp; TEXT(F$6,"yyyymm")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G82" s="8">
        <f>IFERROR(
GETPIVOTDATA(
"[Base].[Importe]",
TDinamica_R!$A$5,
"[Calendario].[AñoMes]",
"[Calendario].[AñoMes].&amp;[" &amp; TEXT(G$6,"yyyymm")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H82" s="8">
        <f>IFERROR(
GETPIVOTDATA(
"[Base].[Importe]",
TDinamica_R!$A$5,
"[Calendario].[AñoMes]",
"[Calendario].[AñoMes].&amp;[" &amp; TEXT(H$6,"yyyymm")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I82" s="8">
        <f>IFERROR(
GETPIVOTDATA(
"[Base].[Importe]",
TDinamica_R!$A$5,
"[Calendario].[AñoMes]",
"[Calendario].[AñoMes].&amp;[" &amp; TEXT(I$6,"yyyymm")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J82" s="8">
        <f>IFERROR(
GETPIVOTDATA(
"[Base].[Importe]",
TDinamica_R!$A$5,
"[Calendario].[AñoMes]",
"[Calendario].[AñoMes].&amp;[" &amp; TEXT(J$6,"yyyymm")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K82" s="8">
        <f>IFERROR(
GETPIVOTDATA(
"[Base].[Importe]",
TDinamica_R!$A$5,
"[Calendario].[AñoMes]",
"[Calendario].[AñoMes].&amp;[" &amp; TEXT(K$6,"yyyymm")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L82" s="8">
        <f>IFERROR(
GETPIVOTDATA(
"[Base].[Importe]",
TDinamica_R!$A$5,
"[Calendario].[AñoMes]",
"[Calendario].[AñoMes].&amp;[" &amp; TEXT(L$6,"yyyymm")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M82" s="8">
        <f>IFERROR(
GETPIVOTDATA(
"[Base].[Importe]",
TDinamica_R!$A$5,
"[Calendario].[AñoMes]",
"[Calendario].[AñoMes].&amp;[" &amp; TEXT(M$6,"yyyymm")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N82" s="8">
        <f>IFERROR(
GETPIVOTDATA(
"[Base].[Importe]",
TDinamica_R!$A$5,
"[Calendario].[AñoMes]",
"[Calendario].[AñoMes].&amp;[" &amp; TEXT(N$6,"yyyymm")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O82" s="8">
        <f>IFERROR(
GETPIVOTDATA(
"[Base].[Importe]",
TDinamica_R!$A$5,
"[Calendario].[AñoMes]",
"[Calendario].[AñoMes].&amp;[" &amp; TEXT(O$6,"yyyymm")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P82" s="8">
        <f>IFERROR(
GETPIVOTDATA(
"[Base].[Importe]",
TDinamica_R!$A$5,
"[Calendario].[AñoMes]",
"[Calendario].[AñoMes].&amp;[" &amp; TEXT(P$6,"yyyymm")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Q82" s="8">
        <f>IFERROR(
GETPIVOTDATA(
"[Base].[Importe]",
TDinamica_R!$A$5,
"[Calendario].[AñoMes]",
"[Calendario].[AñoMes].&amp;[" &amp; TEXT(Q$6,"yyyymm")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R82" s="8">
        <f>IFERROR(
GETPIVOTDATA(
"[Base].[Importe]",
TDinamica_R!$A$5,
"[Calendario].[AñoMes]",
"[Calendario].[AñoMes].&amp;[" &amp; TEXT(R$6,"yyyymm")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S82" s="8">
        <f>IFERROR(
GETPIVOTDATA(
"[Base].[Importe]",
TDinamica_R!$A$5,
"[Calendario].[AñoMes]",
"[Calendario].[AñoMes].&amp;[" &amp; TEXT(S$6,"yyyymm")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T82" s="8">
        <f>IFERROR(
GETPIVOTDATA(
"[Base].[Importe]",
TDinamica_R!$A$5,
"[Calendario].[AñoMes]",
"[Calendario].[AñoMes].&amp;[" &amp; TEXT(T$6,"yyyymm")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U82" s="8">
        <f>IFERROR(
GETPIVOTDATA(
"[Base].[Importe]",
TDinamica_R!$A$5,
"[Calendario].[AñoMes]",
"[Calendario].[AñoMes].&amp;[" &amp; TEXT(U$6,"yyyymm")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V82" s="8">
        <f>IFERROR(
GETPIVOTDATA(
"[Base].[Importe]",
TDinamica_R!$A$5,
"[Calendario].[AñoMes]",
"[Calendario].[AñoMes].&amp;[" &amp; TEXT(V$6,"yyyymm")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W82" s="8">
        <f>IFERROR(
GETPIVOTDATA(
"[Base].[Importe]",
TDinamica_R!$A$5,
"[Calendario].[AñoMes]",
"[Calendario].[AñoMes].&amp;[" &amp; TEXT(W$6,"yyyymm")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X82" s="8">
        <f>IFERROR(
GETPIVOTDATA(
"[Base].[Importe]",
TDinamica_R!$A$5,
"[Calendario].[AñoMes]",
"[Calendario].[AñoMes].&amp;[" &amp; TEXT(X$6,"yyyymm")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Y82" s="8">
        <f>IFERROR(
GETPIVOTDATA(
"[Base].[Importe]",
TDinamica_R!$A$5,
"[Calendario].[AñoMes]",
"[Calendario].[AñoMes].&amp;[" &amp; TEXT(Y$6,"yyyymm")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Z82" s="8">
        <f>IFERROR(
GETPIVOTDATA(
"[Base].[Importe]",
TDinamica_R!$A$5,
"[Calendario].[AñoMes]",
"[Calendario].[AñoMes].&amp;[" &amp; TEXT(Z$6,"yyyymm")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A82" s="8">
        <f>IFERROR(
GETPIVOTDATA(
"[Base].[Importe]",
TDinamica_R!$A$5,
"[Calendario].[AñoMes]",
"[Calendario].[AñoMes].&amp;[" &amp; TEXT(AA$6,"yyyymm")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B82" s="8">
        <f>IFERROR(
GETPIVOTDATA(
"[Base].[Importe]",
TDinamica_R!$A$5,
"[Calendario].[AñoMes]",
"[Calendario].[AñoMes].&amp;[" &amp; TEXT(AB$6,"yyyymm")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C82" s="8">
        <f>IFERROR(
GETPIVOTDATA(
"[Base].[Importe]",
TDinamica_R!$A$5,
"[Calendario].[AñoMes]",
"[Calendario].[AñoMes].&amp;[" &amp; TEXT(AC$6,"yyyymm")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D82" s="8">
        <f>IFERROR(
GETPIVOTDATA(
"[Base].[Importe]",
TDinamica_R!$A$5,
"[Calendario].[AñoMes]",
"[Calendario].[AñoMes].&amp;[" &amp; TEXT(AD$6,"yyyymm")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E82" s="8">
        <f>IFERROR(
GETPIVOTDATA(
"[Base].[Importe]",
TDinamica_R!$A$5,
"[Calendario].[AñoMes]",
"[Calendario].[AñoMes].&amp;[" &amp; TEXT(AE$6,"yyyymm")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F82" s="8">
        <f>IFERROR(
GETPIVOTDATA(
"[Base].[Importe]",
TDinamica_R!$A$5,
"[Calendario].[AñoMes]",
"[Calendario].[AñoMes].&amp;[" &amp; TEXT(AF$6,"yyyymm")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G82" s="8">
        <f>IFERROR(
GETPIVOTDATA(
"[Base].[Importe]",
TDinamica_R!$A$5,
"[Calendario].[AñoMes]",
"[Calendario].[AñoMes].&amp;[" &amp; TEXT(AG$6,"yyyymm")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H82" s="8">
        <f>IFERROR(
GETPIVOTDATA(
"[Base].[Importe]",
TDinamica_R!$A$5,
"[Calendario].[AñoMes]",
"[Calendario].[AñoMes].&amp;[" &amp; TEXT(AH$6,"yyyymm")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I82" s="8">
        <f>IFERROR(
GETPIVOTDATA(
"[Base].[Importe]",
TDinamica_R!$A$5,
"[Calendario].[AñoMes]",
"[Calendario].[AñoMes].&amp;[" &amp; TEXT(AI$6,"yyyymm")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J82" s="8">
        <f>IFERROR(
GETPIVOTDATA(
"[Base].[Importe]",
TDinamica_R!$A$5,
"[Calendario].[AñoMes]",
"[Calendario].[AñoMes].&amp;[" &amp; TEXT(AJ$6,"yyyymm")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K82" s="8">
        <f>IFERROR(
GETPIVOTDATA(
"[Base].[Importe]",
TDinamica_R!$A$5,
"[Calendario].[AñoMes]",
"[Calendario].[AñoMes].&amp;[" &amp; TEXT(AK$6,"yyyymm")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L82" s="8">
        <f>IFERROR(
GETPIVOTDATA(
"[Base].[Importe]",
TDinamica_R!$A$5,
"[Calendario].[AñoMes]",
"[Calendario].[AñoMes].&amp;[" &amp; TEXT(AL$6,"yyyymm")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M82" s="8">
        <f>IFERROR(
GETPIVOTDATA(
"[Base].[Importe]",
TDinamica_R!$A$5,
"[Calendario].[AñoMes]",
"[Calendario].[AñoMes].&amp;[" &amp; TEXT(AM$6,"yyyymm")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N82" s="8">
        <f>IFERROR(
GETPIVOTDATA(
"[Base].[Importe]",
TDinamica_R!$A$5,
"[Calendario].[AñoMes]",
"[Calendario].[AñoMes].&amp;[" &amp; TEXT(AN$6,"yyyymm")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O82" s="8">
        <f>IFERROR(
GETPIVOTDATA(
"[Base].[Importe]",
TDinamica_R!$A$5,
"[Calendario].[AñoMes]",
"[Calendario].[AñoMes].&amp;[" &amp; TEXT(AO$6,"yyyymm")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P82" s="8">
        <f>IFERROR(
GETPIVOTDATA(
"[Base].[Importe]",
TDinamica_R!$A$5,
"[Calendario].[AñoMes]",
"[Calendario].[AñoMes].&amp;[" &amp; TEXT(AP$6,"yyyymm")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Q82" s="8">
        <f>IFERROR(
GETPIVOTDATA(
"[Base].[Importe]",
TDinamica_R!$A$5,
"[Calendario].[AñoMes]",
"[Calendario].[AñoMes].&amp;[" &amp; TEXT(AQ$6,"yyyymm")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R82" s="8">
        <f>IFERROR(
GETPIVOTDATA(
"[Base].[Importe]",
TDinamica_R!$A$5,
"[Calendario].[AñoMes]",
"[Calendario].[AñoMes].&amp;[" &amp; TEXT(AR$6,"yyyymm")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S82" s="8">
        <f>IFERROR(
GETPIVOTDATA(
"[Base].[Importe]",
TDinamica_R!$A$5,
"[Calendario].[AñoMes]",
"[Calendario].[AñoMes].&amp;[" &amp; TEXT(AS$6,"yyyymm")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T82" s="8">
        <f>IFERROR(
GETPIVOTDATA(
"[Base].[Importe]",
TDinamica_R!$A$5,
"[Calendario].[AñoMes]",
"[Calendario].[AñoMes].&amp;[" &amp; TEXT(AT$6,"yyyymm")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U82" s="8">
        <f>IFERROR(
GETPIVOTDATA(
"[Base].[Importe]",
TDinamica_R!$A$5,
"[Calendario].[AñoMes]",
"[Calendario].[AñoMes].&amp;[" &amp; TEXT(AU$6,"yyyymm")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V82" s="8">
        <f>IFERROR(
GETPIVOTDATA(
"[Base].[Importe]",
TDinamica_R!$A$5,
"[Calendario].[AñoMes]",
"[Calendario].[AñoMes].&amp;[" &amp; TEXT(AV$6,"yyyymm")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W82" s="8">
        <f>IFERROR(
GETPIVOTDATA(
"[Base].[Importe]",
TDinamica_R!$A$5,
"[Calendario].[AñoMes]",
"[Calendario].[AñoMes].&amp;[" &amp; TEXT(AW$6,"yyyymm")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X82" s="8">
        <f>IFERROR(
GETPIVOTDATA(
"[Base].[Importe]",
TDinamica_R!$A$5,
"[Calendario].[AñoMes]",
"[Calendario].[AñoMes].&amp;[" &amp; TEXT(AX$6,"yyyymm")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Y82" s="8">
        <f>IFERROR(
GETPIVOTDATA(
"[Base].[Importe]",
TDinamica_R!$A$5,
"[Calendario].[AñoMes]",
"[Calendario].[AñoMes].&amp;[" &amp; TEXT(AY$6,"yyyymm")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Z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"[BASE_HIPO_PPTO].[Periodo]","[BASE_HIPO_PPTO].[Periodo].&amp;["&amp;TEXT(AZ$6,"yyyymm")&amp;"]"),
0)/1000</f>
        <v>0</v>
      </c>
      <c r="BA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"[BASE_HIPO_PPTO].[Periodo]","[BASE_HIPO_PPTO].[Periodo].&amp;["&amp;TEXT(BA$6,"yyyymm")&amp;"]"),
0)/1000</f>
        <v>0</v>
      </c>
      <c r="BB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"[BASE_HIPO_PPTO].[Periodo]","[BASE_HIPO_PPTO].[Periodo].&amp;["&amp;TEXT(BB$6,"yyyymm")&amp;"]"),
0)/1000</f>
        <v>0</v>
      </c>
      <c r="BC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"[BASE_HIPO_PPTO].[Periodo]","[BASE_HIPO_PPTO].[Periodo].&amp;["&amp;TEXT(BC$6,"yyyymm")&amp;"]"),
0)/1000</f>
        <v>0</v>
      </c>
      <c r="BD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"[BASE_HIPO_PPTO].[Periodo]","[BASE_HIPO_PPTO].[Periodo].&amp;["&amp;TEXT(BD$6,"yyyymm")&amp;"]"),
0)/1000</f>
        <v>0</v>
      </c>
      <c r="BE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"[BASE_HIPO_PPTO].[Periodo]","[BASE_HIPO_PPTO].[Periodo].&amp;["&amp;TEXT(BE$6,"yyyymm")&amp;"]"),
0)/1000</f>
        <v>0</v>
      </c>
      <c r="BF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"[BASE_HIPO_PPTO].[Periodo]","[BASE_HIPO_PPTO].[Periodo].&amp;["&amp;TEXT(BF$6,"yyyymm")&amp;"]"),
0)/1000</f>
        <v>0</v>
      </c>
      <c r="BG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"[BASE_HIPO_PPTO].[Periodo]","[BASE_HIPO_PPTO].[Periodo].&amp;["&amp;TEXT(BG$6,"yyyymm")&amp;"]"),
0)/1000</f>
        <v>0</v>
      </c>
      <c r="BH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"[BASE_HIPO_PPTO].[Periodo]","[BASE_HIPO_PPTO].[Periodo].&amp;["&amp;TEXT(BH$6,"yyyymm")&amp;"]"),
0)/1000</f>
        <v>0</v>
      </c>
      <c r="BI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"[BASE_HIPO_PPTO].[Periodo]","[BASE_HIPO_PPTO].[Periodo].&amp;["&amp;TEXT(BI$6,"yyyymm")&amp;"]"),
0)/1000</f>
        <v>0</v>
      </c>
      <c r="BJ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"[BASE_HIPO_PPTO].[Periodo]","[BASE_HIPO_PPTO].[Periodo].&amp;["&amp;TEXT(BJ$6,"yyyymm")&amp;"]"),
0)/1000</f>
        <v>0</v>
      </c>
      <c r="BK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"[BASE_HIPO_PPTO].[Periodo]","[BASE_HIPO_PPTO].[Periodo].&amp;["&amp;TEXT(BK$6,"yyyymm")&amp;"]"),
0)/1000</f>
        <v>0</v>
      </c>
      <c r="BO82" s="24">
        <f t="shared" si="150"/>
        <v>0</v>
      </c>
      <c r="BP82" s="24">
        <f t="shared" si="150"/>
        <v>0</v>
      </c>
      <c r="BQ82" s="24">
        <f t="shared" si="150"/>
        <v>0</v>
      </c>
      <c r="BR82" s="24">
        <f t="shared" si="150"/>
        <v>0</v>
      </c>
      <c r="BS82" s="24">
        <f t="shared" si="150"/>
        <v>0</v>
      </c>
      <c r="BT82" s="24">
        <f t="shared" si="150"/>
        <v>0</v>
      </c>
    </row>
    <row r="83" spans="1:72" collapsed="1" x14ac:dyDescent="0.25">
      <c r="C83" s="3" t="s">
        <v>71</v>
      </c>
      <c r="D83" s="10">
        <f t="shared" ref="D83:BK83" si="151">SUM(D63:D82)</f>
        <v>534.53008260509409</v>
      </c>
      <c r="E83" s="10">
        <f t="shared" si="151"/>
        <v>490.83983709546237</v>
      </c>
      <c r="F83" s="10">
        <f t="shared" si="151"/>
        <v>500.91482240657581</v>
      </c>
      <c r="G83" s="10">
        <f t="shared" si="151"/>
        <v>502.82997635183415</v>
      </c>
      <c r="H83" s="10">
        <f t="shared" si="151"/>
        <v>437.38218484796471</v>
      </c>
      <c r="I83" s="10">
        <f t="shared" si="151"/>
        <v>373.57206512627783</v>
      </c>
      <c r="J83" s="10">
        <f t="shared" si="151"/>
        <v>375.51396771934418</v>
      </c>
      <c r="K83" s="10">
        <f t="shared" si="151"/>
        <v>389.41436652036691</v>
      </c>
      <c r="L83" s="10">
        <f t="shared" si="151"/>
        <v>301.03089613669511</v>
      </c>
      <c r="M83" s="10">
        <f t="shared" si="151"/>
        <v>429.56380431405688</v>
      </c>
      <c r="N83" s="10">
        <f t="shared" si="151"/>
        <v>280.73450560474197</v>
      </c>
      <c r="O83" s="10">
        <f t="shared" si="151"/>
        <v>405.55910105899244</v>
      </c>
      <c r="P83" s="10">
        <f t="shared" si="151"/>
        <v>424.0905260259679</v>
      </c>
      <c r="Q83" s="10">
        <f t="shared" si="151"/>
        <v>215.58050809536692</v>
      </c>
      <c r="R83" s="10">
        <f t="shared" si="151"/>
        <v>342.8425524679065</v>
      </c>
      <c r="S83" s="10">
        <f t="shared" si="151"/>
        <v>354.69775495167943</v>
      </c>
      <c r="T83" s="10">
        <f t="shared" si="151"/>
        <v>373.13793779989248</v>
      </c>
      <c r="U83" s="10">
        <f t="shared" si="151"/>
        <v>357.30193565241228</v>
      </c>
      <c r="V83" s="10">
        <f t="shared" si="151"/>
        <v>448.66036070874316</v>
      </c>
      <c r="W83" s="10">
        <f t="shared" si="151"/>
        <v>419.10584381214119</v>
      </c>
      <c r="X83" s="10">
        <f t="shared" si="151"/>
        <v>605.94240581446047</v>
      </c>
      <c r="Y83" s="10">
        <f t="shared" si="151"/>
        <v>-0.71767282809081756</v>
      </c>
      <c r="Z83" s="10">
        <f t="shared" si="151"/>
        <v>238.83059159808704</v>
      </c>
      <c r="AA83" s="10">
        <f t="shared" si="151"/>
        <v>459.17733863709873</v>
      </c>
      <c r="AB83" s="10">
        <f t="shared" si="151"/>
        <v>517.166918736257</v>
      </c>
      <c r="AC83" s="10">
        <f t="shared" si="151"/>
        <v>431.66115150113416</v>
      </c>
      <c r="AD83" s="10">
        <f t="shared" si="151"/>
        <v>498.14189254755416</v>
      </c>
      <c r="AE83" s="10">
        <f t="shared" si="151"/>
        <v>512.45135815008064</v>
      </c>
      <c r="AF83" s="10">
        <f t="shared" si="151"/>
        <v>470.63781552095855</v>
      </c>
      <c r="AG83" s="10">
        <f t="shared" si="151"/>
        <v>539.26091419171689</v>
      </c>
      <c r="AH83" s="10">
        <f t="shared" si="151"/>
        <v>462.11370204149898</v>
      </c>
      <c r="AI83" s="10">
        <f t="shared" si="151"/>
        <v>497.99604222280931</v>
      </c>
      <c r="AJ83" s="10">
        <f t="shared" si="151"/>
        <v>375.41895959234205</v>
      </c>
      <c r="AK83" s="10">
        <f t="shared" si="151"/>
        <v>557.86430237259083</v>
      </c>
      <c r="AL83" s="10">
        <f t="shared" si="151"/>
        <v>632.44884272578906</v>
      </c>
      <c r="AM83" s="10">
        <f t="shared" si="151"/>
        <v>634.34882332499001</v>
      </c>
      <c r="AN83" s="10">
        <f t="shared" si="151"/>
        <v>569.23174531492066</v>
      </c>
      <c r="AO83" s="10">
        <f t="shared" si="151"/>
        <v>405.58315597425604</v>
      </c>
      <c r="AP83" s="10">
        <f t="shared" si="151"/>
        <v>619.29786630277931</v>
      </c>
      <c r="AQ83" s="10">
        <f t="shared" si="151"/>
        <v>528.08852971385193</v>
      </c>
      <c r="AR83" s="10">
        <f t="shared" si="151"/>
        <v>735.78828857061137</v>
      </c>
      <c r="AS83" s="10">
        <f t="shared" si="151"/>
        <v>496.73610519146371</v>
      </c>
      <c r="AT83" s="10">
        <f t="shared" si="151"/>
        <v>0</v>
      </c>
      <c r="AU83" s="10">
        <f t="shared" si="151"/>
        <v>0</v>
      </c>
      <c r="AV83" s="10">
        <f t="shared" si="151"/>
        <v>0</v>
      </c>
      <c r="AW83" s="10">
        <f t="shared" si="151"/>
        <v>0</v>
      </c>
      <c r="AX83" s="10">
        <f t="shared" si="151"/>
        <v>0</v>
      </c>
      <c r="AY83" s="10">
        <f t="shared" si="151"/>
        <v>0</v>
      </c>
      <c r="AZ83" s="10">
        <f t="shared" si="151"/>
        <v>498.45930301592392</v>
      </c>
      <c r="BA83" s="10">
        <f t="shared" si="151"/>
        <v>499.64344826039485</v>
      </c>
      <c r="BB83" s="10">
        <f t="shared" si="151"/>
        <v>500.56348432030455</v>
      </c>
      <c r="BC83" s="10">
        <f t="shared" si="151"/>
        <v>501.65387067905971</v>
      </c>
      <c r="BD83" s="10">
        <f t="shared" si="151"/>
        <v>502.99800833829505</v>
      </c>
      <c r="BE83" s="10">
        <f t="shared" si="151"/>
        <v>504.53763194447941</v>
      </c>
      <c r="BF83" s="10">
        <f t="shared" si="151"/>
        <v>505.88412209803607</v>
      </c>
      <c r="BG83" s="10">
        <f t="shared" si="151"/>
        <v>507.78817546577079</v>
      </c>
      <c r="BH83" s="10">
        <f t="shared" si="151"/>
        <v>509.61958870854494</v>
      </c>
      <c r="BI83" s="10">
        <f t="shared" si="151"/>
        <v>511.90599822180457</v>
      </c>
      <c r="BJ83" s="10">
        <f t="shared" si="151"/>
        <v>513.7780028587074</v>
      </c>
      <c r="BK83" s="10">
        <f t="shared" si="151"/>
        <v>511.37600366542591</v>
      </c>
      <c r="BO83" s="23">
        <f>SUM(BO63:BO82)</f>
        <v>1594.1127675919561</v>
      </c>
      <c r="BP83" s="23">
        <f t="shared" ref="BP83:BT83" si="152">SUM(BP63:BP82)</f>
        <v>1498.6662355966234</v>
      </c>
      <c r="BQ83" s="23">
        <f t="shared" si="152"/>
        <v>974.81490128917676</v>
      </c>
      <c r="BR83" s="23">
        <f t="shared" si="152"/>
        <v>1446.9699627849452</v>
      </c>
      <c r="BS83" s="23">
        <f t="shared" si="152"/>
        <v>982.5135865892413</v>
      </c>
      <c r="BT83" s="23">
        <f t="shared" si="152"/>
        <v>1526.2847421071328</v>
      </c>
    </row>
    <row r="86" spans="1:72" hidden="1" outlineLevel="1" x14ac:dyDescent="0.25">
      <c r="A86" s="11" t="s">
        <v>76</v>
      </c>
      <c r="C86" s="2" t="s">
        <v>79</v>
      </c>
      <c r="D86" s="8">
        <f>IFERROR(
GETPIVOTDATA(
"[Base].[Importe]",
TDinamica_R!$A$5,
"[Calendario].[AñoMes]",
"[Calendario].[AñoMes].&amp;[" &amp; TEXT(D$6,"yyyymm") &amp; "]",
"[Base].[Metrica]",
"[Base].[Metrica].&amp;[" &amp; $A86 &amp; "]",
"[Base].[SEGMENTO_DESCRIP]",
"[Base].[SEGMENTO_DESCRIP].&amp;[" &amp; $C$6 &amp; "]",
"[Base].[SITUACION]",
"[Base].[SITUACION].&amp;[" &amp; $C86 &amp; "]"
),0)/1000</f>
        <v>-1287.5405133521999</v>
      </c>
      <c r="E86" s="8">
        <f>IFERROR(
GETPIVOTDATA(
"[Base].[Importe]",
TDinamica_R!$A$5,
"[Calendario].[AñoMes]",
"[Calendario].[AñoMes].&amp;[" &amp; TEXT(E$6,"yyyymm") &amp; "]",
"[Base].[Metrica]",
"[Base].[Metrica].&amp;[" &amp; $A86 &amp; "]",
"[Base].[SEGMENTO_DESCRIP]",
"[Base].[SEGMENTO_DESCRIP].&amp;[" &amp; $C$6 &amp; "]",
"[Base].[SITUACION]",
"[Base].[SITUACION].&amp;[" &amp; $C86 &amp; "]"
),0)/1000</f>
        <v>-1281.2134326713999</v>
      </c>
      <c r="F86" s="8">
        <f>IFERROR(
GETPIVOTDATA(
"[Base].[Importe]",
TDinamica_R!$A$5,
"[Calendario].[AñoMes]",
"[Calendario].[AñoMes].&amp;[" &amp; TEXT(F$6,"yyyymm") &amp; "]",
"[Base].[Metrica]",
"[Base].[Metrica].&amp;[" &amp; $A86 &amp; "]",
"[Base].[SEGMENTO_DESCRIP]",
"[Base].[SEGMENTO_DESCRIP].&amp;[" &amp; $C$6 &amp; "]",
"[Base].[SITUACION]",
"[Base].[SITUACION].&amp;[" &amp; $C86 &amp; "]"
),0)/1000</f>
        <v>-1383.0766195511001</v>
      </c>
      <c r="G86" s="8">
        <f>IFERROR(
GETPIVOTDATA(
"[Base].[Importe]",
TDinamica_R!$A$5,
"[Calendario].[AñoMes]",
"[Calendario].[AñoMes].&amp;[" &amp; TEXT(G$6,"yyyymm") &amp; "]",
"[Base].[Metrica]",
"[Base].[Metrica].&amp;[" &amp; $A86 &amp; "]",
"[Base].[SEGMENTO_DESCRIP]",
"[Base].[SEGMENTO_DESCRIP].&amp;[" &amp; $C$6 &amp; "]",
"[Base].[SITUACION]",
"[Base].[SITUACION].&amp;[" &amp; $C86 &amp; "]"
),0)/1000</f>
        <v>-1404.3200049649001</v>
      </c>
      <c r="H86" s="8">
        <f>IFERROR(
GETPIVOTDATA(
"[Base].[Importe]",
TDinamica_R!$A$5,
"[Calendario].[AñoMes]",
"[Calendario].[AñoMes].&amp;[" &amp; TEXT(H$6,"yyyymm") &amp; "]",
"[Base].[Metrica]",
"[Base].[Metrica].&amp;[" &amp; $A86 &amp; "]",
"[Base].[SEGMENTO_DESCRIP]",
"[Base].[SEGMENTO_DESCRIP].&amp;[" &amp; $C$6 &amp; "]",
"[Base].[SITUACION]",
"[Base].[SITUACION].&amp;[" &amp; $C86 &amp; "]"
),0)/1000</f>
        <v>-1347.9656693694999</v>
      </c>
      <c r="I86" s="8">
        <f>IFERROR(
GETPIVOTDATA(
"[Base].[Importe]",
TDinamica_R!$A$5,
"[Calendario].[AñoMes]",
"[Calendario].[AñoMes].&amp;[" &amp; TEXT(I$6,"yyyymm") &amp; "]",
"[Base].[Metrica]",
"[Base].[Metrica].&amp;[" &amp; $A86 &amp; "]",
"[Base].[SEGMENTO_DESCRIP]",
"[Base].[SEGMENTO_DESCRIP].&amp;[" &amp; $C$6 &amp; "]",
"[Base].[SITUACION]",
"[Base].[SITUACION].&amp;[" &amp; $C86 &amp; "]"
),0)/1000</f>
        <v>-1366.9450283851002</v>
      </c>
      <c r="J86" s="8">
        <f>IFERROR(
GETPIVOTDATA(
"[Base].[Importe]",
TDinamica_R!$A$5,
"[Calendario].[AñoMes]",
"[Calendario].[AñoMes].&amp;[" &amp; TEXT(J$6,"yyyymm") &amp; "]",
"[Base].[Metrica]",
"[Base].[Metrica].&amp;[" &amp; $A86 &amp; "]",
"[Base].[SEGMENTO_DESCRIP]",
"[Base].[SEGMENTO_DESCRIP].&amp;[" &amp; $C$6 &amp; "]",
"[Base].[SITUACION]",
"[Base].[SITUACION].&amp;[" &amp; $C86 &amp; "]"
),0)/1000</f>
        <v>-1295.1901728296</v>
      </c>
      <c r="K86" s="8">
        <f>IFERROR(
GETPIVOTDATA(
"[Base].[Importe]",
TDinamica_R!$A$5,
"[Calendario].[AñoMes]",
"[Calendario].[AñoMes].&amp;[" &amp; TEXT(K$6,"yyyymm") &amp; "]",
"[Base].[Metrica]",
"[Base].[Metrica].&amp;[" &amp; $A86 &amp; "]",
"[Base].[SEGMENTO_DESCRIP]",
"[Base].[SEGMENTO_DESCRIP].&amp;[" &amp; $C$6 &amp; "]",
"[Base].[SITUACION]",
"[Base].[SITUACION].&amp;[" &amp; $C86 &amp; "]"
),0)/1000</f>
        <v>-1198.8044416772</v>
      </c>
      <c r="L86" s="8">
        <f>IFERROR(
GETPIVOTDATA(
"[Base].[Importe]",
TDinamica_R!$A$5,
"[Calendario].[AñoMes]",
"[Calendario].[AñoMes].&amp;[" &amp; TEXT(L$6,"yyyymm") &amp; "]",
"[Base].[Metrica]",
"[Base].[Metrica].&amp;[" &amp; $A86 &amp; "]",
"[Base].[SEGMENTO_DESCRIP]",
"[Base].[SEGMENTO_DESCRIP].&amp;[" &amp; $C$6 &amp; "]",
"[Base].[SITUACION]",
"[Base].[SITUACION].&amp;[" &amp; $C86 &amp; "]"
),0)/1000</f>
        <v>-1297.7128946444998</v>
      </c>
      <c r="M86" s="8">
        <f>IFERROR(
GETPIVOTDATA(
"[Base].[Importe]",
TDinamica_R!$A$5,
"[Calendario].[AñoMes]",
"[Calendario].[AñoMes].&amp;[" &amp; TEXT(M$6,"yyyymm") &amp; "]",
"[Base].[Metrica]",
"[Base].[Metrica].&amp;[" &amp; $A86 &amp; "]",
"[Base].[SEGMENTO_DESCRIP]",
"[Base].[SEGMENTO_DESCRIP].&amp;[" &amp; $C$6 &amp; "]",
"[Base].[SITUACION]",
"[Base].[SITUACION].&amp;[" &amp; $C86 &amp; "]"
),0)/1000</f>
        <v>-1238.5393977806998</v>
      </c>
      <c r="N86" s="8">
        <f>IFERROR(
GETPIVOTDATA(
"[Base].[Importe]",
TDinamica_R!$A$5,
"[Calendario].[AñoMes]",
"[Calendario].[AñoMes].&amp;[" &amp; TEXT(N$6,"yyyymm") &amp; "]",
"[Base].[Metrica]",
"[Base].[Metrica].&amp;[" &amp; $A86 &amp; "]",
"[Base].[SEGMENTO_DESCRIP]",
"[Base].[SEGMENTO_DESCRIP].&amp;[" &amp; $C$6 &amp; "]",
"[Base].[SITUACION]",
"[Base].[SITUACION].&amp;[" &amp; $C86 &amp; "]"
),0)/1000</f>
        <v>-1240.1525465569</v>
      </c>
      <c r="O86" s="8">
        <f>IFERROR(
GETPIVOTDATA(
"[Base].[Importe]",
TDinamica_R!$A$5,
"[Calendario].[AñoMes]",
"[Calendario].[AñoMes].&amp;[" &amp; TEXT(O$6,"yyyymm") &amp; "]",
"[Base].[Metrica]",
"[Base].[Metrica].&amp;[" &amp; $A86 &amp; "]",
"[Base].[SEGMENTO_DESCRIP]",
"[Base].[SEGMENTO_DESCRIP].&amp;[" &amp; $C$6 &amp; "]",
"[Base].[SITUACION]",
"[Base].[SITUACION].&amp;[" &amp; $C86 &amp; "]"
),0)/1000</f>
        <v>-1236.7901775913999</v>
      </c>
      <c r="P86" s="8">
        <f>IFERROR(
GETPIVOTDATA(
"[Base].[Importe]",
TDinamica_R!$A$5,
"[Calendario].[AñoMes]",
"[Calendario].[AñoMes].&amp;[" &amp; TEXT(P$6,"yyyymm") &amp; "]",
"[Base].[Metrica]",
"[Base].[Metrica].&amp;[" &amp; $A86 &amp; "]",
"[Base].[SEGMENTO_DESCRIP]",
"[Base].[SEGMENTO_DESCRIP].&amp;[" &amp; $C$6 &amp; "]",
"[Base].[SITUACION]",
"[Base].[SITUACION].&amp;[" &amp; $C86 &amp; "]"
),0)/1000</f>
        <v>-1149.5307852230999</v>
      </c>
      <c r="Q86" s="8">
        <f>IFERROR(
GETPIVOTDATA(
"[Base].[Importe]",
TDinamica_R!$A$5,
"[Calendario].[AñoMes]",
"[Calendario].[AñoMes].&amp;[" &amp; TEXT(Q$6,"yyyymm") &amp; "]",
"[Base].[Metrica]",
"[Base].[Metrica].&amp;[" &amp; $A86 &amp; "]",
"[Base].[SEGMENTO_DESCRIP]",
"[Base].[SEGMENTO_DESCRIP].&amp;[" &amp; $C$6 &amp; "]",
"[Base].[SITUACION]",
"[Base].[SITUACION].&amp;[" &amp; $C86 &amp; "]"
),0)/1000</f>
        <v>-1354.8030617655002</v>
      </c>
      <c r="R86" s="8">
        <f>IFERROR(
GETPIVOTDATA(
"[Base].[Importe]",
TDinamica_R!$A$5,
"[Calendario].[AñoMes]",
"[Calendario].[AñoMes].&amp;[" &amp; TEXT(R$6,"yyyymm") &amp; "]",
"[Base].[Metrica]",
"[Base].[Metrica].&amp;[" &amp; $A86 &amp; "]",
"[Base].[SEGMENTO_DESCRIP]",
"[Base].[SEGMENTO_DESCRIP].&amp;[" &amp; $C$6 &amp; "]",
"[Base].[SITUACION]",
"[Base].[SITUACION].&amp;[" &amp; $C86 &amp; "]"
),0)/1000</f>
        <v>-1339.8948985597001</v>
      </c>
      <c r="S86" s="8">
        <f>IFERROR(
GETPIVOTDATA(
"[Base].[Importe]",
TDinamica_R!$A$5,
"[Calendario].[AñoMes]",
"[Calendario].[AñoMes].&amp;[" &amp; TEXT(S$6,"yyyymm") &amp; "]",
"[Base].[Metrica]",
"[Base].[Metrica].&amp;[" &amp; $A86 &amp; "]",
"[Base].[SEGMENTO_DESCRIP]",
"[Base].[SEGMENTO_DESCRIP].&amp;[" &amp; $C$6 &amp; "]",
"[Base].[SITUACION]",
"[Base].[SITUACION].&amp;[" &amp; $C86 &amp; "]"
),0)/1000</f>
        <v>-1291.2534296863</v>
      </c>
      <c r="T86" s="8">
        <f>IFERROR(
GETPIVOTDATA(
"[Base].[Importe]",
TDinamica_R!$A$5,
"[Calendario].[AñoMes]",
"[Calendario].[AñoMes].&amp;[" &amp; TEXT(T$6,"yyyymm") &amp; "]",
"[Base].[Metrica]",
"[Base].[Metrica].&amp;[" &amp; $A86 &amp; "]",
"[Base].[SEGMENTO_DESCRIP]",
"[Base].[SEGMENTO_DESCRIP].&amp;[" &amp; $C$6 &amp; "]",
"[Base].[SITUACION]",
"[Base].[SITUACION].&amp;[" &amp; $C86 &amp; "]"
),0)/1000</f>
        <v>-1374.9561502942001</v>
      </c>
      <c r="U86" s="8">
        <f>IFERROR(
GETPIVOTDATA(
"[Base].[Importe]",
TDinamica_R!$A$5,
"[Calendario].[AñoMes]",
"[Calendario].[AñoMes].&amp;[" &amp; TEXT(U$6,"yyyymm") &amp; "]",
"[Base].[Metrica]",
"[Base].[Metrica].&amp;[" &amp; $A86 &amp; "]",
"[Base].[SEGMENTO_DESCRIP]",
"[Base].[SEGMENTO_DESCRIP].&amp;[" &amp; $C$6 &amp; "]",
"[Base].[SITUACION]",
"[Base].[SITUACION].&amp;[" &amp; $C86 &amp; "]"
),0)/1000</f>
        <v>-1246.5130023498</v>
      </c>
      <c r="V86" s="8">
        <f>IFERROR(
GETPIVOTDATA(
"[Base].[Importe]",
TDinamica_R!$A$5,
"[Calendario].[AñoMes]",
"[Calendario].[AñoMes].&amp;[" &amp; TEXT(V$6,"yyyymm") &amp; "]",
"[Base].[Metrica]",
"[Base].[Metrica].&amp;[" &amp; $A86 &amp; "]",
"[Base].[SEGMENTO_DESCRIP]",
"[Base].[SEGMENTO_DESCRIP].&amp;[" &amp; $C$6 &amp; "]",
"[Base].[SITUACION]",
"[Base].[SITUACION].&amp;[" &amp; $C86 &amp; "]"
),0)/1000</f>
        <v>-1437.7798369458999</v>
      </c>
      <c r="W86" s="8">
        <f>IFERROR(
GETPIVOTDATA(
"[Base].[Importe]",
TDinamica_R!$A$5,
"[Calendario].[AñoMes]",
"[Calendario].[AñoMes].&amp;[" &amp; TEXT(W$6,"yyyymm") &amp; "]",
"[Base].[Metrica]",
"[Base].[Metrica].&amp;[" &amp; $A86 &amp; "]",
"[Base].[SEGMENTO_DESCRIP]",
"[Base].[SEGMENTO_DESCRIP].&amp;[" &amp; $C$6 &amp; "]",
"[Base].[SITUACION]",
"[Base].[SITUACION].&amp;[" &amp; $C86 &amp; "]"
),0)/1000</f>
        <v>-1424.4273805322</v>
      </c>
      <c r="X86" s="8">
        <f>IFERROR(
GETPIVOTDATA(
"[Base].[Importe]",
TDinamica_R!$A$5,
"[Calendario].[AñoMes]",
"[Calendario].[AñoMes].&amp;[" &amp; TEXT(X$6,"yyyymm") &amp; "]",
"[Base].[Metrica]",
"[Base].[Metrica].&amp;[" &amp; $A86 &amp; "]",
"[Base].[SEGMENTO_DESCRIP]",
"[Base].[SEGMENTO_DESCRIP].&amp;[" &amp; $C$6 &amp; "]",
"[Base].[SITUACION]",
"[Base].[SITUACION].&amp;[" &amp; $C86 &amp; "]"
),0)/1000</f>
        <v>-1370.0159045278001</v>
      </c>
      <c r="Y86" s="8">
        <f>IFERROR(
GETPIVOTDATA(
"[Base].[Importe]",
TDinamica_R!$A$5,
"[Calendario].[AñoMes]",
"[Calendario].[AñoMes].&amp;[" &amp; TEXT(Y$6,"yyyymm") &amp; "]",
"[Base].[Metrica]",
"[Base].[Metrica].&amp;[" &amp; $A86 &amp; "]",
"[Base].[SEGMENTO_DESCRIP]",
"[Base].[SEGMENTO_DESCRIP].&amp;[" &amp; $C$6 &amp; "]",
"[Base].[SITUACION]",
"[Base].[SITUACION].&amp;[" &amp; $C86 &amp; "]"
),0)/1000</f>
        <v>-1382.3727739420999</v>
      </c>
      <c r="Z86" s="8">
        <f>IFERROR(
GETPIVOTDATA(
"[Base].[Importe]",
TDinamica_R!$A$5,
"[Calendario].[AñoMes]",
"[Calendario].[AñoMes].&amp;[" &amp; TEXT(Z$6,"yyyymm") &amp; "]",
"[Base].[Metrica]",
"[Base].[Metrica].&amp;[" &amp; $A86 &amp; "]",
"[Base].[SEGMENTO_DESCRIP]",
"[Base].[SEGMENTO_DESCRIP].&amp;[" &amp; $C$6 &amp; "]",
"[Base].[SITUACION]",
"[Base].[SITUACION].&amp;[" &amp; $C86 &amp; "]"
),0)/1000</f>
        <v>-1607.8803534360002</v>
      </c>
      <c r="AA86" s="8">
        <f>IFERROR(
GETPIVOTDATA(
"[Base].[Importe]",
TDinamica_R!$A$5,
"[Calendario].[AñoMes]",
"[Calendario].[AñoMes].&amp;[" &amp; TEXT(AA$6,"yyyymm") &amp; "]",
"[Base].[Metrica]",
"[Base].[Metrica].&amp;[" &amp; $A86 &amp; "]",
"[Base].[SEGMENTO_DESCRIP]",
"[Base].[SEGMENTO_DESCRIP].&amp;[" &amp; $C$6 &amp; "]",
"[Base].[SITUACION]",
"[Base].[SITUACION].&amp;[" &amp; $C86 &amp; "]"
),0)/1000</f>
        <v>-1462.8026270756</v>
      </c>
      <c r="AB86" s="8">
        <f>IFERROR(
GETPIVOTDATA(
"[Base].[Importe]",
TDinamica_R!$A$5,
"[Calendario].[AñoMes]",
"[Calendario].[AñoMes].&amp;[" &amp; TEXT(AB$6,"yyyymm") &amp; "]",
"[Base].[Metrica]",
"[Base].[Metrica].&amp;[" &amp; $A86 &amp; "]",
"[Base].[SEGMENTO_DESCRIP]",
"[Base].[SEGMENTO_DESCRIP].&amp;[" &amp; $C$6 &amp; "]",
"[Base].[SITUACION]",
"[Base].[SITUACION].&amp;[" &amp; $C86 &amp; "]"
),0)/1000</f>
        <v>-1528.1277947339001</v>
      </c>
      <c r="AC86" s="8">
        <f>IFERROR(
GETPIVOTDATA(
"[Base].[Importe]",
TDinamica_R!$A$5,
"[Calendario].[AñoMes]",
"[Calendario].[AñoMes].&amp;[" &amp; TEXT(AC$6,"yyyymm") &amp; "]",
"[Base].[Metrica]",
"[Base].[Metrica].&amp;[" &amp; $A86 &amp; "]",
"[Base].[SEGMENTO_DESCRIP]",
"[Base].[SEGMENTO_DESCRIP].&amp;[" &amp; $C$6 &amp; "]",
"[Base].[SITUACION]",
"[Base].[SITUACION].&amp;[" &amp; $C86 &amp; "]"
),0)/1000</f>
        <v>-1500.5400478007</v>
      </c>
      <c r="AD86" s="8">
        <f>IFERROR(
GETPIVOTDATA(
"[Base].[Importe]",
TDinamica_R!$A$5,
"[Calendario].[AñoMes]",
"[Calendario].[AñoMes].&amp;[" &amp; TEXT(AD$6,"yyyymm") &amp; "]",
"[Base].[Metrica]",
"[Base].[Metrica].&amp;[" &amp; $A86 &amp; "]",
"[Base].[SEGMENTO_DESCRIP]",
"[Base].[SEGMENTO_DESCRIP].&amp;[" &amp; $C$6 &amp; "]",
"[Base].[SITUACION]",
"[Base].[SITUACION].&amp;[" &amp; $C86 &amp; "]"
),0)/1000</f>
        <v>-1532.5498050858</v>
      </c>
      <c r="AE86" s="8">
        <f>IFERROR(
GETPIVOTDATA(
"[Base].[Importe]",
TDinamica_R!$A$5,
"[Calendario].[AñoMes]",
"[Calendario].[AñoMes].&amp;[" &amp; TEXT(AE$6,"yyyymm") &amp; "]",
"[Base].[Metrica]",
"[Base].[Metrica].&amp;[" &amp; $A86 &amp; "]",
"[Base].[SEGMENTO_DESCRIP]",
"[Base].[SEGMENTO_DESCRIP].&amp;[" &amp; $C$6 &amp; "]",
"[Base].[SITUACION]",
"[Base].[SITUACION].&amp;[" &amp; $C86 &amp; "]"
),0)/1000</f>
        <v>-1589.2735872105</v>
      </c>
      <c r="AF86" s="8">
        <f>IFERROR(
GETPIVOTDATA(
"[Base].[Importe]",
TDinamica_R!$A$5,
"[Calendario].[AñoMes]",
"[Calendario].[AñoMes].&amp;[" &amp; TEXT(AF$6,"yyyymm") &amp; "]",
"[Base].[Metrica]",
"[Base].[Metrica].&amp;[" &amp; $A86 &amp; "]",
"[Base].[SEGMENTO_DESCRIP]",
"[Base].[SEGMENTO_DESCRIP].&amp;[" &amp; $C$6 &amp; "]",
"[Base].[SITUACION]",
"[Base].[SITUACION].&amp;[" &amp; $C86 &amp; "]"
),0)/1000</f>
        <v>-1642.7367104060002</v>
      </c>
      <c r="AG86" s="8">
        <f>IFERROR(
GETPIVOTDATA(
"[Base].[Importe]",
TDinamica_R!$A$5,
"[Calendario].[AñoMes]",
"[Calendario].[AñoMes].&amp;[" &amp; TEXT(AG$6,"yyyymm") &amp; "]",
"[Base].[Metrica]",
"[Base].[Metrica].&amp;[" &amp; $A86 &amp; "]",
"[Base].[SEGMENTO_DESCRIP]",
"[Base].[SEGMENTO_DESCRIP].&amp;[" &amp; $C$6 &amp; "]",
"[Base].[SITUACION]",
"[Base].[SITUACION].&amp;[" &amp; $C86 &amp; "]"
),0)/1000</f>
        <v>-1680.9876154180001</v>
      </c>
      <c r="AH86" s="8">
        <f>IFERROR(
GETPIVOTDATA(
"[Base].[Importe]",
TDinamica_R!$A$5,
"[Calendario].[AñoMes]",
"[Calendario].[AñoMes].&amp;[" &amp; TEXT(AH$6,"yyyymm") &amp; "]",
"[Base].[Metrica]",
"[Base].[Metrica].&amp;[" &amp; $A86 &amp; "]",
"[Base].[SEGMENTO_DESCRIP]",
"[Base].[SEGMENTO_DESCRIP].&amp;[" &amp; $C$6 &amp; "]",
"[Base].[SITUACION]",
"[Base].[SITUACION].&amp;[" &amp; $C86 &amp; "]"
),0)/1000</f>
        <v>-1804.8308515393999</v>
      </c>
      <c r="AI86" s="8">
        <f>IFERROR(
GETPIVOTDATA(
"[Base].[Importe]",
TDinamica_R!$A$5,
"[Calendario].[AñoMes]",
"[Calendario].[AñoMes].&amp;[" &amp; TEXT(AI$6,"yyyymm") &amp; "]",
"[Base].[Metrica]",
"[Base].[Metrica].&amp;[" &amp; $A86 &amp; "]",
"[Base].[SEGMENTO_DESCRIP]",
"[Base].[SEGMENTO_DESCRIP].&amp;[" &amp; $C$6 &amp; "]",
"[Base].[SITUACION]",
"[Base].[SITUACION].&amp;[" &amp; $C86 &amp; "]"
),0)/1000</f>
        <v>-1807.5281793862002</v>
      </c>
      <c r="AJ86" s="8">
        <f>IFERROR(
GETPIVOTDATA(
"[Base].[Importe]",
TDinamica_R!$A$5,
"[Calendario].[AñoMes]",
"[Calendario].[AñoMes].&amp;[" &amp; TEXT(AJ$6,"yyyymm") &amp; "]",
"[Base].[Metrica]",
"[Base].[Metrica].&amp;[" &amp; $A86 &amp; "]",
"[Base].[SEGMENTO_DESCRIP]",
"[Base].[SEGMENTO_DESCRIP].&amp;[" &amp; $C$6 &amp; "]",
"[Base].[SITUACION]",
"[Base].[SITUACION].&amp;[" &amp; $C86 &amp; "]"
),0)/1000</f>
        <v>-1614.3368798561003</v>
      </c>
      <c r="AK86" s="8">
        <f>IFERROR(
GETPIVOTDATA(
"[Base].[Importe]",
TDinamica_R!$A$5,
"[Calendario].[AñoMes]",
"[Calendario].[AñoMes].&amp;[" &amp; TEXT(AK$6,"yyyymm") &amp; "]",
"[Base].[Metrica]",
"[Base].[Metrica].&amp;[" &amp; $A86 &amp; "]",
"[Base].[SEGMENTO_DESCRIP]",
"[Base].[SEGMENTO_DESCRIP].&amp;[" &amp; $C$6 &amp; "]",
"[Base].[SITUACION]",
"[Base].[SITUACION].&amp;[" &amp; $C86 &amp; "]"
),0)/1000</f>
        <v>-1533.8981157854</v>
      </c>
      <c r="AL86" s="8">
        <f>IFERROR(
GETPIVOTDATA(
"[Base].[Importe]",
TDinamica_R!$A$5,
"[Calendario].[AñoMes]",
"[Calendario].[AñoMes].&amp;[" &amp; TEXT(AL$6,"yyyymm") &amp; "]",
"[Base].[Metrica]",
"[Base].[Metrica].&amp;[" &amp; $A86 &amp; "]",
"[Base].[SEGMENTO_DESCRIP]",
"[Base].[SEGMENTO_DESCRIP].&amp;[" &amp; $C$6 &amp; "]",
"[Base].[SITUACION]",
"[Base].[SITUACION].&amp;[" &amp; $C86 &amp; "]"
),0)/1000</f>
        <v>-1629.9273303943003</v>
      </c>
      <c r="AM86" s="8">
        <f>IFERROR(
GETPIVOTDATA(
"[Base].[Importe]",
TDinamica_R!$A$5,
"[Calendario].[AñoMes]",
"[Calendario].[AñoMes].&amp;[" &amp; TEXT(AM$6,"yyyymm") &amp; "]",
"[Base].[Metrica]",
"[Base].[Metrica].&amp;[" &amp; $A86 &amp; "]",
"[Base].[SEGMENTO_DESCRIP]",
"[Base].[SEGMENTO_DESCRIP].&amp;[" &amp; $C$6 &amp; "]",
"[Base].[SITUACION]",
"[Base].[SITUACION].&amp;[" &amp; $C86 &amp; "]"
),0)/1000</f>
        <v>-1748.3188686590001</v>
      </c>
      <c r="AN86" s="8">
        <f>IFERROR(
GETPIVOTDATA(
"[Base].[Importe]",
TDinamica_R!$A$5,
"[Calendario].[AñoMes]",
"[Calendario].[AñoMes].&amp;[" &amp; TEXT(AN$6,"yyyymm") &amp; "]",
"[Base].[Metrica]",
"[Base].[Metrica].&amp;[" &amp; $A86 &amp; "]",
"[Base].[SEGMENTO_DESCRIP]",
"[Base].[SEGMENTO_DESCRIP].&amp;[" &amp; $C$6 &amp; "]",
"[Base].[SITUACION]",
"[Base].[SITUACION].&amp;[" &amp; $C86 &amp; "]"
),0)/1000</f>
        <v>-1652.1301142657999</v>
      </c>
      <c r="AO86" s="8">
        <f>IFERROR(
GETPIVOTDATA(
"[Base].[Importe]",
TDinamica_R!$A$5,
"[Calendario].[AñoMes]",
"[Calendario].[AñoMes].&amp;[" &amp; TEXT(AO$6,"yyyymm") &amp; "]",
"[Base].[Metrica]",
"[Base].[Metrica].&amp;[" &amp; $A86 &amp; "]",
"[Base].[SEGMENTO_DESCRIP]",
"[Base].[SEGMENTO_DESCRIP].&amp;[" &amp; $C$6 &amp; "]",
"[Base].[SITUACION]",
"[Base].[SITUACION].&amp;[" &amp; $C86 &amp; "]"
),0)/1000</f>
        <v>-1547.2573610860002</v>
      </c>
      <c r="AP86" s="8">
        <f>IFERROR(
GETPIVOTDATA(
"[Base].[Importe]",
TDinamica_R!$A$5,
"[Calendario].[AñoMes]",
"[Calendario].[AñoMes].&amp;[" &amp; TEXT(AP$6,"yyyymm") &amp; "]",
"[Base].[Metrica]",
"[Base].[Metrica].&amp;[" &amp; $A86 &amp; "]",
"[Base].[SEGMENTO_DESCRIP]",
"[Base].[SEGMENTO_DESCRIP].&amp;[" &amp; $C$6 &amp; "]",
"[Base].[SITUACION]",
"[Base].[SITUACION].&amp;[" &amp; $C86 &amp; "]"
),0)/1000</f>
        <v>-1286.0498288679998</v>
      </c>
      <c r="AQ86" s="8">
        <f>IFERROR(
GETPIVOTDATA(
"[Base].[Importe]",
TDinamica_R!$A$5,
"[Calendario].[AñoMes]",
"[Calendario].[AñoMes].&amp;[" &amp; TEXT(AQ$6,"yyyymm") &amp; "]",
"[Base].[Metrica]",
"[Base].[Metrica].&amp;[" &amp; $A86 &amp; "]",
"[Base].[SEGMENTO_DESCRIP]",
"[Base].[SEGMENTO_DESCRIP].&amp;[" &amp; $C$6 &amp; "]",
"[Base].[SITUACION]",
"[Base].[SITUACION].&amp;[" &amp; $C86 &amp; "]"
),0)/1000</f>
        <v>-1680.7907519616999</v>
      </c>
      <c r="AR86" s="8">
        <f>IFERROR(
GETPIVOTDATA(
"[Base].[Importe]",
TDinamica_R!$A$5,
"[Calendario].[AñoMes]",
"[Calendario].[AñoMes].&amp;[" &amp; TEXT(AR$6,"yyyymm") &amp; "]",
"[Base].[Metrica]",
"[Base].[Metrica].&amp;[" &amp; $A86 &amp; "]",
"[Base].[SEGMENTO_DESCRIP]",
"[Base].[SEGMENTO_DESCRIP].&amp;[" &amp; $C$6 &amp; "]",
"[Base].[SITUACION]",
"[Base].[SITUACION].&amp;[" &amp; $C86 &amp; "]"
),0)/1000</f>
        <v>-1588.2385289949</v>
      </c>
      <c r="AS86" s="8">
        <f>IFERROR(
GETPIVOTDATA(
"[Base].[Importe]",
TDinamica_R!$A$5,
"[Calendario].[AñoMes]",
"[Calendario].[AñoMes].&amp;[" &amp; TEXT(AS$6,"yyyymm") &amp; "]",
"[Base].[Metrica]",
"[Base].[Metrica].&amp;[" &amp; $A86 &amp; "]",
"[Base].[SEGMENTO_DESCRIP]",
"[Base].[SEGMENTO_DESCRIP].&amp;[" &amp; $C$6 &amp; "]",
"[Base].[SITUACION]",
"[Base].[SITUACION].&amp;[" &amp; $C86 &amp; "]"
),0)/1000</f>
        <v>-1669.1230509610998</v>
      </c>
      <c r="AT86" s="8">
        <f>IFERROR(
GETPIVOTDATA(
"[Base].[Importe]",
TDinamica_R!$A$5,
"[Calendario].[AñoMes]",
"[Calendario].[AñoMes].&amp;[" &amp; TEXT(AT$6,"yyyymm")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U86" s="8">
        <f>IFERROR(
GETPIVOTDATA(
"[Base].[Importe]",
TDinamica_R!$A$5,
"[Calendario].[AñoMes]",
"[Calendario].[AñoMes].&amp;[" &amp; TEXT(AU$6,"yyyymm")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V86" s="8">
        <f>IFERROR(
GETPIVOTDATA(
"[Base].[Importe]",
TDinamica_R!$A$5,
"[Calendario].[AñoMes]",
"[Calendario].[AñoMes].&amp;[" &amp; TEXT(AV$6,"yyyymm")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W86" s="8">
        <f>IFERROR(
GETPIVOTDATA(
"[Base].[Importe]",
TDinamica_R!$A$5,
"[Calendario].[AñoMes]",
"[Calendario].[AñoMes].&amp;[" &amp; TEXT(AW$6,"yyyymm")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X86" s="8">
        <f>IFERROR(
GETPIVOTDATA(
"[Base].[Importe]",
TDinamica_R!$A$5,
"[Calendario].[AñoMes]",
"[Calendario].[AñoMes].&amp;[" &amp; TEXT(AX$6,"yyyymm")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Y86" s="8">
        <f>IFERROR(
GETPIVOTDATA(
"[Base].[Importe]",
TDinamica_R!$A$5,
"[Calendario].[AñoMes]",
"[Calendario].[AñoMes].&amp;[" &amp; TEXT(AY$6,"yyyymm")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Z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"[BASE_HIPO_PPTO].[Periodo]","[BASE_HIPO_PPTO].[Periodo].&amp;["&amp;TEXT(AZ$6,"yyyymm")&amp;"]"),
0)/1000</f>
        <v>-1717.1985697347</v>
      </c>
      <c r="BA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"[BASE_HIPO_PPTO].[Periodo]","[BASE_HIPO_PPTO].[Periodo].&amp;["&amp;TEXT(BA$6,"yyyymm")&amp;"]"),
0)/1000</f>
        <v>-1673.2887005307998</v>
      </c>
      <c r="BB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"[BASE_HIPO_PPTO].[Periodo]","[BASE_HIPO_PPTO].[Periodo].&amp;["&amp;TEXT(BB$6,"yyyymm")&amp;"]"),
0)/1000</f>
        <v>-1738.4405862823</v>
      </c>
      <c r="BC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"[BASE_HIPO_PPTO].[Periodo]","[BASE_HIPO_PPTO].[Periodo].&amp;["&amp;TEXT(BC$6,"yyyymm")&amp;"]"),
0)/1000</f>
        <v>-1709.8617644333003</v>
      </c>
      <c r="BD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"[BASE_HIPO_PPTO].[Periodo]","[BASE_HIPO_PPTO].[Periodo].&amp;["&amp;TEXT(BD$6,"yyyymm")&amp;"]"),
0)/1000</f>
        <v>-1757.7661335264002</v>
      </c>
      <c r="BE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"[BASE_HIPO_PPTO].[Periodo]","[BASE_HIPO_PPTO].[Periodo].&amp;["&amp;TEXT(BE$6,"yyyymm")&amp;"]"),
0)/1000</f>
        <v>-1765.6083325635</v>
      </c>
      <c r="BF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"[BASE_HIPO_PPTO].[Periodo]","[BASE_HIPO_PPTO].[Periodo].&amp;["&amp;TEXT(BF$6,"yyyymm")&amp;"]"),
0)/1000</f>
        <v>-1737.4974239896003</v>
      </c>
      <c r="BG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"[BASE_HIPO_PPTO].[Periodo]","[BASE_HIPO_PPTO].[Periodo].&amp;["&amp;TEXT(BG$6,"yyyymm")&amp;"]"),
0)/1000</f>
        <v>-1747.3866984621</v>
      </c>
      <c r="BH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"[BASE_HIPO_PPTO].[Periodo]","[BASE_HIPO_PPTO].[Periodo].&amp;["&amp;TEXT(BH$6,"yyyymm")&amp;"]"),
0)/1000</f>
        <v>-1779.0739485534002</v>
      </c>
      <c r="BI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"[BASE_HIPO_PPTO].[Periodo]","[BASE_HIPO_PPTO].[Periodo].&amp;["&amp;TEXT(BI$6,"yyyymm")&amp;"]"),
0)/1000</f>
        <v>-1738.3078502661997</v>
      </c>
      <c r="BJ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"[BASE_HIPO_PPTO].[Periodo]","[BASE_HIPO_PPTO].[Periodo].&amp;["&amp;TEXT(BJ$6,"yyyymm")&amp;"]"),
0)/1000</f>
        <v>-1734.6958052557002</v>
      </c>
      <c r="BK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"[BASE_HIPO_PPTO].[Periodo]","[BASE_HIPO_PPTO].[Periodo].&amp;["&amp;TEXT(BK$6,"yyyymm")&amp;"]"),
0)/1000</f>
        <v>-1745.7875104628999</v>
      </c>
      <c r="BO86" s="24">
        <f t="shared" ref="BO86:BT88" si="153">SUMIFS($D86:$BM86,$D$6:$BM$6,"&gt;="&amp;BO$2,$D$6:$BM$6,"&lt;="&amp;BO$6,$D$5:$BM$5,BO$5)</f>
        <v>-4485.4373042198004</v>
      </c>
      <c r="BP86" s="24">
        <f t="shared" si="153"/>
        <v>-5128.9278565477998</v>
      </c>
      <c r="BQ86" s="24">
        <f t="shared" si="153"/>
        <v>-3199.3874753518003</v>
      </c>
      <c r="BR86" s="24">
        <f t="shared" si="153"/>
        <v>-4561.2176476204004</v>
      </c>
      <c r="BS86" s="24">
        <f t="shared" si="153"/>
        <v>-3844.2287455483001</v>
      </c>
      <c r="BT86" s="24">
        <f t="shared" si="153"/>
        <v>-3951.8305655746999</v>
      </c>
    </row>
    <row r="87" spans="1:72" hidden="1" outlineLevel="1" x14ac:dyDescent="0.25">
      <c r="A87" s="11" t="s">
        <v>76</v>
      </c>
      <c r="C87" s="2" t="s">
        <v>78</v>
      </c>
      <c r="D87" s="8">
        <f>IFERROR(
GETPIVOTDATA(
"[Base].[Importe]",
TDinamica_R!$A$5,
"[Calendario].[AñoMes]",
"[Calendario].[AñoMes].&amp;[" &amp; TEXT(D$6,"yyyymm") &amp; "]",
"[Base].[Metrica]",
"[Base].[Metrica].&amp;[" &amp; $A87 &amp; "]",
"[Base].[SEGMENTO_DESCRIP]",
"[Base].[SEGMENTO_DESCRIP].&amp;[" &amp; $C$6 &amp; "]",
"[Base].[SITUACION]",
"[Base].[SITUACION].&amp;[" &amp; $C87 &amp; "]"
),0)/1000</f>
        <v>-108.1570972216</v>
      </c>
      <c r="E87" s="8">
        <f>IFERROR(
GETPIVOTDATA(
"[Base].[Importe]",
TDinamica_R!$A$5,
"[Calendario].[AñoMes]",
"[Calendario].[AñoMes].&amp;[" &amp; TEXT(E$6,"yyyymm") &amp; "]",
"[Base].[Metrica]",
"[Base].[Metrica].&amp;[" &amp; $A87 &amp; "]",
"[Base].[SEGMENTO_DESCRIP]",
"[Base].[SEGMENTO_DESCRIP].&amp;[" &amp; $C$6 &amp; "]",
"[Base].[SITUACION]",
"[Base].[SITUACION].&amp;[" &amp; $C87 &amp; "]"
),0)/1000</f>
        <v>-112.09464685079998</v>
      </c>
      <c r="F87" s="8">
        <f>IFERROR(
GETPIVOTDATA(
"[Base].[Importe]",
TDinamica_R!$A$5,
"[Calendario].[AñoMes]",
"[Calendario].[AñoMes].&amp;[" &amp; TEXT(F$6,"yyyymm") &amp; "]",
"[Base].[Metrica]",
"[Base].[Metrica].&amp;[" &amp; $A87 &amp; "]",
"[Base].[SEGMENTO_DESCRIP]",
"[Base].[SEGMENTO_DESCRIP].&amp;[" &amp; $C$6 &amp; "]",
"[Base].[SITUACION]",
"[Base].[SITUACION].&amp;[" &amp; $C87 &amp; "]"
),0)/1000</f>
        <v>-124.93666463470001</v>
      </c>
      <c r="G87" s="8">
        <f>IFERROR(
GETPIVOTDATA(
"[Base].[Importe]",
TDinamica_R!$A$5,
"[Calendario].[AñoMes]",
"[Calendario].[AñoMes].&amp;[" &amp; TEXT(G$6,"yyyymm") &amp; "]",
"[Base].[Metrica]",
"[Base].[Metrica].&amp;[" &amp; $A87 &amp; "]",
"[Base].[SEGMENTO_DESCRIP]",
"[Base].[SEGMENTO_DESCRIP].&amp;[" &amp; $C$6 &amp; "]",
"[Base].[SITUACION]",
"[Base].[SITUACION].&amp;[" &amp; $C87 &amp; "]"
),0)/1000</f>
        <v>-114.19173382379999</v>
      </c>
      <c r="H87" s="8">
        <f>IFERROR(
GETPIVOTDATA(
"[Base].[Importe]",
TDinamica_R!$A$5,
"[Calendario].[AñoMes]",
"[Calendario].[AñoMes].&amp;[" &amp; TEXT(H$6,"yyyymm") &amp; "]",
"[Base].[Metrica]",
"[Base].[Metrica].&amp;[" &amp; $A87 &amp; "]",
"[Base].[SEGMENTO_DESCRIP]",
"[Base].[SEGMENTO_DESCRIP].&amp;[" &amp; $C$6 &amp; "]",
"[Base].[SITUACION]",
"[Base].[SITUACION].&amp;[" &amp; $C87 &amp; "]"
),0)/1000</f>
        <v>-113.35368553529999</v>
      </c>
      <c r="I87" s="8">
        <f>IFERROR(
GETPIVOTDATA(
"[Base].[Importe]",
TDinamica_R!$A$5,
"[Calendario].[AñoMes]",
"[Calendario].[AñoMes].&amp;[" &amp; TEXT(I$6,"yyyymm") &amp; "]",
"[Base].[Metrica]",
"[Base].[Metrica].&amp;[" &amp; $A87 &amp; "]",
"[Base].[SEGMENTO_DESCRIP]",
"[Base].[SEGMENTO_DESCRIP].&amp;[" &amp; $C$6 &amp; "]",
"[Base].[SITUACION]",
"[Base].[SITUACION].&amp;[" &amp; $C87 &amp; "]"
),0)/1000</f>
        <v>-114.9709522652</v>
      </c>
      <c r="J87" s="8">
        <f>IFERROR(
GETPIVOTDATA(
"[Base].[Importe]",
TDinamica_R!$A$5,
"[Calendario].[AñoMes]",
"[Calendario].[AñoMes].&amp;[" &amp; TEXT(J$6,"yyyymm") &amp; "]",
"[Base].[Metrica]",
"[Base].[Metrica].&amp;[" &amp; $A87 &amp; "]",
"[Base].[SEGMENTO_DESCRIP]",
"[Base].[SEGMENTO_DESCRIP].&amp;[" &amp; $C$6 &amp; "]",
"[Base].[SITUACION]",
"[Base].[SITUACION].&amp;[" &amp; $C87 &amp; "]"
),0)/1000</f>
        <v>-110.47332066440001</v>
      </c>
      <c r="K87" s="8">
        <f>IFERROR(
GETPIVOTDATA(
"[Base].[Importe]",
TDinamica_R!$A$5,
"[Calendario].[AñoMes]",
"[Calendario].[AñoMes].&amp;[" &amp; TEXT(K$6,"yyyymm") &amp; "]",
"[Base].[Metrica]",
"[Base].[Metrica].&amp;[" &amp; $A87 &amp; "]",
"[Base].[SEGMENTO_DESCRIP]",
"[Base].[SEGMENTO_DESCRIP].&amp;[" &amp; $C$6 &amp; "]",
"[Base].[SITUACION]",
"[Base].[SITUACION].&amp;[" &amp; $C87 &amp; "]"
),0)/1000</f>
        <v>-113.14957960750002</v>
      </c>
      <c r="L87" s="8">
        <f>IFERROR(
GETPIVOTDATA(
"[Base].[Importe]",
TDinamica_R!$A$5,
"[Calendario].[AñoMes]",
"[Calendario].[AñoMes].&amp;[" &amp; TEXT(L$6,"yyyymm") &amp; "]",
"[Base].[Metrica]",
"[Base].[Metrica].&amp;[" &amp; $A87 &amp; "]",
"[Base].[SEGMENTO_DESCRIP]",
"[Base].[SEGMENTO_DESCRIP].&amp;[" &amp; $C$6 &amp; "]",
"[Base].[SITUACION]",
"[Base].[SITUACION].&amp;[" &amp; $C87 &amp; "]"
),0)/1000</f>
        <v>-115.1963772357</v>
      </c>
      <c r="M87" s="8">
        <f>IFERROR(
GETPIVOTDATA(
"[Base].[Importe]",
TDinamica_R!$A$5,
"[Calendario].[AñoMes]",
"[Calendario].[AñoMes].&amp;[" &amp; TEXT(M$6,"yyyymm") &amp; "]",
"[Base].[Metrica]",
"[Base].[Metrica].&amp;[" &amp; $A87 &amp; "]",
"[Base].[SEGMENTO_DESCRIP]",
"[Base].[SEGMENTO_DESCRIP].&amp;[" &amp; $C$6 &amp; "]",
"[Base].[SITUACION]",
"[Base].[SITUACION].&amp;[" &amp; $C87 &amp; "]"
),0)/1000</f>
        <v>-117.4199081653</v>
      </c>
      <c r="N87" s="8">
        <f>IFERROR(
GETPIVOTDATA(
"[Base].[Importe]",
TDinamica_R!$A$5,
"[Calendario].[AñoMes]",
"[Calendario].[AñoMes].&amp;[" &amp; TEXT(N$6,"yyyymm") &amp; "]",
"[Base].[Metrica]",
"[Base].[Metrica].&amp;[" &amp; $A87 &amp; "]",
"[Base].[SEGMENTO_DESCRIP]",
"[Base].[SEGMENTO_DESCRIP].&amp;[" &amp; $C$6 &amp; "]",
"[Base].[SITUACION]",
"[Base].[SITUACION].&amp;[" &amp; $C87 &amp; "]"
),0)/1000</f>
        <v>-105.69187743900001</v>
      </c>
      <c r="O87" s="8">
        <f>IFERROR(
GETPIVOTDATA(
"[Base].[Importe]",
TDinamica_R!$A$5,
"[Calendario].[AñoMes]",
"[Calendario].[AñoMes].&amp;[" &amp; TEXT(O$6,"yyyymm") &amp; "]",
"[Base].[Metrica]",
"[Base].[Metrica].&amp;[" &amp; $A87 &amp; "]",
"[Base].[SEGMENTO_DESCRIP]",
"[Base].[SEGMENTO_DESCRIP].&amp;[" &amp; $C$6 &amp; "]",
"[Base].[SITUACION]",
"[Base].[SITUACION].&amp;[" &amp; $C87 &amp; "]"
),0)/1000</f>
        <v>-81.643393091199997</v>
      </c>
      <c r="P87" s="8">
        <f>IFERROR(
GETPIVOTDATA(
"[Base].[Importe]",
TDinamica_R!$A$5,
"[Calendario].[AñoMes]",
"[Calendario].[AñoMes].&amp;[" &amp; TEXT(P$6,"yyyymm") &amp; "]",
"[Base].[Metrica]",
"[Base].[Metrica].&amp;[" &amp; $A87 &amp; "]",
"[Base].[SEGMENTO_DESCRIP]",
"[Base].[SEGMENTO_DESCRIP].&amp;[" &amp; $C$6 &amp; "]",
"[Base].[SITUACION]",
"[Base].[SITUACION].&amp;[" &amp; $C87 &amp; "]"
),0)/1000</f>
        <v>-105.57112811919998</v>
      </c>
      <c r="Q87" s="8">
        <f>IFERROR(
GETPIVOTDATA(
"[Base].[Importe]",
TDinamica_R!$A$5,
"[Calendario].[AñoMes]",
"[Calendario].[AñoMes].&amp;[" &amp; TEXT(Q$6,"yyyymm") &amp; "]",
"[Base].[Metrica]",
"[Base].[Metrica].&amp;[" &amp; $A87 &amp; "]",
"[Base].[SEGMENTO_DESCRIP]",
"[Base].[SEGMENTO_DESCRIP].&amp;[" &amp; $C$6 &amp; "]",
"[Base].[SITUACION]",
"[Base].[SITUACION].&amp;[" &amp; $C87 &amp; "]"
),0)/1000</f>
        <v>-114.47561914640001</v>
      </c>
      <c r="R87" s="8">
        <f>IFERROR(
GETPIVOTDATA(
"[Base].[Importe]",
TDinamica_R!$A$5,
"[Calendario].[AñoMes]",
"[Calendario].[AñoMes].&amp;[" &amp; TEXT(R$6,"yyyymm") &amp; "]",
"[Base].[Metrica]",
"[Base].[Metrica].&amp;[" &amp; $A87 &amp; "]",
"[Base].[SEGMENTO_DESCRIP]",
"[Base].[SEGMENTO_DESCRIP].&amp;[" &amp; $C$6 &amp; "]",
"[Base].[SITUACION]",
"[Base].[SITUACION].&amp;[" &amp; $C87 &amp; "]"
),0)/1000</f>
        <v>-125.69894296459999</v>
      </c>
      <c r="S87" s="8">
        <f>IFERROR(
GETPIVOTDATA(
"[Base].[Importe]",
TDinamica_R!$A$5,
"[Calendario].[AñoMes]",
"[Calendario].[AñoMes].&amp;[" &amp; TEXT(S$6,"yyyymm") &amp; "]",
"[Base].[Metrica]",
"[Base].[Metrica].&amp;[" &amp; $A87 &amp; "]",
"[Base].[SEGMENTO_DESCRIP]",
"[Base].[SEGMENTO_DESCRIP].&amp;[" &amp; $C$6 &amp; "]",
"[Base].[SITUACION]",
"[Base].[SITUACION].&amp;[" &amp; $C87 &amp; "]"
),0)/1000</f>
        <v>-111.80678985889999</v>
      </c>
      <c r="T87" s="8">
        <f>IFERROR(
GETPIVOTDATA(
"[Base].[Importe]",
TDinamica_R!$A$5,
"[Calendario].[AñoMes]",
"[Calendario].[AñoMes].&amp;[" &amp; TEXT(T$6,"yyyymm") &amp; "]",
"[Base].[Metrica]",
"[Base].[Metrica].&amp;[" &amp; $A87 &amp; "]",
"[Base].[SEGMENTO_DESCRIP]",
"[Base].[SEGMENTO_DESCRIP].&amp;[" &amp; $C$6 &amp; "]",
"[Base].[SITUACION]",
"[Base].[SITUACION].&amp;[" &amp; $C87 &amp; "]"
),0)/1000</f>
        <v>-114.5367987894</v>
      </c>
      <c r="U87" s="8">
        <f>IFERROR(
GETPIVOTDATA(
"[Base].[Importe]",
TDinamica_R!$A$5,
"[Calendario].[AñoMes]",
"[Calendario].[AñoMes].&amp;[" &amp; TEXT(U$6,"yyyymm") &amp; "]",
"[Base].[Metrica]",
"[Base].[Metrica].&amp;[" &amp; $A87 &amp; "]",
"[Base].[SEGMENTO_DESCRIP]",
"[Base].[SEGMENTO_DESCRIP].&amp;[" &amp; $C$6 &amp; "]",
"[Base].[SITUACION]",
"[Base].[SITUACION].&amp;[" &amp; $C87 &amp; "]"
),0)/1000</f>
        <v>-106.06645687929999</v>
      </c>
      <c r="V87" s="8">
        <f>IFERROR(
GETPIVOTDATA(
"[Base].[Importe]",
TDinamica_R!$A$5,
"[Calendario].[AñoMes]",
"[Calendario].[AñoMes].&amp;[" &amp; TEXT(V$6,"yyyymm") &amp; "]",
"[Base].[Metrica]",
"[Base].[Metrica].&amp;[" &amp; $A87 &amp; "]",
"[Base].[SEGMENTO_DESCRIP]",
"[Base].[SEGMENTO_DESCRIP].&amp;[" &amp; $C$6 &amp; "]",
"[Base].[SITUACION]",
"[Base].[SITUACION].&amp;[" &amp; $C87 &amp; "]"
),0)/1000</f>
        <v>-147.44392043729999</v>
      </c>
      <c r="W87" s="8">
        <f>IFERROR(
GETPIVOTDATA(
"[Base].[Importe]",
TDinamica_R!$A$5,
"[Calendario].[AñoMes]",
"[Calendario].[AñoMes].&amp;[" &amp; TEXT(W$6,"yyyymm") &amp; "]",
"[Base].[Metrica]",
"[Base].[Metrica].&amp;[" &amp; $A87 &amp; "]",
"[Base].[SEGMENTO_DESCRIP]",
"[Base].[SEGMENTO_DESCRIP].&amp;[" &amp; $C$6 &amp; "]",
"[Base].[SITUACION]",
"[Base].[SITUACION].&amp;[" &amp; $C87 &amp; "]"
),0)/1000</f>
        <v>-119.72160082779999</v>
      </c>
      <c r="X87" s="8">
        <f>IFERROR(
GETPIVOTDATA(
"[Base].[Importe]",
TDinamica_R!$A$5,
"[Calendario].[AñoMes]",
"[Calendario].[AñoMes].&amp;[" &amp; TEXT(X$6,"yyyymm") &amp; "]",
"[Base].[Metrica]",
"[Base].[Metrica].&amp;[" &amp; $A87 &amp; "]",
"[Base].[SEGMENTO_DESCRIP]",
"[Base].[SEGMENTO_DESCRIP].&amp;[" &amp; $C$6 &amp; "]",
"[Base].[SITUACION]",
"[Base].[SITUACION].&amp;[" &amp; $C87 &amp; "]"
),0)/1000</f>
        <v>-134.78943103719996</v>
      </c>
      <c r="Y87" s="8">
        <f>IFERROR(
GETPIVOTDATA(
"[Base].[Importe]",
TDinamica_R!$A$5,
"[Calendario].[AñoMes]",
"[Calendario].[AñoMes].&amp;[" &amp; TEXT(Y$6,"yyyymm") &amp; "]",
"[Base].[Metrica]",
"[Base].[Metrica].&amp;[" &amp; $A87 &amp; "]",
"[Base].[SEGMENTO_DESCRIP]",
"[Base].[SEGMENTO_DESCRIP].&amp;[" &amp; $C$6 &amp; "]",
"[Base].[SITUACION]",
"[Base].[SITUACION].&amp;[" &amp; $C87 &amp; "]"
),0)/1000</f>
        <v>-134.70849745850001</v>
      </c>
      <c r="Z87" s="8">
        <f>IFERROR(
GETPIVOTDATA(
"[Base].[Importe]",
TDinamica_R!$A$5,
"[Calendario].[AñoMes]",
"[Calendario].[AñoMes].&amp;[" &amp; TEXT(Z$6,"yyyymm") &amp; "]",
"[Base].[Metrica]",
"[Base].[Metrica].&amp;[" &amp; $A87 &amp; "]",
"[Base].[SEGMENTO_DESCRIP]",
"[Base].[SEGMENTO_DESCRIP].&amp;[" &amp; $C$6 &amp; "]",
"[Base].[SITUACION]",
"[Base].[SITUACION].&amp;[" &amp; $C87 &amp; "]"
),0)/1000</f>
        <v>-118.95792344610001</v>
      </c>
      <c r="AA87" s="8">
        <f>IFERROR(
GETPIVOTDATA(
"[Base].[Importe]",
TDinamica_R!$A$5,
"[Calendario].[AñoMes]",
"[Calendario].[AñoMes].&amp;[" &amp; TEXT(AA$6,"yyyymm") &amp; "]",
"[Base].[Metrica]",
"[Base].[Metrica].&amp;[" &amp; $A87 &amp; "]",
"[Base].[SEGMENTO_DESCRIP]",
"[Base].[SEGMENTO_DESCRIP].&amp;[" &amp; $C$6 &amp; "]",
"[Base].[SITUACION]",
"[Base].[SITUACION].&amp;[" &amp; $C87 &amp; "]"
),0)/1000</f>
        <v>-143.9812025599</v>
      </c>
      <c r="AB87" s="8">
        <f>IFERROR(
GETPIVOTDATA(
"[Base].[Importe]",
TDinamica_R!$A$5,
"[Calendario].[AñoMes]",
"[Calendario].[AñoMes].&amp;[" &amp; TEXT(AB$6,"yyyymm") &amp; "]",
"[Base].[Metrica]",
"[Base].[Metrica].&amp;[" &amp; $A87 &amp; "]",
"[Base].[SEGMENTO_DESCRIP]",
"[Base].[SEGMENTO_DESCRIP].&amp;[" &amp; $C$6 &amp; "]",
"[Base].[SITUACION]",
"[Base].[SITUACION].&amp;[" &amp; $C87 &amp; "]"
),0)/1000</f>
        <v>-138.5051222701</v>
      </c>
      <c r="AC87" s="8">
        <f>IFERROR(
GETPIVOTDATA(
"[Base].[Importe]",
TDinamica_R!$A$5,
"[Calendario].[AñoMes]",
"[Calendario].[AñoMes].&amp;[" &amp; TEXT(AC$6,"yyyymm") &amp; "]",
"[Base].[Metrica]",
"[Base].[Metrica].&amp;[" &amp; $A87 &amp; "]",
"[Base].[SEGMENTO_DESCRIP]",
"[Base].[SEGMENTO_DESCRIP].&amp;[" &amp; $C$6 &amp; "]",
"[Base].[SITUACION]",
"[Base].[SITUACION].&amp;[" &amp; $C87 &amp; "]"
),0)/1000</f>
        <v>-118.22944744339999</v>
      </c>
      <c r="AD87" s="8">
        <f>IFERROR(
GETPIVOTDATA(
"[Base].[Importe]",
TDinamica_R!$A$5,
"[Calendario].[AñoMes]",
"[Calendario].[AñoMes].&amp;[" &amp; TEXT(AD$6,"yyyymm") &amp; "]",
"[Base].[Metrica]",
"[Base].[Metrica].&amp;[" &amp; $A87 &amp; "]",
"[Base].[SEGMENTO_DESCRIP]",
"[Base].[SEGMENTO_DESCRIP].&amp;[" &amp; $C$6 &amp; "]",
"[Base].[SITUACION]",
"[Base].[SITUACION].&amp;[" &amp; $C87 &amp; "]"
),0)/1000</f>
        <v>-116.13048591499999</v>
      </c>
      <c r="AE87" s="8">
        <f>IFERROR(
GETPIVOTDATA(
"[Base].[Importe]",
TDinamica_R!$A$5,
"[Calendario].[AñoMes]",
"[Calendario].[AñoMes].&amp;[" &amp; TEXT(AE$6,"yyyymm") &amp; "]",
"[Base].[Metrica]",
"[Base].[Metrica].&amp;[" &amp; $A87 &amp; "]",
"[Base].[SEGMENTO_DESCRIP]",
"[Base].[SEGMENTO_DESCRIP].&amp;[" &amp; $C$6 &amp; "]",
"[Base].[SITUACION]",
"[Base].[SITUACION].&amp;[" &amp; $C87 &amp; "]"
),0)/1000</f>
        <v>-116.9438132881</v>
      </c>
      <c r="AF87" s="8">
        <f>IFERROR(
GETPIVOTDATA(
"[Base].[Importe]",
TDinamica_R!$A$5,
"[Calendario].[AñoMes]",
"[Calendario].[AñoMes].&amp;[" &amp; TEXT(AF$6,"yyyymm") &amp; "]",
"[Base].[Metrica]",
"[Base].[Metrica].&amp;[" &amp; $A87 &amp; "]",
"[Base].[SEGMENTO_DESCRIP]",
"[Base].[SEGMENTO_DESCRIP].&amp;[" &amp; $C$6 &amp; "]",
"[Base].[SITUACION]",
"[Base].[SITUACION].&amp;[" &amp; $C87 &amp; "]"
),0)/1000</f>
        <v>-141.32823319010001</v>
      </c>
      <c r="AG87" s="8">
        <f>IFERROR(
GETPIVOTDATA(
"[Base].[Importe]",
TDinamica_R!$A$5,
"[Calendario].[AñoMes]",
"[Calendario].[AñoMes].&amp;[" &amp; TEXT(AG$6,"yyyymm") &amp; "]",
"[Base].[Metrica]",
"[Base].[Metrica].&amp;[" &amp; $A87 &amp; "]",
"[Base].[SEGMENTO_DESCRIP]",
"[Base].[SEGMENTO_DESCRIP].&amp;[" &amp; $C$6 &amp; "]",
"[Base].[SITUACION]",
"[Base].[SITUACION].&amp;[" &amp; $C87 &amp; "]"
),0)/1000</f>
        <v>-132.88235731399999</v>
      </c>
      <c r="AH87" s="8">
        <f>IFERROR(
GETPIVOTDATA(
"[Base].[Importe]",
TDinamica_R!$A$5,
"[Calendario].[AñoMes]",
"[Calendario].[AñoMes].&amp;[" &amp; TEXT(AH$6,"yyyymm") &amp; "]",
"[Base].[Metrica]",
"[Base].[Metrica].&amp;[" &amp; $A87 &amp; "]",
"[Base].[SEGMENTO_DESCRIP]",
"[Base].[SEGMENTO_DESCRIP].&amp;[" &amp; $C$6 &amp; "]",
"[Base].[SITUACION]",
"[Base].[SITUACION].&amp;[" &amp; $C87 &amp; "]"
),0)/1000</f>
        <v>-120.46600982809998</v>
      </c>
      <c r="AI87" s="8">
        <f>IFERROR(
GETPIVOTDATA(
"[Base].[Importe]",
TDinamica_R!$A$5,
"[Calendario].[AñoMes]",
"[Calendario].[AñoMes].&amp;[" &amp; TEXT(AI$6,"yyyymm") &amp; "]",
"[Base].[Metrica]",
"[Base].[Metrica].&amp;[" &amp; $A87 &amp; "]",
"[Base].[SEGMENTO_DESCRIP]",
"[Base].[SEGMENTO_DESCRIP].&amp;[" &amp; $C$6 &amp; "]",
"[Base].[SITUACION]",
"[Base].[SITUACION].&amp;[" &amp; $C87 &amp; "]"
),0)/1000</f>
        <v>-118.70222499500001</v>
      </c>
      <c r="AJ87" s="8">
        <f>IFERROR(
GETPIVOTDATA(
"[Base].[Importe]",
TDinamica_R!$A$5,
"[Calendario].[AñoMes]",
"[Calendario].[AñoMes].&amp;[" &amp; TEXT(AJ$6,"yyyymm") &amp; "]",
"[Base].[Metrica]",
"[Base].[Metrica].&amp;[" &amp; $A87 &amp; "]",
"[Base].[SEGMENTO_DESCRIP]",
"[Base].[SEGMENTO_DESCRIP].&amp;[" &amp; $C$6 &amp; "]",
"[Base].[SITUACION]",
"[Base].[SITUACION].&amp;[" &amp; $C87 &amp; "]"
),0)/1000</f>
        <v>-111.2423916331</v>
      </c>
      <c r="AK87" s="8">
        <f>IFERROR(
GETPIVOTDATA(
"[Base].[Importe]",
TDinamica_R!$A$5,
"[Calendario].[AñoMes]",
"[Calendario].[AñoMes].&amp;[" &amp; TEXT(AK$6,"yyyymm") &amp; "]",
"[Base].[Metrica]",
"[Base].[Metrica].&amp;[" &amp; $A87 &amp; "]",
"[Base].[SEGMENTO_DESCRIP]",
"[Base].[SEGMENTO_DESCRIP].&amp;[" &amp; $C$6 &amp; "]",
"[Base].[SITUACION]",
"[Base].[SITUACION].&amp;[" &amp; $C87 &amp; "]"
),0)/1000</f>
        <v>-107.99168773039999</v>
      </c>
      <c r="AL87" s="8">
        <f>IFERROR(
GETPIVOTDATA(
"[Base].[Importe]",
TDinamica_R!$A$5,
"[Calendario].[AñoMes]",
"[Calendario].[AñoMes].&amp;[" &amp; TEXT(AL$6,"yyyymm") &amp; "]",
"[Base].[Metrica]",
"[Base].[Metrica].&amp;[" &amp; $A87 &amp; "]",
"[Base].[SEGMENTO_DESCRIP]",
"[Base].[SEGMENTO_DESCRIP].&amp;[" &amp; $C$6 &amp; "]",
"[Base].[SITUACION]",
"[Base].[SITUACION].&amp;[" &amp; $C87 &amp; "]"
),0)/1000</f>
        <v>-99.811952465600001</v>
      </c>
      <c r="AM87" s="8">
        <f>IFERROR(
GETPIVOTDATA(
"[Base].[Importe]",
TDinamica_R!$A$5,
"[Calendario].[AñoMes]",
"[Calendario].[AñoMes].&amp;[" &amp; TEXT(AM$6,"yyyymm") &amp; "]",
"[Base].[Metrica]",
"[Base].[Metrica].&amp;[" &amp; $A87 &amp; "]",
"[Base].[SEGMENTO_DESCRIP]",
"[Base].[SEGMENTO_DESCRIP].&amp;[" &amp; $C$6 &amp; "]",
"[Base].[SITUACION]",
"[Base].[SITUACION].&amp;[" &amp; $C87 &amp; "]"
),0)/1000</f>
        <v>-112.7682791794</v>
      </c>
      <c r="AN87" s="8">
        <f>IFERROR(
GETPIVOTDATA(
"[Base].[Importe]",
TDinamica_R!$A$5,
"[Calendario].[AñoMes]",
"[Calendario].[AñoMes].&amp;[" &amp; TEXT(AN$6,"yyyymm") &amp; "]",
"[Base].[Metrica]",
"[Base].[Metrica].&amp;[" &amp; $A87 &amp; "]",
"[Base].[SEGMENTO_DESCRIP]",
"[Base].[SEGMENTO_DESCRIP].&amp;[" &amp; $C$6 &amp; "]",
"[Base].[SITUACION]",
"[Base].[SITUACION].&amp;[" &amp; $C87 &amp; "]"
),0)/1000</f>
        <v>-106.1741411053</v>
      </c>
      <c r="AO87" s="8">
        <f>IFERROR(
GETPIVOTDATA(
"[Base].[Importe]",
TDinamica_R!$A$5,
"[Calendario].[AñoMes]",
"[Calendario].[AñoMes].&amp;[" &amp; TEXT(AO$6,"yyyymm") &amp; "]",
"[Base].[Metrica]",
"[Base].[Metrica].&amp;[" &amp; $A87 &amp; "]",
"[Base].[SEGMENTO_DESCRIP]",
"[Base].[SEGMENTO_DESCRIP].&amp;[" &amp; $C$6 &amp; "]",
"[Base].[SITUACION]",
"[Base].[SITUACION].&amp;[" &amp; $C87 &amp; "]"
),0)/1000</f>
        <v>-111.21811271449999</v>
      </c>
      <c r="AP87" s="8">
        <f>IFERROR(
GETPIVOTDATA(
"[Base].[Importe]",
TDinamica_R!$A$5,
"[Calendario].[AñoMes]",
"[Calendario].[AñoMes].&amp;[" &amp; TEXT(AP$6,"yyyymm") &amp; "]",
"[Base].[Metrica]",
"[Base].[Metrica].&amp;[" &amp; $A87 &amp; "]",
"[Base].[SEGMENTO_DESCRIP]",
"[Base].[SEGMENTO_DESCRIP].&amp;[" &amp; $C$6 &amp; "]",
"[Base].[SITUACION]",
"[Base].[SITUACION].&amp;[" &amp; $C87 &amp; "]"
),0)/1000</f>
        <v>-115.2176854885</v>
      </c>
      <c r="AQ87" s="8">
        <f>IFERROR(
GETPIVOTDATA(
"[Base].[Importe]",
TDinamica_R!$A$5,
"[Calendario].[AñoMes]",
"[Calendario].[AñoMes].&amp;[" &amp; TEXT(AQ$6,"yyyymm") &amp; "]",
"[Base].[Metrica]",
"[Base].[Metrica].&amp;[" &amp; $A87 &amp; "]",
"[Base].[SEGMENTO_DESCRIP]",
"[Base].[SEGMENTO_DESCRIP].&amp;[" &amp; $C$6 &amp; "]",
"[Base].[SITUACION]",
"[Base].[SITUACION].&amp;[" &amp; $C87 &amp; "]"
),0)/1000</f>
        <v>-121.4104460847</v>
      </c>
      <c r="AR87" s="8">
        <f>IFERROR(
GETPIVOTDATA(
"[Base].[Importe]",
TDinamica_R!$A$5,
"[Calendario].[AñoMes]",
"[Calendario].[AñoMes].&amp;[" &amp; TEXT(AR$6,"yyyymm") &amp; "]",
"[Base].[Metrica]",
"[Base].[Metrica].&amp;[" &amp; $A87 &amp; "]",
"[Base].[SEGMENTO_DESCRIP]",
"[Base].[SEGMENTO_DESCRIP].&amp;[" &amp; $C$6 &amp; "]",
"[Base].[SITUACION]",
"[Base].[SITUACION].&amp;[" &amp; $C87 &amp; "]"
),0)/1000</f>
        <v>-119.85441193840001</v>
      </c>
      <c r="AS87" s="8">
        <f>IFERROR(
GETPIVOTDATA(
"[Base].[Importe]",
TDinamica_R!$A$5,
"[Calendario].[AñoMes]",
"[Calendario].[AñoMes].&amp;[" &amp; TEXT(AS$6,"yyyymm") &amp; "]",
"[Base].[Metrica]",
"[Base].[Metrica].&amp;[" &amp; $A87 &amp; "]",
"[Base].[SEGMENTO_DESCRIP]",
"[Base].[SEGMENTO_DESCRIP].&amp;[" &amp; $C$6 &amp; "]",
"[Base].[SITUACION]",
"[Base].[SITUACION].&amp;[" &amp; $C87 &amp; "]"
),0)/1000</f>
        <v>-129.03075067010002</v>
      </c>
      <c r="AT87" s="8">
        <f>IFERROR(
GETPIVOTDATA(
"[Base].[Importe]",
TDinamica_R!$A$5,
"[Calendario].[AñoMes]",
"[Calendario].[AñoMes].&amp;[" &amp; TEXT(AT$6,"yyyymm")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U87" s="8">
        <f>IFERROR(
GETPIVOTDATA(
"[Base].[Importe]",
TDinamica_R!$A$5,
"[Calendario].[AñoMes]",
"[Calendario].[AñoMes].&amp;[" &amp; TEXT(AU$6,"yyyymm")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V87" s="8">
        <f>IFERROR(
GETPIVOTDATA(
"[Base].[Importe]",
TDinamica_R!$A$5,
"[Calendario].[AñoMes]",
"[Calendario].[AñoMes].&amp;[" &amp; TEXT(AV$6,"yyyymm")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W87" s="8">
        <f>IFERROR(
GETPIVOTDATA(
"[Base].[Importe]",
TDinamica_R!$A$5,
"[Calendario].[AñoMes]",
"[Calendario].[AñoMes].&amp;[" &amp; TEXT(AW$6,"yyyymm")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X87" s="8">
        <f>IFERROR(
GETPIVOTDATA(
"[Base].[Importe]",
TDinamica_R!$A$5,
"[Calendario].[AñoMes]",
"[Calendario].[AñoMes].&amp;[" &amp; TEXT(AX$6,"yyyymm")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Y87" s="8">
        <f>IFERROR(
GETPIVOTDATA(
"[Base].[Importe]",
TDinamica_R!$A$5,
"[Calendario].[AñoMes]",
"[Calendario].[AñoMes].&amp;[" &amp; TEXT(AY$6,"yyyymm")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Z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"[BASE_HIPO_PPTO].[Periodo]","[BASE_HIPO_PPTO].[Periodo].&amp;["&amp;TEXT(AZ$6,"yyyymm")&amp;"]"),
0)/1000</f>
        <v>-161.66338080090003</v>
      </c>
      <c r="BA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"[BASE_HIPO_PPTO].[Periodo]","[BASE_HIPO_PPTO].[Periodo].&amp;["&amp;TEXT(BA$6,"yyyymm")&amp;"]"),
0)/1000</f>
        <v>-156.46373885310001</v>
      </c>
      <c r="BB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"[BASE_HIPO_PPTO].[Periodo]","[BASE_HIPO_PPTO].[Periodo].&amp;["&amp;TEXT(BB$6,"yyyymm")&amp;"]"),
0)/1000</f>
        <v>-161.01511801150002</v>
      </c>
      <c r="BC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"[BASE_HIPO_PPTO].[Periodo]","[BASE_HIPO_PPTO].[Periodo].&amp;["&amp;TEXT(BC$6,"yyyymm")&amp;"]"),
0)/1000</f>
        <v>-163.4427148083</v>
      </c>
      <c r="BD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"[BASE_HIPO_PPTO].[Periodo]","[BASE_HIPO_PPTO].[Periodo].&amp;["&amp;TEXT(BD$6,"yyyymm")&amp;"]"),
0)/1000</f>
        <v>-165.8753432039</v>
      </c>
      <c r="BE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"[BASE_HIPO_PPTO].[Periodo]","[BASE_HIPO_PPTO].[Periodo].&amp;["&amp;TEXT(BE$6,"yyyymm")&amp;"]"),
0)/1000</f>
        <v>-164.17820505980001</v>
      </c>
      <c r="BF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"[BASE_HIPO_PPTO].[Periodo]","[BASE_HIPO_PPTO].[Periodo].&amp;["&amp;TEXT(BF$6,"yyyymm")&amp;"]"),
0)/1000</f>
        <v>-155.55877483599997</v>
      </c>
      <c r="BG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"[BASE_HIPO_PPTO].[Periodo]","[BASE_HIPO_PPTO].[Periodo].&amp;["&amp;TEXT(BG$6,"yyyymm")&amp;"]"),
0)/1000</f>
        <v>-148.72153053260001</v>
      </c>
      <c r="BH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"[BASE_HIPO_PPTO].[Periodo]","[BASE_HIPO_PPTO].[Periodo].&amp;["&amp;TEXT(BH$6,"yyyymm")&amp;"]"),
0)/1000</f>
        <v>-155.06679215260002</v>
      </c>
      <c r="BI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"[BASE_HIPO_PPTO].[Periodo]","[BASE_HIPO_PPTO].[Periodo].&amp;["&amp;TEXT(BI$6,"yyyymm")&amp;"]"),
0)/1000</f>
        <v>-154.9979612999</v>
      </c>
      <c r="BJ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"[BASE_HIPO_PPTO].[Periodo]","[BASE_HIPO_PPTO].[Periodo].&amp;["&amp;TEXT(BJ$6,"yyyymm")&amp;"]"),
0)/1000</f>
        <v>-155.1275553431</v>
      </c>
      <c r="BK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"[BASE_HIPO_PPTO].[Periodo]","[BASE_HIPO_PPTO].[Periodo].&amp;["&amp;TEXT(BK$6,"yyyymm")&amp;"]"),
0)/1000</f>
        <v>-159.41682461690002</v>
      </c>
      <c r="BO87" s="24">
        <f t="shared" si="153"/>
        <v>-332.6099393083</v>
      </c>
      <c r="BP87" s="24">
        <f t="shared" si="153"/>
        <v>-479.14223766550003</v>
      </c>
      <c r="BQ87" s="24">
        <f t="shared" si="153"/>
        <v>-217.39225381979998</v>
      </c>
      <c r="BR87" s="24">
        <f t="shared" si="153"/>
        <v>-372.86505562849999</v>
      </c>
      <c r="BS87" s="24">
        <f t="shared" si="153"/>
        <v>-345.74569023020001</v>
      </c>
      <c r="BT87" s="24">
        <f t="shared" si="153"/>
        <v>-345.18840870709994</v>
      </c>
    </row>
    <row r="88" spans="1:72" hidden="1" outlineLevel="1" x14ac:dyDescent="0.25">
      <c r="A88" s="11" t="s">
        <v>76</v>
      </c>
      <c r="C88" s="2" t="s">
        <v>80</v>
      </c>
      <c r="D88" s="8">
        <f>IFERROR(
GETPIVOTDATA(
"[Base].[Importe]",
TDinamica_R!$A$5,
"[Calendario].[AñoMes]",
"[Calendario].[AñoMes].&amp;[" &amp; TEXT(D$6,"yyyymm") &amp; "]",
"[Base].[Metrica]",
"[Base].[Metrica].&amp;[" &amp; $A88 &amp; "]",
"[Base].[SEGMENTO_DESCRIP]",
"[Base].[SEGMENTO_DESCRIP].&amp;[" &amp; $C$6 &amp; "]",
"[Base].[SITUACION]",
"[Base].[SITUACION].&amp;[" &amp; $C88 &amp; "]"
),0)/1000</f>
        <v>-696.96114565510004</v>
      </c>
      <c r="E88" s="8">
        <f>IFERROR(
GETPIVOTDATA(
"[Base].[Importe]",
TDinamica_R!$A$5,
"[Calendario].[AñoMes]",
"[Calendario].[AñoMes].&amp;[" &amp; TEXT(E$6,"yyyymm") &amp; "]",
"[Base].[Metrica]",
"[Base].[Metrica].&amp;[" &amp; $A88 &amp; "]",
"[Base].[SEGMENTO_DESCRIP]",
"[Base].[SEGMENTO_DESCRIP].&amp;[" &amp; $C$6 &amp; "]",
"[Base].[SITUACION]",
"[Base].[SITUACION].&amp;[" &amp; $C88 &amp; "]"
),0)/1000</f>
        <v>-694.18721726379999</v>
      </c>
      <c r="F88" s="8">
        <f>IFERROR(
GETPIVOTDATA(
"[Base].[Importe]",
TDinamica_R!$A$5,
"[Calendario].[AñoMes]",
"[Calendario].[AñoMes].&amp;[" &amp; TEXT(F$6,"yyyymm") &amp; "]",
"[Base].[Metrica]",
"[Base].[Metrica].&amp;[" &amp; $A88 &amp; "]",
"[Base].[SEGMENTO_DESCRIP]",
"[Base].[SEGMENTO_DESCRIP].&amp;[" &amp; $C$6 &amp; "]",
"[Base].[SITUACION]",
"[Base].[SITUACION].&amp;[" &amp; $C88 &amp; "]"
),0)/1000</f>
        <v>-720.79478195929994</v>
      </c>
      <c r="G88" s="8">
        <f>IFERROR(
GETPIVOTDATA(
"[Base].[Importe]",
TDinamica_R!$A$5,
"[Calendario].[AñoMes]",
"[Calendario].[AñoMes].&amp;[" &amp; TEXT(G$6,"yyyymm") &amp; "]",
"[Base].[Metrica]",
"[Base].[Metrica].&amp;[" &amp; $A88 &amp; "]",
"[Base].[SEGMENTO_DESCRIP]",
"[Base].[SEGMENTO_DESCRIP].&amp;[" &amp; $C$6 &amp; "]",
"[Base].[SITUACION]",
"[Base].[SITUACION].&amp;[" &amp; $C88 &amp; "]"
),0)/1000</f>
        <v>-741.86575117910002</v>
      </c>
      <c r="H88" s="8">
        <f>IFERROR(
GETPIVOTDATA(
"[Base].[Importe]",
TDinamica_R!$A$5,
"[Calendario].[AñoMes]",
"[Calendario].[AñoMes].&amp;[" &amp; TEXT(H$6,"yyyymm") &amp; "]",
"[Base].[Metrica]",
"[Base].[Metrica].&amp;[" &amp; $A88 &amp; "]",
"[Base].[SEGMENTO_DESCRIP]",
"[Base].[SEGMENTO_DESCRIP].&amp;[" &amp; $C$6 &amp; "]",
"[Base].[SITUACION]",
"[Base].[SITUACION].&amp;[" &amp; $C88 &amp; "]"
),0)/1000</f>
        <v>-712.3972849562</v>
      </c>
      <c r="I88" s="8">
        <f>IFERROR(
GETPIVOTDATA(
"[Base].[Importe]",
TDinamica_R!$A$5,
"[Calendario].[AñoMes]",
"[Calendario].[AñoMes].&amp;[" &amp; TEXT(I$6,"yyyymm") &amp; "]",
"[Base].[Metrica]",
"[Base].[Metrica].&amp;[" &amp; $A88 &amp; "]",
"[Base].[SEGMENTO_DESCRIP]",
"[Base].[SEGMENTO_DESCRIP].&amp;[" &amp; $C$6 &amp; "]",
"[Base].[SITUACION]",
"[Base].[SITUACION].&amp;[" &amp; $C88 &amp; "]"
),0)/1000</f>
        <v>-651.61241120620002</v>
      </c>
      <c r="J88" s="8">
        <f>IFERROR(
GETPIVOTDATA(
"[Base].[Importe]",
TDinamica_R!$A$5,
"[Calendario].[AñoMes]",
"[Calendario].[AñoMes].&amp;[" &amp; TEXT(J$6,"yyyymm") &amp; "]",
"[Base].[Metrica]",
"[Base].[Metrica].&amp;[" &amp; $A88 &amp; "]",
"[Base].[SEGMENTO_DESCRIP]",
"[Base].[SEGMENTO_DESCRIP].&amp;[" &amp; $C$6 &amp; "]",
"[Base].[SITUACION]",
"[Base].[SITUACION].&amp;[" &amp; $C88 &amp; "]"
),0)/1000</f>
        <v>-724.64962650040002</v>
      </c>
      <c r="K88" s="8">
        <f>IFERROR(
GETPIVOTDATA(
"[Base].[Importe]",
TDinamica_R!$A$5,
"[Calendario].[AñoMes]",
"[Calendario].[AñoMes].&amp;[" &amp; TEXT(K$6,"yyyymm") &amp; "]",
"[Base].[Metrica]",
"[Base].[Metrica].&amp;[" &amp; $A88 &amp; "]",
"[Base].[SEGMENTO_DESCRIP]",
"[Base].[SEGMENTO_DESCRIP].&amp;[" &amp; $C$6 &amp; "]",
"[Base].[SITUACION]",
"[Base].[SITUACION].&amp;[" &amp; $C88 &amp; "]"
),0)/1000</f>
        <v>-669.01756971139991</v>
      </c>
      <c r="L88" s="8">
        <f>IFERROR(
GETPIVOTDATA(
"[Base].[Importe]",
TDinamica_R!$A$5,
"[Calendario].[AñoMes]",
"[Calendario].[AñoMes].&amp;[" &amp; TEXT(L$6,"yyyymm") &amp; "]",
"[Base].[Metrica]",
"[Base].[Metrica].&amp;[" &amp; $A88 &amp; "]",
"[Base].[SEGMENTO_DESCRIP]",
"[Base].[SEGMENTO_DESCRIP].&amp;[" &amp; $C$6 &amp; "]",
"[Base].[SITUACION]",
"[Base].[SITUACION].&amp;[" &amp; $C88 &amp; "]"
),0)/1000</f>
        <v>-692.36194270720011</v>
      </c>
      <c r="M88" s="8">
        <f>IFERROR(
GETPIVOTDATA(
"[Base].[Importe]",
TDinamica_R!$A$5,
"[Calendario].[AñoMes]",
"[Calendario].[AñoMes].&amp;[" &amp; TEXT(M$6,"yyyymm") &amp; "]",
"[Base].[Metrica]",
"[Base].[Metrica].&amp;[" &amp; $A88 &amp; "]",
"[Base].[SEGMENTO_DESCRIP]",
"[Base].[SEGMENTO_DESCRIP].&amp;[" &amp; $C$6 &amp; "]",
"[Base].[SITUACION]",
"[Base].[SITUACION].&amp;[" &amp; $C88 &amp; "]"
),0)/1000</f>
        <v>-690.7633680194001</v>
      </c>
      <c r="N88" s="8">
        <f>IFERROR(
GETPIVOTDATA(
"[Base].[Importe]",
TDinamica_R!$A$5,
"[Calendario].[AñoMes]",
"[Calendario].[AñoMes].&amp;[" &amp; TEXT(N$6,"yyyymm") &amp; "]",
"[Base].[Metrica]",
"[Base].[Metrica].&amp;[" &amp; $A88 &amp; "]",
"[Base].[SEGMENTO_DESCRIP]",
"[Base].[SEGMENTO_DESCRIP].&amp;[" &amp; $C$6 &amp; "]",
"[Base].[SITUACION]",
"[Base].[SITUACION].&amp;[" &amp; $C88 &amp; "]"
),0)/1000</f>
        <v>-745.65243366289997</v>
      </c>
      <c r="O88" s="8">
        <f>IFERROR(
GETPIVOTDATA(
"[Base].[Importe]",
TDinamica_R!$A$5,
"[Calendario].[AñoMes]",
"[Calendario].[AñoMes].&amp;[" &amp; TEXT(O$6,"yyyymm") &amp; "]",
"[Base].[Metrica]",
"[Base].[Metrica].&amp;[" &amp; $A88 &amp; "]",
"[Base].[SEGMENTO_DESCRIP]",
"[Base].[SEGMENTO_DESCRIP].&amp;[" &amp; $C$6 &amp; "]",
"[Base].[SITUACION]",
"[Base].[SITUACION].&amp;[" &amp; $C88 &amp; "]"
),0)/1000</f>
        <v>-657.75348845650001</v>
      </c>
      <c r="P88" s="8">
        <f>IFERROR(
GETPIVOTDATA(
"[Base].[Importe]",
TDinamica_R!$A$5,
"[Calendario].[AñoMes]",
"[Calendario].[AñoMes].&amp;[" &amp; TEXT(P$6,"yyyymm") &amp; "]",
"[Base].[Metrica]",
"[Base].[Metrica].&amp;[" &amp; $A88 &amp; "]",
"[Base].[SEGMENTO_DESCRIP]",
"[Base].[SEGMENTO_DESCRIP].&amp;[" &amp; $C$6 &amp; "]",
"[Base].[SITUACION]",
"[Base].[SITUACION].&amp;[" &amp; $C88 &amp; "]"
),0)/1000</f>
        <v>-695.42681025180002</v>
      </c>
      <c r="Q88" s="8">
        <f>IFERROR(
GETPIVOTDATA(
"[Base].[Importe]",
TDinamica_R!$A$5,
"[Calendario].[AñoMes]",
"[Calendario].[AñoMes].&amp;[" &amp; TEXT(Q$6,"yyyymm") &amp; "]",
"[Base].[Metrica]",
"[Base].[Metrica].&amp;[" &amp; $A88 &amp; "]",
"[Base].[SEGMENTO_DESCRIP]",
"[Base].[SEGMENTO_DESCRIP].&amp;[" &amp; $C$6 &amp; "]",
"[Base].[SITUACION]",
"[Base].[SITUACION].&amp;[" &amp; $C88 &amp; "]"
),0)/1000</f>
        <v>-751.75275782309996</v>
      </c>
      <c r="R88" s="8">
        <f>IFERROR(
GETPIVOTDATA(
"[Base].[Importe]",
TDinamica_R!$A$5,
"[Calendario].[AñoMes]",
"[Calendario].[AñoMes].&amp;[" &amp; TEXT(R$6,"yyyymm") &amp; "]",
"[Base].[Metrica]",
"[Base].[Metrica].&amp;[" &amp; $A88 &amp; "]",
"[Base].[SEGMENTO_DESCRIP]",
"[Base].[SEGMENTO_DESCRIP].&amp;[" &amp; $C$6 &amp; "]",
"[Base].[SITUACION]",
"[Base].[SITUACION].&amp;[" &amp; $C88 &amp; "]"
),0)/1000</f>
        <v>-651.49180238809993</v>
      </c>
      <c r="S88" s="8">
        <f>IFERROR(
GETPIVOTDATA(
"[Base].[Importe]",
TDinamica_R!$A$5,
"[Calendario].[AñoMes]",
"[Calendario].[AñoMes].&amp;[" &amp; TEXT(S$6,"yyyymm") &amp; "]",
"[Base].[Metrica]",
"[Base].[Metrica].&amp;[" &amp; $A88 &amp; "]",
"[Base].[SEGMENTO_DESCRIP]",
"[Base].[SEGMENTO_DESCRIP].&amp;[" &amp; $C$6 &amp; "]",
"[Base].[SITUACION]",
"[Base].[SITUACION].&amp;[" &amp; $C88 &amp; "]"
),0)/1000</f>
        <v>-735.55692804119997</v>
      </c>
      <c r="T88" s="8">
        <f>IFERROR(
GETPIVOTDATA(
"[Base].[Importe]",
TDinamica_R!$A$5,
"[Calendario].[AñoMes]",
"[Calendario].[AñoMes].&amp;[" &amp; TEXT(T$6,"yyyymm") &amp; "]",
"[Base].[Metrica]",
"[Base].[Metrica].&amp;[" &amp; $A88 &amp; "]",
"[Base].[SEGMENTO_DESCRIP]",
"[Base].[SEGMENTO_DESCRIP].&amp;[" &amp; $C$6 &amp; "]",
"[Base].[SITUACION]",
"[Base].[SITUACION].&amp;[" &amp; $C88 &amp; "]"
),0)/1000</f>
        <v>-809.46201805479984</v>
      </c>
      <c r="U88" s="8">
        <f>IFERROR(
GETPIVOTDATA(
"[Base].[Importe]",
TDinamica_R!$A$5,
"[Calendario].[AñoMes]",
"[Calendario].[AñoMes].&amp;[" &amp; TEXT(U$6,"yyyymm") &amp; "]",
"[Base].[Metrica]",
"[Base].[Metrica].&amp;[" &amp; $A88 &amp; "]",
"[Base].[SEGMENTO_DESCRIP]",
"[Base].[SEGMENTO_DESCRIP].&amp;[" &amp; $C$6 &amp; "]",
"[Base].[SITUACION]",
"[Base].[SITUACION].&amp;[" &amp; $C88 &amp; "]"
),0)/1000</f>
        <v>-1599.3473608741001</v>
      </c>
      <c r="V88" s="8">
        <f>IFERROR(
GETPIVOTDATA(
"[Base].[Importe]",
TDinamica_R!$A$5,
"[Calendario].[AñoMes]",
"[Calendario].[AñoMes].&amp;[" &amp; TEXT(V$6,"yyyymm") &amp; "]",
"[Base].[Metrica]",
"[Base].[Metrica].&amp;[" &amp; $A88 &amp; "]",
"[Base].[SEGMENTO_DESCRIP]",
"[Base].[SEGMENTO_DESCRIP].&amp;[" &amp; $C$6 &amp; "]",
"[Base].[SITUACION]",
"[Base].[SITUACION].&amp;[" &amp; $C88 &amp; "]"
),0)/1000</f>
        <v>-1131.8500345671</v>
      </c>
      <c r="W88" s="8">
        <f>IFERROR(
GETPIVOTDATA(
"[Base].[Importe]",
TDinamica_R!$A$5,
"[Calendario].[AñoMes]",
"[Calendario].[AñoMes].&amp;[" &amp; TEXT(W$6,"yyyymm") &amp; "]",
"[Base].[Metrica]",
"[Base].[Metrica].&amp;[" &amp; $A88 &amp; "]",
"[Base].[SEGMENTO_DESCRIP]",
"[Base].[SEGMENTO_DESCRIP].&amp;[" &amp; $C$6 &amp; "]",
"[Base].[SITUACION]",
"[Base].[SITUACION].&amp;[" &amp; $C88 &amp; "]"
),0)/1000</f>
        <v>-917.99524847790019</v>
      </c>
      <c r="X88" s="8">
        <f>IFERROR(
GETPIVOTDATA(
"[Base].[Importe]",
TDinamica_R!$A$5,
"[Calendario].[AñoMes]",
"[Calendario].[AñoMes].&amp;[" &amp; TEXT(X$6,"yyyymm") &amp; "]",
"[Base].[Metrica]",
"[Base].[Metrica].&amp;[" &amp; $A88 &amp; "]",
"[Base].[SEGMENTO_DESCRIP]",
"[Base].[SEGMENTO_DESCRIP].&amp;[" &amp; $C$6 &amp; "]",
"[Base].[SITUACION]",
"[Base].[SITUACION].&amp;[" &amp; $C88 &amp; "]"
),0)/1000</f>
        <v>-813.71888050320001</v>
      </c>
      <c r="Y88" s="8">
        <f>IFERROR(
GETPIVOTDATA(
"[Base].[Importe]",
TDinamica_R!$A$5,
"[Calendario].[AñoMes]",
"[Calendario].[AñoMes].&amp;[" &amp; TEXT(Y$6,"yyyymm") &amp; "]",
"[Base].[Metrica]",
"[Base].[Metrica].&amp;[" &amp; $A88 &amp; "]",
"[Base].[SEGMENTO_DESCRIP]",
"[Base].[SEGMENTO_DESCRIP].&amp;[" &amp; $C$6 &amp; "]",
"[Base].[SITUACION]",
"[Base].[SITUACION].&amp;[" &amp; $C88 &amp; "]"
),0)/1000</f>
        <v>-803.24385574969995</v>
      </c>
      <c r="Z88" s="8">
        <f>IFERROR(
GETPIVOTDATA(
"[Base].[Importe]",
TDinamica_R!$A$5,
"[Calendario].[AñoMes]",
"[Calendario].[AñoMes].&amp;[" &amp; TEXT(Z$6,"yyyymm") &amp; "]",
"[Base].[Metrica]",
"[Base].[Metrica].&amp;[" &amp; $A88 &amp; "]",
"[Base].[SEGMENTO_DESCRIP]",
"[Base].[SEGMENTO_DESCRIP].&amp;[" &amp; $C$6 &amp; "]",
"[Base].[SITUACION]",
"[Base].[SITUACION].&amp;[" &amp; $C88 &amp; "]"
),0)/1000</f>
        <v>-815.54847071529991</v>
      </c>
      <c r="AA88" s="8">
        <f>IFERROR(
GETPIVOTDATA(
"[Base].[Importe]",
TDinamica_R!$A$5,
"[Calendario].[AñoMes]",
"[Calendario].[AñoMes].&amp;[" &amp; TEXT(AA$6,"yyyymm") &amp; "]",
"[Base].[Metrica]",
"[Base].[Metrica].&amp;[" &amp; $A88 &amp; "]",
"[Base].[SEGMENTO_DESCRIP]",
"[Base].[SEGMENTO_DESCRIP].&amp;[" &amp; $C$6 &amp; "]",
"[Base].[SITUACION]",
"[Base].[SITUACION].&amp;[" &amp; $C88 &amp; "]"
),0)/1000</f>
        <v>-806.37528381049992</v>
      </c>
      <c r="AB88" s="8">
        <f>IFERROR(
GETPIVOTDATA(
"[Base].[Importe]",
TDinamica_R!$A$5,
"[Calendario].[AñoMes]",
"[Calendario].[AñoMes].&amp;[" &amp; TEXT(AB$6,"yyyymm") &amp; "]",
"[Base].[Metrica]",
"[Base].[Metrica].&amp;[" &amp; $A88 &amp; "]",
"[Base].[SEGMENTO_DESCRIP]",
"[Base].[SEGMENTO_DESCRIP].&amp;[" &amp; $C$6 &amp; "]",
"[Base].[SITUACION]",
"[Base].[SITUACION].&amp;[" &amp; $C88 &amp; "]"
),0)/1000</f>
        <v>-940.04391791700004</v>
      </c>
      <c r="AC88" s="8">
        <f>IFERROR(
GETPIVOTDATA(
"[Base].[Importe]",
TDinamica_R!$A$5,
"[Calendario].[AñoMes]",
"[Calendario].[AñoMes].&amp;[" &amp; TEXT(AC$6,"yyyymm") &amp; "]",
"[Base].[Metrica]",
"[Base].[Metrica].&amp;[" &amp; $A88 &amp; "]",
"[Base].[SEGMENTO_DESCRIP]",
"[Base].[SEGMENTO_DESCRIP].&amp;[" &amp; $C$6 &amp; "]",
"[Base].[SITUACION]",
"[Base].[SITUACION].&amp;[" &amp; $C88 &amp; "]"
),0)/1000</f>
        <v>-827.30442166550017</v>
      </c>
      <c r="AD88" s="8">
        <f>IFERROR(
GETPIVOTDATA(
"[Base].[Importe]",
TDinamica_R!$A$5,
"[Calendario].[AñoMes]",
"[Calendario].[AñoMes].&amp;[" &amp; TEXT(AD$6,"yyyymm") &amp; "]",
"[Base].[Metrica]",
"[Base].[Metrica].&amp;[" &amp; $A88 &amp; "]",
"[Base].[SEGMENTO_DESCRIP]",
"[Base].[SEGMENTO_DESCRIP].&amp;[" &amp; $C$6 &amp; "]",
"[Base].[SITUACION]",
"[Base].[SITUACION].&amp;[" &amp; $C88 &amp; "]"
),0)/1000</f>
        <v>-819.45295710849996</v>
      </c>
      <c r="AE88" s="8">
        <f>IFERROR(
GETPIVOTDATA(
"[Base].[Importe]",
TDinamica_R!$A$5,
"[Calendario].[AñoMes]",
"[Calendario].[AñoMes].&amp;[" &amp; TEXT(AE$6,"yyyymm") &amp; "]",
"[Base].[Metrica]",
"[Base].[Metrica].&amp;[" &amp; $A88 &amp; "]",
"[Base].[SEGMENTO_DESCRIP]",
"[Base].[SEGMENTO_DESCRIP].&amp;[" &amp; $C$6 &amp; "]",
"[Base].[SITUACION]",
"[Base].[SITUACION].&amp;[" &amp; $C88 &amp; "]"
),0)/1000</f>
        <v>-847.26100128029998</v>
      </c>
      <c r="AF88" s="8">
        <f>IFERROR(
GETPIVOTDATA(
"[Base].[Importe]",
TDinamica_R!$A$5,
"[Calendario].[AñoMes]",
"[Calendario].[AñoMes].&amp;[" &amp; TEXT(AF$6,"yyyymm") &amp; "]",
"[Base].[Metrica]",
"[Base].[Metrica].&amp;[" &amp; $A88 &amp; "]",
"[Base].[SEGMENTO_DESCRIP]",
"[Base].[SEGMENTO_DESCRIP].&amp;[" &amp; $C$6 &amp; "]",
"[Base].[SITUACION]",
"[Base].[SITUACION].&amp;[" &amp; $C88 &amp; "]"
),0)/1000</f>
        <v>-865.43611168929999</v>
      </c>
      <c r="AG88" s="8">
        <f>IFERROR(
GETPIVOTDATA(
"[Base].[Importe]",
TDinamica_R!$A$5,
"[Calendario].[AñoMes]",
"[Calendario].[AñoMes].&amp;[" &amp; TEXT(AG$6,"yyyymm") &amp; "]",
"[Base].[Metrica]",
"[Base].[Metrica].&amp;[" &amp; $A88 &amp; "]",
"[Base].[SEGMENTO_DESCRIP]",
"[Base].[SEGMENTO_DESCRIP].&amp;[" &amp; $C$6 &amp; "]",
"[Base].[SITUACION]",
"[Base].[SITUACION].&amp;[" &amp; $C88 &amp; "]"
),0)/1000</f>
        <v>-875.26015127329993</v>
      </c>
      <c r="AH88" s="8">
        <f>IFERROR(
GETPIVOTDATA(
"[Base].[Importe]",
TDinamica_R!$A$5,
"[Calendario].[AñoMes]",
"[Calendario].[AñoMes].&amp;[" &amp; TEXT(AH$6,"yyyymm") &amp; "]",
"[Base].[Metrica]",
"[Base].[Metrica].&amp;[" &amp; $A88 &amp; "]",
"[Base].[SEGMENTO_DESCRIP]",
"[Base].[SEGMENTO_DESCRIP].&amp;[" &amp; $C$6 &amp; "]",
"[Base].[SITUACION]",
"[Base].[SITUACION].&amp;[" &amp; $C88 &amp; "]"
),0)/1000</f>
        <v>-844.98972643659999</v>
      </c>
      <c r="AI88" s="8">
        <f>IFERROR(
GETPIVOTDATA(
"[Base].[Importe]",
TDinamica_R!$A$5,
"[Calendario].[AñoMes]",
"[Calendario].[AñoMes].&amp;[" &amp; TEXT(AI$6,"yyyymm") &amp; "]",
"[Base].[Metrica]",
"[Base].[Metrica].&amp;[" &amp; $A88 &amp; "]",
"[Base].[SEGMENTO_DESCRIP]",
"[Base].[SEGMENTO_DESCRIP].&amp;[" &amp; $C$6 &amp; "]",
"[Base].[SITUACION]",
"[Base].[SITUACION].&amp;[" &amp; $C88 &amp; "]"
),0)/1000</f>
        <v>-856.49260752509997</v>
      </c>
      <c r="AJ88" s="8">
        <f>IFERROR(
GETPIVOTDATA(
"[Base].[Importe]",
TDinamica_R!$A$5,
"[Calendario].[AñoMes]",
"[Calendario].[AñoMes].&amp;[" &amp; TEXT(AJ$6,"yyyymm") &amp; "]",
"[Base].[Metrica]",
"[Base].[Metrica].&amp;[" &amp; $A88 &amp; "]",
"[Base].[SEGMENTO_DESCRIP]",
"[Base].[SEGMENTO_DESCRIP].&amp;[" &amp; $C$6 &amp; "]",
"[Base].[SITUACION]",
"[Base].[SITUACION].&amp;[" &amp; $C88 &amp; "]"
),0)/1000</f>
        <v>-834.44934523999996</v>
      </c>
      <c r="AK88" s="8">
        <f>IFERROR(
GETPIVOTDATA(
"[Base].[Importe]",
TDinamica_R!$A$5,
"[Calendario].[AñoMes]",
"[Calendario].[AñoMes].&amp;[" &amp; TEXT(AK$6,"yyyymm") &amp; "]",
"[Base].[Metrica]",
"[Base].[Metrica].&amp;[" &amp; $A88 &amp; "]",
"[Base].[SEGMENTO_DESCRIP]",
"[Base].[SEGMENTO_DESCRIP].&amp;[" &amp; $C$6 &amp; "]",
"[Base].[SITUACION]",
"[Base].[SITUACION].&amp;[" &amp; $C88 &amp; "]"
),0)/1000</f>
        <v>-753.82198430499989</v>
      </c>
      <c r="AL88" s="8">
        <f>IFERROR(
GETPIVOTDATA(
"[Base].[Importe]",
TDinamica_R!$A$5,
"[Calendario].[AñoMes]",
"[Calendario].[AñoMes].&amp;[" &amp; TEXT(AL$6,"yyyymm") &amp; "]",
"[Base].[Metrica]",
"[Base].[Metrica].&amp;[" &amp; $A88 &amp; "]",
"[Base].[SEGMENTO_DESCRIP]",
"[Base].[SEGMENTO_DESCRIP].&amp;[" &amp; $C$6 &amp; "]",
"[Base].[SITUACION]",
"[Base].[SITUACION].&amp;[" &amp; $C88 &amp; "]"
),0)/1000</f>
        <v>-933.57152222690002</v>
      </c>
      <c r="AM88" s="8">
        <f>IFERROR(
GETPIVOTDATA(
"[Base].[Importe]",
TDinamica_R!$A$5,
"[Calendario].[AñoMes]",
"[Calendario].[AñoMes].&amp;[" &amp; TEXT(AM$6,"yyyymm") &amp; "]",
"[Base].[Metrica]",
"[Base].[Metrica].&amp;[" &amp; $A88 &amp; "]",
"[Base].[SEGMENTO_DESCRIP]",
"[Base].[SEGMENTO_DESCRIP].&amp;[" &amp; $C$6 &amp; "]",
"[Base].[SITUACION]",
"[Base].[SITUACION].&amp;[" &amp; $C88 &amp; "]"
),0)/1000</f>
        <v>-863.00838471810005</v>
      </c>
      <c r="AN88" s="8">
        <f>IFERROR(
GETPIVOTDATA(
"[Base].[Importe]",
TDinamica_R!$A$5,
"[Calendario].[AñoMes]",
"[Calendario].[AñoMes].&amp;[" &amp; TEXT(AN$6,"yyyymm") &amp; "]",
"[Base].[Metrica]",
"[Base].[Metrica].&amp;[" &amp; $A88 &amp; "]",
"[Base].[SEGMENTO_DESCRIP]",
"[Base].[SEGMENTO_DESCRIP].&amp;[" &amp; $C$6 &amp; "]",
"[Base].[SITUACION]",
"[Base].[SITUACION].&amp;[" &amp; $C88 &amp; "]"
),0)/1000</f>
        <v>-998.06211266619994</v>
      </c>
      <c r="AO88" s="8">
        <f>IFERROR(
GETPIVOTDATA(
"[Base].[Importe]",
TDinamica_R!$A$5,
"[Calendario].[AñoMes]",
"[Calendario].[AñoMes].&amp;[" &amp; TEXT(AO$6,"yyyymm") &amp; "]",
"[Base].[Metrica]",
"[Base].[Metrica].&amp;[" &amp; $A88 &amp; "]",
"[Base].[SEGMENTO_DESCRIP]",
"[Base].[SEGMENTO_DESCRIP].&amp;[" &amp; $C$6 &amp; "]",
"[Base].[SITUACION]",
"[Base].[SITUACION].&amp;[" &amp; $C88 &amp; "]"
),0)/1000</f>
        <v>-945.08345644610006</v>
      </c>
      <c r="AP88" s="8">
        <f>IFERROR(
GETPIVOTDATA(
"[Base].[Importe]",
TDinamica_R!$A$5,
"[Calendario].[AñoMes]",
"[Calendario].[AñoMes].&amp;[" &amp; TEXT(AP$6,"yyyymm") &amp; "]",
"[Base].[Metrica]",
"[Base].[Metrica].&amp;[" &amp; $A88 &amp; "]",
"[Base].[SEGMENTO_DESCRIP]",
"[Base].[SEGMENTO_DESCRIP].&amp;[" &amp; $C$6 &amp; "]",
"[Base].[SITUACION]",
"[Base].[SITUACION].&amp;[" &amp; $C88 &amp; "]"
),0)/1000</f>
        <v>-845.09352582400004</v>
      </c>
      <c r="AQ88" s="8">
        <f>IFERROR(
GETPIVOTDATA(
"[Base].[Importe]",
TDinamica_R!$A$5,
"[Calendario].[AñoMes]",
"[Calendario].[AñoMes].&amp;[" &amp; TEXT(AQ$6,"yyyymm") &amp; "]",
"[Base].[Metrica]",
"[Base].[Metrica].&amp;[" &amp; $A88 &amp; "]",
"[Base].[SEGMENTO_DESCRIP]",
"[Base].[SEGMENTO_DESCRIP].&amp;[" &amp; $C$6 &amp; "]",
"[Base].[SITUACION]",
"[Base].[SITUACION].&amp;[" &amp; $C88 &amp; "]"
),0)/1000</f>
        <v>-1019.8403350233999</v>
      </c>
      <c r="AR88" s="8">
        <f>IFERROR(
GETPIVOTDATA(
"[Base].[Importe]",
TDinamica_R!$A$5,
"[Calendario].[AñoMes]",
"[Calendario].[AñoMes].&amp;[" &amp; TEXT(AR$6,"yyyymm") &amp; "]",
"[Base].[Metrica]",
"[Base].[Metrica].&amp;[" &amp; $A88 &amp; "]",
"[Base].[SEGMENTO_DESCRIP]",
"[Base].[SEGMENTO_DESCRIP].&amp;[" &amp; $C$6 &amp; "]",
"[Base].[SITUACION]",
"[Base].[SITUACION].&amp;[" &amp; $C88 &amp; "]"
),0)/1000</f>
        <v>-892.72161674619997</v>
      </c>
      <c r="AS88" s="8">
        <f>IFERROR(
GETPIVOTDATA(
"[Base].[Importe]",
TDinamica_R!$A$5,
"[Calendario].[AñoMes]",
"[Calendario].[AñoMes].&amp;[" &amp; TEXT(AS$6,"yyyymm") &amp; "]",
"[Base].[Metrica]",
"[Base].[Metrica].&amp;[" &amp; $A88 &amp; "]",
"[Base].[SEGMENTO_DESCRIP]",
"[Base].[SEGMENTO_DESCRIP].&amp;[" &amp; $C$6 &amp; "]",
"[Base].[SITUACION]",
"[Base].[SITUACION].&amp;[" &amp; $C88 &amp; "]"
),0)/1000</f>
        <v>-998.02878702379996</v>
      </c>
      <c r="AT88" s="8">
        <f>IFERROR(
GETPIVOTDATA(
"[Base].[Importe]",
TDinamica_R!$A$5,
"[Calendario].[AñoMes]",
"[Calendario].[AñoMes].&amp;[" &amp; TEXT(AT$6,"yyyymm")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U88" s="8">
        <f>IFERROR(
GETPIVOTDATA(
"[Base].[Importe]",
TDinamica_R!$A$5,
"[Calendario].[AñoMes]",
"[Calendario].[AñoMes].&amp;[" &amp; TEXT(AU$6,"yyyymm")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V88" s="8">
        <f>IFERROR(
GETPIVOTDATA(
"[Base].[Importe]",
TDinamica_R!$A$5,
"[Calendario].[AñoMes]",
"[Calendario].[AñoMes].&amp;[" &amp; TEXT(AV$6,"yyyymm")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W88" s="8">
        <f>IFERROR(
GETPIVOTDATA(
"[Base].[Importe]",
TDinamica_R!$A$5,
"[Calendario].[AñoMes]",
"[Calendario].[AñoMes].&amp;[" &amp; TEXT(AW$6,"yyyymm")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X88" s="8">
        <f>IFERROR(
GETPIVOTDATA(
"[Base].[Importe]",
TDinamica_R!$A$5,
"[Calendario].[AñoMes]",
"[Calendario].[AñoMes].&amp;[" &amp; TEXT(AX$6,"yyyymm")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Y88" s="8">
        <f>IFERROR(
GETPIVOTDATA(
"[Base].[Importe]",
TDinamica_R!$A$5,
"[Calendario].[AñoMes]",
"[Calendario].[AñoMes].&amp;[" &amp; TEXT(AY$6,"yyyymm")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Z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"[BASE_HIPO_PPTO].[Periodo]","[BASE_HIPO_PPTO].[Periodo].&amp;["&amp;TEXT(AZ$6,"yyyymm")&amp;"]"),
0)/1000</f>
        <v>-955.41948718360004</v>
      </c>
      <c r="BA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"[BASE_HIPO_PPTO].[Periodo]","[BASE_HIPO_PPTO].[Periodo].&amp;["&amp;TEXT(BA$6,"yyyymm")&amp;"]"),
0)/1000</f>
        <v>-893.81204360590004</v>
      </c>
      <c r="BB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"[BASE_HIPO_PPTO].[Periodo]","[BASE_HIPO_PPTO].[Periodo].&amp;["&amp;TEXT(BB$6,"yyyymm")&amp;"]"),
0)/1000</f>
        <v>-968.92726387900007</v>
      </c>
      <c r="BC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"[BASE_HIPO_PPTO].[Periodo]","[BASE_HIPO_PPTO].[Periodo].&amp;["&amp;TEXT(BC$6,"yyyymm")&amp;"]"),
0)/1000</f>
        <v>-932.90049893110017</v>
      </c>
      <c r="BD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"[BASE_HIPO_PPTO].[Periodo]","[BASE_HIPO_PPTO].[Periodo].&amp;["&amp;TEXT(BD$6,"yyyymm")&amp;"]"),
0)/1000</f>
        <v>-978.27296511560007</v>
      </c>
      <c r="BE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"[BASE_HIPO_PPTO].[Periodo]","[BASE_HIPO_PPTO].[Periodo].&amp;["&amp;TEXT(BE$6,"yyyymm")&amp;"]"),
0)/1000</f>
        <v>-965.56141724400004</v>
      </c>
      <c r="BF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"[BASE_HIPO_PPTO].[Periodo]","[BASE_HIPO_PPTO].[Periodo].&amp;["&amp;TEXT(BF$6,"yyyymm")&amp;"]"),
0)/1000</f>
        <v>-973.58618437849998</v>
      </c>
      <c r="BG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"[BASE_HIPO_PPTO].[Periodo]","[BASE_HIPO_PPTO].[Periodo].&amp;["&amp;TEXT(BG$6,"yyyymm")&amp;"]"),
0)/1000</f>
        <v>-965.27150201089989</v>
      </c>
      <c r="BH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"[BASE_HIPO_PPTO].[Periodo]","[BASE_HIPO_PPTO].[Periodo].&amp;["&amp;TEXT(BH$6,"yyyymm")&amp;"]"),
0)/1000</f>
        <v>-977.24549714039995</v>
      </c>
      <c r="BI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"[BASE_HIPO_PPTO].[Periodo]","[BASE_HIPO_PPTO].[Periodo].&amp;["&amp;TEXT(BI$6,"yyyymm")&amp;"]"),
0)/1000</f>
        <v>-986.73278043210007</v>
      </c>
      <c r="BJ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"[BASE_HIPO_PPTO].[Periodo]","[BASE_HIPO_PPTO].[Periodo].&amp;["&amp;TEXT(BJ$6,"yyyymm")&amp;"]"),
0)/1000</f>
        <v>-959.60717324569998</v>
      </c>
      <c r="BK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"[BASE_HIPO_PPTO].[Periodo]","[BASE_HIPO_PPTO].[Periodo].&amp;["&amp;TEXT(BK$6,"yyyymm")&amp;"]"),
0)/1000</f>
        <v>-983.35021724679996</v>
      </c>
      <c r="BO88" s="24">
        <f t="shared" si="153"/>
        <v>-2788.2390949363003</v>
      </c>
      <c r="BP88" s="24">
        <f t="shared" si="153"/>
        <v>-2818.1587946685004</v>
      </c>
      <c r="BQ88" s="24">
        <f t="shared" si="153"/>
        <v>-1943.1455691123001</v>
      </c>
      <c r="BR88" s="24">
        <f t="shared" si="153"/>
        <v>-2586.8012966910001</v>
      </c>
      <c r="BS88" s="24">
        <f t="shared" si="153"/>
        <v>-2098.6713704630001</v>
      </c>
      <c r="BT88" s="24">
        <f t="shared" si="153"/>
        <v>-2111.9431448782002</v>
      </c>
    </row>
    <row r="89" spans="1:72" collapsed="1" x14ac:dyDescent="0.25">
      <c r="C89" s="3" t="s">
        <v>76</v>
      </c>
      <c r="D89" s="10">
        <f>SUM(D86:D88)</f>
        <v>-2092.6587562289001</v>
      </c>
      <c r="E89" s="10">
        <f t="shared" ref="E89:BK89" si="154">SUM(E86:E88)</f>
        <v>-2087.4952967859999</v>
      </c>
      <c r="F89" s="10">
        <f t="shared" si="154"/>
        <v>-2228.8080661450999</v>
      </c>
      <c r="G89" s="10">
        <f t="shared" si="154"/>
        <v>-2260.3774899678001</v>
      </c>
      <c r="H89" s="10">
        <f t="shared" si="154"/>
        <v>-2173.7166398609997</v>
      </c>
      <c r="I89" s="10">
        <f t="shared" si="154"/>
        <v>-2133.5283918565001</v>
      </c>
      <c r="J89" s="10">
        <f t="shared" si="154"/>
        <v>-2130.3131199944</v>
      </c>
      <c r="K89" s="10">
        <f t="shared" si="154"/>
        <v>-1980.9715909961001</v>
      </c>
      <c r="L89" s="10">
        <f t="shared" si="154"/>
        <v>-2105.2712145874002</v>
      </c>
      <c r="M89" s="10">
        <f t="shared" si="154"/>
        <v>-2046.7226739654</v>
      </c>
      <c r="N89" s="10">
        <f t="shared" si="154"/>
        <v>-2091.4968576587999</v>
      </c>
      <c r="O89" s="10">
        <f t="shared" si="154"/>
        <v>-1976.1870591391</v>
      </c>
      <c r="P89" s="10">
        <f t="shared" si="154"/>
        <v>-1950.5287235941</v>
      </c>
      <c r="Q89" s="10">
        <f t="shared" si="154"/>
        <v>-2221.0314387349999</v>
      </c>
      <c r="R89" s="10">
        <f t="shared" si="154"/>
        <v>-2117.0856439124</v>
      </c>
      <c r="S89" s="10">
        <f t="shared" si="154"/>
        <v>-2138.6171475863998</v>
      </c>
      <c r="T89" s="10">
        <f t="shared" si="154"/>
        <v>-2298.9549671384002</v>
      </c>
      <c r="U89" s="10">
        <f t="shared" si="154"/>
        <v>-2951.9268201032</v>
      </c>
      <c r="V89" s="10">
        <f t="shared" si="154"/>
        <v>-2717.0737919502999</v>
      </c>
      <c r="W89" s="10">
        <f t="shared" si="154"/>
        <v>-2462.1442298379002</v>
      </c>
      <c r="X89" s="10">
        <f t="shared" si="154"/>
        <v>-2318.5242160682001</v>
      </c>
      <c r="Y89" s="10">
        <f t="shared" si="154"/>
        <v>-2320.3251271503</v>
      </c>
      <c r="Z89" s="10">
        <f t="shared" si="154"/>
        <v>-2542.3867475974002</v>
      </c>
      <c r="AA89" s="10">
        <f t="shared" si="154"/>
        <v>-2413.1591134459995</v>
      </c>
      <c r="AB89" s="10">
        <f t="shared" si="154"/>
        <v>-2606.6768349210001</v>
      </c>
      <c r="AC89" s="10">
        <f t="shared" si="154"/>
        <v>-2446.0739169096</v>
      </c>
      <c r="AD89" s="10">
        <f t="shared" si="154"/>
        <v>-2468.1332481093</v>
      </c>
      <c r="AE89" s="10">
        <f t="shared" si="154"/>
        <v>-2553.4784017788998</v>
      </c>
      <c r="AF89" s="10">
        <f t="shared" si="154"/>
        <v>-2649.5010552854001</v>
      </c>
      <c r="AG89" s="10">
        <f t="shared" si="154"/>
        <v>-2689.1301240052999</v>
      </c>
      <c r="AH89" s="10">
        <f t="shared" si="154"/>
        <v>-2770.2865878040998</v>
      </c>
      <c r="AI89" s="10">
        <f t="shared" si="154"/>
        <v>-2782.7230119063001</v>
      </c>
      <c r="AJ89" s="10">
        <f t="shared" si="154"/>
        <v>-2560.0286167292002</v>
      </c>
      <c r="AK89" s="10">
        <f t="shared" si="154"/>
        <v>-2395.7117878208001</v>
      </c>
      <c r="AL89" s="10">
        <f t="shared" si="154"/>
        <v>-2663.3108050868004</v>
      </c>
      <c r="AM89" s="10">
        <f t="shared" si="154"/>
        <v>-2724.0955325565001</v>
      </c>
      <c r="AN89" s="10">
        <f t="shared" si="154"/>
        <v>-2756.3663680372997</v>
      </c>
      <c r="AO89" s="10">
        <f t="shared" si="154"/>
        <v>-2603.5589302466001</v>
      </c>
      <c r="AP89" s="10">
        <f t="shared" si="154"/>
        <v>-2246.3610401804999</v>
      </c>
      <c r="AQ89" s="10">
        <f t="shared" si="154"/>
        <v>-2822.0415330697997</v>
      </c>
      <c r="AR89" s="10">
        <f t="shared" si="154"/>
        <v>-2600.8145576795</v>
      </c>
      <c r="AS89" s="10">
        <f t="shared" si="154"/>
        <v>-2796.1825886549996</v>
      </c>
      <c r="AT89" s="10">
        <f t="shared" si="154"/>
        <v>0</v>
      </c>
      <c r="AU89" s="10">
        <f t="shared" si="154"/>
        <v>0</v>
      </c>
      <c r="AV89" s="10">
        <f t="shared" si="154"/>
        <v>0</v>
      </c>
      <c r="AW89" s="10">
        <f t="shared" si="154"/>
        <v>0</v>
      </c>
      <c r="AX89" s="10">
        <f t="shared" si="154"/>
        <v>0</v>
      </c>
      <c r="AY89" s="10">
        <f t="shared" si="154"/>
        <v>0</v>
      </c>
      <c r="AZ89" s="10">
        <f t="shared" si="154"/>
        <v>-2834.2814377191999</v>
      </c>
      <c r="BA89" s="10">
        <f t="shared" si="154"/>
        <v>-2723.5644829898001</v>
      </c>
      <c r="BB89" s="10">
        <f t="shared" si="154"/>
        <v>-2868.3829681728002</v>
      </c>
      <c r="BC89" s="10">
        <f t="shared" si="154"/>
        <v>-2806.2049781727005</v>
      </c>
      <c r="BD89" s="10">
        <f t="shared" si="154"/>
        <v>-2901.9144418459</v>
      </c>
      <c r="BE89" s="10">
        <f t="shared" si="154"/>
        <v>-2895.3479548672999</v>
      </c>
      <c r="BF89" s="10">
        <f t="shared" si="154"/>
        <v>-2866.6423832041</v>
      </c>
      <c r="BG89" s="10">
        <f t="shared" si="154"/>
        <v>-2861.3797310055998</v>
      </c>
      <c r="BH89" s="10">
        <f t="shared" si="154"/>
        <v>-2911.3862378464</v>
      </c>
      <c r="BI89" s="10">
        <f t="shared" si="154"/>
        <v>-2880.0385919982</v>
      </c>
      <c r="BJ89" s="10">
        <f t="shared" si="154"/>
        <v>-2849.4305338445001</v>
      </c>
      <c r="BK89" s="10">
        <f t="shared" si="154"/>
        <v>-2888.5545523266001</v>
      </c>
      <c r="BO89" s="23">
        <f t="shared" ref="BO89:BT89" si="155">SUM(BO86:BO88)</f>
        <v>-7606.2863384644006</v>
      </c>
      <c r="BP89" s="23">
        <f t="shared" si="155"/>
        <v>-8426.2288888818002</v>
      </c>
      <c r="BQ89" s="23">
        <f t="shared" si="155"/>
        <v>-5359.9252982839007</v>
      </c>
      <c r="BR89" s="23">
        <f t="shared" si="155"/>
        <v>-7520.8839999399006</v>
      </c>
      <c r="BS89" s="23">
        <f t="shared" si="155"/>
        <v>-6288.6458062415004</v>
      </c>
      <c r="BT89" s="23">
        <f t="shared" si="155"/>
        <v>-6408.9621191599999</v>
      </c>
    </row>
    <row r="91" spans="1:72" outlineLevel="1" x14ac:dyDescent="0.25">
      <c r="A91" s="11" t="s">
        <v>81</v>
      </c>
      <c r="C91" s="2" t="s">
        <v>85</v>
      </c>
      <c r="D91" s="8">
        <f>IFERROR(
GETPIVOTDATA(
"[Base].[Importe]",
TDinamica_R!$A$5,
"[Calendario].[AñoMes]",
"[Calendario].[AñoMes].&amp;[" &amp; TEXT(D$6,"yyyymm")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E91" s="8">
        <f>IFERROR(
GETPIVOTDATA(
"[Base].[Importe]",
TDinamica_R!$A$5,
"[Calendario].[AñoMes]",
"[Calendario].[AñoMes].&amp;[" &amp; TEXT(E$6,"yyyymm")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F91" s="8">
        <f>IFERROR(
GETPIVOTDATA(
"[Base].[Importe]",
TDinamica_R!$A$5,
"[Calendario].[AñoMes]",
"[Calendario].[AñoMes].&amp;[" &amp; TEXT(F$6,"yyyymm")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G91" s="8">
        <f>IFERROR(
GETPIVOTDATA(
"[Base].[Importe]",
TDinamica_R!$A$5,
"[Calendario].[AñoMes]",
"[Calendario].[AñoMes].&amp;[" &amp; TEXT(G$6,"yyyymm")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H91" s="8">
        <f>IFERROR(
GETPIVOTDATA(
"[Base].[Importe]",
TDinamica_R!$A$5,
"[Calendario].[AñoMes]",
"[Calendario].[AñoMes].&amp;[" &amp; TEXT(H$6,"yyyymm")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I91" s="8">
        <f>IFERROR(
GETPIVOTDATA(
"[Base].[Importe]",
TDinamica_R!$A$5,
"[Calendario].[AñoMes]",
"[Calendario].[AñoMes].&amp;[" &amp; TEXT(I$6,"yyyymm")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J91" s="8">
        <f>IFERROR(
GETPIVOTDATA(
"[Base].[Importe]",
TDinamica_R!$A$5,
"[Calendario].[AñoMes]",
"[Calendario].[AñoMes].&amp;[" &amp; TEXT(J$6,"yyyymm")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K91" s="8">
        <f>IFERROR(
GETPIVOTDATA(
"[Base].[Importe]",
TDinamica_R!$A$5,
"[Calendario].[AñoMes]",
"[Calendario].[AñoMes].&amp;[" &amp; TEXT(K$6,"yyyymm")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L91" s="8">
        <f>IFERROR(
GETPIVOTDATA(
"[Base].[Importe]",
TDinamica_R!$A$5,
"[Calendario].[AñoMes]",
"[Calendario].[AñoMes].&amp;[" &amp; TEXT(L$6,"yyyymm")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M91" s="8">
        <f>IFERROR(
GETPIVOTDATA(
"[Base].[Importe]",
TDinamica_R!$A$5,
"[Calendario].[AñoMes]",
"[Calendario].[AñoMes].&amp;[" &amp; TEXT(M$6,"yyyymm")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N91" s="8">
        <f>IFERROR(
GETPIVOTDATA(
"[Base].[Importe]",
TDinamica_R!$A$5,
"[Calendario].[AñoMes]",
"[Calendario].[AñoMes].&amp;[" &amp; TEXT(N$6,"yyyymm")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O91" s="8">
        <f>IFERROR(
GETPIVOTDATA(
"[Base].[Importe]",
TDinamica_R!$A$5,
"[Calendario].[AñoMes]",
"[Calendario].[AñoMes].&amp;[" &amp; TEXT(O$6,"yyyymm")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P91" s="8">
        <f>IFERROR(
GETPIVOTDATA(
"[Base].[Importe]",
TDinamica_R!$A$5,
"[Calendario].[AñoMes]",
"[Calendario].[AñoMes].&amp;[" &amp; TEXT(P$6,"yyyymm")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Q91" s="8">
        <f>IFERROR(
GETPIVOTDATA(
"[Base].[Importe]",
TDinamica_R!$A$5,
"[Calendario].[AñoMes]",
"[Calendario].[AñoMes].&amp;[" &amp; TEXT(Q$6,"yyyymm")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R91" s="8">
        <f>IFERROR(
GETPIVOTDATA(
"[Base].[Importe]",
TDinamica_R!$A$5,
"[Calendario].[AñoMes]",
"[Calendario].[AñoMes].&amp;[" &amp; TEXT(R$6,"yyyymm")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S91" s="8">
        <f>IFERROR(
GETPIVOTDATA(
"[Base].[Importe]",
TDinamica_R!$A$5,
"[Calendario].[AñoMes]",
"[Calendario].[AñoMes].&amp;[" &amp; TEXT(S$6,"yyyymm")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T91" s="8">
        <f>IFERROR(
GETPIVOTDATA(
"[Base].[Importe]",
TDinamica_R!$A$5,
"[Calendario].[AñoMes]",
"[Calendario].[AñoMes].&amp;[" &amp; TEXT(T$6,"yyyymm")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U91" s="8">
        <f>IFERROR(
GETPIVOTDATA(
"[Base].[Importe]",
TDinamica_R!$A$5,
"[Calendario].[AñoMes]",
"[Calendario].[AñoMes].&amp;[" &amp; TEXT(U$6,"yyyymm")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V91" s="8">
        <f>IFERROR(
GETPIVOTDATA(
"[Base].[Importe]",
TDinamica_R!$A$5,
"[Calendario].[AñoMes]",
"[Calendario].[AñoMes].&amp;[" &amp; TEXT(V$6,"yyyymm")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W91" s="8">
        <f>IFERROR(
GETPIVOTDATA(
"[Base].[Importe]",
TDinamica_R!$A$5,
"[Calendario].[AñoMes]",
"[Calendario].[AñoMes].&amp;[" &amp; TEXT(W$6,"yyyymm")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X91" s="8">
        <f>IFERROR(
GETPIVOTDATA(
"[Base].[Importe]",
TDinamica_R!$A$5,
"[Calendario].[AñoMes]",
"[Calendario].[AñoMes].&amp;[" &amp; TEXT(X$6,"yyyymm")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Y91" s="8">
        <f>IFERROR(
GETPIVOTDATA(
"[Base].[Importe]",
TDinamica_R!$A$5,
"[Calendario].[AñoMes]",
"[Calendario].[AñoMes].&amp;[" &amp; TEXT(Y$6,"yyyymm")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Z91" s="8">
        <f>IFERROR(
GETPIVOTDATA(
"[Base].[Importe]",
TDinamica_R!$A$5,
"[Calendario].[AñoMes]",
"[Calendario].[AñoMes].&amp;[" &amp; TEXT(Z$6,"yyyymm")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A91" s="8">
        <f>IFERROR(
GETPIVOTDATA(
"[Base].[Importe]",
TDinamica_R!$A$5,
"[Calendario].[AñoMes]",
"[Calendario].[AñoMes].&amp;[" &amp; TEXT(AA$6,"yyyymm")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B91" s="8">
        <f>IFERROR(
GETPIVOTDATA(
"[Base].[Importe]",
TDinamica_R!$A$5,
"[Calendario].[AñoMes]",
"[Calendario].[AñoMes].&amp;[" &amp; TEXT(AB$6,"yyyymm")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C91" s="8">
        <f>IFERROR(
GETPIVOTDATA(
"[Base].[Importe]",
TDinamica_R!$A$5,
"[Calendario].[AñoMes]",
"[Calendario].[AñoMes].&amp;[" &amp; TEXT(AC$6,"yyyymm")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D91" s="8">
        <f>IFERROR(
GETPIVOTDATA(
"[Base].[Importe]",
TDinamica_R!$A$5,
"[Calendario].[AñoMes]",
"[Calendario].[AñoMes].&amp;[" &amp; TEXT(AD$6,"yyyymm")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E91" s="8">
        <f>IFERROR(
GETPIVOTDATA(
"[Base].[Importe]",
TDinamica_R!$A$5,
"[Calendario].[AñoMes]",
"[Calendario].[AñoMes].&amp;[" &amp; TEXT(AE$6,"yyyymm")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F91" s="8">
        <f>IFERROR(
GETPIVOTDATA(
"[Base].[Importe]",
TDinamica_R!$A$5,
"[Calendario].[AñoMes]",
"[Calendario].[AñoMes].&amp;[" &amp; TEXT(AF$6,"yyyymm")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G91" s="8">
        <f>IFERROR(
GETPIVOTDATA(
"[Base].[Importe]",
TDinamica_R!$A$5,
"[Calendario].[AñoMes]",
"[Calendario].[AñoMes].&amp;[" &amp; TEXT(AG$6,"yyyymm")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H91" s="8">
        <f>IFERROR(
GETPIVOTDATA(
"[Base].[Importe]",
TDinamica_R!$A$5,
"[Calendario].[AñoMes]",
"[Calendario].[AñoMes].&amp;[" &amp; TEXT(AH$6,"yyyymm")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I91" s="8">
        <f>IFERROR(
GETPIVOTDATA(
"[Base].[Importe]",
TDinamica_R!$A$5,
"[Calendario].[AñoMes]",
"[Calendario].[AñoMes].&amp;[" &amp; TEXT(AI$6,"yyyymm")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J91" s="8">
        <f>IFERROR(
GETPIVOTDATA(
"[Base].[Importe]",
TDinamica_R!$A$5,
"[Calendario].[AñoMes]",
"[Calendario].[AñoMes].&amp;[" &amp; TEXT(AJ$6,"yyyymm")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K91" s="8">
        <f>IFERROR(
GETPIVOTDATA(
"[Base].[Importe]",
TDinamica_R!$A$5,
"[Calendario].[AñoMes]",
"[Calendario].[AñoMes].&amp;[" &amp; TEXT(AK$6,"yyyymm")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L91" s="8">
        <f>IFERROR(
GETPIVOTDATA(
"[Base].[Importe]",
TDinamica_R!$A$5,
"[Calendario].[AñoMes]",
"[Calendario].[AñoMes].&amp;[" &amp; TEXT(AL$6,"yyyymm")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M91" s="8">
        <f>IFERROR(
GETPIVOTDATA(
"[Base].[Importe]",
TDinamica_R!$A$5,
"[Calendario].[AñoMes]",
"[Calendario].[AñoMes].&amp;[" &amp; TEXT(AM$6,"yyyymm")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N91" s="8">
        <f>IFERROR(
GETPIVOTDATA(
"[Base].[Importe]",
TDinamica_R!$A$5,
"[Calendario].[AñoMes]",
"[Calendario].[AñoMes].&amp;[" &amp; TEXT(AN$6,"yyyymm")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O91" s="8">
        <f>IFERROR(
GETPIVOTDATA(
"[Base].[Importe]",
TDinamica_R!$A$5,
"[Calendario].[AñoMes]",
"[Calendario].[AñoMes].&amp;[" &amp; TEXT(AO$6,"yyyymm")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P91" s="8">
        <f>IFERROR(
GETPIVOTDATA(
"[Base].[Importe]",
TDinamica_R!$A$5,
"[Calendario].[AñoMes]",
"[Calendario].[AñoMes].&amp;[" &amp; TEXT(AP$6,"yyyymm")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Q91" s="8">
        <f>IFERROR(
GETPIVOTDATA(
"[Base].[Importe]",
TDinamica_R!$A$5,
"[Calendario].[AñoMes]",
"[Calendario].[AñoMes].&amp;[" &amp; TEXT(AQ$6,"yyyymm")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R91" s="8">
        <f>IFERROR(
GETPIVOTDATA(
"[Base].[Importe]",
TDinamica_R!$A$5,
"[Calendario].[AñoMes]",
"[Calendario].[AñoMes].&amp;[" &amp; TEXT(AR$6,"yyyymm")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S91" s="8">
        <f>IFERROR(
GETPIVOTDATA(
"[Base].[Importe]",
TDinamica_R!$A$5,
"[Calendario].[AñoMes]",
"[Calendario].[AñoMes].&amp;[" &amp; TEXT(AS$6,"yyyymm")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T91" s="8">
        <f>IFERROR(
GETPIVOTDATA(
"[Base].[Importe]",
TDinamica_R!$A$5,
"[Calendario].[AñoMes]",
"[Calendario].[AñoMes].&amp;[" &amp; TEXT(AT$6,"yyyymm")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U91" s="8">
        <f>IFERROR(
GETPIVOTDATA(
"[Base].[Importe]",
TDinamica_R!$A$5,
"[Calendario].[AñoMes]",
"[Calendario].[AñoMes].&amp;[" &amp; TEXT(AU$6,"yyyymm")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V91" s="8">
        <f>IFERROR(
GETPIVOTDATA(
"[Base].[Importe]",
TDinamica_R!$A$5,
"[Calendario].[AñoMes]",
"[Calendario].[AñoMes].&amp;[" &amp; TEXT(AV$6,"yyyymm")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W91" s="8">
        <f>IFERROR(
GETPIVOTDATA(
"[Base].[Importe]",
TDinamica_R!$A$5,
"[Calendario].[AñoMes]",
"[Calendario].[AñoMes].&amp;[" &amp; TEXT(AW$6,"yyyymm")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X91" s="8">
        <f>IFERROR(
GETPIVOTDATA(
"[Base].[Importe]",
TDinamica_R!$A$5,
"[Calendario].[AñoMes]",
"[Calendario].[AñoMes].&amp;[" &amp; TEXT(AX$6,"yyyymm")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Y91" s="8">
        <f>IFERROR(
GETPIVOTDATA(
"[Base].[Importe]",
TDinamica_R!$A$5,
"[Calendario].[AñoMes]",
"[Calendario].[AñoMes].&amp;[" &amp; TEXT(AY$6,"yyyymm")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Z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"[BASE_HIPO_PPTO].[Periodo]","[BASE_HIPO_PPTO].[Periodo].&amp;["&amp;TEXT(AZ$6,"yyyymm")&amp;"]"),
0)/1000</f>
        <v>0</v>
      </c>
      <c r="BA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"[BASE_HIPO_PPTO].[Periodo]","[BASE_HIPO_PPTO].[Periodo].&amp;["&amp;TEXT(BA$6,"yyyymm")&amp;"]"),
0)/1000</f>
        <v>0</v>
      </c>
      <c r="BB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"[BASE_HIPO_PPTO].[Periodo]","[BASE_HIPO_PPTO].[Periodo].&amp;["&amp;TEXT(BB$6,"yyyymm")&amp;"]"),
0)/1000</f>
        <v>0</v>
      </c>
      <c r="BC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"[BASE_HIPO_PPTO].[Periodo]","[BASE_HIPO_PPTO].[Periodo].&amp;["&amp;TEXT(BC$6,"yyyymm")&amp;"]"),
0)/1000</f>
        <v>0</v>
      </c>
      <c r="BD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"[BASE_HIPO_PPTO].[Periodo]","[BASE_HIPO_PPTO].[Periodo].&amp;["&amp;TEXT(BD$6,"yyyymm")&amp;"]"),
0)/1000</f>
        <v>0</v>
      </c>
      <c r="BE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"[BASE_HIPO_PPTO].[Periodo]","[BASE_HIPO_PPTO].[Periodo].&amp;["&amp;TEXT(BE$6,"yyyymm")&amp;"]"),
0)/1000</f>
        <v>0</v>
      </c>
      <c r="BF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"[BASE_HIPO_PPTO].[Periodo]","[BASE_HIPO_PPTO].[Periodo].&amp;["&amp;TEXT(BF$6,"yyyymm")&amp;"]"),
0)/1000</f>
        <v>0</v>
      </c>
      <c r="BG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"[BASE_HIPO_PPTO].[Periodo]","[BASE_HIPO_PPTO].[Periodo].&amp;["&amp;TEXT(BG$6,"yyyymm")&amp;"]"),
0)/1000</f>
        <v>0</v>
      </c>
      <c r="BH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"[BASE_HIPO_PPTO].[Periodo]","[BASE_HIPO_PPTO].[Periodo].&amp;["&amp;TEXT(BH$6,"yyyymm")&amp;"]"),
0)/1000</f>
        <v>0</v>
      </c>
      <c r="BI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"[BASE_HIPO_PPTO].[Periodo]","[BASE_HIPO_PPTO].[Periodo].&amp;["&amp;TEXT(BI$6,"yyyymm")&amp;"]"),
0)/1000</f>
        <v>0</v>
      </c>
      <c r="BJ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"[BASE_HIPO_PPTO].[Periodo]","[BASE_HIPO_PPTO].[Periodo].&amp;["&amp;TEXT(BJ$6,"yyyymm")&amp;"]"),
0)/1000</f>
        <v>0</v>
      </c>
      <c r="BK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"[BASE_HIPO_PPTO].[Periodo]","[BASE_HIPO_PPTO].[Periodo].&amp;["&amp;TEXT(BK$6,"yyyymm")&amp;"]"),
0)/1000</f>
        <v>0</v>
      </c>
      <c r="BO91" s="24">
        <f t="shared" ref="BO91:BT92" si="156">SUMIFS($D91:$BM91,$D$6:$BM$6,"&gt;="&amp;BO$2,$D$6:$BM$6,"&lt;="&amp;BO$6,$D$5:$BM$5,BO$5)</f>
        <v>0</v>
      </c>
      <c r="BP91" s="24">
        <f t="shared" si="156"/>
        <v>0</v>
      </c>
      <c r="BQ91" s="24">
        <f t="shared" si="156"/>
        <v>0</v>
      </c>
      <c r="BR91" s="24">
        <f t="shared" si="156"/>
        <v>0</v>
      </c>
      <c r="BS91" s="24">
        <f t="shared" si="156"/>
        <v>0</v>
      </c>
      <c r="BT91" s="24">
        <f t="shared" si="156"/>
        <v>0</v>
      </c>
    </row>
    <row r="92" spans="1:72" outlineLevel="1" x14ac:dyDescent="0.25">
      <c r="A92" s="11" t="s">
        <v>81</v>
      </c>
      <c r="C92" s="2" t="s">
        <v>48</v>
      </c>
      <c r="D92" s="8">
        <f>IFERROR(
GETPIVOTDATA(
"[Base].[Importe]",
TDinamica_R!$A$5,
"[Calendario].[AñoMes]",
"[Calendario].[AñoMes].&amp;[" &amp; TEXT(D$6,"yyyymm") &amp; "]",
"[Base].[Metrica]",
"[Base].[Metrica].&amp;[" &amp; $A92 &amp; "]",
"[Base].[SEGMENTO_DESCRIP]",
"[Base].[SEGMENTO_DESCRIP].&amp;[" &amp; $C$6 &amp; "]",
"[Base].[SITUACION]",
"[Base].[SITUACION].&amp;[" &amp; $C92 &amp; "]"
),0)/1000</f>
        <v>11.416291816852299</v>
      </c>
      <c r="E92" s="8">
        <f>IFERROR(
GETPIVOTDATA(
"[Base].[Importe]",
TDinamica_R!$A$5,
"[Calendario].[AñoMes]",
"[Calendario].[AñoMes].&amp;[" &amp; TEXT(E$6,"yyyymm") &amp; "]",
"[Base].[Metrica]",
"[Base].[Metrica].&amp;[" &amp; $A92 &amp; "]",
"[Base].[SEGMENTO_DESCRIP]",
"[Base].[SEGMENTO_DESCRIP].&amp;[" &amp; $C$6 &amp; "]",
"[Base].[SITUACION]",
"[Base].[SITUACION].&amp;[" &amp; $C92 &amp; "]"
),0)/1000</f>
        <v>11.334834745041604</v>
      </c>
      <c r="F92" s="8">
        <f>IFERROR(
GETPIVOTDATA(
"[Base].[Importe]",
TDinamica_R!$A$5,
"[Calendario].[AñoMes]",
"[Calendario].[AñoMes].&amp;[" &amp; TEXT(F$6,"yyyymm") &amp; "]",
"[Base].[Metrica]",
"[Base].[Metrica].&amp;[" &amp; $A92 &amp; "]",
"[Base].[SEGMENTO_DESCRIP]",
"[Base].[SEGMENTO_DESCRIP].&amp;[" &amp; $C$6 &amp; "]",
"[Base].[SITUACION]",
"[Base].[SITUACION].&amp;[" &amp; $C92 &amp; "]"
),0)/1000</f>
        <v>11.234281112625755</v>
      </c>
      <c r="G92" s="8">
        <f>IFERROR(
GETPIVOTDATA(
"[Base].[Importe]",
TDinamica_R!$A$5,
"[Calendario].[AñoMes]",
"[Calendario].[AñoMes].&amp;[" &amp; TEXT(G$6,"yyyymm") &amp; "]",
"[Base].[Metrica]",
"[Base].[Metrica].&amp;[" &amp; $A92 &amp; "]",
"[Base].[SEGMENTO_DESCRIP]",
"[Base].[SEGMENTO_DESCRIP].&amp;[" &amp; $C$6 &amp; "]",
"[Base].[SITUACION]",
"[Base].[SITUACION].&amp;[" &amp; $C92 &amp; "]"
),0)/1000</f>
        <v>11.113752031210439</v>
      </c>
      <c r="H92" s="8">
        <f>IFERROR(
GETPIVOTDATA(
"[Base].[Importe]",
TDinamica_R!$A$5,
"[Calendario].[AñoMes]",
"[Calendario].[AñoMes].&amp;[" &amp; TEXT(H$6,"yyyymm") &amp; "]",
"[Base].[Metrica]",
"[Base].[Metrica].&amp;[" &amp; $A92 &amp; "]",
"[Base].[SEGMENTO_DESCRIP]",
"[Base].[SEGMENTO_DESCRIP].&amp;[" &amp; $C$6 &amp; "]",
"[Base].[SITUACION]",
"[Base].[SITUACION].&amp;[" &amp; $C92 &amp; "]"
),0)/1000</f>
        <v>79.445112213888208</v>
      </c>
      <c r="I92" s="8">
        <f>IFERROR(
GETPIVOTDATA(
"[Base].[Importe]",
TDinamica_R!$A$5,
"[Calendario].[AñoMes]",
"[Calendario].[AñoMes].&amp;[" &amp; TEXT(I$6,"yyyymm") &amp; "]",
"[Base].[Metrica]",
"[Base].[Metrica].&amp;[" &amp; $A92 &amp; "]",
"[Base].[SEGMENTO_DESCRIP]",
"[Base].[SEGMENTO_DESCRIP].&amp;[" &amp; $C$6 &amp; "]",
"[Base].[SITUACION]",
"[Base].[SITUACION].&amp;[" &amp; $C92 &amp; "]"
),0)/1000</f>
        <v>177.80965100292002</v>
      </c>
      <c r="J92" s="8">
        <f>IFERROR(
GETPIVOTDATA(
"[Base].[Importe]",
TDinamica_R!$A$5,
"[Calendario].[AñoMes]",
"[Calendario].[AñoMes].&amp;[" &amp; TEXT(J$6,"yyyymm") &amp; "]",
"[Base].[Metrica]",
"[Base].[Metrica].&amp;[" &amp; $A92 &amp; "]",
"[Base].[SEGMENTO_DESCRIP]",
"[Base].[SEGMENTO_DESCRIP].&amp;[" &amp; $C$6 &amp; "]",
"[Base].[SITUACION]",
"[Base].[SITUACION].&amp;[" &amp; $C92 &amp; "]"
),0)/1000</f>
        <v>10.625536964289855</v>
      </c>
      <c r="K92" s="8">
        <f>IFERROR(
GETPIVOTDATA(
"[Base].[Importe]",
TDinamica_R!$A$5,
"[Calendario].[AñoMes]",
"[Calendario].[AñoMes].&amp;[" &amp; TEXT(K$6,"yyyymm") &amp; "]",
"[Base].[Metrica]",
"[Base].[Metrica].&amp;[" &amp; $A92 &amp; "]",
"[Base].[SEGMENTO_DESCRIP]",
"[Base].[SEGMENTO_DESCRIP].&amp;[" &amp; $C$6 &amp; "]",
"[Base].[SITUACION]",
"[Base].[SITUACION].&amp;[" &amp; $C92 &amp; "]"
),0)/1000</f>
        <v>95.681274361000007</v>
      </c>
      <c r="L92" s="8">
        <f>IFERROR(
GETPIVOTDATA(
"[Base].[Importe]",
TDinamica_R!$A$5,
"[Calendario].[AñoMes]",
"[Calendario].[AñoMes].&amp;[" &amp; TEXT(L$6,"yyyymm") &amp; "]",
"[Base].[Metrica]",
"[Base].[Metrica].&amp;[" &amp; $A92 &amp; "]",
"[Base].[SEGMENTO_DESCRIP]",
"[Base].[SEGMENTO_DESCRIP].&amp;[" &amp; $C$6 &amp; "]",
"[Base].[SITUACION]",
"[Base].[SITUACION].&amp;[" &amp; $C92 &amp; "]"
),0)/1000</f>
        <v>10.384432192740512</v>
      </c>
      <c r="M92" s="8">
        <f>IFERROR(
GETPIVOTDATA(
"[Base].[Importe]",
TDinamica_R!$A$5,
"[Calendario].[AñoMes]",
"[Calendario].[AñoMes].&amp;[" &amp; TEXT(M$6,"yyyymm") &amp; "]",
"[Base].[Metrica]",
"[Base].[Metrica].&amp;[" &amp; $A92 &amp; "]",
"[Base].[SEGMENTO_DESCRIP]",
"[Base].[SEGMENTO_DESCRIP].&amp;[" &amp; $C$6 &amp; "]",
"[Base].[SITUACION]",
"[Base].[SITUACION].&amp;[" &amp; $C92 &amp; "]"
),0)/1000</f>
        <v>10.220578868256936</v>
      </c>
      <c r="N92" s="8">
        <f>IFERROR(
GETPIVOTDATA(
"[Base].[Importe]",
TDinamica_R!$A$5,
"[Calendario].[AñoMes]",
"[Calendario].[AñoMes].&amp;[" &amp; TEXT(N$6,"yyyymm") &amp; "]",
"[Base].[Metrica]",
"[Base].[Metrica].&amp;[" &amp; $A92 &amp; "]",
"[Base].[SEGMENTO_DESCRIP]",
"[Base].[SEGMENTO_DESCRIP].&amp;[" &amp; $C$6 &amp; "]",
"[Base].[SITUACION]",
"[Base].[SITUACION].&amp;[" &amp; $C92 &amp; "]"
),0)/1000</f>
        <v>10.024934260093975</v>
      </c>
      <c r="O92" s="8">
        <f>IFERROR(
GETPIVOTDATA(
"[Base].[Importe]",
TDinamica_R!$A$5,
"[Calendario].[AñoMes]",
"[Calendario].[AñoMes].&amp;[" &amp; TEXT(O$6,"yyyymm") &amp; "]",
"[Base].[Metrica]",
"[Base].[Metrica].&amp;[" &amp; $A92 &amp; "]",
"[Base].[SEGMENTO_DESCRIP]",
"[Base].[SEGMENTO_DESCRIP].&amp;[" &amp; $C$6 &amp; "]",
"[Base].[SITUACION]",
"[Base].[SITUACION].&amp;[" &amp; $C92 &amp; "]"
),0)/1000</f>
        <v>9.9884525373726269</v>
      </c>
      <c r="P92" s="8">
        <f>IFERROR(
GETPIVOTDATA(
"[Base].[Importe]",
TDinamica_R!$A$5,
"[Calendario].[AñoMes]",
"[Calendario].[AñoMes].&amp;[" &amp; TEXT(P$6,"yyyymm") &amp; "]",
"[Base].[Metrica]",
"[Base].[Metrica].&amp;[" &amp; $A92 &amp; "]",
"[Base].[SEGMENTO_DESCRIP]",
"[Base].[SEGMENTO_DESCRIP].&amp;[" &amp; $C$6 &amp; "]",
"[Base].[SITUACION]",
"[Base].[SITUACION].&amp;[" &amp; $C92 &amp; "]"
),0)/1000</f>
        <v>-65.175759525041158</v>
      </c>
      <c r="Q92" s="8">
        <f>IFERROR(
GETPIVOTDATA(
"[Base].[Importe]",
TDinamica_R!$A$5,
"[Calendario].[AñoMes]",
"[Calendario].[AñoMes].&amp;[" &amp; TEXT(Q$6,"yyyymm") &amp; "]",
"[Base].[Metrica]",
"[Base].[Metrica].&amp;[" &amp; $A92 &amp; "]",
"[Base].[SEGMENTO_DESCRIP]",
"[Base].[SEGMENTO_DESCRIP].&amp;[" &amp; $C$6 &amp; "]",
"[Base].[SITUACION]",
"[Base].[SITUACION].&amp;[" &amp; $C92 &amp; "]"
),0)/1000</f>
        <v>46.739745982182278</v>
      </c>
      <c r="R92" s="8">
        <f>IFERROR(
GETPIVOTDATA(
"[Base].[Importe]",
TDinamica_R!$A$5,
"[Calendario].[AñoMes]",
"[Calendario].[AñoMes].&amp;[" &amp; TEXT(R$6,"yyyymm") &amp; "]",
"[Base].[Metrica]",
"[Base].[Metrica].&amp;[" &amp; $A92 &amp; "]",
"[Base].[SEGMENTO_DESCRIP]",
"[Base].[SEGMENTO_DESCRIP].&amp;[" &amp; $C$6 &amp; "]",
"[Base].[SITUACION]",
"[Base].[SITUACION].&amp;[" &amp; $C92 &amp; "]"
),0)/1000</f>
        <v>85.007362368637828</v>
      </c>
      <c r="S92" s="8">
        <f>IFERROR(
GETPIVOTDATA(
"[Base].[Importe]",
TDinamica_R!$A$5,
"[Calendario].[AñoMes]",
"[Calendario].[AñoMes].&amp;[" &amp; TEXT(S$6,"yyyymm") &amp; "]",
"[Base].[Metrica]",
"[Base].[Metrica].&amp;[" &amp; $A92 &amp; "]",
"[Base].[SEGMENTO_DESCRIP]",
"[Base].[SEGMENTO_DESCRIP].&amp;[" &amp; $C$6 &amp; "]",
"[Base].[SITUACION]",
"[Base].[SITUACION].&amp;[" &amp; $C92 &amp; "]"
),0)/1000</f>
        <v>8.8967682861613628</v>
      </c>
      <c r="T92" s="8">
        <f>IFERROR(
GETPIVOTDATA(
"[Base].[Importe]",
TDinamica_R!$A$5,
"[Calendario].[AñoMes]",
"[Calendario].[AñoMes].&amp;[" &amp; TEXT(T$6,"yyyymm") &amp; "]",
"[Base].[Metrica]",
"[Base].[Metrica].&amp;[" &amp; $A92 &amp; "]",
"[Base].[SEGMENTO_DESCRIP]",
"[Base].[SEGMENTO_DESCRIP].&amp;[" &amp; $C$6 &amp; "]",
"[Base].[SITUACION]",
"[Base].[SITUACION].&amp;[" &amp; $C92 &amp; "]"
),0)/1000</f>
        <v>-52.962555773459513</v>
      </c>
      <c r="U92" s="8">
        <f>IFERROR(
GETPIVOTDATA(
"[Base].[Importe]",
TDinamica_R!$A$5,
"[Calendario].[AñoMes]",
"[Calendario].[AñoMes].&amp;[" &amp; TEXT(U$6,"yyyymm") &amp; "]",
"[Base].[Metrica]",
"[Base].[Metrica].&amp;[" &amp; $A92 &amp; "]",
"[Base].[SEGMENTO_DESCRIP]",
"[Base].[SEGMENTO_DESCRIP].&amp;[" &amp; $C$6 &amp; "]",
"[Base].[SITUACION]",
"[Base].[SITUACION].&amp;[" &amp; $C92 &amp; "]"
),0)/1000</f>
        <v>-28.215258470313842</v>
      </c>
      <c r="V92" s="8">
        <f>IFERROR(
GETPIVOTDATA(
"[Base].[Importe]",
TDinamica_R!$A$5,
"[Calendario].[AñoMes]",
"[Calendario].[AñoMes].&amp;[" &amp; TEXT(V$6,"yyyymm") &amp; "]",
"[Base].[Metrica]",
"[Base].[Metrica].&amp;[" &amp; $A92 &amp; "]",
"[Base].[SEGMENTO_DESCRIP]",
"[Base].[SEGMENTO_DESCRIP].&amp;[" &amp; $C$6 &amp; "]",
"[Base].[SITUACION]",
"[Base].[SITUACION].&amp;[" &amp; $C92 &amp; "]"
),0)/1000</f>
        <v>8.7733988265369405</v>
      </c>
      <c r="W92" s="8">
        <f>IFERROR(
GETPIVOTDATA(
"[Base].[Importe]",
TDinamica_R!$A$5,
"[Calendario].[AñoMes]",
"[Calendario].[AñoMes].&amp;[" &amp; TEXT(W$6,"yyyymm") &amp; "]",
"[Base].[Metrica]",
"[Base].[Metrica].&amp;[" &amp; $A92 &amp; "]",
"[Base].[SEGMENTO_DESCRIP]",
"[Base].[SEGMENTO_DESCRIP].&amp;[" &amp; $C$6 &amp; "]",
"[Base].[SITUACION]",
"[Base].[SITUACION].&amp;[" &amp; $C92 &amp; "]"
),0)/1000</f>
        <v>7.6200716909661361</v>
      </c>
      <c r="X92" s="8">
        <f>IFERROR(
GETPIVOTDATA(
"[Base].[Importe]",
TDinamica_R!$A$5,
"[Calendario].[AñoMes]",
"[Calendario].[AñoMes].&amp;[" &amp; TEXT(X$6,"yyyymm") &amp; "]",
"[Base].[Metrica]",
"[Base].[Metrica].&amp;[" &amp; $A92 &amp; "]",
"[Base].[SEGMENTO_DESCRIP]",
"[Base].[SEGMENTO_DESCRIP].&amp;[" &amp; $C$6 &amp; "]",
"[Base].[SITUACION]",
"[Base].[SITUACION].&amp;[" &amp; $C92 &amp; "]"
),0)/1000</f>
        <v>119.19963885244142</v>
      </c>
      <c r="Y92" s="8">
        <f>IFERROR(
GETPIVOTDATA(
"[Base].[Importe]",
TDinamica_R!$A$5,
"[Calendario].[AñoMes]",
"[Calendario].[AñoMes].&amp;[" &amp; TEXT(Y$6,"yyyymm") &amp; "]",
"[Base].[Metrica]",
"[Base].[Metrica].&amp;[" &amp; $A92 &amp; "]",
"[Base].[SEGMENTO_DESCRIP]",
"[Base].[SEGMENTO_DESCRIP].&amp;[" &amp; $C$6 &amp; "]",
"[Base].[SITUACION]",
"[Base].[SITUACION].&amp;[" &amp; $C92 &amp; "]"
),0)/1000</f>
        <v>-9.2948511203918898</v>
      </c>
      <c r="Z92" s="8">
        <f>IFERROR(
GETPIVOTDATA(
"[Base].[Importe]",
TDinamica_R!$A$5,
"[Calendario].[AñoMes]",
"[Calendario].[AñoMes].&amp;[" &amp; TEXT(Z$6,"yyyymm") &amp; "]",
"[Base].[Metrica]",
"[Base].[Metrica].&amp;[" &amp; $A92 &amp; "]",
"[Base].[SEGMENTO_DESCRIP]",
"[Base].[SEGMENTO_DESCRIP].&amp;[" &amp; $C$6 &amp; "]",
"[Base].[SITUACION]",
"[Base].[SITUACION].&amp;[" &amp; $C92 &amp; "]"
),0)/1000</f>
        <v>-167.40191031014817</v>
      </c>
      <c r="AA92" s="8">
        <f>IFERROR(
GETPIVOTDATA(
"[Base].[Importe]",
TDinamica_R!$A$5,
"[Calendario].[AñoMes]",
"[Calendario].[AñoMes].&amp;[" &amp; TEXT(AA$6,"yyyymm") &amp; "]",
"[Base].[Metrica]",
"[Base].[Metrica].&amp;[" &amp; $A92 &amp; "]",
"[Base].[SEGMENTO_DESCRIP]",
"[Base].[SEGMENTO_DESCRIP].&amp;[" &amp; $C$6 &amp; "]",
"[Base].[SITUACION]",
"[Base].[SITUACION].&amp;[" &amp; $C92 &amp; "]"
),0)/1000</f>
        <v>-124.18156353818276</v>
      </c>
      <c r="AB92" s="8">
        <f>IFERROR(
GETPIVOTDATA(
"[Base].[Importe]",
TDinamica_R!$A$5,
"[Calendario].[AñoMes]",
"[Calendario].[AñoMes].&amp;[" &amp; TEXT(AB$6,"yyyymm") &amp; "]",
"[Base].[Metrica]",
"[Base].[Metrica].&amp;[" &amp; $A92 &amp; "]",
"[Base].[SEGMENTO_DESCRIP]",
"[Base].[SEGMENTO_DESCRIP].&amp;[" &amp; $C$6 &amp; "]",
"[Base].[SITUACION]",
"[Base].[SITUACION].&amp;[" &amp; $C92 &amp; "]"
),0)/1000</f>
        <v>-10.148190628076593</v>
      </c>
      <c r="AC92" s="8">
        <f>IFERROR(
GETPIVOTDATA(
"[Base].[Importe]",
TDinamica_R!$A$5,
"[Calendario].[AñoMes]",
"[Calendario].[AñoMes].&amp;[" &amp; TEXT(AC$6,"yyyymm") &amp; "]",
"[Base].[Metrica]",
"[Base].[Metrica].&amp;[" &amp; $A92 &amp; "]",
"[Base].[SEGMENTO_DESCRIP]",
"[Base].[SEGMENTO_DESCRIP].&amp;[" &amp; $C$6 &amp; "]",
"[Base].[SITUACION]",
"[Base].[SITUACION].&amp;[" &amp; $C92 &amp; "]"
),0)/1000</f>
        <v>-43.146956142311502</v>
      </c>
      <c r="AD92" s="8">
        <f>IFERROR(
GETPIVOTDATA(
"[Base].[Importe]",
TDinamica_R!$A$5,
"[Calendario].[AñoMes]",
"[Calendario].[AñoMes].&amp;[" &amp; TEXT(AD$6,"yyyymm") &amp; "]",
"[Base].[Metrica]",
"[Base].[Metrica].&amp;[" &amp; $A92 &amp; "]",
"[Base].[SEGMENTO_DESCRIP]",
"[Base].[SEGMENTO_DESCRIP].&amp;[" &amp; $C$6 &amp; "]",
"[Base].[SITUACION]",
"[Base].[SITUACION].&amp;[" &amp; $C92 &amp; "]"
),0)/1000</f>
        <v>-120.33182186518501</v>
      </c>
      <c r="AE92" s="8">
        <f>IFERROR(
GETPIVOTDATA(
"[Base].[Importe]",
TDinamica_R!$A$5,
"[Calendario].[AñoMes]",
"[Calendario].[AñoMes].&amp;[" &amp; TEXT(AE$6,"yyyymm") &amp; "]",
"[Base].[Metrica]",
"[Base].[Metrica].&amp;[" &amp; $A92 &amp; "]",
"[Base].[SEGMENTO_DESCRIP]",
"[Base].[SEGMENTO_DESCRIP].&amp;[" &amp; $C$6 &amp; "]",
"[Base].[SITUACION]",
"[Base].[SITUACION].&amp;[" &amp; $C92 &amp; "]"
),0)/1000</f>
        <v>44.230481295886939</v>
      </c>
      <c r="AF92" s="8">
        <f>IFERROR(
GETPIVOTDATA(
"[Base].[Importe]",
TDinamica_R!$A$5,
"[Calendario].[AñoMes]",
"[Calendario].[AñoMes].&amp;[" &amp; TEXT(AF$6,"yyyymm") &amp; "]",
"[Base].[Metrica]",
"[Base].[Metrica].&amp;[" &amp; $A92 &amp; "]",
"[Base].[SEGMENTO_DESCRIP]",
"[Base].[SEGMENTO_DESCRIP].&amp;[" &amp; $C$6 &amp; "]",
"[Base].[SITUACION]",
"[Base].[SITUACION].&amp;[" &amp; $C92 &amp; "]"
),0)/1000</f>
        <v>-1.9835622802957487</v>
      </c>
      <c r="AG92" s="8">
        <f>IFERROR(
GETPIVOTDATA(
"[Base].[Importe]",
TDinamica_R!$A$5,
"[Calendario].[AñoMes]",
"[Calendario].[AñoMes].&amp;[" &amp; TEXT(AG$6,"yyyymm") &amp; "]",
"[Base].[Metrica]",
"[Base].[Metrica].&amp;[" &amp; $A92 &amp; "]",
"[Base].[SEGMENTO_DESCRIP]",
"[Base].[SEGMENTO_DESCRIP].&amp;[" &amp; $C$6 &amp; "]",
"[Base].[SITUACION]",
"[Base].[SITUACION].&amp;[" &amp; $C92 &amp; "]"
),0)/1000</f>
        <v>-7.1108491719227755</v>
      </c>
      <c r="AH92" s="8">
        <f>IFERROR(
GETPIVOTDATA(
"[Base].[Importe]",
TDinamica_R!$A$5,
"[Calendario].[AñoMes]",
"[Calendario].[AñoMes].&amp;[" &amp; TEXT(AH$6,"yyyymm") &amp; "]",
"[Base].[Metrica]",
"[Base].[Metrica].&amp;[" &amp; $A92 &amp; "]",
"[Base].[SEGMENTO_DESCRIP]",
"[Base].[SEGMENTO_DESCRIP].&amp;[" &amp; $C$6 &amp; "]",
"[Base].[SITUACION]",
"[Base].[SITUACION].&amp;[" &amp; $C92 &amp; "]"
),0)/1000</f>
        <v>3.1471430922526458</v>
      </c>
      <c r="AI92" s="8">
        <f>IFERROR(
GETPIVOTDATA(
"[Base].[Importe]",
TDinamica_R!$A$5,
"[Calendario].[AñoMes]",
"[Calendario].[AñoMes].&amp;[" &amp; TEXT(AI$6,"yyyymm") &amp; "]",
"[Base].[Metrica]",
"[Base].[Metrica].&amp;[" &amp; $A92 &amp; "]",
"[Base].[SEGMENTO_DESCRIP]",
"[Base].[SEGMENTO_DESCRIP].&amp;[" &amp; $C$6 &amp; "]",
"[Base].[SITUACION]",
"[Base].[SITUACION].&amp;[" &amp; $C92 &amp; "]"
),0)/1000</f>
        <v>-9.6960562666519987</v>
      </c>
      <c r="AJ92" s="8">
        <f>IFERROR(
GETPIVOTDATA(
"[Base].[Importe]",
TDinamica_R!$A$5,
"[Calendario].[AñoMes]",
"[Calendario].[AñoMes].&amp;[" &amp; TEXT(AJ$6,"yyyymm") &amp; "]",
"[Base].[Metrica]",
"[Base].[Metrica].&amp;[" &amp; $A92 &amp; "]",
"[Base].[SEGMENTO_DESCRIP]",
"[Base].[SEGMENTO_DESCRIP].&amp;[" &amp; $C$6 &amp; "]",
"[Base].[SITUACION]",
"[Base].[SITUACION].&amp;[" &amp; $C92 &amp; "]"
),0)/1000</f>
        <v>77.543674359096158</v>
      </c>
      <c r="AK92" s="8">
        <f>IFERROR(
GETPIVOTDATA(
"[Base].[Importe]",
TDinamica_R!$A$5,
"[Calendario].[AñoMes]",
"[Calendario].[AñoMes].&amp;[" &amp; TEXT(AK$6,"yyyymm") &amp; "]",
"[Base].[Metrica]",
"[Base].[Metrica].&amp;[" &amp; $A92 &amp; "]",
"[Base].[SEGMENTO_DESCRIP]",
"[Base].[SEGMENTO_DESCRIP].&amp;[" &amp; $C$6 &amp; "]",
"[Base].[SITUACION]",
"[Base].[SITUACION].&amp;[" &amp; $C92 &amp; "]"
),0)/1000</f>
        <v>-9.4778269014580587</v>
      </c>
      <c r="AL92" s="8">
        <f>IFERROR(
GETPIVOTDATA(
"[Base].[Importe]",
TDinamica_R!$A$5,
"[Calendario].[AñoMes]",
"[Calendario].[AñoMes].&amp;[" &amp; TEXT(AL$6,"yyyymm") &amp; "]",
"[Base].[Metrica]",
"[Base].[Metrica].&amp;[" &amp; $A92 &amp; "]",
"[Base].[SEGMENTO_DESCRIP]",
"[Base].[SEGMENTO_DESCRIP].&amp;[" &amp; $C$6 &amp; "]",
"[Base].[SITUACION]",
"[Base].[SITUACION].&amp;[" &amp; $C92 &amp; "]"
),0)/1000</f>
        <v>-50.408278926538316</v>
      </c>
      <c r="AM92" s="8">
        <f>IFERROR(
GETPIVOTDATA(
"[Base].[Importe]",
TDinamica_R!$A$5,
"[Calendario].[AñoMes]",
"[Calendario].[AñoMes].&amp;[" &amp; TEXT(AM$6,"yyyymm") &amp; "]",
"[Base].[Metrica]",
"[Base].[Metrica].&amp;[" &amp; $A92 &amp; "]",
"[Base].[SEGMENTO_DESCRIP]",
"[Base].[SEGMENTO_DESCRIP].&amp;[" &amp; $C$6 &amp; "]",
"[Base].[SITUACION]",
"[Base].[SITUACION].&amp;[" &amp; $C92 &amp; "]"
),0)/1000</f>
        <v>69.727667716232048</v>
      </c>
      <c r="AN92" s="8">
        <f>IFERROR(
GETPIVOTDATA(
"[Base].[Importe]",
TDinamica_R!$A$5,
"[Calendario].[AñoMes]",
"[Calendario].[AñoMes].&amp;[" &amp; TEXT(AN$6,"yyyymm") &amp; "]",
"[Base].[Metrica]",
"[Base].[Metrica].&amp;[" &amp; $A92 &amp; "]",
"[Base].[SEGMENTO_DESCRIP]",
"[Base].[SEGMENTO_DESCRIP].&amp;[" &amp; $C$6 &amp; "]",
"[Base].[SITUACION]",
"[Base].[SITUACION].&amp;[" &amp; $C92 &amp; "]"
),0)/1000</f>
        <v>-13.129350531874838</v>
      </c>
      <c r="AO92" s="8">
        <f>IFERROR(
GETPIVOTDATA(
"[Base].[Importe]",
TDinamica_R!$A$5,
"[Calendario].[AñoMes]",
"[Calendario].[AñoMes].&amp;[" &amp; TEXT(AO$6,"yyyymm") &amp; "]",
"[Base].[Metrica]",
"[Base].[Metrica].&amp;[" &amp; $A92 &amp; "]",
"[Base].[SEGMENTO_DESCRIP]",
"[Base].[SEGMENTO_DESCRIP].&amp;[" &amp; $C$6 &amp; "]",
"[Base].[SITUACION]",
"[Base].[SITUACION].&amp;[" &amp; $C92 &amp; "]"
),0)/1000</f>
        <v>37.4430416204507</v>
      </c>
      <c r="AP92" s="8">
        <f>IFERROR(
GETPIVOTDATA(
"[Base].[Importe]",
TDinamica_R!$A$5,
"[Calendario].[AñoMes]",
"[Calendario].[AñoMes].&amp;[" &amp; TEXT(AP$6,"yyyymm") &amp; "]",
"[Base].[Metrica]",
"[Base].[Metrica].&amp;[" &amp; $A92 &amp; "]",
"[Base].[SEGMENTO_DESCRIP]",
"[Base].[SEGMENTO_DESCRIP].&amp;[" &amp; $C$6 &amp; "]",
"[Base].[SITUACION]",
"[Base].[SITUACION].&amp;[" &amp; $C92 &amp; "]"
),0)/1000</f>
        <v>-78.609914923382235</v>
      </c>
      <c r="AQ92" s="8">
        <f>IFERROR(
GETPIVOTDATA(
"[Base].[Importe]",
TDinamica_R!$A$5,
"[Calendario].[AñoMes]",
"[Calendario].[AñoMes].&amp;[" &amp; TEXT(AQ$6,"yyyymm") &amp; "]",
"[Base].[Metrica]",
"[Base].[Metrica].&amp;[" &amp; $A92 &amp; "]",
"[Base].[SEGMENTO_DESCRIP]",
"[Base].[SEGMENTO_DESCRIP].&amp;[" &amp; $C$6 &amp; "]",
"[Base].[SITUACION]",
"[Base].[SITUACION].&amp;[" &amp; $C92 &amp; "]"
),0)/1000</f>
        <v>9.313063649090207</v>
      </c>
      <c r="AR92" s="8">
        <f>IFERROR(
GETPIVOTDATA(
"[Base].[Importe]",
TDinamica_R!$A$5,
"[Calendario].[AñoMes]",
"[Calendario].[AñoMes].&amp;[" &amp; TEXT(AR$6,"yyyymm") &amp; "]",
"[Base].[Metrica]",
"[Base].[Metrica].&amp;[" &amp; $A92 &amp; "]",
"[Base].[SEGMENTO_DESCRIP]",
"[Base].[SEGMENTO_DESCRIP].&amp;[" &amp; $C$6 &amp; "]",
"[Base].[SITUACION]",
"[Base].[SITUACION].&amp;[" &amp; $C92 &amp; "]"
),0)/1000</f>
        <v>15.500736555296198</v>
      </c>
      <c r="AS92" s="8">
        <f>IFERROR(
GETPIVOTDATA(
"[Base].[Importe]",
TDinamica_R!$A$5,
"[Calendario].[AñoMes]",
"[Calendario].[AñoMes].&amp;[" &amp; TEXT(AS$6,"yyyymm") &amp; "]",
"[Base].[Metrica]",
"[Base].[Metrica].&amp;[" &amp; $A92 &amp; "]",
"[Base].[SEGMENTO_DESCRIP]",
"[Base].[SEGMENTO_DESCRIP].&amp;[" &amp; $C$6 &amp; "]",
"[Base].[SITUACION]",
"[Base].[SITUACION].&amp;[" &amp; $C92 &amp; "]"
),0)/1000</f>
        <v>30.386263990603439</v>
      </c>
      <c r="AT92" s="8">
        <f>IFERROR(
GETPIVOTDATA(
"[Base].[Importe]",
TDinamica_R!$A$5,
"[Calendario].[AñoMes]",
"[Calendario].[AñoMes].&amp;[" &amp; TEXT(AT$6,"yyyymm")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U92" s="8">
        <f>IFERROR(
GETPIVOTDATA(
"[Base].[Importe]",
TDinamica_R!$A$5,
"[Calendario].[AñoMes]",
"[Calendario].[AñoMes].&amp;[" &amp; TEXT(AU$6,"yyyymm")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V92" s="8">
        <f>IFERROR(
GETPIVOTDATA(
"[Base].[Importe]",
TDinamica_R!$A$5,
"[Calendario].[AñoMes]",
"[Calendario].[AñoMes].&amp;[" &amp; TEXT(AV$6,"yyyymm")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W92" s="8">
        <f>IFERROR(
GETPIVOTDATA(
"[Base].[Importe]",
TDinamica_R!$A$5,
"[Calendario].[AñoMes]",
"[Calendario].[AñoMes].&amp;[" &amp; TEXT(AW$6,"yyyymm")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X92" s="8">
        <f>IFERROR(
GETPIVOTDATA(
"[Base].[Importe]",
TDinamica_R!$A$5,
"[Calendario].[AñoMes]",
"[Calendario].[AñoMes].&amp;[" &amp; TEXT(AX$6,"yyyymm")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Y92" s="8">
        <f>IFERROR(
GETPIVOTDATA(
"[Base].[Importe]",
TDinamica_R!$A$5,
"[Calendario].[AñoMes]",
"[Calendario].[AñoMes].&amp;[" &amp; TEXT(AY$6,"yyyymm")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Z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"[BASE_HIPO_PPTO].[Periodo]","[BASE_HIPO_PPTO].[Periodo].&amp;["&amp;TEXT(AZ$6,"yyyymm")&amp;"]"),
0)/1000</f>
        <v>-72.429295675637363</v>
      </c>
      <c r="BA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"[BASE_HIPO_PPTO].[Periodo]","[BASE_HIPO_PPTO].[Periodo].&amp;["&amp;TEXT(BA$6,"yyyymm")&amp;"]"),
0)/1000</f>
        <v>-17.856323538511575</v>
      </c>
      <c r="BB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"[BASE_HIPO_PPTO].[Periodo]","[BASE_HIPO_PPTO].[Periodo].&amp;["&amp;TEXT(BB$6,"yyyymm")&amp;"]"),
0)/1000</f>
        <v>-18.724388143512414</v>
      </c>
      <c r="BC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"[BASE_HIPO_PPTO].[Periodo]","[BASE_HIPO_PPTO].[Periodo].&amp;["&amp;TEXT(BC$6,"yyyymm")&amp;"]"),
0)/1000</f>
        <v>-18.054769197025038</v>
      </c>
      <c r="BD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"[BASE_HIPO_PPTO].[Periodo]","[BASE_HIPO_PPTO].[Periodo].&amp;["&amp;TEXT(BD$6,"yyyymm")&amp;"]"),
0)/1000</f>
        <v>-18.019978605477604</v>
      </c>
      <c r="BE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"[BASE_HIPO_PPTO].[Periodo]","[BASE_HIPO_PPTO].[Periodo].&amp;["&amp;TEXT(BE$6,"yyyymm")&amp;"]"),
0)/1000</f>
        <v>-18.911878987237458</v>
      </c>
      <c r="BF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"[BASE_HIPO_PPTO].[Periodo]","[BASE_HIPO_PPTO].[Periodo].&amp;["&amp;TEXT(BF$6,"yyyymm")&amp;"]"),
0)/1000</f>
        <v>-17.84216825165133</v>
      </c>
      <c r="BG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"[BASE_HIPO_PPTO].[Periodo]","[BASE_HIPO_PPTO].[Periodo].&amp;["&amp;TEXT(BG$6,"yyyymm")&amp;"]"),
0)/1000</f>
        <v>-17.81030465613382</v>
      </c>
      <c r="BH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"[BASE_HIPO_PPTO].[Periodo]","[BASE_HIPO_PPTO].[Periodo].&amp;["&amp;TEXT(BH$6,"yyyymm")&amp;"]"),
0)/1000</f>
        <v>-18.428407438017736</v>
      </c>
      <c r="BI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"[BASE_HIPO_PPTO].[Periodo]","[BASE_HIPO_PPTO].[Periodo].&amp;["&amp;TEXT(BI$6,"yyyymm")&amp;"]"),
0)/1000</f>
        <v>-17.774115876135983</v>
      </c>
      <c r="BJ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"[BASE_HIPO_PPTO].[Periodo]","[BASE_HIPO_PPTO].[Periodo].&amp;["&amp;TEXT(BJ$6,"yyyymm")&amp;"]"),
0)/1000</f>
        <v>-17.740062985058664</v>
      </c>
      <c r="BK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"[BASE_HIPO_PPTO].[Periodo]","[BASE_HIPO_PPTO].[Periodo].&amp;["&amp;TEXT(BK$6,"yyyymm")&amp;"]"),
0)/1000</f>
        <v>-18.535286404356643</v>
      </c>
      <c r="BO92" s="24">
        <f t="shared" si="156"/>
        <v>-54.296223834806369</v>
      </c>
      <c r="BP92" s="24">
        <f t="shared" si="156"/>
        <v>-109.01000735766135</v>
      </c>
      <c r="BQ92" s="24">
        <f t="shared" si="156"/>
        <v>24.313691088575862</v>
      </c>
      <c r="BR92" s="24">
        <f t="shared" si="156"/>
        <v>-173.62696863557309</v>
      </c>
      <c r="BS92" s="24">
        <f t="shared" si="156"/>
        <v>66.571348825778955</v>
      </c>
      <c r="BT92" s="24">
        <f t="shared" si="156"/>
        <v>33.985407674519664</v>
      </c>
    </row>
    <row r="93" spans="1:72" x14ac:dyDescent="0.25">
      <c r="C93" s="3" t="s">
        <v>81</v>
      </c>
      <c r="D93" s="10">
        <f>SUM(D91:D92)</f>
        <v>11.416291816852299</v>
      </c>
      <c r="E93" s="10">
        <f t="shared" ref="E93:BK93" si="157">SUM(E91:E92)</f>
        <v>11.334834745041604</v>
      </c>
      <c r="F93" s="10">
        <f t="shared" si="157"/>
        <v>11.234281112625755</v>
      </c>
      <c r="G93" s="10">
        <f t="shared" si="157"/>
        <v>11.113752031210439</v>
      </c>
      <c r="H93" s="10">
        <f t="shared" si="157"/>
        <v>79.445112213888208</v>
      </c>
      <c r="I93" s="10">
        <f t="shared" si="157"/>
        <v>177.80965100292002</v>
      </c>
      <c r="J93" s="10">
        <f t="shared" si="157"/>
        <v>10.625536964289855</v>
      </c>
      <c r="K93" s="10">
        <f t="shared" si="157"/>
        <v>95.681274361000007</v>
      </c>
      <c r="L93" s="10">
        <f t="shared" si="157"/>
        <v>10.384432192740512</v>
      </c>
      <c r="M93" s="10">
        <f t="shared" si="157"/>
        <v>10.220578868256936</v>
      </c>
      <c r="N93" s="10">
        <f t="shared" si="157"/>
        <v>10.024934260093975</v>
      </c>
      <c r="O93" s="10">
        <f t="shared" si="157"/>
        <v>9.9884525373726269</v>
      </c>
      <c r="P93" s="10">
        <f t="shared" si="157"/>
        <v>-65.175759525041158</v>
      </c>
      <c r="Q93" s="10">
        <f t="shared" si="157"/>
        <v>46.739745982182278</v>
      </c>
      <c r="R93" s="10">
        <f t="shared" si="157"/>
        <v>85.007362368637828</v>
      </c>
      <c r="S93" s="10">
        <f t="shared" si="157"/>
        <v>8.8967682861613628</v>
      </c>
      <c r="T93" s="10">
        <f t="shared" si="157"/>
        <v>-52.962555773459513</v>
      </c>
      <c r="U93" s="10">
        <f t="shared" si="157"/>
        <v>-28.215258470313842</v>
      </c>
      <c r="V93" s="10">
        <f t="shared" si="157"/>
        <v>8.7733988265369405</v>
      </c>
      <c r="W93" s="10">
        <f t="shared" si="157"/>
        <v>7.6200716909661361</v>
      </c>
      <c r="X93" s="10">
        <f t="shared" si="157"/>
        <v>119.19963885244142</v>
      </c>
      <c r="Y93" s="10">
        <f t="shared" si="157"/>
        <v>-9.2948511203918898</v>
      </c>
      <c r="Z93" s="10">
        <f t="shared" si="157"/>
        <v>-167.40191031014817</v>
      </c>
      <c r="AA93" s="10">
        <f t="shared" si="157"/>
        <v>-124.18156353818276</v>
      </c>
      <c r="AB93" s="10">
        <f t="shared" si="157"/>
        <v>-10.148190628076593</v>
      </c>
      <c r="AC93" s="10">
        <f t="shared" si="157"/>
        <v>-43.146956142311502</v>
      </c>
      <c r="AD93" s="10">
        <f t="shared" si="157"/>
        <v>-120.33182186518501</v>
      </c>
      <c r="AE93" s="10">
        <f t="shared" si="157"/>
        <v>44.230481295886939</v>
      </c>
      <c r="AF93" s="10">
        <f t="shared" si="157"/>
        <v>-1.9835622802957487</v>
      </c>
      <c r="AG93" s="10">
        <f t="shared" si="157"/>
        <v>-7.1108491719227755</v>
      </c>
      <c r="AH93" s="10">
        <f t="shared" si="157"/>
        <v>3.1471430922526458</v>
      </c>
      <c r="AI93" s="10">
        <f t="shared" si="157"/>
        <v>-9.6960562666519987</v>
      </c>
      <c r="AJ93" s="10">
        <f t="shared" si="157"/>
        <v>77.543674359096158</v>
      </c>
      <c r="AK93" s="10">
        <f t="shared" si="157"/>
        <v>-9.4778269014580587</v>
      </c>
      <c r="AL93" s="10">
        <f t="shared" si="157"/>
        <v>-50.408278926538316</v>
      </c>
      <c r="AM93" s="10">
        <f t="shared" si="157"/>
        <v>69.727667716232048</v>
      </c>
      <c r="AN93" s="10">
        <f t="shared" si="157"/>
        <v>-13.129350531874838</v>
      </c>
      <c r="AO93" s="10">
        <f t="shared" si="157"/>
        <v>37.4430416204507</v>
      </c>
      <c r="AP93" s="10">
        <f t="shared" si="157"/>
        <v>-78.609914923382235</v>
      </c>
      <c r="AQ93" s="10">
        <f t="shared" si="157"/>
        <v>9.313063649090207</v>
      </c>
      <c r="AR93" s="10">
        <f t="shared" si="157"/>
        <v>15.500736555296198</v>
      </c>
      <c r="AS93" s="10">
        <f t="shared" si="157"/>
        <v>30.386263990603439</v>
      </c>
      <c r="AT93" s="10">
        <f t="shared" si="157"/>
        <v>0</v>
      </c>
      <c r="AU93" s="10">
        <f t="shared" si="157"/>
        <v>0</v>
      </c>
      <c r="AV93" s="10">
        <f t="shared" si="157"/>
        <v>0</v>
      </c>
      <c r="AW93" s="10">
        <f t="shared" si="157"/>
        <v>0</v>
      </c>
      <c r="AX93" s="10">
        <f t="shared" si="157"/>
        <v>0</v>
      </c>
      <c r="AY93" s="10">
        <f t="shared" si="157"/>
        <v>0</v>
      </c>
      <c r="AZ93" s="10">
        <f t="shared" si="157"/>
        <v>-72.429295675637363</v>
      </c>
      <c r="BA93" s="10">
        <f t="shared" si="157"/>
        <v>-17.856323538511575</v>
      </c>
      <c r="BB93" s="10">
        <f t="shared" si="157"/>
        <v>-18.724388143512414</v>
      </c>
      <c r="BC93" s="10">
        <f t="shared" si="157"/>
        <v>-18.054769197025038</v>
      </c>
      <c r="BD93" s="10">
        <f t="shared" si="157"/>
        <v>-18.019978605477604</v>
      </c>
      <c r="BE93" s="10">
        <f t="shared" si="157"/>
        <v>-18.911878987237458</v>
      </c>
      <c r="BF93" s="10">
        <f t="shared" si="157"/>
        <v>-17.84216825165133</v>
      </c>
      <c r="BG93" s="10">
        <f t="shared" si="157"/>
        <v>-17.81030465613382</v>
      </c>
      <c r="BH93" s="10">
        <f t="shared" si="157"/>
        <v>-18.428407438017736</v>
      </c>
      <c r="BI93" s="10">
        <f t="shared" si="157"/>
        <v>-17.774115876135983</v>
      </c>
      <c r="BJ93" s="10">
        <f t="shared" si="157"/>
        <v>-17.740062985058664</v>
      </c>
      <c r="BK93" s="10">
        <f t="shared" si="157"/>
        <v>-18.535286404356643</v>
      </c>
      <c r="BO93" s="23">
        <f t="shared" ref="BO93:BT93" si="158">SUM(BO91:BO92)</f>
        <v>-54.296223834806369</v>
      </c>
      <c r="BP93" s="23">
        <f t="shared" si="158"/>
        <v>-109.01000735766135</v>
      </c>
      <c r="BQ93" s="23">
        <f t="shared" si="158"/>
        <v>24.313691088575862</v>
      </c>
      <c r="BR93" s="23">
        <f t="shared" si="158"/>
        <v>-173.62696863557309</v>
      </c>
      <c r="BS93" s="23">
        <f t="shared" si="158"/>
        <v>66.571348825778955</v>
      </c>
      <c r="BT93" s="23">
        <f t="shared" si="158"/>
        <v>33.985407674519664</v>
      </c>
    </row>
    <row r="95" spans="1:72" outlineLevel="1" x14ac:dyDescent="0.25">
      <c r="A95" s="11" t="s">
        <v>82</v>
      </c>
      <c r="C95" s="2" t="s">
        <v>83</v>
      </c>
      <c r="D95" s="8">
        <f>IFERROR(
GETPIVOTDATA(
"[Base].[Importe]",
TDinamica_R!$A$5,
"[Calendario].[AñoMes]",
"[Calendario].[AñoMes].&amp;[" &amp; TEXT(D$6,"yyyymm")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E95" s="8">
        <f>IFERROR(
GETPIVOTDATA(
"[Base].[Importe]",
TDinamica_R!$A$5,
"[Calendario].[AñoMes]",
"[Calendario].[AñoMes].&amp;[" &amp; TEXT(E$6,"yyyymm")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F95" s="8">
        <f>IFERROR(
GETPIVOTDATA(
"[Base].[Importe]",
TDinamica_R!$A$5,
"[Calendario].[AñoMes]",
"[Calendario].[AñoMes].&amp;[" &amp; TEXT(F$6,"yyyymm")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G95" s="8">
        <f>IFERROR(
GETPIVOTDATA(
"[Base].[Importe]",
TDinamica_R!$A$5,
"[Calendario].[AñoMes]",
"[Calendario].[AñoMes].&amp;[" &amp; TEXT(G$6,"yyyymm")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H95" s="8">
        <f>IFERROR(
GETPIVOTDATA(
"[Base].[Importe]",
TDinamica_R!$A$5,
"[Calendario].[AñoMes]",
"[Calendario].[AñoMes].&amp;[" &amp; TEXT(H$6,"yyyymm")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I95" s="8">
        <f>IFERROR(
GETPIVOTDATA(
"[Base].[Importe]",
TDinamica_R!$A$5,
"[Calendario].[AñoMes]",
"[Calendario].[AñoMes].&amp;[" &amp; TEXT(I$6,"yyyymm")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J95" s="8">
        <f>IFERROR(
GETPIVOTDATA(
"[Base].[Importe]",
TDinamica_R!$A$5,
"[Calendario].[AñoMes]",
"[Calendario].[AñoMes].&amp;[" &amp; TEXT(J$6,"yyyymm")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K95" s="8">
        <f>IFERROR(
GETPIVOTDATA(
"[Base].[Importe]",
TDinamica_R!$A$5,
"[Calendario].[AñoMes]",
"[Calendario].[AñoMes].&amp;[" &amp; TEXT(K$6,"yyyymm")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L95" s="8">
        <f>IFERROR(
GETPIVOTDATA(
"[Base].[Importe]",
TDinamica_R!$A$5,
"[Calendario].[AñoMes]",
"[Calendario].[AñoMes].&amp;[" &amp; TEXT(L$6,"yyyymm")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M95" s="8">
        <f>IFERROR(
GETPIVOTDATA(
"[Base].[Importe]",
TDinamica_R!$A$5,
"[Calendario].[AñoMes]",
"[Calendario].[AñoMes].&amp;[" &amp; TEXT(M$6,"yyyymm")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N95" s="8">
        <f>IFERROR(
GETPIVOTDATA(
"[Base].[Importe]",
TDinamica_R!$A$5,
"[Calendario].[AñoMes]",
"[Calendario].[AñoMes].&amp;[" &amp; TEXT(N$6,"yyyymm")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O95" s="8">
        <f>IFERROR(
GETPIVOTDATA(
"[Base].[Importe]",
TDinamica_R!$A$5,
"[Calendario].[AñoMes]",
"[Calendario].[AñoMes].&amp;[" &amp; TEXT(O$6,"yyyymm")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P95" s="8">
        <f>IFERROR(
GETPIVOTDATA(
"[Base].[Importe]",
TDinamica_R!$A$5,
"[Calendario].[AñoMes]",
"[Calendario].[AñoMes].&amp;[" &amp; TEXT(P$6,"yyyymm")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Q95" s="8">
        <f>IFERROR(
GETPIVOTDATA(
"[Base].[Importe]",
TDinamica_R!$A$5,
"[Calendario].[AñoMes]",
"[Calendario].[AñoMes].&amp;[" &amp; TEXT(Q$6,"yyyymm")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R95" s="8">
        <f>IFERROR(
GETPIVOTDATA(
"[Base].[Importe]",
TDinamica_R!$A$5,
"[Calendario].[AñoMes]",
"[Calendario].[AñoMes].&amp;[" &amp; TEXT(R$6,"yyyymm")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S95" s="8">
        <f>IFERROR(
GETPIVOTDATA(
"[Base].[Importe]",
TDinamica_R!$A$5,
"[Calendario].[AñoMes]",
"[Calendario].[AñoMes].&amp;[" &amp; TEXT(S$6,"yyyymm")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T95" s="8">
        <f>IFERROR(
GETPIVOTDATA(
"[Base].[Importe]",
TDinamica_R!$A$5,
"[Calendario].[AñoMes]",
"[Calendario].[AñoMes].&amp;[" &amp; TEXT(T$6,"yyyymm")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U95" s="8">
        <f>IFERROR(
GETPIVOTDATA(
"[Base].[Importe]",
TDinamica_R!$A$5,
"[Calendario].[AñoMes]",
"[Calendario].[AñoMes].&amp;[" &amp; TEXT(U$6,"yyyymm")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V95" s="8">
        <f>IFERROR(
GETPIVOTDATA(
"[Base].[Importe]",
TDinamica_R!$A$5,
"[Calendario].[AñoMes]",
"[Calendario].[AñoMes].&amp;[" &amp; TEXT(V$6,"yyyymm")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W95" s="8">
        <f>IFERROR(
GETPIVOTDATA(
"[Base].[Importe]",
TDinamica_R!$A$5,
"[Calendario].[AñoMes]",
"[Calendario].[AñoMes].&amp;[" &amp; TEXT(W$6,"yyyymm")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X95" s="8">
        <f>IFERROR(
GETPIVOTDATA(
"[Base].[Importe]",
TDinamica_R!$A$5,
"[Calendario].[AñoMes]",
"[Calendario].[AñoMes].&amp;[" &amp; TEXT(X$6,"yyyymm")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Y95" s="8">
        <f>IFERROR(
GETPIVOTDATA(
"[Base].[Importe]",
TDinamica_R!$A$5,
"[Calendario].[AñoMes]",
"[Calendario].[AñoMes].&amp;[" &amp; TEXT(Y$6,"yyyymm")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Z95" s="8">
        <f>IFERROR(
GETPIVOTDATA(
"[Base].[Importe]",
TDinamica_R!$A$5,
"[Calendario].[AñoMes]",
"[Calendario].[AñoMes].&amp;[" &amp; TEXT(Z$6,"yyyymm")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A95" s="8">
        <f>IFERROR(
GETPIVOTDATA(
"[Base].[Importe]",
TDinamica_R!$A$5,
"[Calendario].[AñoMes]",
"[Calendario].[AñoMes].&amp;[" &amp; TEXT(AA$6,"yyyymm")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B95" s="8">
        <f>IFERROR(
GETPIVOTDATA(
"[Base].[Importe]",
TDinamica_R!$A$5,
"[Calendario].[AñoMes]",
"[Calendario].[AñoMes].&amp;[" &amp; TEXT(AB$6,"yyyymm")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C95" s="8">
        <f>IFERROR(
GETPIVOTDATA(
"[Base].[Importe]",
TDinamica_R!$A$5,
"[Calendario].[AñoMes]",
"[Calendario].[AñoMes].&amp;[" &amp; TEXT(AC$6,"yyyymm")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D95" s="8">
        <f>IFERROR(
GETPIVOTDATA(
"[Base].[Importe]",
TDinamica_R!$A$5,
"[Calendario].[AñoMes]",
"[Calendario].[AñoMes].&amp;[" &amp; TEXT(AD$6,"yyyymm") &amp; "]",
"[Base].[Metrica]",
"[Base].[Metrica].&amp;[" &amp; $A95 &amp; "]",
"[Base].[SEGMENTO_DESCRIP]",
"[Base].[SEGMENTO_DESCRIP].&amp;[" &amp; $C$6 &amp; "]",
"[Base].[SITUACION]",
"[Base].[SITUACION].&amp;[" &amp; $C95 &amp; "]"
),0)/1000</f>
        <v>51.339999525584759</v>
      </c>
      <c r="AE95" s="8">
        <f>IFERROR(
GETPIVOTDATA(
"[Base].[Importe]",
TDinamica_R!$A$5,
"[Calendario].[AñoMes]",
"[Calendario].[AñoMes].&amp;[" &amp; TEXT(AE$6,"yyyymm")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F95" s="8">
        <f>IFERROR(
GETPIVOTDATA(
"[Base].[Importe]",
TDinamica_R!$A$5,
"[Calendario].[AñoMes]",
"[Calendario].[AñoMes].&amp;[" &amp; TEXT(AF$6,"yyyymm")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G95" s="8">
        <f>IFERROR(
GETPIVOTDATA(
"[Base].[Importe]",
TDinamica_R!$A$5,
"[Calendario].[AñoMes]",
"[Calendario].[AñoMes].&amp;[" &amp; TEXT(AG$6,"yyyymm")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H95" s="8">
        <f>IFERROR(
GETPIVOTDATA(
"[Base].[Importe]",
TDinamica_R!$A$5,
"[Calendario].[AñoMes]",
"[Calendario].[AñoMes].&amp;[" &amp; TEXT(AH$6,"yyyymm")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I95" s="8">
        <f>IFERROR(
GETPIVOTDATA(
"[Base].[Importe]",
TDinamica_R!$A$5,
"[Calendario].[AñoMes]",
"[Calendario].[AñoMes].&amp;[" &amp; TEXT(AI$6,"yyyymm")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J95" s="8">
        <f>IFERROR(
GETPIVOTDATA(
"[Base].[Importe]",
TDinamica_R!$A$5,
"[Calendario].[AñoMes]",
"[Calendario].[AñoMes].&amp;[" &amp; TEXT(AJ$6,"yyyymm")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K95" s="8">
        <f>IFERROR(
GETPIVOTDATA(
"[Base].[Importe]",
TDinamica_R!$A$5,
"[Calendario].[AñoMes]",
"[Calendario].[AñoMes].&amp;[" &amp; TEXT(AK$6,"yyyymm")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L95" s="8">
        <f>IFERROR(
GETPIVOTDATA(
"[Base].[Importe]",
TDinamica_R!$A$5,
"[Calendario].[AñoMes]",
"[Calendario].[AñoMes].&amp;[" &amp; TEXT(AL$6,"yyyymm")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M95" s="8">
        <f>IFERROR(
GETPIVOTDATA(
"[Base].[Importe]",
TDinamica_R!$A$5,
"[Calendario].[AñoMes]",
"[Calendario].[AñoMes].&amp;[" &amp; TEXT(AM$6,"yyyymm")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N95" s="8">
        <f>IFERROR(
GETPIVOTDATA(
"[Base].[Importe]",
TDinamica_R!$A$5,
"[Calendario].[AñoMes]",
"[Calendario].[AñoMes].&amp;[" &amp; TEXT(AN$6,"yyyymm")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O95" s="8">
        <f>IFERROR(
GETPIVOTDATA(
"[Base].[Importe]",
TDinamica_R!$A$5,
"[Calendario].[AñoMes]",
"[Calendario].[AñoMes].&amp;[" &amp; TEXT(AO$6,"yyyymm") &amp; "]",
"[Base].[Metrica]",
"[Base].[Metrica].&amp;[" &amp; $A95 &amp; "]",
"[Base].[SEGMENTO_DESCRIP]",
"[Base].[SEGMENTO_DESCRIP].&amp;[" &amp; $C$6 &amp; "]",
"[Base].[SITUACION]",
"[Base].[SITUACION].&amp;[" &amp; $C95 &amp; "]"
),0)/1000</f>
        <v>12.819702593431515</v>
      </c>
      <c r="AP95" s="8">
        <f>IFERROR(
GETPIVOTDATA(
"[Base].[Importe]",
TDinamica_R!$A$5,
"[Calendario].[AñoMes]",
"[Calendario].[AñoMes].&amp;[" &amp; TEXT(AP$6,"yyyymm") &amp; "]",
"[Base].[Metrica]",
"[Base].[Metrica].&amp;[" &amp; $A95 &amp; "]",
"[Base].[SEGMENTO_DESCRIP]",
"[Base].[SEGMENTO_DESCRIP].&amp;[" &amp; $C$6 &amp; "]",
"[Base].[SITUACION]",
"[Base].[SITUACION].&amp;[" &amp; $C95 &amp; "]"
),0)/1000</f>
        <v>210.69775562960618</v>
      </c>
      <c r="AQ95" s="8">
        <f>IFERROR(
GETPIVOTDATA(
"[Base].[Importe]",
TDinamica_R!$A$5,
"[Calendario].[AñoMes]",
"[Calendario].[AñoMes].&amp;[" &amp; TEXT(AQ$6,"yyyymm")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R95" s="8">
        <f>IFERROR(
GETPIVOTDATA(
"[Base].[Importe]",
TDinamica_R!$A$5,
"[Calendario].[AñoMes]",
"[Calendario].[AñoMes].&amp;[" &amp; TEXT(AR$6,"yyyymm")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S95" s="8">
        <f>IFERROR(
GETPIVOTDATA(
"[Base].[Importe]",
TDinamica_R!$A$5,
"[Calendario].[AñoMes]",
"[Calendario].[AñoMes].&amp;[" &amp; TEXT(AS$6,"yyyymm")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T95" s="8">
        <f>IFERROR(
GETPIVOTDATA(
"[Base].[Importe]",
TDinamica_R!$A$5,
"[Calendario].[AñoMes]",
"[Calendario].[AñoMes].&amp;[" &amp; TEXT(AT$6,"yyyymm")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U95" s="8">
        <f>IFERROR(
GETPIVOTDATA(
"[Base].[Importe]",
TDinamica_R!$A$5,
"[Calendario].[AñoMes]",
"[Calendario].[AñoMes].&amp;[" &amp; TEXT(AU$6,"yyyymm")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V95" s="8">
        <f>IFERROR(
GETPIVOTDATA(
"[Base].[Importe]",
TDinamica_R!$A$5,
"[Calendario].[AñoMes]",
"[Calendario].[AñoMes].&amp;[" &amp; TEXT(AV$6,"yyyymm")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W95" s="8">
        <f>IFERROR(
GETPIVOTDATA(
"[Base].[Importe]",
TDinamica_R!$A$5,
"[Calendario].[AñoMes]",
"[Calendario].[AñoMes].&amp;[" &amp; TEXT(AW$6,"yyyymm")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X95" s="8">
        <f>IFERROR(
GETPIVOTDATA(
"[Base].[Importe]",
TDinamica_R!$A$5,
"[Calendario].[AñoMes]",
"[Calendario].[AñoMes].&amp;[" &amp; TEXT(AX$6,"yyyymm")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Y95" s="8">
        <f>IFERROR(
GETPIVOTDATA(
"[Base].[Importe]",
TDinamica_R!$A$5,
"[Calendario].[AñoMes]",
"[Calendario].[AñoMes].&amp;[" &amp; TEXT(AY$6,"yyyymm")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Z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"[BASE_HIPO_PPTO].[Periodo]","[BASE_HIPO_PPTO].[Periodo].&amp;["&amp;TEXT(AZ$6,"yyyymm")&amp;"]"),
0)/1000</f>
        <v>0</v>
      </c>
      <c r="BA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"[BASE_HIPO_PPTO].[Periodo]","[BASE_HIPO_PPTO].[Periodo].&amp;["&amp;TEXT(BA$6,"yyyymm")&amp;"]"),
0)/1000</f>
        <v>0</v>
      </c>
      <c r="BB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"[BASE_HIPO_PPTO].[Periodo]","[BASE_HIPO_PPTO].[Periodo].&amp;["&amp;TEXT(BB$6,"yyyymm")&amp;"]"),
0)/1000</f>
        <v>0</v>
      </c>
      <c r="BC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"[BASE_HIPO_PPTO].[Periodo]","[BASE_HIPO_PPTO].[Periodo].&amp;["&amp;TEXT(BC$6,"yyyymm")&amp;"]"),
0)/1000</f>
        <v>0</v>
      </c>
      <c r="BD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"[BASE_HIPO_PPTO].[Periodo]","[BASE_HIPO_PPTO].[Periodo].&amp;["&amp;TEXT(BD$6,"yyyymm")&amp;"]"),
0)/1000</f>
        <v>0</v>
      </c>
      <c r="BE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"[BASE_HIPO_PPTO].[Periodo]","[BASE_HIPO_PPTO].[Periodo].&amp;["&amp;TEXT(BE$6,"yyyymm")&amp;"]"),
0)/1000</f>
        <v>0</v>
      </c>
      <c r="BF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"[BASE_HIPO_PPTO].[Periodo]","[BASE_HIPO_PPTO].[Periodo].&amp;["&amp;TEXT(BF$6,"yyyymm")&amp;"]"),
0)/1000</f>
        <v>0</v>
      </c>
      <c r="BG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"[BASE_HIPO_PPTO].[Periodo]","[BASE_HIPO_PPTO].[Periodo].&amp;["&amp;TEXT(BG$6,"yyyymm")&amp;"]"),
0)/1000</f>
        <v>0</v>
      </c>
      <c r="BH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"[BASE_HIPO_PPTO].[Periodo]","[BASE_HIPO_PPTO].[Periodo].&amp;["&amp;TEXT(BH$6,"yyyymm")&amp;"]"),
0)/1000</f>
        <v>0</v>
      </c>
      <c r="BI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"[BASE_HIPO_PPTO].[Periodo]","[BASE_HIPO_PPTO].[Periodo].&amp;["&amp;TEXT(BI$6,"yyyymm")&amp;"]"),
0)/1000</f>
        <v>0</v>
      </c>
      <c r="BJ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"[BASE_HIPO_PPTO].[Periodo]","[BASE_HIPO_PPTO].[Periodo].&amp;["&amp;TEXT(BJ$6,"yyyymm")&amp;"]"),
0)/1000</f>
        <v>0</v>
      </c>
      <c r="BK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"[BASE_HIPO_PPTO].[Periodo]","[BASE_HIPO_PPTO].[Periodo].&amp;["&amp;TEXT(BK$6,"yyyymm")&amp;"]"),
0)/1000</f>
        <v>0</v>
      </c>
      <c r="BO95" s="24">
        <f t="shared" ref="BO95:BT95" si="159">SUMIFS($D95:$BM95,$D$6:$BM$6,"&gt;="&amp;BO$2,$D$6:$BM$6,"&lt;="&amp;BO$6,$D$5:$BM$5,BO$5)</f>
        <v>223.51745822303769</v>
      </c>
      <c r="BP95" s="24">
        <f t="shared" si="159"/>
        <v>0</v>
      </c>
      <c r="BQ95" s="24">
        <f t="shared" si="159"/>
        <v>12.819702593431515</v>
      </c>
      <c r="BR95" s="24">
        <f t="shared" si="159"/>
        <v>51.339999525584759</v>
      </c>
      <c r="BS95" s="24">
        <f t="shared" si="159"/>
        <v>0</v>
      </c>
      <c r="BT95" s="24">
        <f t="shared" si="159"/>
        <v>0</v>
      </c>
    </row>
    <row r="96" spans="1:72" x14ac:dyDescent="0.25">
      <c r="C96" s="3" t="s">
        <v>82</v>
      </c>
      <c r="D96" s="10">
        <f>SUM(D95:D95)</f>
        <v>0</v>
      </c>
      <c r="E96" s="10">
        <f t="shared" ref="E96" si="160">SUM(E95:E95)</f>
        <v>0</v>
      </c>
      <c r="F96" s="10">
        <f t="shared" ref="F96" si="161">SUM(F95:F95)</f>
        <v>0</v>
      </c>
      <c r="G96" s="10">
        <f t="shared" ref="G96" si="162">SUM(G95:G95)</f>
        <v>0</v>
      </c>
      <c r="H96" s="10">
        <f t="shared" ref="H96" si="163">SUM(H95:H95)</f>
        <v>0</v>
      </c>
      <c r="I96" s="10">
        <f t="shared" ref="I96" si="164">SUM(I95:I95)</f>
        <v>0</v>
      </c>
      <c r="J96" s="10">
        <f t="shared" ref="J96" si="165">SUM(J95:J95)</f>
        <v>0</v>
      </c>
      <c r="K96" s="10">
        <f t="shared" ref="K96" si="166">SUM(K95:K95)</f>
        <v>0</v>
      </c>
      <c r="L96" s="10">
        <f t="shared" ref="L96" si="167">SUM(L95:L95)</f>
        <v>0</v>
      </c>
      <c r="M96" s="10">
        <f t="shared" ref="M96" si="168">SUM(M95:M95)</f>
        <v>0</v>
      </c>
      <c r="N96" s="10">
        <f t="shared" ref="N96" si="169">SUM(N95:N95)</f>
        <v>0</v>
      </c>
      <c r="O96" s="10">
        <f t="shared" ref="O96" si="170">SUM(O95:O95)</f>
        <v>0</v>
      </c>
      <c r="P96" s="10">
        <f t="shared" ref="P96" si="171">SUM(P95:P95)</f>
        <v>0</v>
      </c>
      <c r="Q96" s="10">
        <f t="shared" ref="Q96" si="172">SUM(Q95:Q95)</f>
        <v>0</v>
      </c>
      <c r="R96" s="10">
        <f t="shared" ref="R96" si="173">SUM(R95:R95)</f>
        <v>0</v>
      </c>
      <c r="S96" s="10">
        <f t="shared" ref="S96" si="174">SUM(S95:S95)</f>
        <v>0</v>
      </c>
      <c r="T96" s="10">
        <f t="shared" ref="T96" si="175">SUM(T95:T95)</f>
        <v>0</v>
      </c>
      <c r="U96" s="10">
        <f t="shared" ref="U96" si="176">SUM(U95:U95)</f>
        <v>0</v>
      </c>
      <c r="V96" s="10">
        <f t="shared" ref="V96" si="177">SUM(V95:V95)</f>
        <v>0</v>
      </c>
      <c r="W96" s="10">
        <f t="shared" ref="W96" si="178">SUM(W95:W95)</f>
        <v>0</v>
      </c>
      <c r="X96" s="10">
        <f t="shared" ref="X96" si="179">SUM(X95:X95)</f>
        <v>0</v>
      </c>
      <c r="Y96" s="10">
        <f t="shared" ref="Y96" si="180">SUM(Y95:Y95)</f>
        <v>0</v>
      </c>
      <c r="Z96" s="10">
        <f t="shared" ref="Z96" si="181">SUM(Z95:Z95)</f>
        <v>0</v>
      </c>
      <c r="AA96" s="10">
        <f t="shared" ref="AA96" si="182">SUM(AA95:AA95)</f>
        <v>0</v>
      </c>
      <c r="AB96" s="10">
        <f t="shared" ref="AB96" si="183">SUM(AB95:AB95)</f>
        <v>0</v>
      </c>
      <c r="AC96" s="10">
        <f t="shared" ref="AC96" si="184">SUM(AC95:AC95)</f>
        <v>0</v>
      </c>
      <c r="AD96" s="10">
        <f t="shared" ref="AD96" si="185">SUM(AD95:AD95)</f>
        <v>51.339999525584759</v>
      </c>
      <c r="AE96" s="10">
        <f t="shared" ref="AE96" si="186">SUM(AE95:AE95)</f>
        <v>0</v>
      </c>
      <c r="AF96" s="10">
        <f t="shared" ref="AF96" si="187">SUM(AF95:AF95)</f>
        <v>0</v>
      </c>
      <c r="AG96" s="10">
        <f t="shared" ref="AG96" si="188">SUM(AG95:AG95)</f>
        <v>0</v>
      </c>
      <c r="AH96" s="10">
        <f t="shared" ref="AH96" si="189">SUM(AH95:AH95)</f>
        <v>0</v>
      </c>
      <c r="AI96" s="10">
        <f t="shared" ref="AI96" si="190">SUM(AI95:AI95)</f>
        <v>0</v>
      </c>
      <c r="AJ96" s="10">
        <f t="shared" ref="AJ96" si="191">SUM(AJ95:AJ95)</f>
        <v>0</v>
      </c>
      <c r="AK96" s="10">
        <f t="shared" ref="AK96" si="192">SUM(AK95:AK95)</f>
        <v>0</v>
      </c>
      <c r="AL96" s="10">
        <f t="shared" ref="AL96" si="193">SUM(AL95:AL95)</f>
        <v>0</v>
      </c>
      <c r="AM96" s="10">
        <f t="shared" ref="AM96" si="194">SUM(AM95:AM95)</f>
        <v>0</v>
      </c>
      <c r="AN96" s="10">
        <f t="shared" ref="AN96" si="195">SUM(AN95:AN95)</f>
        <v>0</v>
      </c>
      <c r="AO96" s="10">
        <f t="shared" ref="AO96" si="196">SUM(AO95:AO95)</f>
        <v>12.819702593431515</v>
      </c>
      <c r="AP96" s="10">
        <f t="shared" ref="AP96" si="197">SUM(AP95:AP95)</f>
        <v>210.69775562960618</v>
      </c>
      <c r="AQ96" s="10">
        <f t="shared" ref="AQ96" si="198">SUM(AQ95:AQ95)</f>
        <v>0</v>
      </c>
      <c r="AR96" s="10">
        <f t="shared" ref="AR96" si="199">SUM(AR95:AR95)</f>
        <v>0</v>
      </c>
      <c r="AS96" s="10">
        <f t="shared" ref="AS96" si="200">SUM(AS95:AS95)</f>
        <v>0</v>
      </c>
      <c r="AT96" s="10">
        <f t="shared" ref="AT96" si="201">SUM(AT95:AT95)</f>
        <v>0</v>
      </c>
      <c r="AU96" s="10">
        <f t="shared" ref="AU96" si="202">SUM(AU95:AU95)</f>
        <v>0</v>
      </c>
      <c r="AV96" s="10">
        <f t="shared" ref="AV96" si="203">SUM(AV95:AV95)</f>
        <v>0</v>
      </c>
      <c r="AW96" s="10">
        <f t="shared" ref="AW96" si="204">SUM(AW95:AW95)</f>
        <v>0</v>
      </c>
      <c r="AX96" s="10">
        <f t="shared" ref="AX96" si="205">SUM(AX95:AX95)</f>
        <v>0</v>
      </c>
      <c r="AY96" s="10">
        <f t="shared" ref="AY96" si="206">SUM(AY95:AY95)</f>
        <v>0</v>
      </c>
      <c r="AZ96" s="10">
        <f t="shared" ref="AZ96:BK96" si="207">SUM(AZ95)</f>
        <v>0</v>
      </c>
      <c r="BA96" s="10">
        <f t="shared" si="207"/>
        <v>0</v>
      </c>
      <c r="BB96" s="10">
        <f t="shared" si="207"/>
        <v>0</v>
      </c>
      <c r="BC96" s="10">
        <f t="shared" si="207"/>
        <v>0</v>
      </c>
      <c r="BD96" s="10">
        <f t="shared" si="207"/>
        <v>0</v>
      </c>
      <c r="BE96" s="10">
        <f t="shared" si="207"/>
        <v>0</v>
      </c>
      <c r="BF96" s="10">
        <f t="shared" si="207"/>
        <v>0</v>
      </c>
      <c r="BG96" s="10">
        <f t="shared" si="207"/>
        <v>0</v>
      </c>
      <c r="BH96" s="10">
        <f t="shared" si="207"/>
        <v>0</v>
      </c>
      <c r="BI96" s="10">
        <f t="shared" si="207"/>
        <v>0</v>
      </c>
      <c r="BJ96" s="10">
        <f t="shared" si="207"/>
        <v>0</v>
      </c>
      <c r="BK96" s="10">
        <f t="shared" si="207"/>
        <v>0</v>
      </c>
      <c r="BO96" s="23">
        <f>SUM(BO95)</f>
        <v>223.51745822303769</v>
      </c>
      <c r="BP96" s="23">
        <f t="shared" ref="BP96:BT96" si="208">SUM(BP95)</f>
        <v>0</v>
      </c>
      <c r="BQ96" s="23">
        <f t="shared" si="208"/>
        <v>12.819702593431515</v>
      </c>
      <c r="BR96" s="23">
        <f t="shared" si="208"/>
        <v>51.339999525584759</v>
      </c>
      <c r="BS96" s="23">
        <f t="shared" si="208"/>
        <v>0</v>
      </c>
      <c r="BT96" s="23">
        <f t="shared" si="208"/>
        <v>0</v>
      </c>
    </row>
    <row r="98" spans="3:72" x14ac:dyDescent="0.25">
      <c r="C98" s="3" t="s">
        <v>84</v>
      </c>
      <c r="D98" s="10">
        <f t="shared" ref="D98:BK98" si="209">D60+D83+D89+D93+D96</f>
        <v>5665.3302993081224</v>
      </c>
      <c r="E98" s="10">
        <f t="shared" si="209"/>
        <v>3347.2311905775618</v>
      </c>
      <c r="F98" s="10">
        <f t="shared" si="209"/>
        <v>5572.577172109548</v>
      </c>
      <c r="G98" s="10">
        <f t="shared" si="209"/>
        <v>4808.1619671549861</v>
      </c>
      <c r="H98" s="10">
        <f t="shared" si="209"/>
        <v>5997.457336538052</v>
      </c>
      <c r="I98" s="10">
        <f t="shared" si="209"/>
        <v>8200.7154082542365</v>
      </c>
      <c r="J98" s="10">
        <f t="shared" si="209"/>
        <v>5703.4664319194326</v>
      </c>
      <c r="K98" s="10">
        <f t="shared" si="209"/>
        <v>5804.9368683791499</v>
      </c>
      <c r="L98" s="10">
        <f t="shared" si="209"/>
        <v>4710.8095511651118</v>
      </c>
      <c r="M98" s="10">
        <f t="shared" si="209"/>
        <v>6204.5160647021676</v>
      </c>
      <c r="N98" s="10">
        <f t="shared" si="209"/>
        <v>4851.6246457277903</v>
      </c>
      <c r="O98" s="10">
        <f t="shared" si="209"/>
        <v>6054.6906290504239</v>
      </c>
      <c r="P98" s="10">
        <f t="shared" si="209"/>
        <v>6676.4463905304319</v>
      </c>
      <c r="Q98" s="10">
        <f t="shared" si="209"/>
        <v>4161.1489965422434</v>
      </c>
      <c r="R98" s="10">
        <f t="shared" si="209"/>
        <v>4438.8890371254311</v>
      </c>
      <c r="S98" s="10">
        <f t="shared" si="209"/>
        <v>2767.4674464470868</v>
      </c>
      <c r="T98" s="10">
        <f t="shared" si="209"/>
        <v>5206.8157004990635</v>
      </c>
      <c r="U98" s="10">
        <f t="shared" si="209"/>
        <v>3195.7211656346003</v>
      </c>
      <c r="V98" s="10">
        <f t="shared" si="209"/>
        <v>2430.2563168214351</v>
      </c>
      <c r="W98" s="10">
        <f t="shared" si="209"/>
        <v>3388.8586405499204</v>
      </c>
      <c r="X98" s="10">
        <f t="shared" si="209"/>
        <v>4117.558914170816</v>
      </c>
      <c r="Y98" s="10">
        <f t="shared" si="209"/>
        <v>5360.1349918537635</v>
      </c>
      <c r="Z98" s="10">
        <f t="shared" si="209"/>
        <v>6250.308144075937</v>
      </c>
      <c r="AA98" s="10">
        <f t="shared" si="209"/>
        <v>5666.7824284703056</v>
      </c>
      <c r="AB98" s="10">
        <f t="shared" si="209"/>
        <v>3066.5286051632174</v>
      </c>
      <c r="AC98" s="10">
        <f t="shared" si="209"/>
        <v>3059.4462268074803</v>
      </c>
      <c r="AD98" s="10">
        <f t="shared" si="209"/>
        <v>5132.9039299886554</v>
      </c>
      <c r="AE98" s="10">
        <f t="shared" si="209"/>
        <v>1649.9716915170643</v>
      </c>
      <c r="AF98" s="10">
        <f t="shared" si="209"/>
        <v>6276.1058668252617</v>
      </c>
      <c r="AG98" s="10">
        <f t="shared" si="209"/>
        <v>3198.9432770044855</v>
      </c>
      <c r="AH98" s="10">
        <f t="shared" si="209"/>
        <v>5205.2792742796491</v>
      </c>
      <c r="AI98" s="10">
        <f t="shared" si="209"/>
        <v>3524.8849234696622</v>
      </c>
      <c r="AJ98" s="10">
        <f t="shared" si="209"/>
        <v>2608.2796136455777</v>
      </c>
      <c r="AK98" s="10">
        <f t="shared" si="209"/>
        <v>3318.0425757638291</v>
      </c>
      <c r="AL98" s="10">
        <f t="shared" si="209"/>
        <v>4295.3901104602328</v>
      </c>
      <c r="AM98" s="10">
        <f t="shared" si="209"/>
        <v>4147.1408542216932</v>
      </c>
      <c r="AN98" s="10">
        <f t="shared" si="209"/>
        <v>3976.8093560457546</v>
      </c>
      <c r="AO98" s="10">
        <f t="shared" si="209"/>
        <v>2233.2716178715336</v>
      </c>
      <c r="AP98" s="10">
        <f t="shared" si="209"/>
        <v>4780.9101096684963</v>
      </c>
      <c r="AQ98" s="10">
        <f t="shared" si="209"/>
        <v>2560.633380313137</v>
      </c>
      <c r="AR98" s="10">
        <f t="shared" si="209"/>
        <v>6780.5793830264056</v>
      </c>
      <c r="AS98" s="10">
        <f t="shared" si="209"/>
        <v>1414.4963453970729</v>
      </c>
      <c r="AT98" s="10">
        <f t="shared" si="209"/>
        <v>0</v>
      </c>
      <c r="AU98" s="10">
        <f t="shared" si="209"/>
        <v>0</v>
      </c>
      <c r="AV98" s="10">
        <f t="shared" si="209"/>
        <v>0</v>
      </c>
      <c r="AW98" s="10">
        <f t="shared" si="209"/>
        <v>0</v>
      </c>
      <c r="AX98" s="10">
        <f t="shared" si="209"/>
        <v>0</v>
      </c>
      <c r="AY98" s="10">
        <f t="shared" si="209"/>
        <v>0</v>
      </c>
      <c r="AZ98" s="10">
        <f t="shared" si="209"/>
        <v>4576.2012531935598</v>
      </c>
      <c r="BA98" s="10">
        <f t="shared" si="209"/>
        <v>148.68986797530783</v>
      </c>
      <c r="BB98" s="10">
        <f t="shared" si="209"/>
        <v>3041.5680285742847</v>
      </c>
      <c r="BC98" s="10">
        <f t="shared" si="209"/>
        <v>3612.6799573781923</v>
      </c>
      <c r="BD98" s="10">
        <f t="shared" si="209"/>
        <v>5265.0238094080678</v>
      </c>
      <c r="BE98" s="10">
        <f t="shared" si="209"/>
        <v>3821.0714763295096</v>
      </c>
      <c r="BF98" s="10">
        <f t="shared" si="209"/>
        <v>4426.4534858668376</v>
      </c>
      <c r="BG98" s="10">
        <f t="shared" si="209"/>
        <v>4117.7168342188834</v>
      </c>
      <c r="BH98" s="10">
        <f t="shared" si="209"/>
        <v>3717.860885058486</v>
      </c>
      <c r="BI98" s="10">
        <f t="shared" si="209"/>
        <v>5356.6166991839291</v>
      </c>
      <c r="BJ98" s="10">
        <f t="shared" si="209"/>
        <v>5224.4846027981557</v>
      </c>
      <c r="BK98" s="10">
        <f t="shared" si="209"/>
        <v>5782.0528959848998</v>
      </c>
      <c r="BO98" s="23">
        <f>BO60+BO83+BO89+BO93+BO96</f>
        <v>10990.991083585792</v>
      </c>
      <c r="BP98" s="23">
        <f t="shared" ref="BP98:BT98" si="210">BP60+BP83+BP89+BP93+BP96</f>
        <v>7766.4591497431666</v>
      </c>
      <c r="BQ98" s="23">
        <f t="shared" si="210"/>
        <v>6210.0809739172955</v>
      </c>
      <c r="BR98" s="23">
        <f t="shared" si="210"/>
        <v>11258.878761959364</v>
      </c>
      <c r="BS98" s="23">
        <f t="shared" si="210"/>
        <v>15276.484424198108</v>
      </c>
      <c r="BT98" s="23">
        <f t="shared" si="210"/>
        <v>14585.138661995228</v>
      </c>
    </row>
    <row r="102" spans="3:72" s="48" customFormat="1" x14ac:dyDescent="0.25">
      <c r="C102" s="46" t="s">
        <v>110</v>
      </c>
      <c r="D102" s="47">
        <f>D11</f>
        <v>4372158.7683031606</v>
      </c>
      <c r="E102" s="47">
        <f>IFERROR(AVERAGE(D11:E11),0)</f>
        <v>4383507.8833122402</v>
      </c>
      <c r="F102" s="47">
        <f t="shared" ref="F102:BK102" si="211">IFERROR(AVERAGE(E11:F11),0)</f>
        <v>4399165.0735801104</v>
      </c>
      <c r="G102" s="47">
        <f t="shared" si="211"/>
        <v>4409672.3677765746</v>
      </c>
      <c r="H102" s="47">
        <f t="shared" si="211"/>
        <v>4425802.4631767254</v>
      </c>
      <c r="I102" s="47">
        <f t="shared" si="211"/>
        <v>4448668.1452263203</v>
      </c>
      <c r="J102" s="48">
        <f t="shared" si="211"/>
        <v>4465262.4019317804</v>
      </c>
      <c r="K102" s="48">
        <f t="shared" si="211"/>
        <v>4488341.9534057099</v>
      </c>
      <c r="L102" s="48">
        <f t="shared" si="211"/>
        <v>4533515.8095491352</v>
      </c>
      <c r="M102" s="48">
        <f t="shared" si="211"/>
        <v>4583191.5829365142</v>
      </c>
      <c r="N102" s="48">
        <f t="shared" si="211"/>
        <v>4615021.0470106695</v>
      </c>
      <c r="O102" s="48">
        <f t="shared" si="211"/>
        <v>4632125.7348814551</v>
      </c>
      <c r="P102" s="48">
        <f t="shared" si="211"/>
        <v>4653053.8500392158</v>
      </c>
      <c r="Q102" s="48">
        <f t="shared" si="211"/>
        <v>4685657.4349033004</v>
      </c>
      <c r="R102" s="48">
        <f t="shared" si="211"/>
        <v>4723167.0971143898</v>
      </c>
      <c r="S102" s="48">
        <f t="shared" si="211"/>
        <v>4753405.5185566898</v>
      </c>
      <c r="T102" s="48">
        <f t="shared" si="211"/>
        <v>4779924.4410427604</v>
      </c>
      <c r="U102" s="48">
        <f t="shared" si="211"/>
        <v>4810126.6498349654</v>
      </c>
      <c r="V102" s="48">
        <f t="shared" si="211"/>
        <v>4848002.4621167062</v>
      </c>
      <c r="W102" s="47">
        <f t="shared" si="211"/>
        <v>4894980.2227897607</v>
      </c>
      <c r="X102" s="47">
        <f t="shared" si="211"/>
        <v>4949555.8719778601</v>
      </c>
      <c r="Y102" s="47">
        <f t="shared" si="211"/>
        <v>5002092.489297579</v>
      </c>
      <c r="Z102" s="47">
        <f t="shared" si="211"/>
        <v>5040233.1006920896</v>
      </c>
      <c r="AA102" s="47">
        <f t="shared" si="211"/>
        <v>5074249.2253234517</v>
      </c>
      <c r="AB102" s="47">
        <f t="shared" si="211"/>
        <v>5101229.4180832207</v>
      </c>
      <c r="AC102" s="48">
        <f t="shared" si="211"/>
        <v>5116479.0311286952</v>
      </c>
      <c r="AD102" s="48">
        <f t="shared" si="211"/>
        <v>5123240.9454089757</v>
      </c>
      <c r="AE102" s="48">
        <f t="shared" si="211"/>
        <v>5134736.8504456608</v>
      </c>
      <c r="AF102" s="48">
        <f t="shared" si="211"/>
        <v>5154461.8383579198</v>
      </c>
      <c r="AG102" s="48">
        <f t="shared" si="211"/>
        <v>5187621.2243788503</v>
      </c>
      <c r="AH102" s="48">
        <f t="shared" si="211"/>
        <v>5223480.4062635805</v>
      </c>
      <c r="AI102" s="48">
        <f t="shared" si="211"/>
        <v>5248240.4659371749</v>
      </c>
      <c r="AJ102" s="48">
        <f t="shared" si="211"/>
        <v>5281495.6113310251</v>
      </c>
      <c r="AK102" s="48">
        <f t="shared" si="211"/>
        <v>5309760.1453963006</v>
      </c>
      <c r="AL102" s="48">
        <f t="shared" si="211"/>
        <v>5332375.8753028307</v>
      </c>
      <c r="AM102" s="48">
        <f t="shared" si="211"/>
        <v>5346006.4579007849</v>
      </c>
      <c r="AN102" s="48">
        <f t="shared" si="211"/>
        <v>5339288.1613014545</v>
      </c>
      <c r="AO102" s="48">
        <f t="shared" si="211"/>
        <v>5330339.82</v>
      </c>
      <c r="AP102" s="48">
        <f t="shared" si="211"/>
        <v>5327591.1150000002</v>
      </c>
      <c r="AQ102" s="48">
        <f t="shared" si="211"/>
        <v>5320905.1832968043</v>
      </c>
      <c r="AR102" s="48">
        <f t="shared" si="211"/>
        <v>5314955.3212422347</v>
      </c>
      <c r="AS102" s="48">
        <f t="shared" si="211"/>
        <v>5312961.8390088808</v>
      </c>
      <c r="AT102" s="48">
        <f t="shared" si="211"/>
        <v>2656168.5310634505</v>
      </c>
      <c r="AU102" s="48">
        <f t="shared" si="211"/>
        <v>0</v>
      </c>
      <c r="AV102" s="48">
        <f t="shared" si="211"/>
        <v>0</v>
      </c>
      <c r="AW102" s="48">
        <f t="shared" si="211"/>
        <v>0</v>
      </c>
      <c r="AX102" s="48">
        <f t="shared" si="211"/>
        <v>0</v>
      </c>
      <c r="AY102" s="48">
        <f t="shared" si="211"/>
        <v>0</v>
      </c>
      <c r="AZ102" s="48">
        <f>AZ11</f>
        <v>5359663.8987051249</v>
      </c>
      <c r="BA102" s="48">
        <f t="shared" si="211"/>
        <v>5369222.6912253797</v>
      </c>
      <c r="BB102" s="48">
        <f t="shared" si="211"/>
        <v>5377713.9972296655</v>
      </c>
      <c r="BC102" s="48">
        <f t="shared" si="211"/>
        <v>5382165.9935240801</v>
      </c>
      <c r="BD102" s="48">
        <f t="shared" si="211"/>
        <v>5395914.2566078939</v>
      </c>
      <c r="BE102" s="48">
        <f t="shared" si="211"/>
        <v>5419845.7867871001</v>
      </c>
      <c r="BF102" s="48">
        <f t="shared" si="211"/>
        <v>5446434.5035843188</v>
      </c>
      <c r="BG102" s="48">
        <f t="shared" si="211"/>
        <v>5478880.2949094819</v>
      </c>
      <c r="BH102" s="48">
        <f t="shared" si="211"/>
        <v>5518270.8807800096</v>
      </c>
      <c r="BI102" s="48">
        <f t="shared" si="211"/>
        <v>5555856.5737090781</v>
      </c>
      <c r="BJ102" s="48">
        <f t="shared" si="211"/>
        <v>5592762.0015412644</v>
      </c>
      <c r="BK102" s="48">
        <f t="shared" si="211"/>
        <v>5623330.0668238821</v>
      </c>
      <c r="BO102" s="48">
        <f>IFERROR(AVERAGEIFS($D11:$BM11,$D$6:$BM$6,"&gt;="&amp;EOMONTH(BO$2,-1),$D$6:$BM$6,"&lt;="&amp;BO$6,$D$5:$BM$5,BO$5,$D11:$BM11,"&lt;&gt;0"),0)</f>
        <v>5333439.6381507274</v>
      </c>
      <c r="BP102" s="48">
        <f>IFERROR(AVERAGEIFS($D11:$BM11,$D$6:$BM$6,"&gt;="&amp;EOMONTH(BP$2,-1),$D$6:$BM$6,"&lt;="&amp;BP$6,$D$5:$BM$5,BP$5,$D11:$BM11,"&lt;&gt;0"),0)</f>
        <v>5371697.2977214856</v>
      </c>
      <c r="BQ102" s="48">
        <f>IFERROR(AVERAGEIFS($D11:$BM11,$D$6:$BM$6,"&gt;="&amp;EOMONTH(BQ$2,-1),$D$6:$BM$6,"&lt;="&amp;BQ$6,$D$5:$BM$5,BQ$5,$D11:$BM11,"&lt;&gt;0"),0)</f>
        <v>5336090.7375343032</v>
      </c>
      <c r="BR102" s="48">
        <f>IFERROR(AVERAGEIFS($D11:$BM11,$D$6:$BM$6,"&gt;="&amp;EOMONTH(BR$2,-1),$D$6:$BM$6,"&lt;="&amp;BR$6,$D$5:$BM$5,BR$5,$D11:$BM11,"&lt;&gt;0"),0)</f>
        <v>5112235.1817460982</v>
      </c>
      <c r="BS102" s="48">
        <f t="shared" ref="BS102:BT102" si="212">IFERROR(AVERAGEIFS($D11:$BM11,$D$6:$BM$6,"&gt;="&amp;EOMONTH(BS$2,-1),$D$6:$BM$6,"&lt;="&amp;BS$6,$D$5:$BM$5,BS$5,$D11:$BM11,"&lt;&gt;0"),0)</f>
        <v>4688110.4735768028</v>
      </c>
      <c r="BT102" s="48">
        <f t="shared" si="212"/>
        <v>4390162.9718211265</v>
      </c>
    </row>
    <row r="104" spans="3:72" x14ac:dyDescent="0.25">
      <c r="BO104" s="20"/>
      <c r="BP104" s="20"/>
      <c r="BQ104" s="20"/>
      <c r="BR104" s="20"/>
      <c r="BS104" s="20"/>
      <c r="BT104" s="20"/>
    </row>
  </sheetData>
  <mergeCells count="4">
    <mergeCell ref="BO1:BT1"/>
    <mergeCell ref="BW1:CB1"/>
    <mergeCell ref="D1:AY1"/>
    <mergeCell ref="AZ1:B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C6B6B-0E44-42FD-8A23-90D2AA7C2385}">
  <dimension ref="A1:CC102"/>
  <sheetViews>
    <sheetView showGridLines="0" zoomScale="80" zoomScaleNormal="80" workbookViewId="0">
      <pane xSplit="3" ySplit="6" topLeftCell="O7" activePane="bottomRight" state="frozen"/>
      <selection activeCell="D4" sqref="D4"/>
      <selection pane="topRight" activeCell="D4" sqref="D4"/>
      <selection pane="bottomLeft" activeCell="D4" sqref="D4"/>
      <selection pane="bottomRight" activeCell="AP2" sqref="AP1:AS1048576"/>
    </sheetView>
  </sheetViews>
  <sheetFormatPr baseColWidth="10" defaultRowHeight="15" outlineLevelRow="1" outlineLevelCol="1" x14ac:dyDescent="0.25"/>
  <cols>
    <col min="1" max="1" width="7.140625" customWidth="1"/>
    <col min="2" max="2" width="6.28515625" customWidth="1"/>
    <col min="3" max="3" width="22.85546875" bestFit="1" customWidth="1"/>
    <col min="4" max="14" width="11.28515625" hidden="1" customWidth="1" outlineLevel="1"/>
    <col min="15" max="15" width="11.28515625" bestFit="1" customWidth="1" collapsed="1"/>
    <col min="16" max="26" width="11.28515625" hidden="1" customWidth="1" outlineLevel="1"/>
    <col min="27" max="27" width="11.28515625" bestFit="1" customWidth="1" collapsed="1"/>
    <col min="28" max="38" width="11.28515625" hidden="1" customWidth="1" outlineLevel="1"/>
    <col min="39" max="39" width="11.28515625" bestFit="1" customWidth="1" collapsed="1"/>
    <col min="40" max="40" width="11.28515625" bestFit="1" customWidth="1"/>
    <col min="41" max="41" width="12.28515625" bestFit="1" customWidth="1"/>
    <col min="42" max="42" width="11.28515625" bestFit="1" customWidth="1"/>
    <col min="43" max="45" width="12.28515625" bestFit="1" customWidth="1"/>
    <col min="46" max="51" width="10.5703125" customWidth="1"/>
    <col min="52" max="56" width="12.28515625" bestFit="1" customWidth="1"/>
    <col min="57" max="57" width="11.28515625" bestFit="1" customWidth="1"/>
    <col min="58" max="63" width="12.28515625" bestFit="1" customWidth="1"/>
    <col min="77" max="77" width="11.28515625" bestFit="1" customWidth="1"/>
  </cols>
  <sheetData>
    <row r="1" spans="1:81" ht="15.75" x14ac:dyDescent="0.25">
      <c r="D1" s="66" t="s">
        <v>92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7" t="s">
        <v>93</v>
      </c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O1" s="68" t="s">
        <v>90</v>
      </c>
      <c r="BP1" s="68"/>
      <c r="BQ1" s="68"/>
      <c r="BR1" s="68"/>
      <c r="BS1" s="68"/>
      <c r="BT1" s="68"/>
      <c r="BW1" s="68" t="s">
        <v>91</v>
      </c>
      <c r="BX1" s="68"/>
      <c r="BY1" s="68"/>
      <c r="BZ1" s="68"/>
      <c r="CA1" s="68"/>
      <c r="CB1" s="68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5">
        <f t="shared" ref="BO2:BT2" si="0">DATE(YEAR(BO6),1,1)</f>
        <v>46023</v>
      </c>
      <c r="BP2" s="25">
        <f t="shared" si="0"/>
        <v>46023</v>
      </c>
      <c r="BQ2" s="25">
        <f t="shared" si="0"/>
        <v>46023</v>
      </c>
      <c r="BR2" s="25">
        <f t="shared" si="0"/>
        <v>45658</v>
      </c>
      <c r="BS2" s="25">
        <f t="shared" si="0"/>
        <v>45292</v>
      </c>
      <c r="BT2" s="25">
        <f t="shared" si="0"/>
        <v>44927</v>
      </c>
    </row>
    <row r="3" spans="1:81" x14ac:dyDescent="0.25">
      <c r="C3" s="13" t="s">
        <v>61</v>
      </c>
      <c r="D3" s="12">
        <f>DAY(D6)</f>
        <v>31</v>
      </c>
      <c r="E3" s="12">
        <f t="shared" ref="E3:BK3" si="1">DAY(E6)</f>
        <v>28</v>
      </c>
      <c r="F3" s="12">
        <f t="shared" si="1"/>
        <v>31</v>
      </c>
      <c r="G3" s="12">
        <f t="shared" si="1"/>
        <v>30</v>
      </c>
      <c r="H3" s="12">
        <f t="shared" si="1"/>
        <v>31</v>
      </c>
      <c r="I3" s="12">
        <f t="shared" si="1"/>
        <v>30</v>
      </c>
      <c r="J3" s="12">
        <f t="shared" si="1"/>
        <v>31</v>
      </c>
      <c r="K3" s="12">
        <f t="shared" si="1"/>
        <v>31</v>
      </c>
      <c r="L3" s="12">
        <f t="shared" si="1"/>
        <v>30</v>
      </c>
      <c r="M3" s="12">
        <f t="shared" si="1"/>
        <v>31</v>
      </c>
      <c r="N3" s="12">
        <f t="shared" si="1"/>
        <v>30</v>
      </c>
      <c r="O3" s="12">
        <f t="shared" si="1"/>
        <v>31</v>
      </c>
      <c r="P3" s="12">
        <f t="shared" si="1"/>
        <v>31</v>
      </c>
      <c r="Q3" s="12">
        <f t="shared" si="1"/>
        <v>29</v>
      </c>
      <c r="R3" s="12">
        <f t="shared" si="1"/>
        <v>31</v>
      </c>
      <c r="S3" s="12">
        <f t="shared" si="1"/>
        <v>30</v>
      </c>
      <c r="T3" s="12">
        <f t="shared" si="1"/>
        <v>31</v>
      </c>
      <c r="U3" s="12">
        <f t="shared" si="1"/>
        <v>30</v>
      </c>
      <c r="V3" s="12">
        <f t="shared" si="1"/>
        <v>31</v>
      </c>
      <c r="W3" s="12">
        <f t="shared" si="1"/>
        <v>31</v>
      </c>
      <c r="X3" s="12">
        <f t="shared" si="1"/>
        <v>30</v>
      </c>
      <c r="Y3" s="12">
        <f t="shared" si="1"/>
        <v>31</v>
      </c>
      <c r="Z3" s="12">
        <f t="shared" si="1"/>
        <v>30</v>
      </c>
      <c r="AA3" s="12">
        <f t="shared" si="1"/>
        <v>31</v>
      </c>
      <c r="AB3" s="12">
        <f t="shared" si="1"/>
        <v>31</v>
      </c>
      <c r="AC3" s="12">
        <f t="shared" si="1"/>
        <v>28</v>
      </c>
      <c r="AD3" s="12">
        <f t="shared" si="1"/>
        <v>31</v>
      </c>
      <c r="AE3" s="12">
        <f t="shared" si="1"/>
        <v>30</v>
      </c>
      <c r="AF3" s="12">
        <f t="shared" si="1"/>
        <v>31</v>
      </c>
      <c r="AG3" s="12">
        <f t="shared" si="1"/>
        <v>30</v>
      </c>
      <c r="AH3" s="12">
        <f t="shared" si="1"/>
        <v>31</v>
      </c>
      <c r="AI3" s="12">
        <f t="shared" si="1"/>
        <v>31</v>
      </c>
      <c r="AJ3" s="12">
        <f t="shared" si="1"/>
        <v>30</v>
      </c>
      <c r="AK3" s="12">
        <f t="shared" si="1"/>
        <v>31</v>
      </c>
      <c r="AL3" s="12">
        <f t="shared" si="1"/>
        <v>30</v>
      </c>
      <c r="AM3" s="12">
        <f t="shared" si="1"/>
        <v>31</v>
      </c>
      <c r="AN3" s="12">
        <f t="shared" si="1"/>
        <v>31</v>
      </c>
      <c r="AO3" s="12">
        <f t="shared" si="1"/>
        <v>28</v>
      </c>
      <c r="AP3" s="12">
        <f t="shared" si="1"/>
        <v>31</v>
      </c>
      <c r="AQ3" s="12">
        <f t="shared" si="1"/>
        <v>30</v>
      </c>
      <c r="AR3" s="12">
        <f t="shared" si="1"/>
        <v>31</v>
      </c>
      <c r="AS3" s="12">
        <f t="shared" si="1"/>
        <v>30</v>
      </c>
      <c r="AT3" s="12">
        <f t="shared" si="1"/>
        <v>31</v>
      </c>
      <c r="AU3" s="12">
        <f t="shared" si="1"/>
        <v>31</v>
      </c>
      <c r="AV3" s="12">
        <f t="shared" si="1"/>
        <v>30</v>
      </c>
      <c r="AW3" s="12">
        <f t="shared" si="1"/>
        <v>31</v>
      </c>
      <c r="AX3" s="12">
        <f t="shared" si="1"/>
        <v>30</v>
      </c>
      <c r="AY3" s="12">
        <f t="shared" si="1"/>
        <v>31</v>
      </c>
      <c r="AZ3" s="12">
        <f t="shared" si="1"/>
        <v>31</v>
      </c>
      <c r="BA3" s="12">
        <f t="shared" si="1"/>
        <v>28</v>
      </c>
      <c r="BB3" s="12">
        <f t="shared" si="1"/>
        <v>31</v>
      </c>
      <c r="BC3" s="12">
        <f t="shared" si="1"/>
        <v>30</v>
      </c>
      <c r="BD3" s="12">
        <f t="shared" si="1"/>
        <v>31</v>
      </c>
      <c r="BE3" s="12">
        <f t="shared" si="1"/>
        <v>30</v>
      </c>
      <c r="BF3" s="12">
        <f t="shared" si="1"/>
        <v>31</v>
      </c>
      <c r="BG3" s="12">
        <f t="shared" si="1"/>
        <v>31</v>
      </c>
      <c r="BH3" s="12">
        <f t="shared" si="1"/>
        <v>30</v>
      </c>
      <c r="BI3" s="12">
        <f t="shared" si="1"/>
        <v>31</v>
      </c>
      <c r="BJ3" s="12">
        <f t="shared" si="1"/>
        <v>30</v>
      </c>
      <c r="BK3" s="12">
        <f t="shared" si="1"/>
        <v>31</v>
      </c>
      <c r="BO3" s="12">
        <f>AVERAGEIFS($D3:$BM3,$D$6:$BM$6,"&gt;="&amp;BO$2,$D$6:$BM$6,"&lt;="&amp;BO$6,$D$5:$BM$5,BO$5)</f>
        <v>30</v>
      </c>
      <c r="BP3" s="12">
        <f t="shared" ref="BP3:BT4" si="2">AVERAGEIFS($D3:$BM3,$D$6:$BM$6,"&gt;="&amp;BP$2,$D$6:$BM$6,"&lt;="&amp;BP$6,$D$5:$BM$5,BP$5)</f>
        <v>30</v>
      </c>
      <c r="BQ3" s="12">
        <f t="shared" si="2"/>
        <v>29.5</v>
      </c>
      <c r="BR3" s="12">
        <f t="shared" si="2"/>
        <v>30</v>
      </c>
      <c r="BS3" s="12">
        <f t="shared" si="2"/>
        <v>30.333333333333332</v>
      </c>
      <c r="BT3" s="12">
        <f t="shared" si="2"/>
        <v>30</v>
      </c>
    </row>
    <row r="4" spans="1:81" x14ac:dyDescent="0.25">
      <c r="C4" s="13" t="s">
        <v>62</v>
      </c>
      <c r="D4" s="12">
        <v>30</v>
      </c>
      <c r="E4" s="12">
        <v>30</v>
      </c>
      <c r="F4" s="12">
        <v>30</v>
      </c>
      <c r="G4" s="12">
        <v>30</v>
      </c>
      <c r="H4" s="12">
        <v>30</v>
      </c>
      <c r="I4" s="12">
        <v>30</v>
      </c>
      <c r="J4" s="12">
        <v>30</v>
      </c>
      <c r="K4" s="12">
        <v>30</v>
      </c>
      <c r="L4" s="12">
        <v>30</v>
      </c>
      <c r="M4" s="12">
        <v>30</v>
      </c>
      <c r="N4" s="12">
        <v>30</v>
      </c>
      <c r="O4" s="12">
        <v>30</v>
      </c>
      <c r="P4" s="12">
        <v>30</v>
      </c>
      <c r="Q4" s="12">
        <v>30</v>
      </c>
      <c r="R4" s="12">
        <v>30</v>
      </c>
      <c r="S4" s="12">
        <v>30</v>
      </c>
      <c r="T4" s="12">
        <v>30</v>
      </c>
      <c r="U4" s="12">
        <v>30</v>
      </c>
      <c r="V4" s="12">
        <v>30</v>
      </c>
      <c r="W4" s="12">
        <v>30</v>
      </c>
      <c r="X4" s="12">
        <v>30</v>
      </c>
      <c r="Y4" s="12">
        <v>30</v>
      </c>
      <c r="Z4" s="12">
        <v>30</v>
      </c>
      <c r="AA4" s="12">
        <v>30</v>
      </c>
      <c r="AB4" s="12">
        <v>30</v>
      </c>
      <c r="AC4" s="12">
        <v>30</v>
      </c>
      <c r="AD4" s="12">
        <v>30</v>
      </c>
      <c r="AE4" s="12">
        <v>30</v>
      </c>
      <c r="AF4" s="12">
        <v>30</v>
      </c>
      <c r="AG4" s="12">
        <v>30</v>
      </c>
      <c r="AH4" s="12">
        <v>30</v>
      </c>
      <c r="AI4" s="12">
        <v>30</v>
      </c>
      <c r="AJ4" s="12">
        <v>30</v>
      </c>
      <c r="AK4" s="12">
        <v>30</v>
      </c>
      <c r="AL4" s="12">
        <v>30</v>
      </c>
      <c r="AM4" s="12">
        <v>30</v>
      </c>
      <c r="AN4" s="12">
        <v>30</v>
      </c>
      <c r="AO4" s="12">
        <v>30</v>
      </c>
      <c r="AP4" s="12">
        <v>30</v>
      </c>
      <c r="AQ4" s="12">
        <v>30</v>
      </c>
      <c r="AR4" s="12">
        <v>30</v>
      </c>
      <c r="AS4" s="12">
        <v>30</v>
      </c>
      <c r="AT4" s="12">
        <v>30</v>
      </c>
      <c r="AU4" s="12">
        <v>30</v>
      </c>
      <c r="AV4" s="12">
        <v>30</v>
      </c>
      <c r="AW4" s="12">
        <v>30</v>
      </c>
      <c r="AX4" s="12">
        <v>30</v>
      </c>
      <c r="AY4" s="12">
        <v>30</v>
      </c>
      <c r="AZ4" s="12">
        <v>30</v>
      </c>
      <c r="BA4" s="12">
        <v>30</v>
      </c>
      <c r="BB4" s="12">
        <v>30</v>
      </c>
      <c r="BC4" s="12">
        <v>30</v>
      </c>
      <c r="BD4" s="12">
        <v>30</v>
      </c>
      <c r="BE4" s="12">
        <v>30</v>
      </c>
      <c r="BF4" s="12">
        <v>30</v>
      </c>
      <c r="BG4" s="12">
        <v>30</v>
      </c>
      <c r="BH4" s="12">
        <v>30</v>
      </c>
      <c r="BI4" s="12">
        <v>30</v>
      </c>
      <c r="BJ4" s="12">
        <v>30</v>
      </c>
      <c r="BK4" s="12">
        <v>30</v>
      </c>
      <c r="BO4" s="27">
        <f>AVERAGEIFS($D4:$BM4,$D$6:$BM$6,"&gt;="&amp;BO$2,$D$6:$BM$6,"&lt;="&amp;BO$6,$D$5:$BM$5,BO$5)</f>
        <v>30</v>
      </c>
      <c r="BP4" s="27">
        <f t="shared" si="2"/>
        <v>30</v>
      </c>
      <c r="BQ4" s="27">
        <f t="shared" si="2"/>
        <v>30</v>
      </c>
      <c r="BR4" s="27">
        <f t="shared" si="2"/>
        <v>30</v>
      </c>
      <c r="BS4" s="27">
        <f t="shared" si="2"/>
        <v>30</v>
      </c>
      <c r="BT4" s="27">
        <f t="shared" si="2"/>
        <v>30</v>
      </c>
    </row>
    <row r="5" spans="1:81" ht="15.75" thickBot="1" x14ac:dyDescent="0.3">
      <c r="C5" s="13" t="s">
        <v>86</v>
      </c>
      <c r="D5" s="12" t="s">
        <v>87</v>
      </c>
      <c r="E5" s="12" t="s">
        <v>87</v>
      </c>
      <c r="F5" s="12" t="s">
        <v>87</v>
      </c>
      <c r="G5" s="12" t="s">
        <v>87</v>
      </c>
      <c r="H5" s="12" t="s">
        <v>87</v>
      </c>
      <c r="I5" s="12" t="s">
        <v>87</v>
      </c>
      <c r="J5" s="12" t="s">
        <v>87</v>
      </c>
      <c r="K5" s="12" t="s">
        <v>87</v>
      </c>
      <c r="L5" s="12" t="s">
        <v>87</v>
      </c>
      <c r="M5" s="12" t="s">
        <v>87</v>
      </c>
      <c r="N5" s="12" t="s">
        <v>87</v>
      </c>
      <c r="O5" s="12" t="s">
        <v>87</v>
      </c>
      <c r="P5" s="12" t="s">
        <v>87</v>
      </c>
      <c r="Q5" s="12" t="s">
        <v>87</v>
      </c>
      <c r="R5" s="12" t="s">
        <v>87</v>
      </c>
      <c r="S5" s="12" t="s">
        <v>87</v>
      </c>
      <c r="T5" s="12" t="s">
        <v>87</v>
      </c>
      <c r="U5" s="12" t="s">
        <v>87</v>
      </c>
      <c r="V5" s="12" t="s">
        <v>87</v>
      </c>
      <c r="W5" s="12" t="s">
        <v>87</v>
      </c>
      <c r="X5" s="12" t="s">
        <v>87</v>
      </c>
      <c r="Y5" s="12" t="s">
        <v>87</v>
      </c>
      <c r="Z5" s="12" t="s">
        <v>87</v>
      </c>
      <c r="AA5" s="12" t="s">
        <v>87</v>
      </c>
      <c r="AB5" s="12" t="s">
        <v>87</v>
      </c>
      <c r="AC5" s="12" t="s">
        <v>87</v>
      </c>
      <c r="AD5" s="12" t="s">
        <v>87</v>
      </c>
      <c r="AE5" s="12" t="s">
        <v>87</v>
      </c>
      <c r="AF5" s="12" t="s">
        <v>87</v>
      </c>
      <c r="AG5" s="12" t="s">
        <v>87</v>
      </c>
      <c r="AH5" s="12" t="s">
        <v>87</v>
      </c>
      <c r="AI5" s="12" t="s">
        <v>87</v>
      </c>
      <c r="AJ5" s="12" t="s">
        <v>87</v>
      </c>
      <c r="AK5" s="12" t="s">
        <v>87</v>
      </c>
      <c r="AL5" s="12" t="s">
        <v>87</v>
      </c>
      <c r="AM5" s="12" t="s">
        <v>87</v>
      </c>
      <c r="AN5" s="12" t="s">
        <v>87</v>
      </c>
      <c r="AO5" s="12" t="s">
        <v>87</v>
      </c>
      <c r="AP5" s="12" t="s">
        <v>87</v>
      </c>
      <c r="AQ5" s="12" t="s">
        <v>87</v>
      </c>
      <c r="AR5" s="12" t="s">
        <v>87</v>
      </c>
      <c r="AS5" s="12" t="s">
        <v>87</v>
      </c>
      <c r="AT5" s="12" t="s">
        <v>87</v>
      </c>
      <c r="AU5" s="12" t="s">
        <v>87</v>
      </c>
      <c r="AV5" s="12" t="s">
        <v>87</v>
      </c>
      <c r="AW5" s="12" t="s">
        <v>87</v>
      </c>
      <c r="AX5" s="12" t="s">
        <v>87</v>
      </c>
      <c r="AY5" s="12" t="s">
        <v>87</v>
      </c>
      <c r="AZ5" s="12" t="s">
        <v>88</v>
      </c>
      <c r="BA5" s="12" t="s">
        <v>88</v>
      </c>
      <c r="BB5" s="12" t="s">
        <v>88</v>
      </c>
      <c r="BC5" s="12" t="s">
        <v>88</v>
      </c>
      <c r="BD5" s="12" t="s">
        <v>88</v>
      </c>
      <c r="BE5" s="12" t="s">
        <v>88</v>
      </c>
      <c r="BF5" s="12" t="s">
        <v>88</v>
      </c>
      <c r="BG5" s="12" t="s">
        <v>88</v>
      </c>
      <c r="BH5" s="12" t="s">
        <v>88</v>
      </c>
      <c r="BI5" s="12" t="s">
        <v>88</v>
      </c>
      <c r="BJ5" s="12" t="s">
        <v>88</v>
      </c>
      <c r="BK5" s="12" t="s">
        <v>88</v>
      </c>
      <c r="BO5" s="12" t="s">
        <v>87</v>
      </c>
      <c r="BP5" s="12" t="s">
        <v>88</v>
      </c>
      <c r="BQ5" s="12" t="s">
        <v>87</v>
      </c>
      <c r="BR5" s="12" t="s">
        <v>87</v>
      </c>
      <c r="BS5" s="12" t="s">
        <v>87</v>
      </c>
      <c r="BT5" s="12" t="s">
        <v>87</v>
      </c>
    </row>
    <row r="6" spans="1:81" ht="16.5" thickTop="1" thickBot="1" x14ac:dyDescent="0.3">
      <c r="C6" s="45" t="s">
        <v>47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30">
        <v>46053</v>
      </c>
      <c r="BA6" s="30">
        <v>46081</v>
      </c>
      <c r="BB6" s="30">
        <v>46112</v>
      </c>
      <c r="BC6" s="30">
        <v>46142</v>
      </c>
      <c r="BD6" s="30">
        <v>46173</v>
      </c>
      <c r="BE6" s="30">
        <v>46203</v>
      </c>
      <c r="BF6" s="30">
        <v>46234</v>
      </c>
      <c r="BG6" s="30">
        <v>46265</v>
      </c>
      <c r="BH6" s="30">
        <v>46295</v>
      </c>
      <c r="BI6" s="30">
        <v>46326</v>
      </c>
      <c r="BJ6" s="30">
        <v>46356</v>
      </c>
      <c r="BK6" s="30">
        <v>46387</v>
      </c>
      <c r="BO6" s="1">
        <f>Desempeño_Financiero!$B$1</f>
        <v>46112</v>
      </c>
      <c r="BP6" s="22">
        <f>BO6</f>
        <v>46112</v>
      </c>
      <c r="BQ6" s="1">
        <f>EOMONTH(BO6,-1)</f>
        <v>46081</v>
      </c>
      <c r="BR6" s="1">
        <f>EOMONTH(BO6,-12)</f>
        <v>45747</v>
      </c>
      <c r="BS6" s="1">
        <f>EOMONTH(BO6,-24)</f>
        <v>45382</v>
      </c>
      <c r="BT6" s="1">
        <f>EOMONTH(BO6,-36)</f>
        <v>45016</v>
      </c>
      <c r="BW6" s="1">
        <f>BO6</f>
        <v>46112</v>
      </c>
      <c r="BX6" s="22">
        <f t="shared" ref="BX6:CB6" si="3">BP6</f>
        <v>46112</v>
      </c>
      <c r="BY6" s="1">
        <f t="shared" si="3"/>
        <v>46081</v>
      </c>
      <c r="BZ6" s="1">
        <f t="shared" si="3"/>
        <v>45747</v>
      </c>
      <c r="CA6" s="1">
        <f t="shared" si="3"/>
        <v>45382</v>
      </c>
      <c r="CB6" s="1">
        <f t="shared" si="3"/>
        <v>45016</v>
      </c>
      <c r="CC6" s="26"/>
    </row>
    <row r="7" spans="1:81" ht="15.75" thickTop="1" x14ac:dyDescent="0.25"/>
    <row r="8" spans="1:81" hidden="1" outlineLevel="1" x14ac:dyDescent="0.25">
      <c r="A8" s="11" t="s">
        <v>51</v>
      </c>
      <c r="C8" s="2" t="s">
        <v>0</v>
      </c>
      <c r="D8" s="8">
        <f>IFERROR(
GETPIVOTDATA(
"[Base].[Importe]",
TDinamica_R!$A$5,
"[Calendario].[AñoMes]",
"[Calendario].[AñoMes].&amp;[" &amp; TEXT(D$6,"yyyymm") &amp; "]",
"[Base].[Metrica]",
"[Base].[Metrica].&amp;[" &amp; $A8 &amp; "]",
"[Base].[SEGMENTO_DESCRIP]",
"[Base].[SEGMENTO_DESCRIP].&amp;[" &amp; $C$6 &amp; "]",
"[Base].[SITUACION]",
"[Base].[SITUACION].&amp;[" &amp; $C8 &amp; "]"
),0)/1000</f>
        <v>4959761.3423191402</v>
      </c>
      <c r="E8" s="8">
        <f>IFERROR(
GETPIVOTDATA(
"[Base].[Importe]",
TDinamica_R!$A$5,
"[Calendario].[AñoMes]",
"[Calendario].[AñoMes].&amp;[" &amp; TEXT(E$6,"yyyymm") &amp; "]",
"[Base].[Metrica]",
"[Base].[Metrica].&amp;[" &amp; $A8 &amp; "]",
"[Base].[SEGMENTO_DESCRIP]",
"[Base].[SEGMENTO_DESCRIP].&amp;[" &amp; $C$6 &amp; "]",
"[Base].[SITUACION]",
"[Base].[SITUACION].&amp;[" &amp; $C8 &amp; "]"
),0)/1000</f>
        <v>4971517.7114895005</v>
      </c>
      <c r="F8" s="8">
        <f>IFERROR(
GETPIVOTDATA(
"[Base].[Importe]",
TDinamica_R!$A$5,
"[Calendario].[AñoMes]",
"[Calendario].[AñoMes].&amp;[" &amp; TEXT(F$6,"yyyymm") &amp; "]",
"[Base].[Metrica]",
"[Base].[Metrica].&amp;[" &amp; $A8 &amp; "]",
"[Base].[SEGMENTO_DESCRIP]",
"[Base].[SEGMENTO_DESCRIP].&amp;[" &amp; $C$6 &amp; "]",
"[Base].[SITUACION]",
"[Base].[SITUACION].&amp;[" &amp; $C8 &amp; "]"
),0)/1000</f>
        <v>4997685.4250891795</v>
      </c>
      <c r="G8" s="8">
        <f>IFERROR(
GETPIVOTDATA(
"[Base].[Importe]",
TDinamica_R!$A$5,
"[Calendario].[AñoMes]",
"[Calendario].[AñoMes].&amp;[" &amp; TEXT(G$6,"yyyymm") &amp; "]",
"[Base].[Metrica]",
"[Base].[Metrica].&amp;[" &amp; $A8 &amp; "]",
"[Base].[SEGMENTO_DESCRIP]",
"[Base].[SEGMENTO_DESCRIP].&amp;[" &amp; $C$6 &amp; "]",
"[Base].[SITUACION]",
"[Base].[SITUACION].&amp;[" &amp; $C8 &amp; "]"
),0)/1000</f>
        <v>5035858.6640374484</v>
      </c>
      <c r="H8" s="8">
        <f>IFERROR(
GETPIVOTDATA(
"[Base].[Importe]",
TDinamica_R!$A$5,
"[Calendario].[AñoMes]",
"[Calendario].[AñoMes].&amp;[" &amp; TEXT(H$6,"yyyymm") &amp; "]",
"[Base].[Metrica]",
"[Base].[Metrica].&amp;[" &amp; $A8 &amp; "]",
"[Base].[SEGMENTO_DESCRIP]",
"[Base].[SEGMENTO_DESCRIP].&amp;[" &amp; $C$6 &amp; "]",
"[Base].[SITUACION]",
"[Base].[SITUACION].&amp;[" &amp; $C8 &amp; "]"
),0)/1000</f>
        <v>5050984.9695681604</v>
      </c>
      <c r="I8" s="8">
        <f>IFERROR(
GETPIVOTDATA(
"[Base].[Importe]",
TDinamica_R!$A$5,
"[Calendario].[AñoMes]",
"[Calendario].[AñoMes].&amp;[" &amp; TEXT(I$6,"yyyymm") &amp; "]",
"[Base].[Metrica]",
"[Base].[Metrica].&amp;[" &amp; $A8 &amp; "]",
"[Base].[SEGMENTO_DESCRIP]",
"[Base].[SEGMENTO_DESCRIP].&amp;[" &amp; $C$6 &amp; "]",
"[Base].[SITUACION]",
"[Base].[SITUACION].&amp;[" &amp; $C8 &amp; "]"
),0)/1000</f>
        <v>5075142.1832440803</v>
      </c>
      <c r="J8" s="8">
        <f>IFERROR(
GETPIVOTDATA(
"[Base].[Importe]",
TDinamica_R!$A$5,
"[Calendario].[AñoMes]",
"[Calendario].[AñoMes].&amp;[" &amp; TEXT(J$6,"yyyymm") &amp; "]",
"[Base].[Metrica]",
"[Base].[Metrica].&amp;[" &amp; $A8 &amp; "]",
"[Base].[SEGMENTO_DESCRIP]",
"[Base].[SEGMENTO_DESCRIP].&amp;[" &amp; $C$6 &amp; "]",
"[Base].[SITUACION]",
"[Base].[SITUACION].&amp;[" &amp; $C8 &amp; "]"
),0)/1000</f>
        <v>5076603.2379392795</v>
      </c>
      <c r="K8" s="8">
        <f>IFERROR(
GETPIVOTDATA(
"[Base].[Importe]",
TDinamica_R!$A$5,
"[Calendario].[AñoMes]",
"[Calendario].[AñoMes].&amp;[" &amp; TEXT(K$6,"yyyymm") &amp; "]",
"[Base].[Metrica]",
"[Base].[Metrica].&amp;[" &amp; $A8 &amp; "]",
"[Base].[SEGMENTO_DESCRIP]",
"[Base].[SEGMENTO_DESCRIP].&amp;[" &amp; $C$6 &amp; "]",
"[Base].[SITUACION]",
"[Base].[SITUACION].&amp;[" &amp; $C8 &amp; "]"
),0)/1000</f>
        <v>5100448.1103830999</v>
      </c>
      <c r="L8" s="8">
        <f>IFERROR(
GETPIVOTDATA(
"[Base].[Importe]",
TDinamica_R!$A$5,
"[Calendario].[AñoMes]",
"[Calendario].[AñoMes].&amp;[" &amp; TEXT(L$6,"yyyymm") &amp; "]",
"[Base].[Metrica]",
"[Base].[Metrica].&amp;[" &amp; $A8 &amp; "]",
"[Base].[SEGMENTO_DESCRIP]",
"[Base].[SEGMENTO_DESCRIP].&amp;[" &amp; $C$6 &amp; "]",
"[Base].[SITUACION]",
"[Base].[SITUACION].&amp;[" &amp; $C8 &amp; "]"
),0)/1000</f>
        <v>5137501.7020372991</v>
      </c>
      <c r="M8" s="8">
        <f>IFERROR(
GETPIVOTDATA(
"[Base].[Importe]",
TDinamica_R!$A$5,
"[Calendario].[AñoMes]",
"[Calendario].[AñoMes].&amp;[" &amp; TEXT(M$6,"yyyymm") &amp; "]",
"[Base].[Metrica]",
"[Base].[Metrica].&amp;[" &amp; $A8 &amp; "]",
"[Base].[SEGMENTO_DESCRIP]",
"[Base].[SEGMENTO_DESCRIP].&amp;[" &amp; $C$6 &amp; "]",
"[Base].[SITUACION]",
"[Base].[SITUACION].&amp;[" &amp; $C8 &amp; "]"
),0)/1000</f>
        <v>5150004.502972641</v>
      </c>
      <c r="N8" s="8">
        <f>IFERROR(
GETPIVOTDATA(
"[Base].[Importe]",
TDinamica_R!$A$5,
"[Calendario].[AñoMes]",
"[Calendario].[AñoMes].&amp;[" &amp; TEXT(N$6,"yyyymm") &amp; "]",
"[Base].[Metrica]",
"[Base].[Metrica].&amp;[" &amp; $A8 &amp; "]",
"[Base].[SEGMENTO_DESCRIP]",
"[Base].[SEGMENTO_DESCRIP].&amp;[" &amp; $C$6 &amp; "]",
"[Base].[SITUACION]",
"[Base].[SITUACION].&amp;[" &amp; $C8 &amp; "]"
),0)/1000</f>
        <v>5156740.6831387412</v>
      </c>
      <c r="O8" s="8">
        <f>IFERROR(
GETPIVOTDATA(
"[Base].[Importe]",
TDinamica_R!$A$5,
"[Calendario].[AñoMes]",
"[Calendario].[AñoMes].&amp;[" &amp; TEXT(O$6,"yyyymm") &amp; "]",
"[Base].[Metrica]",
"[Base].[Metrica].&amp;[" &amp; $A8 &amp; "]",
"[Base].[SEGMENTO_DESCRIP]",
"[Base].[SEGMENTO_DESCRIP].&amp;[" &amp; $C$6 &amp; "]",
"[Base].[SITUACION]",
"[Base].[SITUACION].&amp;[" &amp; $C8 &amp; "]"
),0)/1000</f>
        <v>5168656.6591623509</v>
      </c>
      <c r="P8" s="8">
        <f>IFERROR(
GETPIVOTDATA(
"[Base].[Importe]",
TDinamica_R!$A$5,
"[Calendario].[AñoMes]",
"[Calendario].[AñoMes].&amp;[" &amp; TEXT(P$6,"yyyymm") &amp; "]",
"[Base].[Metrica]",
"[Base].[Metrica].&amp;[" &amp; $A8 &amp; "]",
"[Base].[SEGMENTO_DESCRIP]",
"[Base].[SEGMENTO_DESCRIP].&amp;[" &amp; $C$6 &amp; "]",
"[Base].[SITUACION]",
"[Base].[SITUACION].&amp;[" &amp; $C8 &amp; "]"
),0)/1000</f>
        <v>5164653.4581211191</v>
      </c>
      <c r="Q8" s="8">
        <f>IFERROR(
GETPIVOTDATA(
"[Base].[Importe]",
TDinamica_R!$A$5,
"[Calendario].[AñoMes]",
"[Calendario].[AñoMes].&amp;[" &amp; TEXT(Q$6,"yyyymm") &amp; "]",
"[Base].[Metrica]",
"[Base].[Metrica].&amp;[" &amp; $A8 &amp; "]",
"[Base].[SEGMENTO_DESCRIP]",
"[Base].[SEGMENTO_DESCRIP].&amp;[" &amp; $C$6 &amp; "]",
"[Base].[SITUACION]",
"[Base].[SITUACION].&amp;[" &amp; $C8 &amp; "]"
),0)/1000</f>
        <v>5184279.1169129983</v>
      </c>
      <c r="R8" s="8">
        <f>IFERROR(
GETPIVOTDATA(
"[Base].[Importe]",
TDinamica_R!$A$5,
"[Calendario].[AñoMes]",
"[Calendario].[AñoMes].&amp;[" &amp; TEXT(R$6,"yyyymm") &amp; "]",
"[Base].[Metrica]",
"[Base].[Metrica].&amp;[" &amp; $A8 &amp; "]",
"[Base].[SEGMENTO_DESCRIP]",
"[Base].[SEGMENTO_DESCRIP].&amp;[" &amp; $C$6 &amp; "]",
"[Base].[SITUACION]",
"[Base].[SITUACION].&amp;[" &amp; $C8 &amp; "]"
),0)/1000</f>
        <v>5211301.2774657998</v>
      </c>
      <c r="S8" s="8">
        <f>IFERROR(
GETPIVOTDATA(
"[Base].[Importe]",
TDinamica_R!$A$5,
"[Calendario].[AñoMes]",
"[Calendario].[AñoMes].&amp;[" &amp; TEXT(S$6,"yyyymm") &amp; "]",
"[Base].[Metrica]",
"[Base].[Metrica].&amp;[" &amp; $A8 &amp; "]",
"[Base].[SEGMENTO_DESCRIP]",
"[Base].[SEGMENTO_DESCRIP].&amp;[" &amp; $C$6 &amp; "]",
"[Base].[SITUACION]",
"[Base].[SITUACION].&amp;[" &amp; $C8 &amp; "]"
),0)/1000</f>
        <v>5226056.5475688102</v>
      </c>
      <c r="T8" s="8">
        <f>IFERROR(
GETPIVOTDATA(
"[Base].[Importe]",
TDinamica_R!$A$5,
"[Calendario].[AñoMes]",
"[Calendario].[AñoMes].&amp;[" &amp; TEXT(T$6,"yyyymm") &amp; "]",
"[Base].[Metrica]",
"[Base].[Metrica].&amp;[" &amp; $A8 &amp; "]",
"[Base].[SEGMENTO_DESCRIP]",
"[Base].[SEGMENTO_DESCRIP].&amp;[" &amp; $C$6 &amp; "]",
"[Base].[SITUACION]",
"[Base].[SITUACION].&amp;[" &amp; $C8 &amp; "]"
),0)/1000</f>
        <v>5234743.2787965611</v>
      </c>
      <c r="U8" s="8">
        <f>IFERROR(
GETPIVOTDATA(
"[Base].[Importe]",
TDinamica_R!$A$5,
"[Calendario].[AñoMes]",
"[Calendario].[AñoMes].&amp;[" &amp; TEXT(U$6,"yyyymm") &amp; "]",
"[Base].[Metrica]",
"[Base].[Metrica].&amp;[" &amp; $A8 &amp; "]",
"[Base].[SEGMENTO_DESCRIP]",
"[Base].[SEGMENTO_DESCRIP].&amp;[" &amp; $C$6 &amp; "]",
"[Base].[SITUACION]",
"[Base].[SITUACION].&amp;[" &amp; $C8 &amp; "]"
),0)/1000</f>
        <v>5261202.7553873705</v>
      </c>
      <c r="V8" s="8">
        <f>IFERROR(
GETPIVOTDATA(
"[Base].[Importe]",
TDinamica_R!$A$5,
"[Calendario].[AñoMes]",
"[Calendario].[AñoMes].&amp;[" &amp; TEXT(V$6,"yyyymm") &amp; "]",
"[Base].[Metrica]",
"[Base].[Metrica].&amp;[" &amp; $A8 &amp; "]",
"[Base].[SEGMENTO_DESCRIP]",
"[Base].[SEGMENTO_DESCRIP].&amp;[" &amp; $C$6 &amp; "]",
"[Base].[SITUACION]",
"[Base].[SITUACION].&amp;[" &amp; $C8 &amp; "]"
),0)/1000</f>
        <v>5281427.6491045896</v>
      </c>
      <c r="W8" s="8">
        <f>IFERROR(
GETPIVOTDATA(
"[Base].[Importe]",
TDinamica_R!$A$5,
"[Calendario].[AñoMes]",
"[Calendario].[AñoMes].&amp;[" &amp; TEXT(W$6,"yyyymm") &amp; "]",
"[Base].[Metrica]",
"[Base].[Metrica].&amp;[" &amp; $A8 &amp; "]",
"[Base].[SEGMENTO_DESCRIP]",
"[Base].[SEGMENTO_DESCRIP].&amp;[" &amp; $C$6 &amp; "]",
"[Base].[SITUACION]",
"[Base].[SITUACION].&amp;[" &amp; $C8 &amp; "]"
),0)/1000</f>
        <v>5311862.3399259206</v>
      </c>
      <c r="X8" s="8">
        <f>IFERROR(
GETPIVOTDATA(
"[Base].[Importe]",
TDinamica_R!$A$5,
"[Calendario].[AñoMes]",
"[Calendario].[AñoMes].&amp;[" &amp; TEXT(X$6,"yyyymm") &amp; "]",
"[Base].[Metrica]",
"[Base].[Metrica].&amp;[" &amp; $A8 &amp; "]",
"[Base].[SEGMENTO_DESCRIP]",
"[Base].[SEGMENTO_DESCRIP].&amp;[" &amp; $C$6 &amp; "]",
"[Base].[SITUACION]",
"[Base].[SITUACION].&amp;[" &amp; $C8 &amp; "]"
),0)/1000</f>
        <v>5330047.6201454112</v>
      </c>
      <c r="Y8" s="8">
        <f>IFERROR(
GETPIVOTDATA(
"[Base].[Importe]",
TDinamica_R!$A$5,
"[Calendario].[AñoMes]",
"[Calendario].[AñoMes].&amp;[" &amp; TEXT(Y$6,"yyyymm") &amp; "]",
"[Base].[Metrica]",
"[Base].[Metrica].&amp;[" &amp; $A8 &amp; "]",
"[Base].[SEGMENTO_DESCRIP]",
"[Base].[SEGMENTO_DESCRIP].&amp;[" &amp; $C$6 &amp; "]",
"[Base].[SITUACION]",
"[Base].[SITUACION].&amp;[" &amp; $C8 &amp; "]"
),0)/1000</f>
        <v>5361172.4289850611</v>
      </c>
      <c r="Z8" s="8">
        <f>IFERROR(
GETPIVOTDATA(
"[Base].[Importe]",
TDinamica_R!$A$5,
"[Calendario].[AñoMes]",
"[Calendario].[AñoMes].&amp;[" &amp; TEXT(Z$6,"yyyymm") &amp; "]",
"[Base].[Metrica]",
"[Base].[Metrica].&amp;[" &amp; $A8 &amp; "]",
"[Base].[SEGMENTO_DESCRIP]",
"[Base].[SEGMENTO_DESCRIP].&amp;[" &amp; $C$6 &amp; "]",
"[Base].[SITUACION]",
"[Base].[SITUACION].&amp;[" &amp; $C8 &amp; "]"
),0)/1000</f>
        <v>5383169.3271457385</v>
      </c>
      <c r="AA8" s="8">
        <f>IFERROR(
GETPIVOTDATA(
"[Base].[Importe]",
TDinamica_R!$A$5,
"[Calendario].[AñoMes]",
"[Calendario].[AñoMes].&amp;[" &amp; TEXT(AA$6,"yyyymm") &amp; "]",
"[Base].[Metrica]",
"[Base].[Metrica].&amp;[" &amp; $A8 &amp; "]",
"[Base].[SEGMENTO_DESCRIP]",
"[Base].[SEGMENTO_DESCRIP].&amp;[" &amp; $C$6 &amp; "]",
"[Base].[SITUACION]",
"[Base].[SITUACION].&amp;[" &amp; $C8 &amp; "]"
),0)/1000</f>
        <v>5405914.3441216201</v>
      </c>
      <c r="AB8" s="8">
        <f>IFERROR(
GETPIVOTDATA(
"[Base].[Importe]",
TDinamica_R!$A$5,
"[Calendario].[AñoMes]",
"[Calendario].[AñoMes].&amp;[" &amp; TEXT(AB$6,"yyyymm") &amp; "]",
"[Base].[Metrica]",
"[Base].[Metrica].&amp;[" &amp; $A8 &amp; "]",
"[Base].[SEGMENTO_DESCRIP]",
"[Base].[SEGMENTO_DESCRIP].&amp;[" &amp; $C$6 &amp; "]",
"[Base].[SITUACION]",
"[Base].[SITUACION].&amp;[" &amp; $C8 &amp; "]"
),0)/1000</f>
        <v>5425523.2322775591</v>
      </c>
      <c r="AC8" s="8">
        <f>IFERROR(
GETPIVOTDATA(
"[Base].[Importe]",
TDinamica_R!$A$5,
"[Calendario].[AñoMes]",
"[Calendario].[AñoMes].&amp;[" &amp; TEXT(AC$6,"yyyymm") &amp; "]",
"[Base].[Metrica]",
"[Base].[Metrica].&amp;[" &amp; $A8 &amp; "]",
"[Base].[SEGMENTO_DESCRIP]",
"[Base].[SEGMENTO_DESCRIP].&amp;[" &amp; $C$6 &amp; "]",
"[Base].[SITUACION]",
"[Base].[SITUACION].&amp;[" &amp; $C8 &amp; "]"
),0)/1000</f>
        <v>5477330.0688263811</v>
      </c>
      <c r="AD8" s="8">
        <f>IFERROR(
GETPIVOTDATA(
"[Base].[Importe]",
TDinamica_R!$A$5,
"[Calendario].[AñoMes]",
"[Calendario].[AñoMes].&amp;[" &amp; TEXT(AD$6,"yyyymm") &amp; "]",
"[Base].[Metrica]",
"[Base].[Metrica].&amp;[" &amp; $A8 &amp; "]",
"[Base].[SEGMENTO_DESCRIP]",
"[Base].[SEGMENTO_DESCRIP].&amp;[" &amp; $C$6 &amp; "]",
"[Base].[SITUACION]",
"[Base].[SITUACION].&amp;[" &amp; $C8 &amp; "]"
),0)/1000</f>
        <v>5504671.6229893798</v>
      </c>
      <c r="AE8" s="8">
        <f>IFERROR(
GETPIVOTDATA(
"[Base].[Importe]",
TDinamica_R!$A$5,
"[Calendario].[AñoMes]",
"[Calendario].[AñoMes].&amp;[" &amp; TEXT(AE$6,"yyyymm") &amp; "]",
"[Base].[Metrica]",
"[Base].[Metrica].&amp;[" &amp; $A8 &amp; "]",
"[Base].[SEGMENTO_DESCRIP]",
"[Base].[SEGMENTO_DESCRIP].&amp;[" &amp; $C$6 &amp; "]",
"[Base].[SITUACION]",
"[Base].[SITUACION].&amp;[" &amp; $C8 &amp; "]"
),0)/1000</f>
        <v>5542776.2657624995</v>
      </c>
      <c r="AF8" s="8">
        <f>IFERROR(
GETPIVOTDATA(
"[Base].[Importe]",
TDinamica_R!$A$5,
"[Calendario].[AñoMes]",
"[Calendario].[AñoMes].&amp;[" &amp; TEXT(AF$6,"yyyymm") &amp; "]",
"[Base].[Metrica]",
"[Base].[Metrica].&amp;[" &amp; $A8 &amp; "]",
"[Base].[SEGMENTO_DESCRIP]",
"[Base].[SEGMENTO_DESCRIP].&amp;[" &amp; $C$6 &amp; "]",
"[Base].[SITUACION]",
"[Base].[SITUACION].&amp;[" &amp; $C8 &amp; "]"
),0)/1000</f>
        <v>5585485.4610130796</v>
      </c>
      <c r="AG8" s="8">
        <f>IFERROR(
GETPIVOTDATA(
"[Base].[Importe]",
TDinamica_R!$A$5,
"[Calendario].[AñoMes]",
"[Calendario].[AñoMes].&amp;[" &amp; TEXT(AG$6,"yyyymm") &amp; "]",
"[Base].[Metrica]",
"[Base].[Metrica].&amp;[" &amp; $A8 &amp; "]",
"[Base].[SEGMENTO_DESCRIP]",
"[Base].[SEGMENTO_DESCRIP].&amp;[" &amp; $C$6 &amp; "]",
"[Base].[SITUACION]",
"[Base].[SITUACION].&amp;[" &amp; $C8 &amp; "]"
),0)/1000</f>
        <v>5617677.7123912591</v>
      </c>
      <c r="AH8" s="8">
        <f>IFERROR(
GETPIVOTDATA(
"[Base].[Importe]",
TDinamica_R!$A$5,
"[Calendario].[AñoMes]",
"[Calendario].[AñoMes].&amp;[" &amp; TEXT(AH$6,"yyyymm") &amp; "]",
"[Base].[Metrica]",
"[Base].[Metrica].&amp;[" &amp; $A8 &amp; "]",
"[Base].[SEGMENTO_DESCRIP]",
"[Base].[SEGMENTO_DESCRIP].&amp;[" &amp; $C$6 &amp; "]",
"[Base].[SITUACION]",
"[Base].[SITUACION].&amp;[" &amp; $C8 &amp; "]"
),0)/1000</f>
        <v>5660577.0443661595</v>
      </c>
      <c r="AI8" s="8">
        <f>IFERROR(
GETPIVOTDATA(
"[Base].[Importe]",
TDinamica_R!$A$5,
"[Calendario].[AñoMes]",
"[Calendario].[AñoMes].&amp;[" &amp; TEXT(AI$6,"yyyymm") &amp; "]",
"[Base].[Metrica]",
"[Base].[Metrica].&amp;[" &amp; $A8 &amp; "]",
"[Base].[SEGMENTO_DESCRIP]",
"[Base].[SEGMENTO_DESCRIP].&amp;[" &amp; $C$6 &amp; "]",
"[Base].[SITUACION]",
"[Base].[SITUACION].&amp;[" &amp; $C8 &amp; "]"
),0)/1000</f>
        <v>5726776.1809995994</v>
      </c>
      <c r="AJ8" s="8">
        <f>IFERROR(
GETPIVOTDATA(
"[Base].[Importe]",
TDinamica_R!$A$5,
"[Calendario].[AñoMes]",
"[Calendario].[AñoMes].&amp;[" &amp; TEXT(AJ$6,"yyyymm") &amp; "]",
"[Base].[Metrica]",
"[Base].[Metrica].&amp;[" &amp; $A8 &amp; "]",
"[Base].[SEGMENTO_DESCRIP]",
"[Base].[SEGMENTO_DESCRIP].&amp;[" &amp; $C$6 &amp; "]",
"[Base].[SITUACION]",
"[Base].[SITUACION].&amp;[" &amp; $C8 &amp; "]"
),0)/1000</f>
        <v>5801076.6599880997</v>
      </c>
      <c r="AK8" s="8">
        <f>IFERROR(
GETPIVOTDATA(
"[Base].[Importe]",
TDinamica_R!$A$5,
"[Calendario].[AñoMes]",
"[Calendario].[AñoMes].&amp;[" &amp; TEXT(AK$6,"yyyymm") &amp; "]",
"[Base].[Metrica]",
"[Base].[Metrica].&amp;[" &amp; $A8 &amp; "]",
"[Base].[SEGMENTO_DESCRIP]",
"[Base].[SEGMENTO_DESCRIP].&amp;[" &amp; $C$6 &amp; "]",
"[Base].[SITUACION]",
"[Base].[SITUACION].&amp;[" &amp; $C8 &amp; "]"
),0)/1000</f>
        <v>5876945.3558728509</v>
      </c>
      <c r="AL8" s="8">
        <f>IFERROR(
GETPIVOTDATA(
"[Base].[Importe]",
TDinamica_R!$A$5,
"[Calendario].[AñoMes]",
"[Calendario].[AñoMes].&amp;[" &amp; TEXT(AL$6,"yyyymm") &amp; "]",
"[Base].[Metrica]",
"[Base].[Metrica].&amp;[" &amp; $A8 &amp; "]",
"[Base].[SEGMENTO_DESCRIP]",
"[Base].[SEGMENTO_DESCRIP].&amp;[" &amp; $C$6 &amp; "]",
"[Base].[SITUACION]",
"[Base].[SITUACION].&amp;[" &amp; $C8 &amp; "]"
),0)/1000</f>
        <v>5956656.5861967392</v>
      </c>
      <c r="AM8" s="8">
        <f>IFERROR(
GETPIVOTDATA(
"[Base].[Importe]",
TDinamica_R!$A$5,
"[Calendario].[AñoMes]",
"[Calendario].[AñoMes].&amp;[" &amp; TEXT(AM$6,"yyyymm") &amp; "]",
"[Base].[Metrica]",
"[Base].[Metrica].&amp;[" &amp; $A8 &amp; "]",
"[Base].[SEGMENTO_DESCRIP]",
"[Base].[SEGMENTO_DESCRIP].&amp;[" &amp; $C$6 &amp; "]",
"[Base].[SITUACION]",
"[Base].[SITUACION].&amp;[" &amp; $C8 &amp; "]"
),0)/1000</f>
        <v>6017109.9222593615</v>
      </c>
      <c r="AN8" s="8">
        <f>IFERROR(
GETPIVOTDATA(
"[Base].[Importe]",
TDinamica_R!$A$5,
"[Calendario].[AñoMes]",
"[Calendario].[AñoMes].&amp;[" &amp; TEXT(AN$6,"yyyymm") &amp; "]",
"[Base].[Metrica]",
"[Base].[Metrica].&amp;[" &amp; $A8 &amp; "]",
"[Base].[SEGMENTO_DESCRIP]",
"[Base].[SEGMENTO_DESCRIP].&amp;[" &amp; $C$6 &amp; "]",
"[Base].[SITUACION]",
"[Base].[SITUACION].&amp;[" &amp; $C8 &amp; "]"
),0)/1000</f>
        <v>6092399.2800000003</v>
      </c>
      <c r="AO8" s="8">
        <f>IFERROR(
GETPIVOTDATA(
"[Base].[Importe]",
TDinamica_R!$A$5,
"[Calendario].[AñoMes]",
"[Calendario].[AñoMes].&amp;[" &amp; TEXT(AO$6,"yyyymm") &amp; "]",
"[Base].[Metrica]",
"[Base].[Metrica].&amp;[" &amp; $A8 &amp; "]",
"[Base].[SEGMENTO_DESCRIP]",
"[Base].[SEGMENTO_DESCRIP].&amp;[" &amp; $C$6 &amp; "]",
"[Base].[SITUACION]",
"[Base].[SITUACION].&amp;[" &amp; $C8 &amp; "]"
),0)/1000</f>
        <v>6181576.9500000002</v>
      </c>
      <c r="AP8" s="8">
        <f>IFERROR(
GETPIVOTDATA(
"[Base].[Importe]",
TDinamica_R!$A$5,
"[Calendario].[AñoMes]",
"[Calendario].[AñoMes].&amp;[" &amp; TEXT(AP$6,"yyyymm") &amp; "]",
"[Base].[Metrica]",
"[Base].[Metrica].&amp;[" &amp; $A8 &amp; "]",
"[Base].[SEGMENTO_DESCRIP]",
"[Base].[SEGMENTO_DESCRIP].&amp;[" &amp; $C$6 &amp; "]",
"[Base].[SITUACION]",
"[Base].[SITUACION].&amp;[" &amp; $C8 &amp; "]"
),0)/1000</f>
        <v>6230319.04</v>
      </c>
      <c r="AQ8" s="8">
        <f>IFERROR(
GETPIVOTDATA(
"[Base].[Importe]",
TDinamica_R!$A$5,
"[Calendario].[AñoMes]",
"[Calendario].[AñoMes].&amp;[" &amp; TEXT(AQ$6,"yyyymm") &amp; "]",
"[Base].[Metrica]",
"[Base].[Metrica].&amp;[" &amp; $A8 &amp; "]",
"[Base].[SEGMENTO_DESCRIP]",
"[Base].[SEGMENTO_DESCRIP].&amp;[" &amp; $C$6 &amp; "]",
"[Base].[SITUACION]",
"[Base].[SITUACION].&amp;[" &amp; $C8 &amp; "]"
),0)/1000</f>
        <v>6285177.8448473653</v>
      </c>
      <c r="AR8" s="8">
        <f>IFERROR(
GETPIVOTDATA(
"[Base].[Importe]",
TDinamica_R!$A$5,
"[Calendario].[AñoMes]",
"[Calendario].[AñoMes].&amp;[" &amp; TEXT(AR$6,"yyyymm") &amp; "]",
"[Base].[Metrica]",
"[Base].[Metrica].&amp;[" &amp; $A8 &amp; "]",
"[Base].[SEGMENTO_DESCRIP]",
"[Base].[SEGMENTO_DESCRIP].&amp;[" &amp; $C$6 &amp; "]",
"[Base].[SITUACION]",
"[Base].[SITUACION].&amp;[" &amp; $C8 &amp; "]"
),0)/1000</f>
        <v>6359744.9884219803</v>
      </c>
      <c r="AS8" s="8">
        <f>IFERROR(
GETPIVOTDATA(
"[Base].[Importe]",
TDinamica_R!$A$5,
"[Calendario].[AñoMes]",
"[Calendario].[AñoMes].&amp;[" &amp; TEXT(AS$6,"yyyymm") &amp; "]",
"[Base].[Metrica]",
"[Base].[Metrica].&amp;[" &amp; $A8 &amp; "]",
"[Base].[SEGMENTO_DESCRIP]",
"[Base].[SEGMENTO_DESCRIP].&amp;[" &amp; $C$6 &amp; "]",
"[Base].[SITUACION]",
"[Base].[SITUACION].&amp;[" &amp; $C8 &amp; "]"
),0)/1000</f>
        <v>6428545.0523226988</v>
      </c>
      <c r="AT8" s="8">
        <f>IFERROR(
GETPIVOTDATA(
"[Base].[Importe]",
TDinamica_R!$A$5,
"[Calendario].[AñoMes]",
"[Calendario].[AñoMes].&amp;[" &amp; TEXT(AT$6,"yyyymm")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U8" s="8">
        <f>IFERROR(
GETPIVOTDATA(
"[Base].[Importe]",
TDinamica_R!$A$5,
"[Calendario].[AñoMes]",
"[Calendario].[AñoMes].&amp;[" &amp; TEXT(AU$6,"yyyymm")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V8" s="8">
        <f>IFERROR(
GETPIVOTDATA(
"[Base].[Importe]",
TDinamica_R!$A$5,
"[Calendario].[AñoMes]",
"[Calendario].[AñoMes].&amp;[" &amp; TEXT(AV$6,"yyyymm")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W8" s="8">
        <f>IFERROR(
GETPIVOTDATA(
"[Base].[Importe]",
TDinamica_R!$A$5,
"[Calendario].[AñoMes]",
"[Calendario].[AñoMes].&amp;[" &amp; TEXT(AW$6,"yyyymm")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X8" s="8">
        <f>IFERROR(
GETPIVOTDATA(
"[Base].[Importe]",
TDinamica_R!$A$5,
"[Calendario].[AñoMes]",
"[Calendario].[AñoMes].&amp;[" &amp; TEXT(AX$6,"yyyymm")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Y8" s="8">
        <f>IFERROR(
GETPIVOTDATA(
"[Base].[Importe]",
TDinamica_R!$A$5,
"[Calendario].[AñoMes]",
"[Calendario].[AñoMes].&amp;[" &amp; TEXT(AY$6,"yyyymm")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Z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"[BASE_HIPO_PPTO].[Periodo]","[BASE_HIPO_PPTO].[Periodo].&amp;["&amp;TEXT(AZ$6,"yyyymm")&amp;"]"),
0)/1000</f>
        <v>6013740.7314903857</v>
      </c>
      <c r="BA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"[BASE_HIPO_PPTO].[Periodo]","[BASE_HIPO_PPTO].[Periodo].&amp;["&amp;TEXT(BA$6,"yyyymm")&amp;"]"),
0)/1000</f>
        <v>6072684.53984001</v>
      </c>
      <c r="BB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"[BASE_HIPO_PPTO].[Periodo]","[BASE_HIPO_PPTO].[Periodo].&amp;["&amp;TEXT(BB$6,"yyyymm")&amp;"]"),
0)/1000</f>
        <v>6114182.9977656454</v>
      </c>
      <c r="BC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"[BASE_HIPO_PPTO].[Periodo]","[BASE_HIPO_PPTO].[Periodo].&amp;["&amp;TEXT(BC$6,"yyyymm")&amp;"]"),
0)/1000</f>
        <v>6157736.6282310011</v>
      </c>
      <c r="BD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"[BASE_HIPO_PPTO].[Periodo]","[BASE_HIPO_PPTO].[Periodo].&amp;["&amp;TEXT(BD$6,"yyyymm")&amp;"]"),
0)/1000</f>
        <v>6216317.8818231383</v>
      </c>
      <c r="BE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"[BASE_HIPO_PPTO].[Periodo]","[BASE_HIPO_PPTO].[Periodo].&amp;["&amp;TEXT(BE$6,"yyyymm")&amp;"]"),
0)/1000</f>
        <v>6269552.0482086502</v>
      </c>
      <c r="BF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"[BASE_HIPO_PPTO].[Periodo]","[BASE_HIPO_PPTO].[Periodo].&amp;["&amp;TEXT(BF$6,"yyyymm")&amp;"]"),
0)/1000</f>
        <v>6322571.1569039645</v>
      </c>
      <c r="BG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"[BASE_HIPO_PPTO].[Periodo]","[BASE_HIPO_PPTO].[Periodo].&amp;["&amp;TEXT(BG$6,"yyyymm")&amp;"]"),
0)/1000</f>
        <v>6387839.5748888776</v>
      </c>
      <c r="BH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"[BASE_HIPO_PPTO].[Periodo]","[BASE_HIPO_PPTO].[Periodo].&amp;["&amp;TEXT(BH$6,"yyyymm")&amp;"]"),
0)/1000</f>
        <v>6451191.9010366127</v>
      </c>
      <c r="BI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"[BASE_HIPO_PPTO].[Periodo]","[BASE_HIPO_PPTO].[Periodo].&amp;["&amp;TEXT(BI$6,"yyyymm")&amp;"]"),
0)/1000</f>
        <v>6522673.259265203</v>
      </c>
      <c r="BJ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"[BASE_HIPO_PPTO].[Periodo]","[BASE_HIPO_PPTO].[Periodo].&amp;["&amp;TEXT(BJ$6,"yyyymm")&amp;"]"),
0)/1000</f>
        <v>6586479.3970965212</v>
      </c>
      <c r="BK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"[BASE_HIPO_PPTO].[Periodo]","[BASE_HIPO_PPTO].[Periodo].&amp;["&amp;TEXT(BK$6,"yyyymm")&amp;"]"),
0)/1000</f>
        <v>6644014.6760247964</v>
      </c>
      <c r="BO8" s="24">
        <f t="shared" ref="BO8:BO10" si="4">_xlfn.XLOOKUP(BO$6,$D$6:$BM$6,$D8:$BM8,,0,1)</f>
        <v>6230319.04</v>
      </c>
      <c r="BP8" s="24">
        <f>_xlfn.XLOOKUP(BP$6,$D$6:$BM$6,$D8:$BM8,,0,-1)</f>
        <v>6114182.9977656454</v>
      </c>
      <c r="BQ8" s="24">
        <f t="shared" ref="BQ8:BT10" si="5">_xlfn.XLOOKUP(BQ$6,$D$6:$BM$6,$D8:$BM8,,0,1)</f>
        <v>6181576.9500000002</v>
      </c>
      <c r="BR8" s="24">
        <f t="shared" si="5"/>
        <v>5504671.6229893798</v>
      </c>
      <c r="BS8" s="24">
        <f t="shared" si="5"/>
        <v>5211301.2774657998</v>
      </c>
      <c r="BT8" s="24">
        <f t="shared" si="5"/>
        <v>4997685.4250891795</v>
      </c>
    </row>
    <row r="9" spans="1:81" hidden="1" outlineLevel="1" x14ac:dyDescent="0.25">
      <c r="A9" s="11" t="s">
        <v>51</v>
      </c>
      <c r="C9" s="2" t="s">
        <v>1</v>
      </c>
      <c r="D9" s="8">
        <f>IFERROR(
GETPIVOTDATA(
"[Base].[Importe]",
TDinamica_R!$A$5,
"[Calendario].[AñoMes]",
"[Calendario].[AñoMes].&amp;[" &amp; TEXT(D$6,"yyyymm") &amp; "]",
"[Base].[Metrica]",
"[Base].[Metrica].&amp;[" &amp; $A9 &amp; "]",
"[Base].[SEGMENTO_DESCRIP]",
"[Base].[SEGMENTO_DESCRIP].&amp;[" &amp; $C$6 &amp; "]",
"[Base].[SITUACION]",
"[Base].[SITUACION].&amp;[" &amp; $C9 &amp; "]"
),0)/1000</f>
        <v>25350.173736000001</v>
      </c>
      <c r="E9" s="8">
        <f>IFERROR(
GETPIVOTDATA(
"[Base].[Importe]",
TDinamica_R!$A$5,
"[Calendario].[AñoMes]",
"[Calendario].[AñoMes].&amp;[" &amp; TEXT(E$6,"yyyymm") &amp; "]",
"[Base].[Metrica]",
"[Base].[Metrica].&amp;[" &amp; $A9 &amp; "]",
"[Base].[SEGMENTO_DESCRIP]",
"[Base].[SEGMENTO_DESCRIP].&amp;[" &amp; $C$6 &amp; "]",
"[Base].[SITUACION]",
"[Base].[SITUACION].&amp;[" &amp; $C9 &amp; "]"
),0)/1000</f>
        <v>24852.503169</v>
      </c>
      <c r="F9" s="8">
        <f>IFERROR(
GETPIVOTDATA(
"[Base].[Importe]",
TDinamica_R!$A$5,
"[Calendario].[AñoMes]",
"[Calendario].[AñoMes].&amp;[" &amp; TEXT(F$6,"yyyymm") &amp; "]",
"[Base].[Metrica]",
"[Base].[Metrica].&amp;[" &amp; $A9 &amp; "]",
"[Base].[SEGMENTO_DESCRIP]",
"[Base].[SEGMENTO_DESCRIP].&amp;[" &amp; $C$6 &amp; "]",
"[Base].[SITUACION]",
"[Base].[SITUACION].&amp;[" &amp; $C9 &amp; "]"
),0)/1000</f>
        <v>25405.816314999996</v>
      </c>
      <c r="G9" s="8">
        <f>IFERROR(
GETPIVOTDATA(
"[Base].[Importe]",
TDinamica_R!$A$5,
"[Calendario].[AñoMes]",
"[Calendario].[AñoMes].&amp;[" &amp; TEXT(G$6,"yyyymm") &amp; "]",
"[Base].[Metrica]",
"[Base].[Metrica].&amp;[" &amp; $A9 &amp; "]",
"[Base].[SEGMENTO_DESCRIP]",
"[Base].[SEGMENTO_DESCRIP].&amp;[" &amp; $C$6 &amp; "]",
"[Base].[SITUACION]",
"[Base].[SITUACION].&amp;[" &amp; $C9 &amp; "]"
),0)/1000</f>
        <v>24700.818271999997</v>
      </c>
      <c r="H9" s="8">
        <f>IFERROR(
GETPIVOTDATA(
"[Base].[Importe]",
TDinamica_R!$A$5,
"[Calendario].[AñoMes]",
"[Calendario].[AñoMes].&amp;[" &amp; TEXT(H$6,"yyyymm") &amp; "]",
"[Base].[Metrica]",
"[Base].[Metrica].&amp;[" &amp; $A9 &amp; "]",
"[Base].[SEGMENTO_DESCRIP]",
"[Base].[SEGMENTO_DESCRIP].&amp;[" &amp; $C$6 &amp; "]",
"[Base].[SITUACION]",
"[Base].[SITUACION].&amp;[" &amp; $C9 &amp; "]"
),0)/1000</f>
        <v>23697.440107000006</v>
      </c>
      <c r="I9" s="8">
        <f>IFERROR(
GETPIVOTDATA(
"[Base].[Importe]",
TDinamica_R!$A$5,
"[Calendario].[AñoMes]",
"[Calendario].[AñoMes].&amp;[" &amp; TEXT(I$6,"yyyymm") &amp; "]",
"[Base].[Metrica]",
"[Base].[Metrica].&amp;[" &amp; $A9 &amp; "]",
"[Base].[SEGMENTO_DESCRIP]",
"[Base].[SEGMENTO_DESCRIP].&amp;[" &amp; $C$6 &amp; "]",
"[Base].[SITUACION]",
"[Base].[SITUACION].&amp;[" &amp; $C9 &amp; "]"
),0)/1000</f>
        <v>24101.612678000001</v>
      </c>
      <c r="J9" s="8">
        <f>IFERROR(
GETPIVOTDATA(
"[Base].[Importe]",
TDinamica_R!$A$5,
"[Calendario].[AñoMes]",
"[Calendario].[AñoMes].&amp;[" &amp; TEXT(J$6,"yyyymm") &amp; "]",
"[Base].[Metrica]",
"[Base].[Metrica].&amp;[" &amp; $A9 &amp; "]",
"[Base].[SEGMENTO_DESCRIP]",
"[Base].[SEGMENTO_DESCRIP].&amp;[" &amp; $C$6 &amp; "]",
"[Base].[SITUACION]",
"[Base].[SITUACION].&amp;[" &amp; $C9 &amp; "]"
),0)/1000</f>
        <v>23810.212872999997</v>
      </c>
      <c r="K9" s="8">
        <f>IFERROR(
GETPIVOTDATA(
"[Base].[Importe]",
TDinamica_R!$A$5,
"[Calendario].[AñoMes]",
"[Calendario].[AñoMes].&amp;[" &amp; TEXT(K$6,"yyyymm") &amp; "]",
"[Base].[Metrica]",
"[Base].[Metrica].&amp;[" &amp; $A9 &amp; "]",
"[Base].[SEGMENTO_DESCRIP]",
"[Base].[SEGMENTO_DESCRIP].&amp;[" &amp; $C$6 &amp; "]",
"[Base].[SITUACION]",
"[Base].[SITUACION].&amp;[" &amp; $C9 &amp; "]"
),0)/1000</f>
        <v>22819.178807</v>
      </c>
      <c r="L9" s="8">
        <f>IFERROR(
GETPIVOTDATA(
"[Base].[Importe]",
TDinamica_R!$A$5,
"[Calendario].[AñoMes]",
"[Calendario].[AñoMes].&amp;[" &amp; TEXT(L$6,"yyyymm") &amp; "]",
"[Base].[Metrica]",
"[Base].[Metrica].&amp;[" &amp; $A9 &amp; "]",
"[Base].[SEGMENTO_DESCRIP]",
"[Base].[SEGMENTO_DESCRIP].&amp;[" &amp; $C$6 &amp; "]",
"[Base].[SITUACION]",
"[Base].[SITUACION].&amp;[" &amp; $C9 &amp; "]"
),0)/1000</f>
        <v>22042.399078000002</v>
      </c>
      <c r="M9" s="8">
        <f>IFERROR(
GETPIVOTDATA(
"[Base].[Importe]",
TDinamica_R!$A$5,
"[Calendario].[AñoMes]",
"[Calendario].[AñoMes].&amp;[" &amp; TEXT(M$6,"yyyymm") &amp; "]",
"[Base].[Metrica]",
"[Base].[Metrica].&amp;[" &amp; $A9 &amp; "]",
"[Base].[SEGMENTO_DESCRIP]",
"[Base].[SEGMENTO_DESCRIP].&amp;[" &amp; $C$6 &amp; "]",
"[Base].[SITUACION]",
"[Base].[SITUACION].&amp;[" &amp; $C9 &amp; "]"
),0)/1000</f>
        <v>22073.915328000003</v>
      </c>
      <c r="N9" s="8">
        <f>IFERROR(
GETPIVOTDATA(
"[Base].[Importe]",
TDinamica_R!$A$5,
"[Calendario].[AñoMes]",
"[Calendario].[AñoMes].&amp;[" &amp; TEXT(N$6,"yyyymm") &amp; "]",
"[Base].[Metrica]",
"[Base].[Metrica].&amp;[" &amp; $A9 &amp; "]",
"[Base].[SEGMENTO_DESCRIP]",
"[Base].[SEGMENTO_DESCRIP].&amp;[" &amp; $C$6 &amp; "]",
"[Base].[SITUACION]",
"[Base].[SITUACION].&amp;[" &amp; $C9 &amp; "]"
),0)/1000</f>
        <v>21970.871334000003</v>
      </c>
      <c r="O9" s="8">
        <f>IFERROR(
GETPIVOTDATA(
"[Base].[Importe]",
TDinamica_R!$A$5,
"[Calendario].[AñoMes]",
"[Calendario].[AñoMes].&amp;[" &amp; TEXT(O$6,"yyyymm") &amp; "]",
"[Base].[Metrica]",
"[Base].[Metrica].&amp;[" &amp; $A9 &amp; "]",
"[Base].[SEGMENTO_DESCRIP]",
"[Base].[SEGMENTO_DESCRIP].&amp;[" &amp; $C$6 &amp; "]",
"[Base].[SITUACION]",
"[Base].[SITUACION].&amp;[" &amp; $C9 &amp; "]"
),0)/1000</f>
        <v>21864.132765999999</v>
      </c>
      <c r="P9" s="8">
        <f>IFERROR(
GETPIVOTDATA(
"[Base].[Importe]",
TDinamica_R!$A$5,
"[Calendario].[AñoMes]",
"[Calendario].[AñoMes].&amp;[" &amp; TEXT(P$6,"yyyymm") &amp; "]",
"[Base].[Metrica]",
"[Base].[Metrica].&amp;[" &amp; $A9 &amp; "]",
"[Base].[SEGMENTO_DESCRIP]",
"[Base].[SEGMENTO_DESCRIP].&amp;[" &amp; $C$6 &amp; "]",
"[Base].[SITUACION]",
"[Base].[SITUACION].&amp;[" &amp; $C9 &amp; "]"
),0)/1000</f>
        <v>21249.445454000001</v>
      </c>
      <c r="Q9" s="8">
        <f>IFERROR(
GETPIVOTDATA(
"[Base].[Importe]",
TDinamica_R!$A$5,
"[Calendario].[AñoMes]",
"[Calendario].[AñoMes].&amp;[" &amp; TEXT(Q$6,"yyyymm") &amp; "]",
"[Base].[Metrica]",
"[Base].[Metrica].&amp;[" &amp; $A9 &amp; "]",
"[Base].[SEGMENTO_DESCRIP]",
"[Base].[SEGMENTO_DESCRIP].&amp;[" &amp; $C$6 &amp; "]",
"[Base].[SITUACION]",
"[Base].[SITUACION].&amp;[" &amp; $C9 &amp; "]"
),0)/1000</f>
        <v>21636.020825000003</v>
      </c>
      <c r="R9" s="8">
        <f>IFERROR(
GETPIVOTDATA(
"[Base].[Importe]",
TDinamica_R!$A$5,
"[Calendario].[AñoMes]",
"[Calendario].[AñoMes].&amp;[" &amp; TEXT(R$6,"yyyymm") &amp; "]",
"[Base].[Metrica]",
"[Base].[Metrica].&amp;[" &amp; $A9 &amp; "]",
"[Base].[SEGMENTO_DESCRIP]",
"[Base].[SEGMENTO_DESCRIP].&amp;[" &amp; $C$6 &amp; "]",
"[Base].[SITUACION]",
"[Base].[SITUACION].&amp;[" &amp; $C9 &amp; "]"
),0)/1000</f>
        <v>20909.542734999999</v>
      </c>
      <c r="S9" s="8">
        <f>IFERROR(
GETPIVOTDATA(
"[Base].[Importe]",
TDinamica_R!$A$5,
"[Calendario].[AñoMes]",
"[Calendario].[AñoMes].&amp;[" &amp; TEXT(S$6,"yyyymm") &amp; "]",
"[Base].[Metrica]",
"[Base].[Metrica].&amp;[" &amp; $A9 &amp; "]",
"[Base].[SEGMENTO_DESCRIP]",
"[Base].[SEGMENTO_DESCRIP].&amp;[" &amp; $C$6 &amp; "]",
"[Base].[SITUACION]",
"[Base].[SITUACION].&amp;[" &amp; $C9 &amp; "]"
),0)/1000</f>
        <v>20435.039664</v>
      </c>
      <c r="T9" s="8">
        <f>IFERROR(
GETPIVOTDATA(
"[Base].[Importe]",
TDinamica_R!$A$5,
"[Calendario].[AñoMes]",
"[Calendario].[AñoMes].&amp;[" &amp; TEXT(T$6,"yyyymm") &amp; "]",
"[Base].[Metrica]",
"[Base].[Metrica].&amp;[" &amp; $A9 &amp; "]",
"[Base].[SEGMENTO_DESCRIP]",
"[Base].[SEGMENTO_DESCRIP].&amp;[" &amp; $C$6 &amp; "]",
"[Base].[SITUACION]",
"[Base].[SITUACION].&amp;[" &amp; $C9 &amp; "]"
),0)/1000</f>
        <v>20276.758125</v>
      </c>
      <c r="U9" s="8">
        <f>IFERROR(
GETPIVOTDATA(
"[Base].[Importe]",
TDinamica_R!$A$5,
"[Calendario].[AñoMes]",
"[Calendario].[AñoMes].&amp;[" &amp; TEXT(U$6,"yyyymm") &amp; "]",
"[Base].[Metrica]",
"[Base].[Metrica].&amp;[" &amp; $A9 &amp; "]",
"[Base].[SEGMENTO_DESCRIP]",
"[Base].[SEGMENTO_DESCRIP].&amp;[" &amp; $C$6 &amp; "]",
"[Base].[SITUACION]",
"[Base].[SITUACION].&amp;[" &amp; $C9 &amp; "]"
),0)/1000</f>
        <v>19985.956225999995</v>
      </c>
      <c r="V9" s="8">
        <f>IFERROR(
GETPIVOTDATA(
"[Base].[Importe]",
TDinamica_R!$A$5,
"[Calendario].[AñoMes]",
"[Calendario].[AñoMes].&amp;[" &amp; TEXT(V$6,"yyyymm") &amp; "]",
"[Base].[Metrica]",
"[Base].[Metrica].&amp;[" &amp; $A9 &amp; "]",
"[Base].[SEGMENTO_DESCRIP]",
"[Base].[SEGMENTO_DESCRIP].&amp;[" &amp; $C$6 &amp; "]",
"[Base].[SITUACION]",
"[Base].[SITUACION].&amp;[" &amp; $C9 &amp; "]"
),0)/1000</f>
        <v>20458.455814000001</v>
      </c>
      <c r="W9" s="8">
        <f>IFERROR(
GETPIVOTDATA(
"[Base].[Importe]",
TDinamica_R!$A$5,
"[Calendario].[AñoMes]",
"[Calendario].[AñoMes].&amp;[" &amp; TEXT(W$6,"yyyymm") &amp; "]",
"[Base].[Metrica]",
"[Base].[Metrica].&amp;[" &amp; $A9 &amp; "]",
"[Base].[SEGMENTO_DESCRIP]",
"[Base].[SEGMENTO_DESCRIP].&amp;[" &amp; $C$6 &amp; "]",
"[Base].[SITUACION]",
"[Base].[SITUACION].&amp;[" &amp; $C9 &amp; "]"
),0)/1000</f>
        <v>20030.332649</v>
      </c>
      <c r="X9" s="8">
        <f>IFERROR(
GETPIVOTDATA(
"[Base].[Importe]",
TDinamica_R!$A$5,
"[Calendario].[AñoMes]",
"[Calendario].[AñoMes].&amp;[" &amp; TEXT(X$6,"yyyymm") &amp; "]",
"[Base].[Metrica]",
"[Base].[Metrica].&amp;[" &amp; $A9 &amp; "]",
"[Base].[SEGMENTO_DESCRIP]",
"[Base].[SEGMENTO_DESCRIP].&amp;[" &amp; $C$6 &amp; "]",
"[Base].[SITUACION]",
"[Base].[SITUACION].&amp;[" &amp; $C9 &amp; "]"
),0)/1000</f>
        <v>19607.758469</v>
      </c>
      <c r="Y9" s="8">
        <f>IFERROR(
GETPIVOTDATA(
"[Base].[Importe]",
TDinamica_R!$A$5,
"[Calendario].[AñoMes]",
"[Calendario].[AñoMes].&amp;[" &amp; TEXT(Y$6,"yyyymm") &amp; "]",
"[Base].[Metrica]",
"[Base].[Metrica].&amp;[" &amp; $A9 &amp; "]",
"[Base].[SEGMENTO_DESCRIP]",
"[Base].[SEGMENTO_DESCRIP].&amp;[" &amp; $C$6 &amp; "]",
"[Base].[SITUACION]",
"[Base].[SITUACION].&amp;[" &amp; $C9 &amp; "]"
),0)/1000</f>
        <v>19974.756081</v>
      </c>
      <c r="Z9" s="8">
        <f>IFERROR(
GETPIVOTDATA(
"[Base].[Importe]",
TDinamica_R!$A$5,
"[Calendario].[AñoMes]",
"[Calendario].[AñoMes].&amp;[" &amp; TEXT(Z$6,"yyyymm") &amp; "]",
"[Base].[Metrica]",
"[Base].[Metrica].&amp;[" &amp; $A9 &amp; "]",
"[Base].[SEGMENTO_DESCRIP]",
"[Base].[SEGMENTO_DESCRIP].&amp;[" &amp; $C$6 &amp; "]",
"[Base].[SITUACION]",
"[Base].[SITUACION].&amp;[" &amp; $C9 &amp; "]"
),0)/1000</f>
        <v>20060.528072999998</v>
      </c>
      <c r="AA9" s="8">
        <f>IFERROR(
GETPIVOTDATA(
"[Base].[Importe]",
TDinamica_R!$A$5,
"[Calendario].[AñoMes]",
"[Calendario].[AñoMes].&amp;[" &amp; TEXT(AA$6,"yyyymm") &amp; "]",
"[Base].[Metrica]",
"[Base].[Metrica].&amp;[" &amp; $A9 &amp; "]",
"[Base].[SEGMENTO_DESCRIP]",
"[Base].[SEGMENTO_DESCRIP].&amp;[" &amp; $C$6 &amp; "]",
"[Base].[SITUACION]",
"[Base].[SITUACION].&amp;[" &amp; $C9 &amp; "]"
),0)/1000</f>
        <v>19584.985657000001</v>
      </c>
      <c r="AB9" s="8">
        <f>IFERROR(
GETPIVOTDATA(
"[Base].[Importe]",
TDinamica_R!$A$5,
"[Calendario].[AñoMes]",
"[Calendario].[AñoMes].&amp;[" &amp; TEXT(AB$6,"yyyymm") &amp; "]",
"[Base].[Metrica]",
"[Base].[Metrica].&amp;[" &amp; $A9 &amp; "]",
"[Base].[SEGMENTO_DESCRIP]",
"[Base].[SEGMENTO_DESCRIP].&amp;[" &amp; $C$6 &amp; "]",
"[Base].[SITUACION]",
"[Base].[SITUACION].&amp;[" &amp; $C9 &amp; "]"
),0)/1000</f>
        <v>19294.818598000005</v>
      </c>
      <c r="AC9" s="8">
        <f>IFERROR(
GETPIVOTDATA(
"[Base].[Importe]",
TDinamica_R!$A$5,
"[Calendario].[AñoMes]",
"[Calendario].[AñoMes].&amp;[" &amp; TEXT(AC$6,"yyyymm") &amp; "]",
"[Base].[Metrica]",
"[Base].[Metrica].&amp;[" &amp; $A9 &amp; "]",
"[Base].[SEGMENTO_DESCRIP]",
"[Base].[SEGMENTO_DESCRIP].&amp;[" &amp; $C$6 &amp; "]",
"[Base].[SITUACION]",
"[Base].[SITUACION].&amp;[" &amp; $C9 &amp; "]"
),0)/1000</f>
        <v>18868.182244000003</v>
      </c>
      <c r="AD9" s="8">
        <f>IFERROR(
GETPIVOTDATA(
"[Base].[Importe]",
TDinamica_R!$A$5,
"[Calendario].[AñoMes]",
"[Calendario].[AñoMes].&amp;[" &amp; TEXT(AD$6,"yyyymm") &amp; "]",
"[Base].[Metrica]",
"[Base].[Metrica].&amp;[" &amp; $A9 &amp; "]",
"[Base].[SEGMENTO_DESCRIP]",
"[Base].[SEGMENTO_DESCRIP].&amp;[" &amp; $C$6 &amp; "]",
"[Base].[SITUACION]",
"[Base].[SITUACION].&amp;[" &amp; $C9 &amp; "]"
),0)/1000</f>
        <v>19478.901612999998</v>
      </c>
      <c r="AE9" s="8">
        <f>IFERROR(
GETPIVOTDATA(
"[Base].[Importe]",
TDinamica_R!$A$5,
"[Calendario].[AñoMes]",
"[Calendario].[AñoMes].&amp;[" &amp; TEXT(AE$6,"yyyymm") &amp; "]",
"[Base].[Metrica]",
"[Base].[Metrica].&amp;[" &amp; $A9 &amp; "]",
"[Base].[SEGMENTO_DESCRIP]",
"[Base].[SEGMENTO_DESCRIP].&amp;[" &amp; $C$6 &amp; "]",
"[Base].[SITUACION]",
"[Base].[SITUACION].&amp;[" &amp; $C9 &amp; "]"
),0)/1000</f>
        <v>19714.438600999998</v>
      </c>
      <c r="AF9" s="8">
        <f>IFERROR(
GETPIVOTDATA(
"[Base].[Importe]",
TDinamica_R!$A$5,
"[Calendario].[AñoMes]",
"[Calendario].[AñoMes].&amp;[" &amp; TEXT(AF$6,"yyyymm") &amp; "]",
"[Base].[Metrica]",
"[Base].[Metrica].&amp;[" &amp; $A9 &amp; "]",
"[Base].[SEGMENTO_DESCRIP]",
"[Base].[SEGMENTO_DESCRIP].&amp;[" &amp; $C$6 &amp; "]",
"[Base].[SITUACION]",
"[Base].[SITUACION].&amp;[" &amp; $C9 &amp; "]"
),0)/1000</f>
        <v>19433.357567999999</v>
      </c>
      <c r="AG9" s="8">
        <f>IFERROR(
GETPIVOTDATA(
"[Base].[Importe]",
TDinamica_R!$A$5,
"[Calendario].[AñoMes]",
"[Calendario].[AñoMes].&amp;[" &amp; TEXT(AG$6,"yyyymm") &amp; "]",
"[Base].[Metrica]",
"[Base].[Metrica].&amp;[" &amp; $A9 &amp; "]",
"[Base].[SEGMENTO_DESCRIP]",
"[Base].[SEGMENTO_DESCRIP].&amp;[" &amp; $C$6 &amp; "]",
"[Base].[SITUACION]",
"[Base].[SITUACION].&amp;[" &amp; $C9 &amp; "]"
),0)/1000</f>
        <v>19920.687351</v>
      </c>
      <c r="AH9" s="8">
        <f>IFERROR(
GETPIVOTDATA(
"[Base].[Importe]",
TDinamica_R!$A$5,
"[Calendario].[AñoMes]",
"[Calendario].[AñoMes].&amp;[" &amp; TEXT(AH$6,"yyyymm") &amp; "]",
"[Base].[Metrica]",
"[Base].[Metrica].&amp;[" &amp; $A9 &amp; "]",
"[Base].[SEGMENTO_DESCRIP]",
"[Base].[SEGMENTO_DESCRIP].&amp;[" &amp; $C$6 &amp; "]",
"[Base].[SITUACION]",
"[Base].[SITUACION].&amp;[" &amp; $C9 &amp; "]"
),0)/1000</f>
        <v>19846.426826999999</v>
      </c>
      <c r="AI9" s="8">
        <f>IFERROR(
GETPIVOTDATA(
"[Base].[Importe]",
TDinamica_R!$A$5,
"[Calendario].[AñoMes]",
"[Calendario].[AñoMes].&amp;[" &amp; TEXT(AI$6,"yyyymm") &amp; "]",
"[Base].[Metrica]",
"[Base].[Metrica].&amp;[" &amp; $A9 &amp; "]",
"[Base].[SEGMENTO_DESCRIP]",
"[Base].[SEGMENTO_DESCRIP].&amp;[" &amp; $C$6 &amp; "]",
"[Base].[SITUACION]",
"[Base].[SITUACION].&amp;[" &amp; $C9 &amp; "]"
),0)/1000</f>
        <v>19868.650870999998</v>
      </c>
      <c r="AJ9" s="8">
        <f>IFERROR(
GETPIVOTDATA(
"[Base].[Importe]",
TDinamica_R!$A$5,
"[Calendario].[AñoMes]",
"[Calendario].[AñoMes].&amp;[" &amp; TEXT(AJ$6,"yyyymm") &amp; "]",
"[Base].[Metrica]",
"[Base].[Metrica].&amp;[" &amp; $A9 &amp; "]",
"[Base].[SEGMENTO_DESCRIP]",
"[Base].[SEGMENTO_DESCRIP].&amp;[" &amp; $C$6 &amp; "]",
"[Base].[SITUACION]",
"[Base].[SITUACION].&amp;[" &amp; $C9 &amp; "]"
),0)/1000</f>
        <v>20609.9012262</v>
      </c>
      <c r="AK9" s="8">
        <f>IFERROR(
GETPIVOTDATA(
"[Base].[Importe]",
TDinamica_R!$A$5,
"[Calendario].[AñoMes]",
"[Calendario].[AñoMes].&amp;[" &amp; TEXT(AK$6,"yyyymm") &amp; "]",
"[Base].[Metrica]",
"[Base].[Metrica].&amp;[" &amp; $A9 &amp; "]",
"[Base].[SEGMENTO_DESCRIP]",
"[Base].[SEGMENTO_DESCRIP].&amp;[" &amp; $C$6 &amp; "]",
"[Base].[SITUACION]",
"[Base].[SITUACION].&amp;[" &amp; $C9 &amp; "]"
),0)/1000</f>
        <v>20460.520418799999</v>
      </c>
      <c r="AL9" s="8">
        <f>IFERROR(
GETPIVOTDATA(
"[Base].[Importe]",
TDinamica_R!$A$5,
"[Calendario].[AñoMes]",
"[Calendario].[AñoMes].&amp;[" &amp; TEXT(AL$6,"yyyymm") &amp; "]",
"[Base].[Metrica]",
"[Base].[Metrica].&amp;[" &amp; $A9 &amp; "]",
"[Base].[SEGMENTO_DESCRIP]",
"[Base].[SEGMENTO_DESCRIP].&amp;[" &amp; $C$6 &amp; "]",
"[Base].[SITUACION]",
"[Base].[SITUACION].&amp;[" &amp; $C9 &amp; "]"
),0)/1000</f>
        <v>21048.008719999998</v>
      </c>
      <c r="AM9" s="8">
        <f>IFERROR(
GETPIVOTDATA(
"[Base].[Importe]",
TDinamica_R!$A$5,
"[Calendario].[AñoMes]",
"[Calendario].[AñoMes].&amp;[" &amp; TEXT(AM$6,"yyyymm") &amp; "]",
"[Base].[Metrica]",
"[Base].[Metrica].&amp;[" &amp; $A9 &amp; "]",
"[Base].[SEGMENTO_DESCRIP]",
"[Base].[SEGMENTO_DESCRIP].&amp;[" &amp; $C$6 &amp; "]",
"[Base].[SITUACION]",
"[Base].[SITUACION].&amp;[" &amp; $C9 &amp; "]"
),0)/1000</f>
        <v>21873.1282445</v>
      </c>
      <c r="AN9" s="8">
        <f>IFERROR(
GETPIVOTDATA(
"[Base].[Importe]",
TDinamica_R!$A$5,
"[Calendario].[AñoMes]",
"[Calendario].[AñoMes].&amp;[" &amp; TEXT(AN$6,"yyyymm") &amp; "]",
"[Base].[Metrica]",
"[Base].[Metrica].&amp;[" &amp; $A9 &amp; "]",
"[Base].[SEGMENTO_DESCRIP]",
"[Base].[SEGMENTO_DESCRIP].&amp;[" &amp; $C$6 &amp; "]",
"[Base].[SITUACION]",
"[Base].[SITUACION].&amp;[" &amp; $C9 &amp; "]"
),0)/1000</f>
        <v>22317.119999999999</v>
      </c>
      <c r="AO9" s="8">
        <f>IFERROR(
GETPIVOTDATA(
"[Base].[Importe]",
TDinamica_R!$A$5,
"[Calendario].[AñoMes]",
"[Calendario].[AñoMes].&amp;[" &amp; TEXT(AO$6,"yyyymm") &amp; "]",
"[Base].[Metrica]",
"[Base].[Metrica].&amp;[" &amp; $A9 &amp; "]",
"[Base].[SEGMENTO_DESCRIP]",
"[Base].[SEGMENTO_DESCRIP].&amp;[" &amp; $C$6 &amp; "]",
"[Base].[SITUACION]",
"[Base].[SITUACION].&amp;[" &amp; $C9 &amp; "]"
),0)/1000</f>
        <v>23350.05</v>
      </c>
      <c r="AP9" s="8">
        <f>IFERROR(
GETPIVOTDATA(
"[Base].[Importe]",
TDinamica_R!$A$5,
"[Calendario].[AñoMes]",
"[Calendario].[AñoMes].&amp;[" &amp; TEXT(AP$6,"yyyymm") &amp; "]",
"[Base].[Metrica]",
"[Base].[Metrica].&amp;[" &amp; $A9 &amp; "]",
"[Base].[SEGMENTO_DESCRIP]",
"[Base].[SEGMENTO_DESCRIP].&amp;[" &amp; $C$6 &amp; "]",
"[Base].[SITUACION]",
"[Base].[SITUACION].&amp;[" &amp; $C9 &amp; "]"
),0)/1000</f>
        <v>23338.46</v>
      </c>
      <c r="AQ9" s="8">
        <f>IFERROR(
GETPIVOTDATA(
"[Base].[Importe]",
TDinamica_R!$A$5,
"[Calendario].[AñoMes]",
"[Calendario].[AñoMes].&amp;[" &amp; TEXT(AQ$6,"yyyymm") &amp; "]",
"[Base].[Metrica]",
"[Base].[Metrica].&amp;[" &amp; $A9 &amp; "]",
"[Base].[SEGMENTO_DESCRIP]",
"[Base].[SEGMENTO_DESCRIP].&amp;[" &amp; $C$6 &amp; "]",
"[Base].[SITUACION]",
"[Base].[SITUACION].&amp;[" &amp; $C9 &amp; "]"
),0)/1000</f>
        <v>23575.752481889998</v>
      </c>
      <c r="AR9" s="8">
        <f>IFERROR(
GETPIVOTDATA(
"[Base].[Importe]",
TDinamica_R!$A$5,
"[Calendario].[AñoMes]",
"[Calendario].[AñoMes].&amp;[" &amp; TEXT(AR$6,"yyyymm") &amp; "]",
"[Base].[Metrica]",
"[Base].[Metrica].&amp;[" &amp; $A9 &amp; "]",
"[Base].[SEGMENTO_DESCRIP]",
"[Base].[SEGMENTO_DESCRIP].&amp;[" &amp; $C$6 &amp; "]",
"[Base].[SITUACION]",
"[Base].[SITUACION].&amp;[" &amp; $C9 &amp; "]"
),0)/1000</f>
        <v>23689.738167399992</v>
      </c>
      <c r="AS9" s="8">
        <f>IFERROR(
GETPIVOTDATA(
"[Base].[Importe]",
TDinamica_R!$A$5,
"[Calendario].[AñoMes]",
"[Calendario].[AñoMes].&amp;[" &amp; TEXT(AS$6,"yyyymm") &amp; "]",
"[Base].[Metrica]",
"[Base].[Metrica].&amp;[" &amp; $A9 &amp; "]",
"[Base].[SEGMENTO_DESCRIP]",
"[Base].[SEGMENTO_DESCRIP].&amp;[" &amp; $C$6 &amp; "]",
"[Base].[SITUACION]",
"[Base].[SITUACION].&amp;[" &amp; $C9 &amp; "]"
),0)/1000</f>
        <v>23746.994672399996</v>
      </c>
      <c r="AT9" s="8">
        <f>IFERROR(
GETPIVOTDATA(
"[Base].[Importe]",
TDinamica_R!$A$5,
"[Calendario].[AñoMes]",
"[Calendario].[AñoMes].&amp;[" &amp; TEXT(AT$6,"yyyymm")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U9" s="8">
        <f>IFERROR(
GETPIVOTDATA(
"[Base].[Importe]",
TDinamica_R!$A$5,
"[Calendario].[AñoMes]",
"[Calendario].[AñoMes].&amp;[" &amp; TEXT(AU$6,"yyyymm")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V9" s="8">
        <f>IFERROR(
GETPIVOTDATA(
"[Base].[Importe]",
TDinamica_R!$A$5,
"[Calendario].[AñoMes]",
"[Calendario].[AñoMes].&amp;[" &amp; TEXT(AV$6,"yyyymm")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W9" s="8">
        <f>IFERROR(
GETPIVOTDATA(
"[Base].[Importe]",
TDinamica_R!$A$5,
"[Calendario].[AñoMes]",
"[Calendario].[AñoMes].&amp;[" &amp; TEXT(AW$6,"yyyymm")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X9" s="8">
        <f>IFERROR(
GETPIVOTDATA(
"[Base].[Importe]",
TDinamica_R!$A$5,
"[Calendario].[AñoMes]",
"[Calendario].[AñoMes].&amp;[" &amp; TEXT(AX$6,"yyyymm")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Y9" s="8">
        <f>IFERROR(
GETPIVOTDATA(
"[Base].[Importe]",
TDinamica_R!$A$5,
"[Calendario].[AñoMes]",
"[Calendario].[AñoMes].&amp;[" &amp; TEXT(AY$6,"yyyymm")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Z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"[BASE_HIPO_PPTO].[Periodo]","[BASE_HIPO_PPTO].[Periodo].&amp;["&amp;TEXT(AZ$6,"yyyymm")&amp;"]"),
0)/1000</f>
        <v>19476.124690575998</v>
      </c>
      <c r="BA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"[BASE_HIPO_PPTO].[Periodo]","[BASE_HIPO_PPTO].[Periodo].&amp;["&amp;TEXT(BA$6,"yyyymm")&amp;"]"),
0)/1000</f>
        <v>19260.821754807654</v>
      </c>
      <c r="BB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"[BASE_HIPO_PPTO].[Periodo]","[BASE_HIPO_PPTO].[Periodo].&amp;["&amp;TEXT(BB$6,"yyyymm")&amp;"]"),
0)/1000</f>
        <v>19555.703718908782</v>
      </c>
      <c r="BC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"[BASE_HIPO_PPTO].[Periodo]","[BASE_HIPO_PPTO].[Periodo].&amp;["&amp;TEXT(BC$6,"yyyymm")&amp;"]"),
0)/1000</f>
        <v>19667.978209213477</v>
      </c>
      <c r="BD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"[BASE_HIPO_PPTO].[Periodo]","[BASE_HIPO_PPTO].[Periodo].&amp;["&amp;TEXT(BD$6,"yyyymm")&amp;"]"),
0)/1000</f>
        <v>19518.544461426682</v>
      </c>
      <c r="BE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"[BASE_HIPO_PPTO].[Periodo]","[BASE_HIPO_PPTO].[Periodo].&amp;["&amp;TEXT(BE$6,"yyyymm")&amp;"]"),
0)/1000</f>
        <v>19757.207295286698</v>
      </c>
      <c r="BF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"[BASE_HIPO_PPTO].[Periodo]","[BASE_HIPO_PPTO].[Periodo].&amp;["&amp;TEXT(BF$6,"yyyymm")&amp;"]"),
0)/1000</f>
        <v>19715.817655805593</v>
      </c>
      <c r="BG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"[BASE_HIPO_PPTO].[Periodo]","[BASE_HIPO_PPTO].[Periodo].&amp;["&amp;TEXT(BG$6,"yyyymm")&amp;"]"),
0)/1000</f>
        <v>19723.769397481385</v>
      </c>
      <c r="BH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"[BASE_HIPO_PPTO].[Periodo]","[BASE_HIPO_PPTO].[Periodo].&amp;["&amp;TEXT(BH$6,"yyyymm")&amp;"]"),
0)/1000</f>
        <v>19616.046758492266</v>
      </c>
      <c r="BI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"[BASE_HIPO_PPTO].[Periodo]","[BASE_HIPO_PPTO].[Periodo].&amp;["&amp;TEXT(BI$6,"yyyymm")&amp;"]"),
0)/1000</f>
        <v>19698.153564450029</v>
      </c>
      <c r="BJ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"[BASE_HIPO_PPTO].[Periodo]","[BASE_HIPO_PPTO].[Periodo].&amp;["&amp;TEXT(BJ$6,"yyyymm")&amp;"]"),
0)/1000</f>
        <v>19713.625914508957</v>
      </c>
      <c r="BK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"[BASE_HIPO_PPTO].[Periodo]","[BASE_HIPO_PPTO].[Periodo].&amp;["&amp;TEXT(BK$6,"yyyymm")&amp;"]"),
0)/1000</f>
        <v>19588.250455376041</v>
      </c>
      <c r="BO9" s="24">
        <f t="shared" si="4"/>
        <v>23338.46</v>
      </c>
      <c r="BP9" s="24">
        <f t="shared" ref="BP9:BP10" si="6">_xlfn.XLOOKUP(BP$6,$D$6:$BM$6,$D9:$BM9,,0,-1)</f>
        <v>19555.703718908782</v>
      </c>
      <c r="BQ9" s="24">
        <f t="shared" si="5"/>
        <v>23350.05</v>
      </c>
      <c r="BR9" s="24">
        <f t="shared" si="5"/>
        <v>19478.901612999998</v>
      </c>
      <c r="BS9" s="24">
        <f t="shared" si="5"/>
        <v>20909.542734999999</v>
      </c>
      <c r="BT9" s="24">
        <f t="shared" si="5"/>
        <v>25405.816314999996</v>
      </c>
    </row>
    <row r="10" spans="1:81" ht="14.45" hidden="1" customHeight="1" outlineLevel="1" x14ac:dyDescent="0.25">
      <c r="A10" s="11" t="s">
        <v>51</v>
      </c>
      <c r="C10" s="2" t="s">
        <v>45</v>
      </c>
      <c r="D10" s="8">
        <f>IFERROR(
GETPIVOTDATA(
"[Base].[Importe]",
TDinamica_R!$A$5,
"[Calendario].[AñoMes]",
"[Calendario].[AñoMes].&amp;[" &amp; TEXT(D$6,"yyyymm") &amp; "]",
"[Base].[Metrica]",
"[Base].[Metrica].&amp;[" &amp; $A10 &amp; "]",
"[Base].[SEGMENTO_DESCRIP]",
"[Base].[SEGMENTO_DESCRIP].&amp;[" &amp; $C$6 &amp; "]",
"[Base].[SITUACION]",
"[Base].[SITUACION].&amp;[" &amp; $C10 &amp; "]"
),0)/1000</f>
        <v>213145.94235053999</v>
      </c>
      <c r="E10" s="8">
        <f>IFERROR(
GETPIVOTDATA(
"[Base].[Importe]",
TDinamica_R!$A$5,
"[Calendario].[AñoMes]",
"[Calendario].[AñoMes].&amp;[" &amp; TEXT(E$6,"yyyymm") &amp; "]",
"[Base].[Metrica]",
"[Base].[Metrica].&amp;[" &amp; $A10 &amp; "]",
"[Base].[SEGMENTO_DESCRIP]",
"[Base].[SEGMENTO_DESCRIP].&amp;[" &amp; $C$6 &amp; "]",
"[Base].[SITUACION]",
"[Base].[SITUACION].&amp;[" &amp; $C10 &amp; "]"
),0)/1000</f>
        <v>214812.79473607996</v>
      </c>
      <c r="F10" s="8">
        <f>IFERROR(
GETPIVOTDATA(
"[Base].[Importe]",
TDinamica_R!$A$5,
"[Calendario].[AñoMes]",
"[Calendario].[AñoMes].&amp;[" &amp; TEXT(F$6,"yyyymm") &amp; "]",
"[Base].[Metrica]",
"[Base].[Metrica].&amp;[" &amp; $A10 &amp; "]",
"[Base].[SEGMENTO_DESCRIP]",
"[Base].[SEGMENTO_DESCRIP].&amp;[" &amp; $C$6 &amp; "]",
"[Base].[SITUACION]",
"[Base].[SITUACION].&amp;[" &amp; $C10 &amp; "]"
),0)/1000</f>
        <v>219003.37826310002</v>
      </c>
      <c r="G10" s="8">
        <f>IFERROR(
GETPIVOTDATA(
"[Base].[Importe]",
TDinamica_R!$A$5,
"[Calendario].[AñoMes]",
"[Calendario].[AñoMes].&amp;[" &amp; TEXT(G$6,"yyyymm") &amp; "]",
"[Base].[Metrica]",
"[Base].[Metrica].&amp;[" &amp; $A10 &amp; "]",
"[Base].[SEGMENTO_DESCRIP]",
"[Base].[SEGMENTO_DESCRIP].&amp;[" &amp; $C$6 &amp; "]",
"[Base].[SITUACION]",
"[Base].[SITUACION].&amp;[" &amp; $C10 &amp; "]"
),0)/1000</f>
        <v>218755.99715345004</v>
      </c>
      <c r="H10" s="8">
        <f>IFERROR(
GETPIVOTDATA(
"[Base].[Importe]",
TDinamica_R!$A$5,
"[Calendario].[AñoMes]",
"[Calendario].[AñoMes].&amp;[" &amp; TEXT(H$6,"yyyymm") &amp; "]",
"[Base].[Metrica]",
"[Base].[Metrica].&amp;[" &amp; $A10 &amp; "]",
"[Base].[SEGMENTO_DESCRIP]",
"[Base].[SEGMENTO_DESCRIP].&amp;[" &amp; $C$6 &amp; "]",
"[Base].[SITUACION]",
"[Base].[SITUACION].&amp;[" &amp; $C10 &amp; "]"
),0)/1000</f>
        <v>230684.40091640994</v>
      </c>
      <c r="I10" s="8">
        <f>IFERROR(
GETPIVOTDATA(
"[Base].[Importe]",
TDinamica_R!$A$5,
"[Calendario].[AñoMes]",
"[Calendario].[AñoMes].&amp;[" &amp; TEXT(I$6,"yyyymm") &amp; "]",
"[Base].[Metrica]",
"[Base].[Metrica].&amp;[" &amp; $A10 &amp; "]",
"[Base].[SEGMENTO_DESCRIP]",
"[Base].[SEGMENTO_DESCRIP].&amp;[" &amp; $C$6 &amp; "]",
"[Base].[SITUACION]",
"[Base].[SITUACION].&amp;[" &amp; $C10 &amp; "]"
),0)/1000</f>
        <v>230971.80298675998</v>
      </c>
      <c r="J10" s="8">
        <f>IFERROR(
GETPIVOTDATA(
"[Base].[Importe]",
TDinamica_R!$A$5,
"[Calendario].[AñoMes]",
"[Calendario].[AñoMes].&amp;[" &amp; TEXT(J$6,"yyyymm") &amp; "]",
"[Base].[Metrica]",
"[Base].[Metrica].&amp;[" &amp; $A10 &amp; "]",
"[Base].[SEGMENTO_DESCRIP]",
"[Base].[SEGMENTO_DESCRIP].&amp;[" &amp; $C$6 &amp; "]",
"[Base].[SITUACION]",
"[Base].[SITUACION].&amp;[" &amp; $C10 &amp; "]"
),0)/1000</f>
        <v>231280.46156833999</v>
      </c>
      <c r="K10" s="8">
        <f>IFERROR(
GETPIVOTDATA(
"[Base].[Importe]",
TDinamica_R!$A$5,
"[Calendario].[AñoMes]",
"[Calendario].[AñoMes].&amp;[" &amp; TEXT(K$6,"yyyymm") &amp; "]",
"[Base].[Metrica]",
"[Base].[Metrica].&amp;[" &amp; $A10 &amp; "]",
"[Base].[SEGMENTO_DESCRIP]",
"[Base].[SEGMENTO_DESCRIP].&amp;[" &amp; $C$6 &amp; "]",
"[Base].[SITUACION]",
"[Base].[SITUACION].&amp;[" &amp; $C10 &amp; "]"
),0)/1000</f>
        <v>234369.23983765001</v>
      </c>
      <c r="L10" s="8">
        <f>IFERROR(
GETPIVOTDATA(
"[Base].[Importe]",
TDinamica_R!$A$5,
"[Calendario].[AñoMes]",
"[Calendario].[AñoMes].&amp;[" &amp; TEXT(L$6,"yyyymm") &amp; "]",
"[Base].[Metrica]",
"[Base].[Metrica].&amp;[" &amp; $A10 &amp; "]",
"[Base].[SEGMENTO_DESCRIP]",
"[Base].[SEGMENTO_DESCRIP].&amp;[" &amp; $C$6 &amp; "]",
"[Base].[SITUACION]",
"[Base].[SITUACION].&amp;[" &amp; $C10 &amp; "]"
),0)/1000</f>
        <v>236668.20871467001</v>
      </c>
      <c r="M10" s="8">
        <f>IFERROR(
GETPIVOTDATA(
"[Base].[Importe]",
TDinamica_R!$A$5,
"[Calendario].[AñoMes]",
"[Calendario].[AñoMes].&amp;[" &amp; TEXT(M$6,"yyyymm") &amp; "]",
"[Base].[Metrica]",
"[Base].[Metrica].&amp;[" &amp; $A10 &amp; "]",
"[Base].[SEGMENTO_DESCRIP]",
"[Base].[SEGMENTO_DESCRIP].&amp;[" &amp; $C$6 &amp; "]",
"[Base].[SITUACION]",
"[Base].[SITUACION].&amp;[" &amp; $C10 &amp; "]"
),0)/1000</f>
        <v>244194.62908469999</v>
      </c>
      <c r="N10" s="8">
        <f>IFERROR(
GETPIVOTDATA(
"[Base].[Importe]",
TDinamica_R!$A$5,
"[Calendario].[AñoMes]",
"[Calendario].[AñoMes].&amp;[" &amp; TEXT(N$6,"yyyymm") &amp; "]",
"[Base].[Metrica]",
"[Base].[Metrica].&amp;[" &amp; $A10 &amp; "]",
"[Base].[SEGMENTO_DESCRIP]",
"[Base].[SEGMENTO_DESCRIP].&amp;[" &amp; $C$6 &amp; "]",
"[Base].[SITUACION]",
"[Base].[SITUACION].&amp;[" &amp; $C10 &amp; "]"
),0)/1000</f>
        <v>250486.21898534003</v>
      </c>
      <c r="O10" s="8">
        <f>IFERROR(
GETPIVOTDATA(
"[Base].[Importe]",
TDinamica_R!$A$5,
"[Calendario].[AñoMes]",
"[Calendario].[AñoMes].&amp;[" &amp; TEXT(O$6,"yyyymm") &amp; "]",
"[Base].[Metrica]",
"[Base].[Metrica].&amp;[" &amp; $A10 &amp; "]",
"[Base].[SEGMENTO_DESCRIP]",
"[Base].[SEGMENTO_DESCRIP].&amp;[" &amp; $C$6 &amp; "]",
"[Base].[SITUACION]",
"[Base].[SITUACION].&amp;[" &amp; $C10 &amp; "]"
),0)/1000</f>
        <v>243436.79735393997</v>
      </c>
      <c r="P10" s="8">
        <f>IFERROR(
GETPIVOTDATA(
"[Base].[Importe]",
TDinamica_R!$A$5,
"[Calendario].[AñoMes]",
"[Calendario].[AñoMes].&amp;[" &amp; TEXT(P$6,"yyyymm") &amp; "]",
"[Base].[Metrica]",
"[Base].[Metrica].&amp;[" &amp; $A10 &amp; "]",
"[Base].[SEGMENTO_DESCRIP]",
"[Base].[SEGMENTO_DESCRIP].&amp;[" &amp; $C$6 &amp; "]",
"[Base].[SITUACION]",
"[Base].[SITUACION].&amp;[" &amp; $C10 &amp; "]"
),0)/1000</f>
        <v>261563.40480737999</v>
      </c>
      <c r="Q10" s="8">
        <f>IFERROR(
GETPIVOTDATA(
"[Base].[Importe]",
TDinamica_R!$A$5,
"[Calendario].[AñoMes]",
"[Calendario].[AñoMes].&amp;[" &amp; TEXT(Q$6,"yyyymm") &amp; "]",
"[Base].[Metrica]",
"[Base].[Metrica].&amp;[" &amp; $A10 &amp; "]",
"[Base].[SEGMENTO_DESCRIP]",
"[Base].[SEGMENTO_DESCRIP].&amp;[" &amp; $C$6 &amp; "]",
"[Base].[SITUACION]",
"[Base].[SITUACION].&amp;[" &amp; $C10 &amp; "]"
),0)/1000</f>
        <v>265483.73758799996</v>
      </c>
      <c r="R10" s="8">
        <f>IFERROR(
GETPIVOTDATA(
"[Base].[Importe]",
TDinamica_R!$A$5,
"[Calendario].[AñoMes]",
"[Calendario].[AñoMes].&amp;[" &amp; TEXT(R$6,"yyyymm") &amp; "]",
"[Base].[Metrica]",
"[Base].[Metrica].&amp;[" &amp; $A10 &amp; "]",
"[Base].[SEGMENTO_DESCRIP]",
"[Base].[SEGMENTO_DESCRIP].&amp;[" &amp; $C$6 &amp; "]",
"[Base].[SITUACION]",
"[Base].[SITUACION].&amp;[" &amp; $C10 &amp; "]"
),0)/1000</f>
        <v>255199.09347135993</v>
      </c>
      <c r="S10" s="8">
        <f>IFERROR(
GETPIVOTDATA(
"[Base].[Importe]",
TDinamica_R!$A$5,
"[Calendario].[AñoMes]",
"[Calendario].[AñoMes].&amp;[" &amp; TEXT(S$6,"yyyymm") &amp; "]",
"[Base].[Metrica]",
"[Base].[Metrica].&amp;[" &amp; $A10 &amp; "]",
"[Base].[SEGMENTO_DESCRIP]",
"[Base].[SEGMENTO_DESCRIP].&amp;[" &amp; $C$6 &amp; "]",
"[Base].[SITUACION]",
"[Base].[SITUACION].&amp;[" &amp; $C10 &amp; "]"
),0)/1000</f>
        <v>278811.12189243006</v>
      </c>
      <c r="T10" s="8">
        <f>IFERROR(
GETPIVOTDATA(
"[Base].[Importe]",
TDinamica_R!$A$5,
"[Calendario].[AñoMes]",
"[Calendario].[AñoMes].&amp;[" &amp; TEXT(T$6,"yyyymm") &amp; "]",
"[Base].[Metrica]",
"[Base].[Metrica].&amp;[" &amp; $A10 &amp; "]",
"[Base].[SEGMENTO_DESCRIP]",
"[Base].[SEGMENTO_DESCRIP].&amp;[" &amp; $C$6 &amp; "]",
"[Base].[SITUACION]",
"[Base].[SITUACION].&amp;[" &amp; $C10 &amp; "]"
),0)/1000</f>
        <v>283827.46714477998</v>
      </c>
      <c r="U10" s="8">
        <f>IFERROR(
GETPIVOTDATA(
"[Base].[Importe]",
TDinamica_R!$A$5,
"[Calendario].[AñoMes]",
"[Calendario].[AñoMes].&amp;[" &amp; TEXT(U$6,"yyyymm") &amp; "]",
"[Base].[Metrica]",
"[Base].[Metrica].&amp;[" &amp; $A10 &amp; "]",
"[Base].[SEGMENTO_DESCRIP]",
"[Base].[SEGMENTO_DESCRIP].&amp;[" &amp; $C$6 &amp; "]",
"[Base].[SITUACION]",
"[Base].[SITUACION].&amp;[" &amp; $C10 &amp; "]"
),0)/1000</f>
        <v>279451.73998049996</v>
      </c>
      <c r="V10" s="8">
        <f>IFERROR(
GETPIVOTDATA(
"[Base].[Importe]",
TDinamica_R!$A$5,
"[Calendario].[AñoMes]",
"[Calendario].[AñoMes].&amp;[" &amp; TEXT(V$6,"yyyymm") &amp; "]",
"[Base].[Metrica]",
"[Base].[Metrica].&amp;[" &amp; $A10 &amp; "]",
"[Base].[SEGMENTO_DESCRIP]",
"[Base].[SEGMENTO_DESCRIP].&amp;[" &amp; $C$6 &amp; "]",
"[Base].[SITUACION]",
"[Base].[SITUACION].&amp;[" &amp; $C10 &amp; "]"
),0)/1000</f>
        <v>273995.89151582005</v>
      </c>
      <c r="W10" s="8">
        <f>IFERROR(
GETPIVOTDATA(
"[Base].[Importe]",
TDinamica_R!$A$5,
"[Calendario].[AñoMes]",
"[Calendario].[AñoMes].&amp;[" &amp; TEXT(W$6,"yyyymm") &amp; "]",
"[Base].[Metrica]",
"[Base].[Metrica].&amp;[" &amp; $A10 &amp; "]",
"[Base].[SEGMENTO_DESCRIP]",
"[Base].[SEGMENTO_DESCRIP].&amp;[" &amp; $C$6 &amp; "]",
"[Base].[SITUACION]",
"[Base].[SITUACION].&amp;[" &amp; $C10 &amp; "]"
),0)/1000</f>
        <v>267556.97280251997</v>
      </c>
      <c r="X10" s="8">
        <f>IFERROR(
GETPIVOTDATA(
"[Base].[Importe]",
TDinamica_R!$A$5,
"[Calendario].[AñoMes]",
"[Calendario].[AñoMes].&amp;[" &amp; TEXT(X$6,"yyyymm") &amp; "]",
"[Base].[Metrica]",
"[Base].[Metrica].&amp;[" &amp; $A10 &amp; "]",
"[Base].[SEGMENTO_DESCRIP]",
"[Base].[SEGMENTO_DESCRIP].&amp;[" &amp; $C$6 &amp; "]",
"[Base].[SITUACION]",
"[Base].[SITUACION].&amp;[" &amp; $C10 &amp; "]"
),0)/1000</f>
        <v>271004.77059370006</v>
      </c>
      <c r="Y10" s="8">
        <f>IFERROR(
GETPIVOTDATA(
"[Base].[Importe]",
TDinamica_R!$A$5,
"[Calendario].[AñoMes]",
"[Calendario].[AñoMes].&amp;[" &amp; TEXT(Y$6,"yyyymm") &amp; "]",
"[Base].[Metrica]",
"[Base].[Metrica].&amp;[" &amp; $A10 &amp; "]",
"[Base].[SEGMENTO_DESCRIP]",
"[Base].[SEGMENTO_DESCRIP].&amp;[" &amp; $C$6 &amp; "]",
"[Base].[SITUACION]",
"[Base].[SITUACION].&amp;[" &amp; $C10 &amp; "]"
),0)/1000</f>
        <v>280333.88659160002</v>
      </c>
      <c r="Z10" s="8">
        <f>IFERROR(
GETPIVOTDATA(
"[Base].[Importe]",
TDinamica_R!$A$5,
"[Calendario].[AñoMes]",
"[Calendario].[AñoMes].&amp;[" &amp; TEXT(Z$6,"yyyymm") &amp; "]",
"[Base].[Metrica]",
"[Base].[Metrica].&amp;[" &amp; $A10 &amp; "]",
"[Base].[SEGMENTO_DESCRIP]",
"[Base].[SEGMENTO_DESCRIP].&amp;[" &amp; $C$6 &amp; "]",
"[Base].[SITUACION]",
"[Base].[SITUACION].&amp;[" &amp; $C10 &amp; "]"
),0)/1000</f>
        <v>284623.94573436002</v>
      </c>
      <c r="AA10" s="8">
        <f>IFERROR(
GETPIVOTDATA(
"[Base].[Importe]",
TDinamica_R!$A$5,
"[Calendario].[AñoMes]",
"[Calendario].[AñoMes].&amp;[" &amp; TEXT(AA$6,"yyyymm") &amp; "]",
"[Base].[Metrica]",
"[Base].[Metrica].&amp;[" &amp; $A10 &amp; "]",
"[Base].[SEGMENTO_DESCRIP]",
"[Base].[SEGMENTO_DESCRIP].&amp;[" &amp; $C$6 &amp; "]",
"[Base].[SITUACION]",
"[Base].[SITUACION].&amp;[" &amp; $C10 &amp; "]"
),0)/1000</f>
        <v>288057.83032598003</v>
      </c>
      <c r="AB10" s="8">
        <f>IFERROR(
GETPIVOTDATA(
"[Base].[Importe]",
TDinamica_R!$A$5,
"[Calendario].[AñoMes]",
"[Calendario].[AñoMes].&amp;[" &amp; TEXT(AB$6,"yyyymm") &amp; "]",
"[Base].[Metrica]",
"[Base].[Metrica].&amp;[" &amp; $A10 &amp; "]",
"[Base].[SEGMENTO_DESCRIP]",
"[Base].[SEGMENTO_DESCRIP].&amp;[" &amp; $C$6 &amp; "]",
"[Base].[SITUACION]",
"[Base].[SITUACION].&amp;[" &amp; $C10 &amp; "]"
),0)/1000</f>
        <v>290223.15880239999</v>
      </c>
      <c r="AC10" s="8">
        <f>IFERROR(
GETPIVOTDATA(
"[Base].[Importe]",
TDinamica_R!$A$5,
"[Calendario].[AñoMes]",
"[Calendario].[AñoMes].&amp;[" &amp; TEXT(AC$6,"yyyymm") &amp; "]",
"[Base].[Metrica]",
"[Base].[Metrica].&amp;[" &amp; $A10 &amp; "]",
"[Base].[SEGMENTO_DESCRIP]",
"[Base].[SEGMENTO_DESCRIP].&amp;[" &amp; $C$6 &amp; "]",
"[Base].[SITUACION]",
"[Base].[SITUACION].&amp;[" &amp; $C10 &amp; "]"
),0)/1000</f>
        <v>282949.38987248001</v>
      </c>
      <c r="AD10" s="8">
        <f>IFERROR(
GETPIVOTDATA(
"[Base].[Importe]",
TDinamica_R!$A$5,
"[Calendario].[AñoMes]",
"[Calendario].[AñoMes].&amp;[" &amp; TEXT(AD$6,"yyyymm") &amp; "]",
"[Base].[Metrica]",
"[Base].[Metrica].&amp;[" &amp; $A10 &amp; "]",
"[Base].[SEGMENTO_DESCRIP]",
"[Base].[SEGMENTO_DESCRIP].&amp;[" &amp; $C$6 &amp; "]",
"[Base].[SITUACION]",
"[Base].[SITUACION].&amp;[" &amp; $C10 &amp; "]"
),0)/1000</f>
        <v>298078.85328714008</v>
      </c>
      <c r="AE10" s="8">
        <f>IFERROR(
GETPIVOTDATA(
"[Base].[Importe]",
TDinamica_R!$A$5,
"[Calendario].[AñoMes]",
"[Calendario].[AñoMes].&amp;[" &amp; TEXT(AE$6,"yyyymm") &amp; "]",
"[Base].[Metrica]",
"[Base].[Metrica].&amp;[" &amp; $A10 &amp; "]",
"[Base].[SEGMENTO_DESCRIP]",
"[Base].[SEGMENTO_DESCRIP].&amp;[" &amp; $C$6 &amp; "]",
"[Base].[SITUACION]",
"[Base].[SITUACION].&amp;[" &amp; $C10 &amp; "]"
),0)/1000</f>
        <v>296621.23282719997</v>
      </c>
      <c r="AF10" s="8">
        <f>IFERROR(
GETPIVOTDATA(
"[Base].[Importe]",
TDinamica_R!$A$5,
"[Calendario].[AñoMes]",
"[Calendario].[AñoMes].&amp;[" &amp; TEXT(AF$6,"yyyymm") &amp; "]",
"[Base].[Metrica]",
"[Base].[Metrica].&amp;[" &amp; $A10 &amp; "]",
"[Base].[SEGMENTO_DESCRIP]",
"[Base].[SEGMENTO_DESCRIP].&amp;[" &amp; $C$6 &amp; "]",
"[Base].[SITUACION]",
"[Base].[SITUACION].&amp;[" &amp; $C10 &amp; "]"
),0)/1000</f>
        <v>310456.50636842003</v>
      </c>
      <c r="AG10" s="8">
        <f>IFERROR(
GETPIVOTDATA(
"[Base].[Importe]",
TDinamica_R!$A$5,
"[Calendario].[AñoMes]",
"[Calendario].[AñoMes].&amp;[" &amp; TEXT(AG$6,"yyyymm") &amp; "]",
"[Base].[Metrica]",
"[Base].[Metrica].&amp;[" &amp; $A10 &amp; "]",
"[Base].[SEGMENTO_DESCRIP]",
"[Base].[SEGMENTO_DESCRIP].&amp;[" &amp; $C$6 &amp; "]",
"[Base].[SITUACION]",
"[Base].[SITUACION].&amp;[" &amp; $C10 &amp; "]"
),0)/1000</f>
        <v>311468.46893189999</v>
      </c>
      <c r="AH10" s="8">
        <f>IFERROR(
GETPIVOTDATA(
"[Base].[Importe]",
TDinamica_R!$A$5,
"[Calendario].[AñoMes]",
"[Calendario].[AñoMes].&amp;[" &amp; TEXT(AH$6,"yyyymm") &amp; "]",
"[Base].[Metrica]",
"[Base].[Metrica].&amp;[" &amp; $A10 &amp; "]",
"[Base].[SEGMENTO_DESCRIP]",
"[Base].[SEGMENTO_DESCRIP].&amp;[" &amp; $C$6 &amp; "]",
"[Base].[SITUACION]",
"[Base].[SITUACION].&amp;[" &amp; $C10 &amp; "]"
),0)/1000</f>
        <v>313236.20185789996</v>
      </c>
      <c r="AI10" s="8">
        <f>IFERROR(
GETPIVOTDATA(
"[Base].[Importe]",
TDinamica_R!$A$5,
"[Calendario].[AñoMes]",
"[Calendario].[AñoMes].&amp;[" &amp; TEXT(AI$6,"yyyymm") &amp; "]",
"[Base].[Metrica]",
"[Base].[Metrica].&amp;[" &amp; $A10 &amp; "]",
"[Base].[SEGMENTO_DESCRIP]",
"[Base].[SEGMENTO_DESCRIP].&amp;[" &amp; $C$6 &amp; "]",
"[Base].[SITUACION]",
"[Base].[SITUACION].&amp;[" &amp; $C10 &amp; "]"
),0)/1000</f>
        <v>314363.61471965001</v>
      </c>
      <c r="AJ10" s="8">
        <f>IFERROR(
GETPIVOTDATA(
"[Base].[Importe]",
TDinamica_R!$A$5,
"[Calendario].[AñoMes]",
"[Calendario].[AñoMes].&amp;[" &amp; TEXT(AJ$6,"yyyymm") &amp; "]",
"[Base].[Metrica]",
"[Base].[Metrica].&amp;[" &amp; $A10 &amp; "]",
"[Base].[SEGMENTO_DESCRIP]",
"[Base].[SEGMENTO_DESCRIP].&amp;[" &amp; $C$6 &amp; "]",
"[Base].[SITUACION]",
"[Base].[SITUACION].&amp;[" &amp; $C10 &amp; "]"
),0)/1000</f>
        <v>305052.91743740003</v>
      </c>
      <c r="AK10" s="8">
        <f>IFERROR(
GETPIVOTDATA(
"[Base].[Importe]",
TDinamica_R!$A$5,
"[Calendario].[AñoMes]",
"[Calendario].[AñoMes].&amp;[" &amp; TEXT(AK$6,"yyyymm") &amp; "]",
"[Base].[Metrica]",
"[Base].[Metrica].&amp;[" &amp; $A10 &amp; "]",
"[Base].[SEGMENTO_DESCRIP]",
"[Base].[SEGMENTO_DESCRIP].&amp;[" &amp; $C$6 &amp; "]",
"[Base].[SITUACION]",
"[Base].[SITUACION].&amp;[" &amp; $C10 &amp; "]"
),0)/1000</f>
        <v>310598.17409014999</v>
      </c>
      <c r="AL10" s="8">
        <f>IFERROR(
GETPIVOTDATA(
"[Base].[Importe]",
TDinamica_R!$A$5,
"[Calendario].[AñoMes]",
"[Calendario].[AñoMes].&amp;[" &amp; TEXT(AL$6,"yyyymm") &amp; "]",
"[Base].[Metrica]",
"[Base].[Metrica].&amp;[" &amp; $A10 &amp; "]",
"[Base].[SEGMENTO_DESCRIP]",
"[Base].[SEGMENTO_DESCRIP].&amp;[" &amp; $C$6 &amp; "]",
"[Base].[SITUACION]",
"[Base].[SITUACION].&amp;[" &amp; $C10 &amp; "]"
),0)/1000</f>
        <v>302176.28967279999</v>
      </c>
      <c r="AM10" s="8">
        <f>IFERROR(
GETPIVOTDATA(
"[Base].[Importe]",
TDinamica_R!$A$5,
"[Calendario].[AñoMes]",
"[Calendario].[AñoMes].&amp;[" &amp; TEXT(AM$6,"yyyymm") &amp; "]",
"[Base].[Metrica]",
"[Base].[Metrica].&amp;[" &amp; $A10 &amp; "]",
"[Base].[SEGMENTO_DESCRIP]",
"[Base].[SEGMENTO_DESCRIP].&amp;[" &amp; $C$6 &amp; "]",
"[Base].[SITUACION]",
"[Base].[SITUACION].&amp;[" &amp; $C10 &amp; "]"
),0)/1000</f>
        <v>297444.99450792006</v>
      </c>
      <c r="AN10" s="8">
        <f>IFERROR(
GETPIVOTDATA(
"[Base].[Importe]",
TDinamica_R!$A$5,
"[Calendario].[AñoMes]",
"[Calendario].[AñoMes].&amp;[" &amp; TEXT(AN$6,"yyyymm") &amp; "]",
"[Base].[Metrica]",
"[Base].[Metrica].&amp;[" &amp; $A10 &amp; "]",
"[Base].[SEGMENTO_DESCRIP]",
"[Base].[SEGMENTO_DESCRIP].&amp;[" &amp; $C$6 &amp; "]",
"[Base].[SITUACION]",
"[Base].[SITUACION].&amp;[" &amp; $C10 &amp; "]"
),0)/1000</f>
        <v>292157.08</v>
      </c>
      <c r="AO10" s="8">
        <f>IFERROR(
GETPIVOTDATA(
"[Base].[Importe]",
TDinamica_R!$A$5,
"[Calendario].[AñoMes]",
"[Calendario].[AñoMes].&amp;[" &amp; TEXT(AO$6,"yyyymm") &amp; "]",
"[Base].[Metrica]",
"[Base].[Metrica].&amp;[" &amp; $A10 &amp; "]",
"[Base].[SEGMENTO_DESCRIP]",
"[Base].[SEGMENTO_DESCRIP].&amp;[" &amp; $C$6 &amp; "]",
"[Base].[SITUACION]",
"[Base].[SITUACION].&amp;[" &amp; $C10 &amp; "]"
),0)/1000</f>
        <v>279923.39</v>
      </c>
      <c r="AP10" s="8">
        <f>IFERROR(
GETPIVOTDATA(
"[Base].[Importe]",
TDinamica_R!$A$5,
"[Calendario].[AñoMes]",
"[Calendario].[AñoMes].&amp;[" &amp; TEXT(AP$6,"yyyymm") &amp; "]",
"[Base].[Metrica]",
"[Base].[Metrica].&amp;[" &amp; $A10 &amp; "]",
"[Base].[SEGMENTO_DESCRIP]",
"[Base].[SEGMENTO_DESCRIP].&amp;[" &amp; $C$6 &amp; "]",
"[Base].[SITUACION]",
"[Base].[SITUACION].&amp;[" &amp; $C10 &amp; "]"
),0)/1000</f>
        <v>286936.39</v>
      </c>
      <c r="AQ10" s="8">
        <f>IFERROR(
GETPIVOTDATA(
"[Base].[Importe]",
TDinamica_R!$A$5,
"[Calendario].[AñoMes]",
"[Calendario].[AñoMes].&amp;[" &amp; TEXT(AQ$6,"yyyymm") &amp; "]",
"[Base].[Metrica]",
"[Base].[Metrica].&amp;[" &amp; $A10 &amp; "]",
"[Base].[SEGMENTO_DESCRIP]",
"[Base].[SEGMENTO_DESCRIP].&amp;[" &amp; $C$6 &amp; "]",
"[Base].[SITUACION]",
"[Base].[SITUACION].&amp;[" &amp; $C10 &amp; "]"
),0)/1000</f>
        <v>281232.17371258</v>
      </c>
      <c r="AR10" s="8">
        <f>IFERROR(
GETPIVOTDATA(
"[Base].[Importe]",
TDinamica_R!$A$5,
"[Calendario].[AñoMes]",
"[Calendario].[AñoMes].&amp;[" &amp; TEXT(AR$6,"yyyymm") &amp; "]",
"[Base].[Metrica]",
"[Base].[Metrica].&amp;[" &amp; $A10 &amp; "]",
"[Base].[SEGMENTO_DESCRIP]",
"[Base].[SEGMENTO_DESCRIP].&amp;[" &amp; $C$6 &amp; "]",
"[Base].[SITUACION]",
"[Base].[SITUACION].&amp;[" &amp; $C10 &amp; "]"
),0)/1000</f>
        <v>274855.07528047991</v>
      </c>
      <c r="AS10" s="8">
        <f>IFERROR(
GETPIVOTDATA(
"[Base].[Importe]",
TDinamica_R!$A$5,
"[Calendario].[AñoMes]",
"[Calendario].[AñoMes].&amp;[" &amp; TEXT(AS$6,"yyyymm") &amp; "]",
"[Base].[Metrica]",
"[Base].[Metrica].&amp;[" &amp; $A10 &amp; "]",
"[Base].[SEGMENTO_DESCRIP]",
"[Base].[SEGMENTO_DESCRIP].&amp;[" &amp; $C$6 &amp; "]",
"[Base].[SITUACION]",
"[Base].[SITUACION].&amp;[" &amp; $C10 &amp; "]"
),0)/1000</f>
        <v>286532.43506430002</v>
      </c>
      <c r="AT10" s="8">
        <f>IFERROR(
GETPIVOTDATA(
"[Base].[Importe]",
TDinamica_R!$A$5,
"[Calendario].[AñoMes]",
"[Calendario].[AñoMes].&amp;[" &amp; TEXT(AT$6,"yyyymm")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U10" s="8">
        <f>IFERROR(
GETPIVOTDATA(
"[Base].[Importe]",
TDinamica_R!$A$5,
"[Calendario].[AñoMes]",
"[Calendario].[AñoMes].&amp;[" &amp; TEXT(AU$6,"yyyymm")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V10" s="8">
        <f>IFERROR(
GETPIVOTDATA(
"[Base].[Importe]",
TDinamica_R!$A$5,
"[Calendario].[AñoMes]",
"[Calendario].[AñoMes].&amp;[" &amp; TEXT(AV$6,"yyyymm")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W10" s="8">
        <f>IFERROR(
GETPIVOTDATA(
"[Base].[Importe]",
TDinamica_R!$A$5,
"[Calendario].[AñoMes]",
"[Calendario].[AñoMes].&amp;[" &amp; TEXT(AW$6,"yyyymm")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X10" s="8">
        <f>IFERROR(
GETPIVOTDATA(
"[Base].[Importe]",
TDinamica_R!$A$5,
"[Calendario].[AñoMes]",
"[Calendario].[AñoMes].&amp;[" &amp; TEXT(AX$6,"yyyymm")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Y10" s="8">
        <f>IFERROR(
GETPIVOTDATA(
"[Base].[Importe]",
TDinamica_R!$A$5,
"[Calendario].[AñoMes]",
"[Calendario].[AñoMes].&amp;[" &amp; TEXT(AY$6,"yyyymm")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Z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"[BASE_HIPO_PPTO].[Periodo]","[BASE_HIPO_PPTO].[Periodo].&amp;["&amp;TEXT(AZ$6,"yyyymm")&amp;"]"),
0)/1000</f>
        <v>315014.36746923556</v>
      </c>
      <c r="BA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"[BASE_HIPO_PPTO].[Periodo]","[BASE_HIPO_PPTO].[Periodo].&amp;["&amp;TEXT(BA$6,"yyyymm")&amp;"]"),
0)/1000</f>
        <v>310700.35708656727</v>
      </c>
      <c r="BB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"[BASE_HIPO_PPTO].[Periodo]","[BASE_HIPO_PPTO].[Periodo].&amp;["&amp;TEXT(BB$6,"yyyymm")&amp;"]"),
0)/1000</f>
        <v>314290.27808375721</v>
      </c>
      <c r="BC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"[BASE_HIPO_PPTO].[Periodo]","[BASE_HIPO_PPTO].[Periodo].&amp;["&amp;TEXT(BC$6,"yyyymm")&amp;"]"),
0)/1000</f>
        <v>321094.18351935869</v>
      </c>
      <c r="BD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"[BASE_HIPO_PPTO].[Periodo]","[BASE_HIPO_PPTO].[Periodo].&amp;["&amp;TEXT(BD$6,"yyyymm")&amp;"]"),
0)/1000</f>
        <v>315816.36033148848</v>
      </c>
      <c r="BE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"[BASE_HIPO_PPTO].[Periodo]","[BASE_HIPO_PPTO].[Periodo].&amp;["&amp;TEXT(BE$6,"yyyymm")&amp;"]"),
0)/1000</f>
        <v>319612.66052926972</v>
      </c>
      <c r="BF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"[BASE_HIPO_PPTO].[Periodo]","[BASE_HIPO_PPTO].[Periodo].&amp;["&amp;TEXT(BF$6,"yyyymm")&amp;"]"),
0)/1000</f>
        <v>315052.2494499092</v>
      </c>
      <c r="BG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"[BASE_HIPO_PPTO].[Periodo]","[BASE_HIPO_PPTO].[Periodo].&amp;["&amp;TEXT(BG$6,"yyyymm")&amp;"]"),
0)/1000</f>
        <v>314787.96889563929</v>
      </c>
      <c r="BH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"[BASE_HIPO_PPTO].[Periodo]","[BASE_HIPO_PPTO].[Periodo].&amp;["&amp;TEXT(BH$6,"yyyymm")&amp;"]"),
0)/1000</f>
        <v>314255.11362044845</v>
      </c>
      <c r="BI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"[BASE_HIPO_PPTO].[Periodo]","[BASE_HIPO_PPTO].[Periodo].&amp;["&amp;TEXT(BI$6,"yyyymm")&amp;"]"),
0)/1000</f>
        <v>317821.89444642654</v>
      </c>
      <c r="BJ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"[BASE_HIPO_PPTO].[Periodo]","[BASE_HIPO_PPTO].[Periodo].&amp;["&amp;TEXT(BJ$6,"yyyymm")&amp;"]"),
0)/1000</f>
        <v>318531.55648022174</v>
      </c>
      <c r="BK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"[BASE_HIPO_PPTO].[Periodo]","[BASE_HIPO_PPTO].[Periodo].&amp;["&amp;TEXT(BK$6,"yyyymm")&amp;"]"),
0)/1000</f>
        <v>316239.53954726068</v>
      </c>
      <c r="BO10" s="24">
        <f t="shared" si="4"/>
        <v>286936.39</v>
      </c>
      <c r="BP10" s="24">
        <f t="shared" si="6"/>
        <v>314290.27808375721</v>
      </c>
      <c r="BQ10" s="24">
        <f t="shared" si="5"/>
        <v>279923.39</v>
      </c>
      <c r="BR10" s="24">
        <f t="shared" si="5"/>
        <v>298078.85328714008</v>
      </c>
      <c r="BS10" s="24">
        <f t="shared" si="5"/>
        <v>255199.09347135993</v>
      </c>
      <c r="BT10" s="24">
        <f t="shared" si="5"/>
        <v>219003.37826310002</v>
      </c>
    </row>
    <row r="11" spans="1:81" collapsed="1" x14ac:dyDescent="0.25">
      <c r="C11" s="3" t="s">
        <v>2</v>
      </c>
      <c r="D11" s="10">
        <f>SUM(D8:D10)</f>
        <v>5198257.458405681</v>
      </c>
      <c r="E11" s="10">
        <f t="shared" ref="E11:BK11" si="7">SUM(E8:E10)</f>
        <v>5211183.0093945805</v>
      </c>
      <c r="F11" s="10">
        <f t="shared" si="7"/>
        <v>5242094.6196672795</v>
      </c>
      <c r="G11" s="10">
        <f t="shared" si="7"/>
        <v>5279315.4794628983</v>
      </c>
      <c r="H11" s="10">
        <f t="shared" si="7"/>
        <v>5305366.8105915701</v>
      </c>
      <c r="I11" s="10">
        <f t="shared" si="7"/>
        <v>5330215.5989088397</v>
      </c>
      <c r="J11" s="10">
        <f t="shared" si="7"/>
        <v>5331693.912380619</v>
      </c>
      <c r="K11" s="10">
        <f t="shared" si="7"/>
        <v>5357636.5290277498</v>
      </c>
      <c r="L11" s="10">
        <f t="shared" si="7"/>
        <v>5396212.309829969</v>
      </c>
      <c r="M11" s="10">
        <f t="shared" si="7"/>
        <v>5416273.0473853406</v>
      </c>
      <c r="N11" s="10">
        <f t="shared" si="7"/>
        <v>5429197.7734580804</v>
      </c>
      <c r="O11" s="10">
        <f t="shared" si="7"/>
        <v>5433957.589282291</v>
      </c>
      <c r="P11" s="10">
        <f t="shared" si="7"/>
        <v>5447466.308382499</v>
      </c>
      <c r="Q11" s="10">
        <f t="shared" si="7"/>
        <v>5471398.8753259974</v>
      </c>
      <c r="R11" s="10">
        <f t="shared" si="7"/>
        <v>5487409.9136721604</v>
      </c>
      <c r="S11" s="10">
        <f t="shared" si="7"/>
        <v>5525302.7091252403</v>
      </c>
      <c r="T11" s="10">
        <f t="shared" si="7"/>
        <v>5538847.5040663406</v>
      </c>
      <c r="U11" s="10">
        <f t="shared" si="7"/>
        <v>5560640.4515938703</v>
      </c>
      <c r="V11" s="10">
        <f t="shared" si="7"/>
        <v>5575881.9964344101</v>
      </c>
      <c r="W11" s="10">
        <f t="shared" si="7"/>
        <v>5599449.6453774404</v>
      </c>
      <c r="X11" s="10">
        <f t="shared" si="7"/>
        <v>5620660.1492081117</v>
      </c>
      <c r="Y11" s="10">
        <f t="shared" si="7"/>
        <v>5661481.0716576613</v>
      </c>
      <c r="Z11" s="10">
        <f t="shared" si="7"/>
        <v>5687853.8009530986</v>
      </c>
      <c r="AA11" s="10">
        <f t="shared" si="7"/>
        <v>5713557.1601045998</v>
      </c>
      <c r="AB11" s="10">
        <f t="shared" si="7"/>
        <v>5735041.2096779598</v>
      </c>
      <c r="AC11" s="10">
        <f t="shared" si="7"/>
        <v>5779147.6409428613</v>
      </c>
      <c r="AD11" s="10">
        <f t="shared" si="7"/>
        <v>5822229.3778895196</v>
      </c>
      <c r="AE11" s="10">
        <f t="shared" si="7"/>
        <v>5859111.9371906994</v>
      </c>
      <c r="AF11" s="10">
        <f t="shared" si="7"/>
        <v>5915375.3249495002</v>
      </c>
      <c r="AG11" s="10">
        <f t="shared" si="7"/>
        <v>5949066.868674159</v>
      </c>
      <c r="AH11" s="10">
        <f t="shared" si="7"/>
        <v>5993659.6730510602</v>
      </c>
      <c r="AI11" s="10">
        <f t="shared" si="7"/>
        <v>6061008.4465902494</v>
      </c>
      <c r="AJ11" s="10">
        <f t="shared" si="7"/>
        <v>6126739.4786516996</v>
      </c>
      <c r="AK11" s="10">
        <f t="shared" si="7"/>
        <v>6208004.0503818011</v>
      </c>
      <c r="AL11" s="10">
        <f t="shared" si="7"/>
        <v>6279880.8845895398</v>
      </c>
      <c r="AM11" s="10">
        <f t="shared" si="7"/>
        <v>6336428.0450117812</v>
      </c>
      <c r="AN11" s="10">
        <f t="shared" si="7"/>
        <v>6406873.4800000004</v>
      </c>
      <c r="AO11" s="10">
        <f t="shared" si="7"/>
        <v>6484850.3899999997</v>
      </c>
      <c r="AP11" s="10">
        <f t="shared" si="7"/>
        <v>6540593.8899999997</v>
      </c>
      <c r="AQ11" s="10">
        <f t="shared" si="7"/>
        <v>6589985.7710418347</v>
      </c>
      <c r="AR11" s="10">
        <f t="shared" si="7"/>
        <v>6658289.8018698599</v>
      </c>
      <c r="AS11" s="10">
        <f t="shared" si="7"/>
        <v>6738824.4820593987</v>
      </c>
      <c r="AT11" s="10">
        <f t="shared" si="7"/>
        <v>0</v>
      </c>
      <c r="AU11" s="10">
        <f t="shared" si="7"/>
        <v>0</v>
      </c>
      <c r="AV11" s="10">
        <f t="shared" si="7"/>
        <v>0</v>
      </c>
      <c r="AW11" s="10">
        <f t="shared" si="7"/>
        <v>0</v>
      </c>
      <c r="AX11" s="10">
        <f t="shared" si="7"/>
        <v>0</v>
      </c>
      <c r="AY11" s="10">
        <f t="shared" si="7"/>
        <v>0</v>
      </c>
      <c r="AZ11" s="10">
        <f t="shared" si="7"/>
        <v>6348231.2236501975</v>
      </c>
      <c r="BA11" s="10">
        <f t="shared" si="7"/>
        <v>6402645.7186813848</v>
      </c>
      <c r="BB11" s="10">
        <f t="shared" si="7"/>
        <v>6448028.9795683119</v>
      </c>
      <c r="BC11" s="10">
        <f t="shared" si="7"/>
        <v>6498498.7899595732</v>
      </c>
      <c r="BD11" s="10">
        <f t="shared" si="7"/>
        <v>6551652.7866160534</v>
      </c>
      <c r="BE11" s="10">
        <f t="shared" si="7"/>
        <v>6608921.9160332065</v>
      </c>
      <c r="BF11" s="10">
        <f t="shared" si="7"/>
        <v>6657339.2240096796</v>
      </c>
      <c r="BG11" s="10">
        <f t="shared" si="7"/>
        <v>6722351.3131819982</v>
      </c>
      <c r="BH11" s="10">
        <f t="shared" si="7"/>
        <v>6785063.061415554</v>
      </c>
      <c r="BI11" s="10">
        <f t="shared" si="7"/>
        <v>6860193.3072760794</v>
      </c>
      <c r="BJ11" s="10">
        <f t="shared" si="7"/>
        <v>6924724.5794912521</v>
      </c>
      <c r="BK11" s="10">
        <f t="shared" si="7"/>
        <v>6979842.4660274331</v>
      </c>
      <c r="BO11" s="23">
        <f>SUM(BO8:BO10)</f>
        <v>6540593.8899999997</v>
      </c>
      <c r="BP11" s="23">
        <f>SUM(BP8:BP10)</f>
        <v>6448028.9795683119</v>
      </c>
      <c r="BQ11" s="23">
        <f t="shared" ref="BQ11:BT11" si="8">SUM(BQ8:BQ10)</f>
        <v>6484850.3899999997</v>
      </c>
      <c r="BR11" s="23">
        <f t="shared" si="8"/>
        <v>5822229.3778895196</v>
      </c>
      <c r="BS11" s="23">
        <f t="shared" si="8"/>
        <v>5487409.9136721604</v>
      </c>
      <c r="BT11" s="23">
        <f t="shared" si="8"/>
        <v>5242094.6196672795</v>
      </c>
    </row>
    <row r="14" spans="1:81" hidden="1" outlineLevel="1" x14ac:dyDescent="0.25">
      <c r="A14" s="11" t="s">
        <v>52</v>
      </c>
      <c r="C14" s="2" t="s">
        <v>0</v>
      </c>
      <c r="D14" s="8">
        <f>IFERROR(
GETPIVOTDATA(
"[Base].[Importe]",
TDinamica_R!$A$5,
"[Calendario].[AñoMes]",
"[Calendario].[AñoMes].&amp;[" &amp; TEXT(D$6,"yyyymm") &amp; "]",
"[Base].[Metrica]",
"[Base].[Metrica].&amp;[" &amp; $A14 &amp; "]",
"[Base].[SEGMENTO_DESCRIP]",
"[Base].[SEGMENTO_DESCRIP].&amp;[" &amp; $C$6 &amp; "]",
"[Base].[SITUACION]",
"[Base].[SITUACION].&amp;[" &amp; $C14 &amp; "]"
),0)/1000</f>
        <v>4927297.8863469791</v>
      </c>
      <c r="E14" s="8">
        <f>IFERROR(
GETPIVOTDATA(
"[Base].[Importe]",
TDinamica_R!$A$5,
"[Calendario].[AñoMes]",
"[Calendario].[AñoMes].&amp;[" &amp; TEXT(E$6,"yyyymm") &amp; "]",
"[Base].[Metrica]",
"[Base].[Metrica].&amp;[" &amp; $A14 &amp; "]",
"[Base].[SEGMENTO_DESCRIP]",
"[Base].[SEGMENTO_DESCRIP].&amp;[" &amp; $C$6 &amp; "]",
"[Base].[SITUACION]",
"[Base].[SITUACION].&amp;[" &amp; $C14 &amp; "]"
),0)/1000</f>
        <v>4949685.3033918999</v>
      </c>
      <c r="F14" s="8">
        <f>IFERROR(
GETPIVOTDATA(
"[Base].[Importe]",
TDinamica_R!$A$5,
"[Calendario].[AñoMes]",
"[Calendario].[AñoMes].&amp;[" &amp; TEXT(F$6,"yyyymm") &amp; "]",
"[Base].[Metrica]",
"[Base].[Metrica].&amp;[" &amp; $A14 &amp; "]",
"[Base].[SEGMENTO_DESCRIP]",
"[Base].[SEGMENTO_DESCRIP].&amp;[" &amp; $C$6 &amp; "]",
"[Base].[SITUACION]",
"[Base].[SITUACION].&amp;[" &amp; $C14 &amp; "]"
),0)/1000</f>
        <v>4964086.4322959995</v>
      </c>
      <c r="G14" s="8">
        <f>IFERROR(
GETPIVOTDATA(
"[Base].[Importe]",
TDinamica_R!$A$5,
"[Calendario].[AñoMes]",
"[Calendario].[AñoMes].&amp;[" &amp; TEXT(G$6,"yyyymm") &amp; "]",
"[Base].[Metrica]",
"[Base].[Metrica].&amp;[" &amp; $A14 &amp; "]",
"[Base].[SEGMENTO_DESCRIP]",
"[Base].[SEGMENTO_DESCRIP].&amp;[" &amp; $C$6 &amp; "]",
"[Base].[SITUACION]",
"[Base].[SITUACION].&amp;[" &amp; $C14 &amp; "]"
),0)/1000</f>
        <v>4994403.1284063803</v>
      </c>
      <c r="H14" s="8">
        <f>IFERROR(
GETPIVOTDATA(
"[Base].[Importe]",
TDinamica_R!$A$5,
"[Calendario].[AñoMes]",
"[Calendario].[AñoMes].&amp;[" &amp; TEXT(H$6,"yyyymm") &amp; "]",
"[Base].[Metrica]",
"[Base].[Metrica].&amp;[" &amp; $A14 &amp; "]",
"[Base].[SEGMENTO_DESCRIP]",
"[Base].[SEGMENTO_DESCRIP].&amp;[" &amp; $C$6 &amp; "]",
"[Base].[SITUACION]",
"[Base].[SITUACION].&amp;[" &amp; $C14 &amp; "]"
),0)/1000</f>
        <v>5019369.5705158394</v>
      </c>
      <c r="I14" s="8">
        <f>IFERROR(
GETPIVOTDATA(
"[Base].[Importe]",
TDinamica_R!$A$5,
"[Calendario].[AñoMes]",
"[Calendario].[AñoMes].&amp;[" &amp; TEXT(I$6,"yyyymm") &amp; "]",
"[Base].[Metrica]",
"[Base].[Metrica].&amp;[" &amp; $A14 &amp; "]",
"[Base].[SEGMENTO_DESCRIP]",
"[Base].[SEGMENTO_DESCRIP].&amp;[" &amp; $C$6 &amp; "]",
"[Base].[SITUACION]",
"[Base].[SITUACION].&amp;[" &amp; $C14 &amp; "]"
),0)/1000</f>
        <v>5043251.7205325002</v>
      </c>
      <c r="J14" s="8">
        <f>IFERROR(
GETPIVOTDATA(
"[Base].[Importe]",
TDinamica_R!$A$5,
"[Calendario].[AñoMes]",
"[Calendario].[AñoMes].&amp;[" &amp; TEXT(J$6,"yyyymm") &amp; "]",
"[Base].[Metrica]",
"[Base].[Metrica].&amp;[" &amp; $A14 &amp; "]",
"[Base].[SEGMENTO_DESCRIP]",
"[Base].[SEGMENTO_DESCRIP].&amp;[" &amp; $C$6 &amp; "]",
"[Base].[SITUACION]",
"[Base].[SITUACION].&amp;[" &amp; $C14 &amp; "]"
),0)/1000</f>
        <v>5068006.7111480897</v>
      </c>
      <c r="K14" s="8">
        <f>IFERROR(
GETPIVOTDATA(
"[Base].[Importe]",
TDinamica_R!$A$5,
"[Calendario].[AñoMes]",
"[Calendario].[AñoMes].&amp;[" &amp; TEXT(K$6,"yyyymm") &amp; "]",
"[Base].[Metrica]",
"[Base].[Metrica].&amp;[" &amp; $A14 &amp; "]",
"[Base].[SEGMENTO_DESCRIP]",
"[Base].[SEGMENTO_DESCRIP].&amp;[" &amp; $C$6 &amp; "]",
"[Base].[SITUACION]",
"[Base].[SITUACION].&amp;[" &amp; $C14 &amp; "]"
),0)/1000</f>
        <v>5071157.3002966205</v>
      </c>
      <c r="L14" s="8">
        <f>IFERROR(
GETPIVOTDATA(
"[Base].[Importe]",
TDinamica_R!$A$5,
"[Calendario].[AñoMes]",
"[Calendario].[AñoMes].&amp;[" &amp; TEXT(L$6,"yyyymm") &amp; "]",
"[Base].[Metrica]",
"[Base].[Metrica].&amp;[" &amp; $A14 &amp; "]",
"[Base].[SEGMENTO_DESCRIP]",
"[Base].[SEGMENTO_DESCRIP].&amp;[" &amp; $C$6 &amp; "]",
"[Base].[SITUACION]",
"[Base].[SITUACION].&amp;[" &amp; $C14 &amp; "]"
),0)/1000</f>
        <v>5096915.5762815</v>
      </c>
      <c r="M14" s="8">
        <f>IFERROR(
GETPIVOTDATA(
"[Base].[Importe]",
TDinamica_R!$A$5,
"[Calendario].[AñoMes]",
"[Calendario].[AñoMes].&amp;[" &amp; TEXT(M$6,"yyyymm") &amp; "]",
"[Base].[Metrica]",
"[Base].[Metrica].&amp;[" &amp; $A14 &amp; "]",
"[Base].[SEGMENTO_DESCRIP]",
"[Base].[SEGMENTO_DESCRIP].&amp;[" &amp; $C$6 &amp; "]",
"[Base].[SITUACION]",
"[Base].[SITUACION].&amp;[" &amp; $C14 &amp; "]"
),0)/1000</f>
        <v>5123411.8281818517</v>
      </c>
      <c r="N14" s="8">
        <f>IFERROR(
GETPIVOTDATA(
"[Base].[Importe]",
TDinamica_R!$A$5,
"[Calendario].[AñoMes]",
"[Calendario].[AñoMes].&amp;[" &amp; TEXT(N$6,"yyyymm") &amp; "]",
"[Base].[Metrica]",
"[Base].[Metrica].&amp;[" &amp; $A14 &amp; "]",
"[Base].[SEGMENTO_DESCRIP]",
"[Base].[SEGMENTO_DESCRIP].&amp;[" &amp; $C$6 &amp; "]",
"[Base].[SITUACION]",
"[Base].[SITUACION].&amp;[" &amp; $C14 &amp; "]"
),0)/1000</f>
        <v>5129847.3025297392</v>
      </c>
      <c r="O14" s="8">
        <f>IFERROR(
GETPIVOTDATA(
"[Base].[Importe]",
TDinamica_R!$A$5,
"[Calendario].[AñoMes]",
"[Calendario].[AñoMes].&amp;[" &amp; TEXT(O$6,"yyyymm") &amp; "]",
"[Base].[Metrica]",
"[Base].[Metrica].&amp;[" &amp; $A14 &amp; "]",
"[Base].[SEGMENTO_DESCRIP]",
"[Base].[SEGMENTO_DESCRIP].&amp;[" &amp; $C$6 &amp; "]",
"[Base].[SITUACION]",
"[Base].[SITUACION].&amp;[" &amp; $C14 &amp; "]"
),0)/1000</f>
        <v>5142585.8643920105</v>
      </c>
      <c r="P14" s="8">
        <f>IFERROR(
GETPIVOTDATA(
"[Base].[Importe]",
TDinamica_R!$A$5,
"[Calendario].[AñoMes]",
"[Calendario].[AñoMes].&amp;[" &amp; TEXT(P$6,"yyyymm") &amp; "]",
"[Base].[Metrica]",
"[Base].[Metrica].&amp;[" &amp; $A14 &amp; "]",
"[Base].[SEGMENTO_DESCRIP]",
"[Base].[SEGMENTO_DESCRIP].&amp;[" &amp; $C$6 &amp; "]",
"[Base].[SITUACION]",
"[Base].[SITUACION].&amp;[" &amp; $C14 &amp; "]"
),0)/1000</f>
        <v>5138367.8835029388</v>
      </c>
      <c r="Q14" s="8">
        <f>IFERROR(
GETPIVOTDATA(
"[Base].[Importe]",
TDinamica_R!$A$5,
"[Calendario].[AñoMes]",
"[Calendario].[AñoMes].&amp;[" &amp; TEXT(Q$6,"yyyymm") &amp; "]",
"[Base].[Metrica]",
"[Base].[Metrica].&amp;[" &amp; $A14 &amp; "]",
"[Base].[SEGMENTO_DESCRIP]",
"[Base].[SEGMENTO_DESCRIP].&amp;[" &amp; $C$6 &amp; "]",
"[Base].[SITUACION]",
"[Base].[SITUACION].&amp;[" &amp; $C14 &amp; "]"
),0)/1000</f>
        <v>5157940.4535996811</v>
      </c>
      <c r="R14" s="8">
        <f>IFERROR(
GETPIVOTDATA(
"[Base].[Importe]",
TDinamica_R!$A$5,
"[Calendario].[AñoMes]",
"[Calendario].[AñoMes].&amp;[" &amp; TEXT(R$6,"yyyymm") &amp; "]",
"[Base].[Metrica]",
"[Base].[Metrica].&amp;[" &amp; $A14 &amp; "]",
"[Base].[SEGMENTO_DESCRIP]",
"[Base].[SEGMENTO_DESCRIP].&amp;[" &amp; $C$6 &amp; "]",
"[Base].[SITUACION]",
"[Base].[SITUACION].&amp;[" &amp; $C14 &amp; "]"
),0)/1000</f>
        <v>5173983.8503170395</v>
      </c>
      <c r="S14" s="8">
        <f>IFERROR(
GETPIVOTDATA(
"[Base].[Importe]",
TDinamica_R!$A$5,
"[Calendario].[AñoMes]",
"[Calendario].[AñoMes].&amp;[" &amp; TEXT(S$6,"yyyymm") &amp; "]",
"[Base].[Metrica]",
"[Base].[Metrica].&amp;[" &amp; $A14 &amp; "]",
"[Base].[SEGMENTO_DESCRIP]",
"[Base].[SEGMENTO_DESCRIP].&amp;[" &amp; $C$6 &amp; "]",
"[Base].[SITUACION]",
"[Base].[SITUACION].&amp;[" &amp; $C14 &amp; "]"
),0)/1000</f>
        <v>5187772.3076717202</v>
      </c>
      <c r="T14" s="8">
        <f>IFERROR(
GETPIVOTDATA(
"[Base].[Importe]",
TDinamica_R!$A$5,
"[Calendario].[AñoMes]",
"[Calendario].[AñoMes].&amp;[" &amp; TEXT(T$6,"yyyymm") &amp; "]",
"[Base].[Metrica]",
"[Base].[Metrica].&amp;[" &amp; $A14 &amp; "]",
"[Base].[SEGMENTO_DESCRIP]",
"[Base].[SEGMENTO_DESCRIP].&amp;[" &amp; $C$6 &amp; "]",
"[Base].[SITUACION]",
"[Base].[SITUACION].&amp;[" &amp; $C14 &amp; "]"
),0)/1000</f>
        <v>5209444.5239838986</v>
      </c>
      <c r="U14" s="8">
        <f>IFERROR(
GETPIVOTDATA(
"[Base].[Importe]",
TDinamica_R!$A$5,
"[Calendario].[AñoMes]",
"[Calendario].[AñoMes].&amp;[" &amp; TEXT(U$6,"yyyymm") &amp; "]",
"[Base].[Metrica]",
"[Base].[Metrica].&amp;[" &amp; $A14 &amp; "]",
"[Base].[SEGMENTO_DESCRIP]",
"[Base].[SEGMENTO_DESCRIP].&amp;[" &amp; $C$6 &amp; "]",
"[Base].[SITUACION]",
"[Base].[SITUACION].&amp;[" &amp; $C14 &amp; "]"
),0)/1000</f>
        <v>5218298.6997554721</v>
      </c>
      <c r="V14" s="8">
        <f>IFERROR(
GETPIVOTDATA(
"[Base].[Importe]",
TDinamica_R!$A$5,
"[Calendario].[AñoMes]",
"[Calendario].[AñoMes].&amp;[" &amp; TEXT(V$6,"yyyymm") &amp; "]",
"[Base].[Metrica]",
"[Base].[Metrica].&amp;[" &amp; $A14 &amp; "]",
"[Base].[SEGMENTO_DESCRIP]",
"[Base].[SEGMENTO_DESCRIP].&amp;[" &amp; $C$6 &amp; "]",
"[Base].[SITUACION]",
"[Base].[SITUACION].&amp;[" &amp; $C14 &amp; "]"
),0)/1000</f>
        <v>5252287.6679582605</v>
      </c>
      <c r="W14" s="8">
        <f>IFERROR(
GETPIVOTDATA(
"[Base].[Importe]",
TDinamica_R!$A$5,
"[Calendario].[AñoMes]",
"[Calendario].[AñoMes].&amp;[" &amp; TEXT(W$6,"yyyymm") &amp; "]",
"[Base].[Metrica]",
"[Base].[Metrica].&amp;[" &amp; $A14 &amp; "]",
"[Base].[SEGMENTO_DESCRIP]",
"[Base].[SEGMENTO_DESCRIP].&amp;[" &amp; $C$6 &amp; "]",
"[Base].[SITUACION]",
"[Base].[SITUACION].&amp;[" &amp; $C14 &amp; "]"
),0)/1000</f>
        <v>5268666.5601284793</v>
      </c>
      <c r="X14" s="8">
        <f>IFERROR(
GETPIVOTDATA(
"[Base].[Importe]",
TDinamica_R!$A$5,
"[Calendario].[AñoMes]",
"[Calendario].[AñoMes].&amp;[" &amp; TEXT(X$6,"yyyymm") &amp; "]",
"[Base].[Metrica]",
"[Base].[Metrica].&amp;[" &amp; $A14 &amp; "]",
"[Base].[SEGMENTO_DESCRIP]",
"[Base].[SEGMENTO_DESCRIP].&amp;[" &amp; $C$6 &amp; "]",
"[Base].[SITUACION]",
"[Base].[SITUACION].&amp;[" &amp; $C14 &amp; "]"
),0)/1000</f>
        <v>5303428.5017932616</v>
      </c>
      <c r="Y14" s="8">
        <f>IFERROR(
GETPIVOTDATA(
"[Base].[Importe]",
TDinamica_R!$A$5,
"[Calendario].[AñoMes]",
"[Calendario].[AñoMes].&amp;[" &amp; TEXT(Y$6,"yyyymm") &amp; "]",
"[Base].[Metrica]",
"[Base].[Metrica].&amp;[" &amp; $A14 &amp; "]",
"[Base].[SEGMENTO_DESCRIP]",
"[Base].[SEGMENTO_DESCRIP].&amp;[" &amp; $C$6 &amp; "]",
"[Base].[SITUACION]",
"[Base].[SITUACION].&amp;[" &amp; $C14 &amp; "]"
),0)/1000</f>
        <v>5324297.2349987812</v>
      </c>
      <c r="Z14" s="8">
        <f>IFERROR(
GETPIVOTDATA(
"[Base].[Importe]",
TDinamica_R!$A$5,
"[Calendario].[AñoMes]",
"[Calendario].[AñoMes].&amp;[" &amp; TEXT(Z$6,"yyyymm") &amp; "]",
"[Base].[Metrica]",
"[Base].[Metrica].&amp;[" &amp; $A14 &amp; "]",
"[Base].[SEGMENTO_DESCRIP]",
"[Base].[SEGMENTO_DESCRIP].&amp;[" &amp; $C$6 &amp; "]",
"[Base].[SITUACION]",
"[Base].[SITUACION].&amp;[" &amp; $C14 &amp; "]"
),0)/1000</f>
        <v>5350274.0377722401</v>
      </c>
      <c r="AA14" s="8">
        <f>IFERROR(
GETPIVOTDATA(
"[Base].[Importe]",
TDinamica_R!$A$5,
"[Calendario].[AñoMes]",
"[Calendario].[AñoMes].&amp;[" &amp; TEXT(AA$6,"yyyymm") &amp; "]",
"[Base].[Metrica]",
"[Base].[Metrica].&amp;[" &amp; $A14 &amp; "]",
"[Base].[SEGMENTO_DESCRIP]",
"[Base].[SEGMENTO_DESCRIP].&amp;[" &amp; $C$6 &amp; "]",
"[Base].[SITUACION]",
"[Base].[SITUACION].&amp;[" &amp; $C14 &amp; "]"
),0)/1000</f>
        <v>5369521.7804245995</v>
      </c>
      <c r="AB14" s="8">
        <f>IFERROR(
GETPIVOTDATA(
"[Base].[Importe]",
TDinamica_R!$A$5,
"[Calendario].[AñoMes]",
"[Calendario].[AñoMes].&amp;[" &amp; TEXT(AB$6,"yyyymm") &amp; "]",
"[Base].[Metrica]",
"[Base].[Metrica].&amp;[" &amp; $A14 &amp; "]",
"[Base].[SEGMENTO_DESCRIP]",
"[Base].[SEGMENTO_DESCRIP].&amp;[" &amp; $C$6 &amp; "]",
"[Base].[SITUACION]",
"[Base].[SITUACION].&amp;[" &amp; $C14 &amp; "]"
),0)/1000</f>
        <v>5389308.0149286101</v>
      </c>
      <c r="AC14" s="8">
        <f>IFERROR(
GETPIVOTDATA(
"[Base].[Importe]",
TDinamica_R!$A$5,
"[Calendario].[AñoMes]",
"[Calendario].[AñoMes].&amp;[" &amp; TEXT(AC$6,"yyyymm") &amp; "]",
"[Base].[Metrica]",
"[Base].[Metrica].&amp;[" &amp; $A14 &amp; "]",
"[Base].[SEGMENTO_DESCRIP]",
"[Base].[SEGMENTO_DESCRIP].&amp;[" &amp; $C$6 &amp; "]",
"[Base].[SITUACION]",
"[Base].[SITUACION].&amp;[" &amp; $C14 &amp; "]"
),0)/1000</f>
        <v>5422226.4712840002</v>
      </c>
      <c r="AD14" s="8">
        <f>IFERROR(
GETPIVOTDATA(
"[Base].[Importe]",
TDinamica_R!$A$5,
"[Calendario].[AñoMes]",
"[Calendario].[AñoMes].&amp;[" &amp; TEXT(AD$6,"yyyymm") &amp; "]",
"[Base].[Metrica]",
"[Base].[Metrica].&amp;[" &amp; $A14 &amp; "]",
"[Base].[SEGMENTO_DESCRIP]",
"[Base].[SEGMENTO_DESCRIP].&amp;[" &amp; $C$6 &amp; "]",
"[Base].[SITUACION]",
"[Base].[SITUACION].&amp;[" &amp; $C14 &amp; "]"
),0)/1000</f>
        <v>5457835.5995839797</v>
      </c>
      <c r="AE14" s="8">
        <f>IFERROR(
GETPIVOTDATA(
"[Base].[Importe]",
TDinamica_R!$A$5,
"[Calendario].[AñoMes]",
"[Calendario].[AñoMes].&amp;[" &amp; TEXT(AE$6,"yyyymm") &amp; "]",
"[Base].[Metrica]",
"[Base].[Metrica].&amp;[" &amp; $A14 &amp; "]",
"[Base].[SEGMENTO_DESCRIP]",
"[Base].[SEGMENTO_DESCRIP].&amp;[" &amp; $C$6 &amp; "]",
"[Base].[SITUACION]",
"[Base].[SITUACION].&amp;[" &amp; $C14 &amp; "]"
),0)/1000</f>
        <v>5494677.7185554411</v>
      </c>
      <c r="AF14" s="8">
        <f>IFERROR(
GETPIVOTDATA(
"[Base].[Importe]",
TDinamica_R!$A$5,
"[Calendario].[AñoMes]",
"[Calendario].[AñoMes].&amp;[" &amp; TEXT(AF$6,"yyyymm") &amp; "]",
"[Base].[Metrica]",
"[Base].[Metrica].&amp;[" &amp; $A14 &amp; "]",
"[Base].[SEGMENTO_DESCRIP]",
"[Base].[SEGMENTO_DESCRIP].&amp;[" &amp; $C$6 &amp; "]",
"[Base].[SITUACION]",
"[Base].[SITUACION].&amp;[" &amp; $C14 &amp; "]"
),0)/1000</f>
        <v>5529026.4806654016</v>
      </c>
      <c r="AG14" s="8">
        <f>IFERROR(
GETPIVOTDATA(
"[Base].[Importe]",
TDinamica_R!$A$5,
"[Calendario].[AñoMes]",
"[Calendario].[AñoMes].&amp;[" &amp; TEXT(AG$6,"yyyymm") &amp; "]",
"[Base].[Metrica]",
"[Base].[Metrica].&amp;[" &amp; $A14 &amp; "]",
"[Base].[SEGMENTO_DESCRIP]",
"[Base].[SEGMENTO_DESCRIP].&amp;[" &amp; $C$6 &amp; "]",
"[Base].[SITUACION]",
"[Base].[SITUACION].&amp;[" &amp; $C14 &amp; "]"
),0)/1000</f>
        <v>5563344.2871952998</v>
      </c>
      <c r="AH14" s="8">
        <f>IFERROR(
GETPIVOTDATA(
"[Base].[Importe]",
TDinamica_R!$A$5,
"[Calendario].[AñoMes]",
"[Calendario].[AñoMes].&amp;[" &amp; TEXT(AH$6,"yyyymm") &amp; "]",
"[Base].[Metrica]",
"[Base].[Metrica].&amp;[" &amp; $A14 &amp; "]",
"[Base].[SEGMENTO_DESCRIP]",
"[Base].[SEGMENTO_DESCRIP].&amp;[" &amp; $C$6 &amp; "]",
"[Base].[SITUACION]",
"[Base].[SITUACION].&amp;[" &amp; $C14 &amp; "]"
),0)/1000</f>
        <v>5620623.3205770599</v>
      </c>
      <c r="AI14" s="8">
        <f>IFERROR(
GETPIVOTDATA(
"[Base].[Importe]",
TDinamica_R!$A$5,
"[Calendario].[AñoMes]",
"[Calendario].[AñoMes].&amp;[" &amp; TEXT(AI$6,"yyyymm") &amp; "]",
"[Base].[Metrica]",
"[Base].[Metrica].&amp;[" &amp; $A14 &amp; "]",
"[Base].[SEGMENTO_DESCRIP]",
"[Base].[SEGMENTO_DESCRIP].&amp;[" &amp; $C$6 &amp; "]",
"[Base].[SITUACION]",
"[Base].[SITUACION].&amp;[" &amp; $C14 &amp; "]"
),0)/1000</f>
        <v>5665045.9543317007</v>
      </c>
      <c r="AJ14" s="8">
        <f>IFERROR(
GETPIVOTDATA(
"[Base].[Importe]",
TDinamica_R!$A$5,
"[Calendario].[AñoMes]",
"[Calendario].[AñoMes].&amp;[" &amp; TEXT(AJ$6,"yyyymm") &amp; "]",
"[Base].[Metrica]",
"[Base].[Metrica].&amp;[" &amp; $A14 &amp; "]",
"[Base].[SEGMENTO_DESCRIP]",
"[Base].[SEGMENTO_DESCRIP].&amp;[" &amp; $C$6 &amp; "]",
"[Base].[SITUACION]",
"[Base].[SITUACION].&amp;[" &amp; $C14 &amp; "]"
),0)/1000</f>
        <v>5738997.7197252586</v>
      </c>
      <c r="AK14" s="8">
        <f>IFERROR(
GETPIVOTDATA(
"[Base].[Importe]",
TDinamica_R!$A$5,
"[Calendario].[AñoMes]",
"[Calendario].[AñoMes].&amp;[" &amp; TEXT(AK$6,"yyyymm") &amp; "]",
"[Base].[Metrica]",
"[Base].[Metrica].&amp;[" &amp; $A14 &amp; "]",
"[Base].[SEGMENTO_DESCRIP]",
"[Base].[SEGMENTO_DESCRIP].&amp;[" &amp; $C$6 &amp; "]",
"[Base].[SITUACION]",
"[Base].[SITUACION].&amp;[" &amp; $C14 &amp; "]"
),0)/1000</f>
        <v>5801282.0473188991</v>
      </c>
      <c r="AL14" s="8">
        <f>IFERROR(
GETPIVOTDATA(
"[Base].[Importe]",
TDinamica_R!$A$5,
"[Calendario].[AñoMes]",
"[Calendario].[AñoMes].&amp;[" &amp; TEXT(AL$6,"yyyymm") &amp; "]",
"[Base].[Metrica]",
"[Base].[Metrica].&amp;[" &amp; $A14 &amp; "]",
"[Base].[SEGMENTO_DESCRIP]",
"[Base].[SEGMENTO_DESCRIP].&amp;[" &amp; $C$6 &amp; "]",
"[Base].[SITUACION]",
"[Base].[SITUACION].&amp;[" &amp; $C14 &amp; "]"
),0)/1000</f>
        <v>5881019.0141259013</v>
      </c>
      <c r="AM14" s="8">
        <f>IFERROR(
GETPIVOTDATA(
"[Base].[Importe]",
TDinamica_R!$A$5,
"[Calendario].[AñoMes]",
"[Calendario].[AñoMes].&amp;[" &amp; TEXT(AM$6,"yyyymm") &amp; "]",
"[Base].[Metrica]",
"[Base].[Metrica].&amp;[" &amp; $A14 &amp; "]",
"[Base].[SEGMENTO_DESCRIP]",
"[Base].[SEGMENTO_DESCRIP].&amp;[" &amp; $C$6 &amp; "]",
"[Base].[SITUACION]",
"[Base].[SITUACION].&amp;[" &amp; $C14 &amp; "]"
),0)/1000</f>
        <v>5950087.9433744811</v>
      </c>
      <c r="AN14" s="8">
        <f>IFERROR(
GETPIVOTDATA(
"[Base].[Importe]",
TDinamica_R!$A$5,
"[Calendario].[AñoMes]",
"[Calendario].[AñoMes].&amp;[" &amp; TEXT(AN$6,"yyyymm") &amp; "]",
"[Base].[Metrica]",
"[Base].[Metrica].&amp;[" &amp; $A14 &amp; "]",
"[Base].[SEGMENTO_DESCRIP]",
"[Base].[SEGMENTO_DESCRIP].&amp;[" &amp; $C$6 &amp; "]",
"[Base].[SITUACION]",
"[Base].[SITUACION].&amp;[" &amp; $C14 &amp; "]"
),0)/1000</f>
        <v>6016839.3799999999</v>
      </c>
      <c r="AO14" s="8">
        <f>IFERROR(
GETPIVOTDATA(
"[Base].[Importe]",
TDinamica_R!$A$5,
"[Calendario].[AñoMes]",
"[Calendario].[AñoMes].&amp;[" &amp; TEXT(AO$6,"yyyymm") &amp; "]",
"[Base].[Metrica]",
"[Base].[Metrica].&amp;[" &amp; $A14 &amp; "]",
"[Base].[SEGMENTO_DESCRIP]",
"[Base].[SEGMENTO_DESCRIP].&amp;[" &amp; $C$6 &amp; "]",
"[Base].[SITUACION]",
"[Base].[SITUACION].&amp;[" &amp; $C14 &amp; "]"
),0)/1000</f>
        <v>6103537.9800000004</v>
      </c>
      <c r="AP14" s="8">
        <f>IFERROR(
GETPIVOTDATA(
"[Base].[Importe]",
TDinamica_R!$A$5,
"[Calendario].[AñoMes]",
"[Calendario].[AñoMes].&amp;[" &amp; TEXT(AP$6,"yyyymm") &amp; "]",
"[Base].[Metrica]",
"[Base].[Metrica].&amp;[" &amp; $A14 &amp; "]",
"[Base].[SEGMENTO_DESCRIP]",
"[Base].[SEGMENTO_DESCRIP].&amp;[" &amp; $C$6 &amp; "]",
"[Base].[SITUACION]",
"[Base].[SITUACION].&amp;[" &amp; $C14 &amp; "]"
),0)/1000</f>
        <v>6171713.75</v>
      </c>
      <c r="AQ14" s="8">
        <f>IFERROR(
GETPIVOTDATA(
"[Base].[Importe]",
TDinamica_R!$A$5,
"[Calendario].[AñoMes]",
"[Calendario].[AñoMes].&amp;[" &amp; TEXT(AQ$6,"yyyymm") &amp; "]",
"[Base].[Metrica]",
"[Base].[Metrica].&amp;[" &amp; $A14 &amp; "]",
"[Base].[SEGMENTO_DESCRIP]",
"[Base].[SEGMENTO_DESCRIP].&amp;[" &amp; $C$6 &amp; "]",
"[Base].[SITUACION]",
"[Base].[SITUACION].&amp;[" &amp; $C14 &amp; "]"
),0)/1000</f>
        <v>6220138.0363800386</v>
      </c>
      <c r="AR14" s="8">
        <f>IFERROR(
GETPIVOTDATA(
"[Base].[Importe]",
TDinamica_R!$A$5,
"[Calendario].[AñoMes]",
"[Calendario].[AñoMes].&amp;[" &amp; TEXT(AR$6,"yyyymm") &amp; "]",
"[Base].[Metrica]",
"[Base].[Metrica].&amp;[" &amp; $A14 &amp; "]",
"[Base].[SEGMENTO_DESCRIP]",
"[Base].[SEGMENTO_DESCRIP].&amp;[" &amp; $C$6 &amp; "]",
"[Base].[SITUACION]",
"[Base].[SITUACION].&amp;[" &amp; $C14 &amp; "]"
),0)/1000</f>
        <v>6288333.2777139116</v>
      </c>
      <c r="AS14" s="8">
        <f>IFERROR(
GETPIVOTDATA(
"[Base].[Importe]",
TDinamica_R!$A$5,
"[Calendario].[AñoMes]",
"[Calendario].[AñoMes].&amp;[" &amp; TEXT(AS$6,"yyyymm") &amp; "]",
"[Base].[Metrica]",
"[Base].[Metrica].&amp;[" &amp; $A14 &amp; "]",
"[Base].[SEGMENTO_DESCRIP]",
"[Base].[SEGMENTO_DESCRIP].&amp;[" &amp; $C$6 &amp; "]",
"[Base].[SITUACION]",
"[Base].[SITUACION].&amp;[" &amp; $C14 &amp; "]"
),0)/1000</f>
        <v>6354220.135403703</v>
      </c>
      <c r="AT14" s="8">
        <f>IFERROR(
GETPIVOTDATA(
"[Base].[Importe]",
TDinamica_R!$A$5,
"[Calendario].[AñoMes]",
"[Calendario].[AñoMes].&amp;[" &amp; TEXT(AT$6,"yyyymm")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U14" s="8">
        <f>IFERROR(
GETPIVOTDATA(
"[Base].[Importe]",
TDinamica_R!$A$5,
"[Calendario].[AñoMes]",
"[Calendario].[AñoMes].&amp;[" &amp; TEXT(AU$6,"yyyymm")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V14" s="8">
        <f>IFERROR(
GETPIVOTDATA(
"[Base].[Importe]",
TDinamica_R!$A$5,
"[Calendario].[AñoMes]",
"[Calendario].[AñoMes].&amp;[" &amp; TEXT(AV$6,"yyyymm")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W14" s="8">
        <f>IFERROR(
GETPIVOTDATA(
"[Base].[Importe]",
TDinamica_R!$A$5,
"[Calendario].[AñoMes]",
"[Calendario].[AñoMes].&amp;[" &amp; TEXT(AW$6,"yyyymm")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X14" s="8">
        <f>IFERROR(
GETPIVOTDATA(
"[Base].[Importe]",
TDinamica_R!$A$5,
"[Calendario].[AñoMes]",
"[Calendario].[AñoMes].&amp;[" &amp; TEXT(AX$6,"yyyymm")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Y14" s="8">
        <f>IFERROR(
GETPIVOTDATA(
"[Base].[Importe]",
TDinamica_R!$A$5,
"[Calendario].[AñoMes]",
"[Calendario].[AñoMes].&amp;[" &amp; TEXT(AY$6,"yyyymm")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Z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"[BASE_HIPO_PPTO].[Periodo]","[BASE_HIPO_PPTO].[Periodo].&amp;["&amp;TEXT(AZ$6,"yyyymm")&amp;"]"),
0)/1000</f>
        <v>5962370.2193267616</v>
      </c>
      <c r="BA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"[BASE_HIPO_PPTO].[Periodo]","[BASE_HIPO_PPTO].[Periodo].&amp;["&amp;TEXT(BA$6,"yyyymm")&amp;"]"),
0)/1000</f>
        <v>6018574.8658707188</v>
      </c>
      <c r="BB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"[BASE_HIPO_PPTO].[Periodo]","[BASE_HIPO_PPTO].[Periodo].&amp;["&amp;TEXT(BB$6,"yyyymm")&amp;"]"),
0)/1000</f>
        <v>6060721.7662961707</v>
      </c>
      <c r="BC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"[BASE_HIPO_PPTO].[Periodo]","[BASE_HIPO_PPTO].[Periodo].&amp;["&amp;TEXT(BC$6,"yyyymm")&amp;"]"),
0)/1000</f>
        <v>6104526.1556513943</v>
      </c>
      <c r="BD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"[BASE_HIPO_PPTO].[Periodo]","[BASE_HIPO_PPTO].[Periodo].&amp;["&amp;TEXT(BD$6,"yyyymm")&amp;"]"),
0)/1000</f>
        <v>6162320.2525383281</v>
      </c>
      <c r="BE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"[BASE_HIPO_PPTO].[Periodo]","[BASE_HIPO_PPTO].[Periodo].&amp;["&amp;TEXT(BE$6,"yyyymm")&amp;"]"),
0)/1000</f>
        <v>6215031.2855189117</v>
      </c>
      <c r="BF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"[BASE_HIPO_PPTO].[Periodo]","[BASE_HIPO_PPTO].[Periodo].&amp;["&amp;TEXT(BF$6,"yyyymm")&amp;"]"),
0)/1000</f>
        <v>6267433.7948966771</v>
      </c>
      <c r="BG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"[BASE_HIPO_PPTO].[Periodo]","[BASE_HIPO_PPTO].[Periodo].&amp;["&amp;TEXT(BG$6,"yyyymm")&amp;"]"),
0)/1000</f>
        <v>6331927.6074984539</v>
      </c>
      <c r="BH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"[BASE_HIPO_PPTO].[Periodo]","[BASE_HIPO_PPTO].[Periodo].&amp;["&amp;TEXT(BH$6,"yyyymm")&amp;"]"),
0)/1000</f>
        <v>6394886.8001283705</v>
      </c>
      <c r="BI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"[BASE_HIPO_PPTO].[Periodo]","[BASE_HIPO_PPTO].[Periodo].&amp;["&amp;TEXT(BI$6,"yyyymm")&amp;"]"),
0)/1000</f>
        <v>6465731.8403735273</v>
      </c>
      <c r="BJ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"[BASE_HIPO_PPTO].[Periodo]","[BASE_HIPO_PPTO].[Periodo].&amp;["&amp;TEXT(BJ$6,"yyyymm")&amp;"]"),
0)/1000</f>
        <v>6528884.7817723481</v>
      </c>
      <c r="BK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"[BASE_HIPO_PPTO].[Periodo]","[BASE_HIPO_PPTO].[Periodo].&amp;["&amp;TEXT(BK$6,"yyyymm")&amp;"]"),
0)/1000</f>
        <v>6585860.9872549763</v>
      </c>
      <c r="BO14" s="24">
        <f t="shared" ref="BO14:BT16" si="9">IFERROR(AVERAGEIFS($D14:$BM14,$D$6:$BM$6,"&gt;="&amp;BO$2,$D$6:$BM$6,"&lt;="&amp;BO$6,$D$5:$BM$5,BO$5,$D14:$BM14,"&lt;&gt;0"),0)</f>
        <v>6097363.7033333331</v>
      </c>
      <c r="BP14" s="24">
        <f t="shared" si="9"/>
        <v>6013888.9504978834</v>
      </c>
      <c r="BQ14" s="24">
        <f t="shared" si="9"/>
        <v>6060188.6799999997</v>
      </c>
      <c r="BR14" s="24">
        <f t="shared" si="9"/>
        <v>5423123.3619321967</v>
      </c>
      <c r="BS14" s="24">
        <f t="shared" si="9"/>
        <v>5156764.0624732198</v>
      </c>
      <c r="BT14" s="24">
        <f t="shared" si="9"/>
        <v>4947023.2073449595</v>
      </c>
      <c r="BW14" s="24">
        <f t="shared" ref="BW14:CB16" si="10">SUMIFS($D14:$BM14,$D$6:$BM$6,"&gt;="&amp;BO$2,$D$6:$BM$6,"&lt;="&amp;BO$6,$D$5:$BM$5,BO$5)</f>
        <v>18292091.109999999</v>
      </c>
      <c r="BX14" s="24">
        <f t="shared" si="10"/>
        <v>18041666.851493649</v>
      </c>
      <c r="BY14" s="24">
        <f t="shared" si="10"/>
        <v>12120377.359999999</v>
      </c>
      <c r="BZ14" s="24">
        <f t="shared" si="10"/>
        <v>16269370.085796591</v>
      </c>
      <c r="CA14" s="24">
        <f t="shared" si="10"/>
        <v>15470292.18741966</v>
      </c>
      <c r="CB14" s="24">
        <f t="shared" si="10"/>
        <v>14841069.622034878</v>
      </c>
    </row>
    <row r="15" spans="1:81" hidden="1" outlineLevel="1" x14ac:dyDescent="0.25">
      <c r="A15" s="11" t="s">
        <v>52</v>
      </c>
      <c r="C15" s="2" t="s">
        <v>1</v>
      </c>
      <c r="D15" s="8">
        <f>IFERROR(
GETPIVOTDATA(
"[Base].[Importe]",
TDinamica_R!$A$5,
"[Calendario].[AñoMes]",
"[Calendario].[AñoMes].&amp;[" &amp; TEXT(D$6,"yyyymm") &amp; "]",
"[Base].[Metrica]",
"[Base].[Metrica].&amp;[" &amp; $A15 &amp; "]",
"[Base].[SEGMENTO_DESCRIP]",
"[Base].[SEGMENTO_DESCRIP].&amp;[" &amp; $C$6 &amp; "]",
"[Base].[SITUACION]",
"[Base].[SITUACION].&amp;[" &amp; $C15 &amp; "]"
),0)/1000</f>
        <v>24585.140791999998</v>
      </c>
      <c r="E15" s="8">
        <f>IFERROR(
GETPIVOTDATA(
"[Base].[Importe]",
TDinamica_R!$A$5,
"[Calendario].[AñoMes]",
"[Calendario].[AñoMes].&amp;[" &amp; TEXT(E$6,"yyyymm") &amp; "]",
"[Base].[Metrica]",
"[Base].[Metrica].&amp;[" &amp; $A15 &amp; "]",
"[Base].[SEGMENTO_DESCRIP]",
"[Base].[SEGMENTO_DESCRIP].&amp;[" &amp; $C$6 &amp; "]",
"[Base].[SITUACION]",
"[Base].[SITUACION].&amp;[" &amp; $C15 &amp; "]"
),0)/1000</f>
        <v>23961.776717999997</v>
      </c>
      <c r="F15" s="8">
        <f>IFERROR(
GETPIVOTDATA(
"[Base].[Importe]",
TDinamica_R!$A$5,
"[Calendario].[AñoMes]",
"[Calendario].[AñoMes].&amp;[" &amp; TEXT(F$6,"yyyymm") &amp; "]",
"[Base].[Metrica]",
"[Base].[Metrica].&amp;[" &amp; $A15 &amp; "]",
"[Base].[SEGMENTO_DESCRIP]",
"[Base].[SEGMENTO_DESCRIP].&amp;[" &amp; $C$6 &amp; "]",
"[Base].[SITUACION]",
"[Base].[SITUACION].&amp;[" &amp; $C15 &amp; "]"
),0)/1000</f>
        <v>24612.585274999998</v>
      </c>
      <c r="G15" s="8">
        <f>IFERROR(
GETPIVOTDATA(
"[Base].[Importe]",
TDinamica_R!$A$5,
"[Calendario].[AñoMes]",
"[Calendario].[AñoMes].&amp;[" &amp; TEXT(G$6,"yyyymm") &amp; "]",
"[Base].[Metrica]",
"[Base].[Metrica].&amp;[" &amp; $A15 &amp; "]",
"[Base].[SEGMENTO_DESCRIP]",
"[Base].[SEGMENTO_DESCRIP].&amp;[" &amp; $C$6 &amp; "]",
"[Base].[SITUACION]",
"[Base].[SITUACION].&amp;[" &amp; $C15 &amp; "]"
),0)/1000</f>
        <v>24452.508463999999</v>
      </c>
      <c r="H15" s="8">
        <f>IFERROR(
GETPIVOTDATA(
"[Base].[Importe]",
TDinamica_R!$A$5,
"[Calendario].[AñoMes]",
"[Calendario].[AñoMes].&amp;[" &amp; TEXT(H$6,"yyyymm") &amp; "]",
"[Base].[Metrica]",
"[Base].[Metrica].&amp;[" &amp; $A15 &amp; "]",
"[Base].[SEGMENTO_DESCRIP]",
"[Base].[SEGMENTO_DESCRIP].&amp;[" &amp; $C$6 &amp; "]",
"[Base].[SITUACION]",
"[Base].[SITUACION].&amp;[" &amp; $C15 &amp; "]"
),0)/1000</f>
        <v>23614.108720999997</v>
      </c>
      <c r="I15" s="8">
        <f>IFERROR(
GETPIVOTDATA(
"[Base].[Importe]",
TDinamica_R!$A$5,
"[Calendario].[AñoMes]",
"[Calendario].[AñoMes].&amp;[" &amp; TEXT(I$6,"yyyymm") &amp; "]",
"[Base].[Metrica]",
"[Base].[Metrica].&amp;[" &amp; $A15 &amp; "]",
"[Base].[SEGMENTO_DESCRIP]",
"[Base].[SEGMENTO_DESCRIP].&amp;[" &amp; $C$6 &amp; "]",
"[Base].[SITUACION]",
"[Base].[SITUACION].&amp;[" &amp; $C15 &amp; "]"
),0)/1000</f>
        <v>23349.985614000001</v>
      </c>
      <c r="J15" s="8">
        <f>IFERROR(
GETPIVOTDATA(
"[Base].[Importe]",
TDinamica_R!$A$5,
"[Calendario].[AñoMes]",
"[Calendario].[AñoMes].&amp;[" &amp; TEXT(J$6,"yyyymm") &amp; "]",
"[Base].[Metrica]",
"[Base].[Metrica].&amp;[" &amp; $A15 &amp; "]",
"[Base].[SEGMENTO_DESCRIP]",
"[Base].[SEGMENTO_DESCRIP].&amp;[" &amp; $C$6 &amp; "]",
"[Base].[SITUACION]",
"[Base].[SITUACION].&amp;[" &amp; $C15 &amp; "]"
),0)/1000</f>
        <v>23586.137189000001</v>
      </c>
      <c r="K15" s="8">
        <f>IFERROR(
GETPIVOTDATA(
"[Base].[Importe]",
TDinamica_R!$A$5,
"[Calendario].[AñoMes]",
"[Calendario].[AñoMes].&amp;[" &amp; TEXT(K$6,"yyyymm") &amp; "]",
"[Base].[Metrica]",
"[Base].[Metrica].&amp;[" &amp; $A15 &amp; "]",
"[Base].[SEGMENTO_DESCRIP]",
"[Base].[SEGMENTO_DESCRIP].&amp;[" &amp; $C$6 &amp; "]",
"[Base].[SITUACION]",
"[Base].[SITUACION].&amp;[" &amp; $C15 &amp; "]"
),0)/1000</f>
        <v>22563.283819</v>
      </c>
      <c r="L15" s="8">
        <f>IFERROR(
GETPIVOTDATA(
"[Base].[Importe]",
TDinamica_R!$A$5,
"[Calendario].[AñoMes]",
"[Calendario].[AñoMes].&amp;[" &amp; TEXT(L$6,"yyyymm") &amp; "]",
"[Base].[Metrica]",
"[Base].[Metrica].&amp;[" &amp; $A15 &amp; "]",
"[Base].[SEGMENTO_DESCRIP]",
"[Base].[SEGMENTO_DESCRIP].&amp;[" &amp; $C$6 &amp; "]",
"[Base].[SITUACION]",
"[Base].[SITUACION].&amp;[" &amp; $C15 &amp; "]"
),0)/1000</f>
        <v>21627.577546</v>
      </c>
      <c r="M15" s="8">
        <f>IFERROR(
GETPIVOTDATA(
"[Base].[Importe]",
TDinamica_R!$A$5,
"[Calendario].[AñoMes]",
"[Calendario].[AñoMes].&amp;[" &amp; TEXT(M$6,"yyyymm") &amp; "]",
"[Base].[Metrica]",
"[Base].[Metrica].&amp;[" &amp; $A15 &amp; "]",
"[Base].[SEGMENTO_DESCRIP]",
"[Base].[SEGMENTO_DESCRIP].&amp;[" &amp; $C$6 &amp; "]",
"[Base].[SITUACION]",
"[Base].[SITUACION].&amp;[" &amp; $C15 &amp; "]"
),0)/1000</f>
        <v>20921.000433999998</v>
      </c>
      <c r="N15" s="8">
        <f>IFERROR(
GETPIVOTDATA(
"[Base].[Importe]",
TDinamica_R!$A$5,
"[Calendario].[AñoMes]",
"[Calendario].[AñoMes].&amp;[" &amp; TEXT(N$6,"yyyymm") &amp; "]",
"[Base].[Metrica]",
"[Base].[Metrica].&amp;[" &amp; $A15 &amp; "]",
"[Base].[SEGMENTO_DESCRIP]",
"[Base].[SEGMENTO_DESCRIP].&amp;[" &amp; $C$6 &amp; "]",
"[Base].[SITUACION]",
"[Base].[SITUACION].&amp;[" &amp; $C15 &amp; "]"
),0)/1000</f>
        <v>21160.083956999999</v>
      </c>
      <c r="O15" s="8">
        <f>IFERROR(
GETPIVOTDATA(
"[Base].[Importe]",
TDinamica_R!$A$5,
"[Calendario].[AñoMes]",
"[Calendario].[AñoMes].&amp;[" &amp; TEXT(O$6,"yyyymm") &amp; "]",
"[Base].[Metrica]",
"[Base].[Metrica].&amp;[" &amp; $A15 &amp; "]",
"[Base].[SEGMENTO_DESCRIP]",
"[Base].[SEGMENTO_DESCRIP].&amp;[" &amp; $C$6 &amp; "]",
"[Base].[SITUACION]",
"[Base].[SITUACION].&amp;[" &amp; $C15 &amp; "]"
),0)/1000</f>
        <v>21268.410617999998</v>
      </c>
      <c r="P15" s="8">
        <f>IFERROR(
GETPIVOTDATA(
"[Base].[Importe]",
TDinamica_R!$A$5,
"[Calendario].[AñoMes]",
"[Calendario].[AñoMes].&amp;[" &amp; TEXT(P$6,"yyyymm") &amp; "]",
"[Base].[Metrica]",
"[Base].[Metrica].&amp;[" &amp; $A15 &amp; "]",
"[Base].[SEGMENTO_DESCRIP]",
"[Base].[SEGMENTO_DESCRIP].&amp;[" &amp; $C$6 &amp; "]",
"[Base].[SITUACION]",
"[Base].[SITUACION].&amp;[" &amp; $C15 &amp; "]"
),0)/1000</f>
        <v>20983.524797000002</v>
      </c>
      <c r="Q15" s="8">
        <f>IFERROR(
GETPIVOTDATA(
"[Base].[Importe]",
TDinamica_R!$A$5,
"[Calendario].[AñoMes]",
"[Calendario].[AñoMes].&amp;[" &amp; TEXT(Q$6,"yyyymm") &amp; "]",
"[Base].[Metrica]",
"[Base].[Metrica].&amp;[" &amp; $A15 &amp; "]",
"[Base].[SEGMENTO_DESCRIP]",
"[Base].[SEGMENTO_DESCRIP].&amp;[" &amp; $C$6 &amp; "]",
"[Base].[SITUACION]",
"[Base].[SITUACION].&amp;[" &amp; $C15 &amp; "]"
),0)/1000</f>
        <v>20516.254129999998</v>
      </c>
      <c r="R15" s="8">
        <f>IFERROR(
GETPIVOTDATA(
"[Base].[Importe]",
TDinamica_R!$A$5,
"[Calendario].[AñoMes]",
"[Calendario].[AñoMes].&amp;[" &amp; TEXT(R$6,"yyyymm") &amp; "]",
"[Base].[Metrica]",
"[Base].[Metrica].&amp;[" &amp; $A15 &amp; "]",
"[Base].[SEGMENTO_DESCRIP]",
"[Base].[SEGMENTO_DESCRIP].&amp;[" &amp; $C$6 &amp; "]",
"[Base].[SITUACION]",
"[Base].[SITUACION].&amp;[" &amp; $C15 &amp; "]"
),0)/1000</f>
        <v>20743.451789000002</v>
      </c>
      <c r="S15" s="8">
        <f>IFERROR(
GETPIVOTDATA(
"[Base].[Importe]",
TDinamica_R!$A$5,
"[Calendario].[AñoMes]",
"[Calendario].[AñoMes].&amp;[" &amp; TEXT(S$6,"yyyymm") &amp; "]",
"[Base].[Metrica]",
"[Base].[Metrica].&amp;[" &amp; $A15 &amp; "]",
"[Base].[SEGMENTO_DESCRIP]",
"[Base].[SEGMENTO_DESCRIP].&amp;[" &amp; $C$6 &amp; "]",
"[Base].[SITUACION]",
"[Base].[SITUACION].&amp;[" &amp; $C15 &amp; "]"
),0)/1000</f>
        <v>20157.067819</v>
      </c>
      <c r="T15" s="8">
        <f>IFERROR(
GETPIVOTDATA(
"[Base].[Importe]",
TDinamica_R!$A$5,
"[Calendario].[AñoMes]",
"[Calendario].[AñoMes].&amp;[" &amp; TEXT(T$6,"yyyymm") &amp; "]",
"[Base].[Metrica]",
"[Base].[Metrica].&amp;[" &amp; $A15 &amp; "]",
"[Base].[SEGMENTO_DESCRIP]",
"[Base].[SEGMENTO_DESCRIP].&amp;[" &amp; $C$6 &amp; "]",
"[Base].[SITUACION]",
"[Base].[SITUACION].&amp;[" &amp; $C15 &amp; "]"
),0)/1000</f>
        <v>19873.136484999999</v>
      </c>
      <c r="U15" s="8">
        <f>IFERROR(
GETPIVOTDATA(
"[Base].[Importe]",
TDinamica_R!$A$5,
"[Calendario].[AñoMes]",
"[Calendario].[AñoMes].&amp;[" &amp; TEXT(U$6,"yyyymm") &amp; "]",
"[Base].[Metrica]",
"[Base].[Metrica].&amp;[" &amp; $A15 &amp; "]",
"[Base].[SEGMENTO_DESCRIP]",
"[Base].[SEGMENTO_DESCRIP].&amp;[" &amp; $C$6 &amp; "]",
"[Base].[SITUACION]",
"[Base].[SITUACION].&amp;[" &amp; $C15 &amp; "]"
),0)/1000</f>
        <v>19629.899393</v>
      </c>
      <c r="V15" s="8">
        <f>IFERROR(
GETPIVOTDATA(
"[Base].[Importe]",
TDinamica_R!$A$5,
"[Calendario].[AñoMes]",
"[Calendario].[AñoMes].&amp;[" &amp; TEXT(V$6,"yyyymm") &amp; "]",
"[Base].[Metrica]",
"[Base].[Metrica].&amp;[" &amp; $A15 &amp; "]",
"[Base].[SEGMENTO_DESCRIP]",
"[Base].[SEGMENTO_DESCRIP].&amp;[" &amp; $C$6 &amp; "]",
"[Base].[SITUACION]",
"[Base].[SITUACION].&amp;[" &amp; $C15 &amp; "]"
),0)/1000</f>
        <v>19940.794669999999</v>
      </c>
      <c r="W15" s="8">
        <f>IFERROR(
GETPIVOTDATA(
"[Base].[Importe]",
TDinamica_R!$A$5,
"[Calendario].[AñoMes]",
"[Calendario].[AñoMes].&amp;[" &amp; TEXT(W$6,"yyyymm") &amp; "]",
"[Base].[Metrica]",
"[Base].[Metrica].&amp;[" &amp; $A15 &amp; "]",
"[Base].[SEGMENTO_DESCRIP]",
"[Base].[SEGMENTO_DESCRIP].&amp;[" &amp; $C$6 &amp; "]",
"[Base].[SITUACION]",
"[Base].[SITUACION].&amp;[" &amp; $C15 &amp; "]"
),0)/1000</f>
        <v>19575.597025999999</v>
      </c>
      <c r="X15" s="8">
        <f>IFERROR(
GETPIVOTDATA(
"[Base].[Importe]",
TDinamica_R!$A$5,
"[Calendario].[AñoMes]",
"[Calendario].[AñoMes].&amp;[" &amp; TEXT(X$6,"yyyymm") &amp; "]",
"[Base].[Metrica]",
"[Base].[Metrica].&amp;[" &amp; $A15 &amp; "]",
"[Base].[SEGMENTO_DESCRIP]",
"[Base].[SEGMENTO_DESCRIP].&amp;[" &amp; $C$6 &amp; "]",
"[Base].[SITUACION]",
"[Base].[SITUACION].&amp;[" &amp; $C15 &amp; "]"
),0)/1000</f>
        <v>19493.562346000002</v>
      </c>
      <c r="Y15" s="8">
        <f>IFERROR(
GETPIVOTDATA(
"[Base].[Importe]",
TDinamica_R!$A$5,
"[Calendario].[AñoMes]",
"[Calendario].[AñoMes].&amp;[" &amp; TEXT(Y$6,"yyyymm") &amp; "]",
"[Base].[Metrica]",
"[Base].[Metrica].&amp;[" &amp; $A15 &amp; "]",
"[Base].[SEGMENTO_DESCRIP]",
"[Base].[SEGMENTO_DESCRIP].&amp;[" &amp; $C$6 &amp; "]",
"[Base].[SITUACION]",
"[Base].[SITUACION].&amp;[" &amp; $C15 &amp; "]"
),0)/1000</f>
        <v>19827.850327</v>
      </c>
      <c r="Z15" s="8">
        <f>IFERROR(
GETPIVOTDATA(
"[Base].[Importe]",
TDinamica_R!$A$5,
"[Calendario].[AñoMes]",
"[Calendario].[AñoMes].&amp;[" &amp; TEXT(Z$6,"yyyymm") &amp; "]",
"[Base].[Metrica]",
"[Base].[Metrica].&amp;[" &amp; $A15 &amp; "]",
"[Base].[SEGMENTO_DESCRIP]",
"[Base].[SEGMENTO_DESCRIP].&amp;[" &amp; $C$6 &amp; "]",
"[Base].[SITUACION]",
"[Base].[SITUACION].&amp;[" &amp; $C15 &amp; "]"
),0)/1000</f>
        <v>19640.307494999997</v>
      </c>
      <c r="AA15" s="8">
        <f>IFERROR(
GETPIVOTDATA(
"[Base].[Importe]",
TDinamica_R!$A$5,
"[Calendario].[AñoMes]",
"[Calendario].[AñoMes].&amp;[" &amp; TEXT(AA$6,"yyyymm") &amp; "]",
"[Base].[Metrica]",
"[Base].[Metrica].&amp;[" &amp; $A15 &amp; "]",
"[Base].[SEGMENTO_DESCRIP]",
"[Base].[SEGMENTO_DESCRIP].&amp;[" &amp; $C$6 &amp; "]",
"[Base].[SITUACION]",
"[Base].[SITUACION].&amp;[" &amp; $C15 &amp; "]"
),0)/1000</f>
        <v>19001.142778000001</v>
      </c>
      <c r="AB15" s="8">
        <f>IFERROR(
GETPIVOTDATA(
"[Base].[Importe]",
TDinamica_R!$A$5,
"[Calendario].[AñoMes]",
"[Calendario].[AñoMes].&amp;[" &amp; TEXT(AB$6,"yyyymm") &amp; "]",
"[Base].[Metrica]",
"[Base].[Metrica].&amp;[" &amp; $A15 &amp; "]",
"[Base].[SEGMENTO_DESCRIP]",
"[Base].[SEGMENTO_DESCRIP].&amp;[" &amp; $C$6 &amp; "]",
"[Base].[SITUACION]",
"[Base].[SITUACION].&amp;[" &amp; $C15 &amp; "]"
),0)/1000</f>
        <v>19123.951571000001</v>
      </c>
      <c r="AC15" s="8">
        <f>IFERROR(
GETPIVOTDATA(
"[Base].[Importe]",
TDinamica_R!$A$5,
"[Calendario].[AñoMes]",
"[Calendario].[AñoMes].&amp;[" &amp; TEXT(AC$6,"yyyymm") &amp; "]",
"[Base].[Metrica]",
"[Base].[Metrica].&amp;[" &amp; $A15 &amp; "]",
"[Base].[SEGMENTO_DESCRIP]",
"[Base].[SEGMENTO_DESCRIP].&amp;[" &amp; $C$6 &amp; "]",
"[Base].[SITUACION]",
"[Base].[SITUACION].&amp;[" &amp; $C15 &amp; "]"
),0)/1000</f>
        <v>18812.553483</v>
      </c>
      <c r="AD15" s="8">
        <f>IFERROR(
GETPIVOTDATA(
"[Base].[Importe]",
TDinamica_R!$A$5,
"[Calendario].[AñoMes]",
"[Calendario].[AñoMes].&amp;[" &amp; TEXT(AD$6,"yyyymm") &amp; "]",
"[Base].[Metrica]",
"[Base].[Metrica].&amp;[" &amp; $A15 &amp; "]",
"[Base].[SEGMENTO_DESCRIP]",
"[Base].[SEGMENTO_DESCRIP].&amp;[" &amp; $C$6 &amp; "]",
"[Base].[SITUACION]",
"[Base].[SITUACION].&amp;[" &amp; $C15 &amp; "]"
),0)/1000</f>
        <v>18834.000610000003</v>
      </c>
      <c r="AE15" s="8">
        <f>IFERROR(
GETPIVOTDATA(
"[Base].[Importe]",
TDinamica_R!$A$5,
"[Calendario].[AñoMes]",
"[Calendario].[AñoMes].&amp;[" &amp; TEXT(AE$6,"yyyymm") &amp; "]",
"[Base].[Metrica]",
"[Base].[Metrica].&amp;[" &amp; $A15 &amp; "]",
"[Base].[SEGMENTO_DESCRIP]",
"[Base].[SEGMENTO_DESCRIP].&amp;[" &amp; $C$6 &amp; "]",
"[Base].[SITUACION]",
"[Base].[SITUACION].&amp;[" &amp; $C15 &amp; "]"
),0)/1000</f>
        <v>19663.345101999999</v>
      </c>
      <c r="AF15" s="8">
        <f>IFERROR(
GETPIVOTDATA(
"[Base].[Importe]",
TDinamica_R!$A$5,
"[Calendario].[AñoMes]",
"[Calendario].[AñoMes].&amp;[" &amp; TEXT(AF$6,"yyyymm") &amp; "]",
"[Base].[Metrica]",
"[Base].[Metrica].&amp;[" &amp; $A15 &amp; "]",
"[Base].[SEGMENTO_DESCRIP]",
"[Base].[SEGMENTO_DESCRIP].&amp;[" &amp; $C$6 &amp; "]",
"[Base].[SITUACION]",
"[Base].[SITUACION].&amp;[" &amp; $C15 &amp; "]"
),0)/1000</f>
        <v>19330.698490999999</v>
      </c>
      <c r="AG15" s="8">
        <f>IFERROR(
GETPIVOTDATA(
"[Base].[Importe]",
TDinamica_R!$A$5,
"[Calendario].[AñoMes]",
"[Calendario].[AñoMes].&amp;[" &amp; TEXT(AG$6,"yyyymm") &amp; "]",
"[Base].[Metrica]",
"[Base].[Metrica].&amp;[" &amp; $A15 &amp; "]",
"[Base].[SEGMENTO_DESCRIP]",
"[Base].[SEGMENTO_DESCRIP].&amp;[" &amp; $C$6 &amp; "]",
"[Base].[SITUACION]",
"[Base].[SITUACION].&amp;[" &amp; $C15 &amp; "]"
),0)/1000</f>
        <v>19614.045854</v>
      </c>
      <c r="AH15" s="8">
        <f>IFERROR(
GETPIVOTDATA(
"[Base].[Importe]",
TDinamica_R!$A$5,
"[Calendario].[AñoMes]",
"[Calendario].[AñoMes].&amp;[" &amp; TEXT(AH$6,"yyyymm") &amp; "]",
"[Base].[Metrica]",
"[Base].[Metrica].&amp;[" &amp; $A15 &amp; "]",
"[Base].[SEGMENTO_DESCRIP]",
"[Base].[SEGMENTO_DESCRIP].&amp;[" &amp; $C$6 &amp; "]",
"[Base].[SITUACION]",
"[Base].[SITUACION].&amp;[" &amp; $C15 &amp; "]"
),0)/1000</f>
        <v>19879.457986000001</v>
      </c>
      <c r="AI15" s="8">
        <f>IFERROR(
GETPIVOTDATA(
"[Base].[Importe]",
TDinamica_R!$A$5,
"[Calendario].[AñoMes]",
"[Calendario].[AñoMes].&amp;[" &amp; TEXT(AI$6,"yyyymm") &amp; "]",
"[Base].[Metrica]",
"[Base].[Metrica].&amp;[" &amp; $A15 &amp; "]",
"[Base].[SEGMENTO_DESCRIP]",
"[Base].[SEGMENTO_DESCRIP].&amp;[" &amp; $C$6 &amp; "]",
"[Base].[SITUACION]",
"[Base].[SITUACION].&amp;[" &amp; $C15 &amp; "]"
),0)/1000</f>
        <v>19615.468864999999</v>
      </c>
      <c r="AJ15" s="8">
        <f>IFERROR(
GETPIVOTDATA(
"[Base].[Importe]",
TDinamica_R!$A$5,
"[Calendario].[AñoMes]",
"[Calendario].[AñoMes].&amp;[" &amp; TEXT(AJ$6,"yyyymm") &amp; "]",
"[Base].[Metrica]",
"[Base].[Metrica].&amp;[" &amp; $A15 &amp; "]",
"[Base].[SEGMENTO_DESCRIP]",
"[Base].[SEGMENTO_DESCRIP].&amp;[" &amp; $C$6 &amp; "]",
"[Base].[SITUACION]",
"[Base].[SITUACION].&amp;[" &amp; $C15 &amp; "]"
),0)/1000</f>
        <v>19946.803949000001</v>
      </c>
      <c r="AK15" s="8">
        <f>IFERROR(
GETPIVOTDATA(
"[Base].[Importe]",
TDinamica_R!$A$5,
"[Calendario].[AñoMes]",
"[Calendario].[AñoMes].&amp;[" &amp; TEXT(AK$6,"yyyymm") &amp; "]",
"[Base].[Metrica]",
"[Base].[Metrica].&amp;[" &amp; $A15 &amp; "]",
"[Base].[SEGMENTO_DESCRIP]",
"[Base].[SEGMENTO_DESCRIP].&amp;[" &amp; $C$6 &amp; "]",
"[Base].[SITUACION]",
"[Base].[SITUACION].&amp;[" &amp; $C15 &amp; "]"
),0)/1000</f>
        <v>20353.834750900001</v>
      </c>
      <c r="AL15" s="8">
        <f>IFERROR(
GETPIVOTDATA(
"[Base].[Importe]",
TDinamica_R!$A$5,
"[Calendario].[AñoMes]",
"[Calendario].[AñoMes].&amp;[" &amp; TEXT(AL$6,"yyyymm") &amp; "]",
"[Base].[Metrica]",
"[Base].[Metrica].&amp;[" &amp; $A15 &amp; "]",
"[Base].[SEGMENTO_DESCRIP]",
"[Base].[SEGMENTO_DESCRIP].&amp;[" &amp; $C$6 &amp; "]",
"[Base].[SITUACION]",
"[Base].[SITUACION].&amp;[" &amp; $C15 &amp; "]"
),0)/1000</f>
        <v>20491.866168</v>
      </c>
      <c r="AM15" s="8">
        <f>IFERROR(
GETPIVOTDATA(
"[Base].[Importe]",
TDinamica_R!$A$5,
"[Calendario].[AñoMes]",
"[Calendario].[AñoMes].&amp;[" &amp; TEXT(AM$6,"yyyymm") &amp; "]",
"[Base].[Metrica]",
"[Base].[Metrica].&amp;[" &amp; $A15 &amp; "]",
"[Base].[SEGMENTO_DESCRIP]",
"[Base].[SEGMENTO_DESCRIP].&amp;[" &amp; $C$6 &amp; "]",
"[Base].[SITUACION]",
"[Base].[SITUACION].&amp;[" &amp; $C15 &amp; "]"
),0)/1000</f>
        <v>20876.349629</v>
      </c>
      <c r="AN15" s="8">
        <f>IFERROR(
GETPIVOTDATA(
"[Base].[Importe]",
TDinamica_R!$A$5,
"[Calendario].[AñoMes]",
"[Calendario].[AñoMes].&amp;[" &amp; TEXT(AN$6,"yyyymm") &amp; "]",
"[Base].[Metrica]",
"[Base].[Metrica].&amp;[" &amp; $A15 &amp; "]",
"[Base].[SEGMENTO_DESCRIP]",
"[Base].[SEGMENTO_DESCRIP].&amp;[" &amp; $C$6 &amp; "]",
"[Base].[SITUACION]",
"[Base].[SITUACION].&amp;[" &amp; $C15 &amp; "]"
),0)/1000</f>
        <v>22106.49</v>
      </c>
      <c r="AO15" s="8">
        <f>IFERROR(
GETPIVOTDATA(
"[Base].[Importe]",
TDinamica_R!$A$5,
"[Calendario].[AñoMes]",
"[Calendario].[AñoMes].&amp;[" &amp; TEXT(AO$6,"yyyymm") &amp; "]",
"[Base].[Metrica]",
"[Base].[Metrica].&amp;[" &amp; $A15 &amp; "]",
"[Base].[SEGMENTO_DESCRIP]",
"[Base].[SEGMENTO_DESCRIP].&amp;[" &amp; $C$6 &amp; "]",
"[Base].[SITUACION]",
"[Base].[SITUACION].&amp;[" &amp; $C15 &amp; "]"
),0)/1000</f>
        <v>22393.54</v>
      </c>
      <c r="AP15" s="8">
        <f>IFERROR(
GETPIVOTDATA(
"[Base].[Importe]",
TDinamica_R!$A$5,
"[Calendario].[AñoMes]",
"[Calendario].[AñoMes].&amp;[" &amp; TEXT(AP$6,"yyyymm") &amp; "]",
"[Base].[Metrica]",
"[Base].[Metrica].&amp;[" &amp; $A15 &amp; "]",
"[Base].[SEGMENTO_DESCRIP]",
"[Base].[SEGMENTO_DESCRIP].&amp;[" &amp; $C$6 &amp; "]",
"[Base].[SITUACION]",
"[Base].[SITUACION].&amp;[" &amp; $C15 &amp; "]"
),0)/1000</f>
        <v>23564.66</v>
      </c>
      <c r="AQ15" s="8">
        <f>IFERROR(
GETPIVOTDATA(
"[Base].[Importe]",
TDinamica_R!$A$5,
"[Calendario].[AñoMes]",
"[Calendario].[AñoMes].&amp;[" &amp; TEXT(AQ$6,"yyyymm") &amp; "]",
"[Base].[Metrica]",
"[Base].[Metrica].&amp;[" &amp; $A15 &amp; "]",
"[Base].[SEGMENTO_DESCRIP]",
"[Base].[SEGMENTO_DESCRIP].&amp;[" &amp; $C$6 &amp; "]",
"[Base].[SITUACION]",
"[Base].[SITUACION].&amp;[" &amp; $C15 &amp; "]"
),0)/1000</f>
        <v>23055.705175710002</v>
      </c>
      <c r="AR15" s="8">
        <f>IFERROR(
GETPIVOTDATA(
"[Base].[Importe]",
TDinamica_R!$A$5,
"[Calendario].[AñoMes]",
"[Calendario].[AñoMes].&amp;[" &amp; TEXT(AR$6,"yyyymm") &amp; "]",
"[Base].[Metrica]",
"[Base].[Metrica].&amp;[" &amp; $A15 &amp; "]",
"[Base].[SEGMENTO_DESCRIP]",
"[Base].[SEGMENTO_DESCRIP].&amp;[" &amp; $C$6 &amp; "]",
"[Base].[SITUACION]",
"[Base].[SITUACION].&amp;[" &amp; $C15 &amp; "]"
),0)/1000</f>
        <v>23496.519037280003</v>
      </c>
      <c r="AS15" s="8">
        <f>IFERROR(
GETPIVOTDATA(
"[Base].[Importe]",
TDinamica_R!$A$5,
"[Calendario].[AñoMes]",
"[Calendario].[AñoMes].&amp;[" &amp; TEXT(AS$6,"yyyymm") &amp; "]",
"[Base].[Metrica]",
"[Base].[Metrica].&amp;[" &amp; $A15 &amp; "]",
"[Base].[SEGMENTO_DESCRIP]",
"[Base].[SEGMENTO_DESCRIP].&amp;[" &amp; $C$6 &amp; "]",
"[Base].[SITUACION]",
"[Base].[SITUACION].&amp;[" &amp; $C15 &amp; "]"
),0)/1000</f>
        <v>23449.182229200014</v>
      </c>
      <c r="AT15" s="8">
        <f>IFERROR(
GETPIVOTDATA(
"[Base].[Importe]",
TDinamica_R!$A$5,
"[Calendario].[AñoMes]",
"[Calendario].[AñoMes].&amp;[" &amp; TEXT(AT$6,"yyyymm")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U15" s="8">
        <f>IFERROR(
GETPIVOTDATA(
"[Base].[Importe]",
TDinamica_R!$A$5,
"[Calendario].[AñoMes]",
"[Calendario].[AñoMes].&amp;[" &amp; TEXT(AU$6,"yyyymm")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V15" s="8">
        <f>IFERROR(
GETPIVOTDATA(
"[Base].[Importe]",
TDinamica_R!$A$5,
"[Calendario].[AñoMes]",
"[Calendario].[AñoMes].&amp;[" &amp; TEXT(AV$6,"yyyymm")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W15" s="8">
        <f>IFERROR(
GETPIVOTDATA(
"[Base].[Importe]",
TDinamica_R!$A$5,
"[Calendario].[AñoMes]",
"[Calendario].[AñoMes].&amp;[" &amp; TEXT(AW$6,"yyyymm")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X15" s="8">
        <f>IFERROR(
GETPIVOTDATA(
"[Base].[Importe]",
TDinamica_R!$A$5,
"[Calendario].[AñoMes]",
"[Calendario].[AñoMes].&amp;[" &amp; TEXT(AX$6,"yyyymm")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Y15" s="8">
        <f>IFERROR(
GETPIVOTDATA(
"[Base].[Importe]",
TDinamica_R!$A$5,
"[Calendario].[AñoMes]",
"[Calendario].[AñoMes].&amp;[" &amp; TEXT(AY$6,"yyyymm")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Z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"[BASE_HIPO_PPTO].[Periodo]","[BASE_HIPO_PPTO].[Periodo].&amp;["&amp;TEXT(AZ$6,"yyyymm")&amp;"]"),
0)/1000</f>
        <v>19279.856610275136</v>
      </c>
      <c r="BA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"[BASE_HIPO_PPTO].[Periodo]","[BASE_HIPO_PPTO].[Periodo].&amp;["&amp;TEXT(BA$6,"yyyymm")&amp;"]"),
0)/1000</f>
        <v>19061.360155180046</v>
      </c>
      <c r="BB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"[BASE_HIPO_PPTO].[Periodo]","[BASE_HIPO_PPTO].[Periodo].&amp;["&amp;TEXT(BB$6,"yyyymm")&amp;"]"),
0)/1000</f>
        <v>19357.565562117092</v>
      </c>
      <c r="BC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"[BASE_HIPO_PPTO].[Periodo]","[BASE_HIPO_PPTO].[Periodo].&amp;["&amp;TEXT(BC$6,"yyyymm")&amp;"]"),
0)/1000</f>
        <v>19468.077258038171</v>
      </c>
      <c r="BD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"[BASE_HIPO_PPTO].[Periodo]","[BASE_HIPO_PPTO].[Periodo].&amp;["&amp;TEXT(BD$6,"yyyymm")&amp;"]"),
0)/1000</f>
        <v>19319.365756889907</v>
      </c>
      <c r="BE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"[BASE_HIPO_PPTO].[Periodo]","[BASE_HIPO_PPTO].[Periodo].&amp;["&amp;TEXT(BE$6,"yyyymm")&amp;"]"),
0)/1000</f>
        <v>19555.868074677317</v>
      </c>
      <c r="BF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"[BASE_HIPO_PPTO].[Periodo]","[BASE_HIPO_PPTO].[Periodo].&amp;["&amp;TEXT(BF$6,"yyyymm")&amp;"]"),
0)/1000</f>
        <v>19514.695177179357</v>
      </c>
      <c r="BG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"[BASE_HIPO_PPTO].[Periodo]","[BASE_HIPO_PPTO].[Periodo].&amp;["&amp;TEXT(BG$6,"yyyymm")&amp;"]"),
0)/1000</f>
        <v>19522.200057423543</v>
      </c>
      <c r="BH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"[BASE_HIPO_PPTO].[Periodo]","[BASE_HIPO_PPTO].[Periodo].&amp;["&amp;TEXT(BH$6,"yyyymm")&amp;"]"),
0)/1000</f>
        <v>19416.075689049998</v>
      </c>
      <c r="BI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"[BASE_HIPO_PPTO].[Periodo]","[BASE_HIPO_PPTO].[Periodo].&amp;["&amp;TEXT(BI$6,"yyyymm")&amp;"]"),
0)/1000</f>
        <v>19497.083620588113</v>
      </c>
      <c r="BJ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"[BASE_HIPO_PPTO].[Periodo]","[BASE_HIPO_PPTO].[Periodo].&amp;["&amp;TEXT(BJ$6,"yyyymm")&amp;"]"),
0)/1000</f>
        <v>19512.245788536758</v>
      </c>
      <c r="BK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"[BASE_HIPO_PPTO].[Periodo]","[BASE_HIPO_PPTO].[Periodo].&amp;["&amp;TEXT(BK$6,"yyyymm")&amp;"]"),
0)/1000</f>
        <v>19388.084755355354</v>
      </c>
      <c r="BO15" s="24">
        <f t="shared" si="9"/>
        <v>22688.23</v>
      </c>
      <c r="BP15" s="24">
        <f t="shared" si="9"/>
        <v>19232.927442524091</v>
      </c>
      <c r="BQ15" s="24">
        <f t="shared" si="9"/>
        <v>22250.014999999999</v>
      </c>
      <c r="BR15" s="24">
        <f t="shared" si="9"/>
        <v>18923.501888000003</v>
      </c>
      <c r="BS15" s="24">
        <f t="shared" si="9"/>
        <v>20747.743572000003</v>
      </c>
      <c r="BT15" s="24">
        <f t="shared" si="9"/>
        <v>24386.500928333331</v>
      </c>
      <c r="BW15" s="24">
        <f t="shared" si="10"/>
        <v>68064.69</v>
      </c>
      <c r="BX15" s="24">
        <f t="shared" si="10"/>
        <v>57698.782327572277</v>
      </c>
      <c r="BY15" s="24">
        <f t="shared" si="10"/>
        <v>44500.03</v>
      </c>
      <c r="BZ15" s="24">
        <f t="shared" si="10"/>
        <v>56770.505664000004</v>
      </c>
      <c r="CA15" s="24">
        <f t="shared" si="10"/>
        <v>62243.230716000005</v>
      </c>
      <c r="CB15" s="24">
        <f t="shared" si="10"/>
        <v>73159.50278499999</v>
      </c>
    </row>
    <row r="16" spans="1:81" hidden="1" outlineLevel="1" x14ac:dyDescent="0.25">
      <c r="A16" s="11" t="s">
        <v>52</v>
      </c>
      <c r="C16" s="2" t="s">
        <v>45</v>
      </c>
      <c r="D16" s="8">
        <f>IFERROR(
GETPIVOTDATA(
"[Base].[Importe]",
TDinamica_R!$A$5,
"[Calendario].[AñoMes]",
"[Calendario].[AñoMes].&amp;[" &amp; TEXT(D$6,"yyyymm") &amp; "]",
"[Base].[Metrica]",
"[Base].[Metrica].&amp;[" &amp; $A16 &amp; "]",
"[Base].[SEGMENTO_DESCRIP]",
"[Base].[SEGMENTO_DESCRIP].&amp;[" &amp; $C$6 &amp; "]",
"[Base].[SITUACION]",
"[Base].[SITUACION].&amp;[" &amp; $C16 &amp; "]"
),0)/1000</f>
        <v>215552.50742000001</v>
      </c>
      <c r="E16" s="8">
        <f>IFERROR(
GETPIVOTDATA(
"[Base].[Importe]",
TDinamica_R!$A$5,
"[Calendario].[AñoMes]",
"[Calendario].[AñoMes].&amp;[" &amp; TEXT(E$6,"yyyymm") &amp; "]",
"[Base].[Metrica]",
"[Base].[Metrica].&amp;[" &amp; $A16 &amp; "]",
"[Base].[SEGMENTO_DESCRIP]",
"[Base].[SEGMENTO_DESCRIP].&amp;[" &amp; $C$6 &amp; "]",
"[Base].[SITUACION]",
"[Base].[SITUACION].&amp;[" &amp; $C16 &amp; "]"
),0)/1000</f>
        <v>216961.97775491994</v>
      </c>
      <c r="F16" s="8">
        <f>IFERROR(
GETPIVOTDATA(
"[Base].[Importe]",
TDinamica_R!$A$5,
"[Calendario].[AñoMes]",
"[Calendario].[AñoMes].&amp;[" &amp; TEXT(F$6,"yyyymm") &amp; "]",
"[Base].[Metrica]",
"[Base].[Metrica].&amp;[" &amp; $A16 &amp; "]",
"[Base].[SEGMENTO_DESCRIP]",
"[Base].[SEGMENTO_DESCRIP].&amp;[" &amp; $C$6 &amp; "]",
"[Base].[SITUACION]",
"[Base].[SITUACION].&amp;[" &amp; $C16 &amp; "]"
),0)/1000</f>
        <v>220601.81409200004</v>
      </c>
      <c r="G16" s="8">
        <f>IFERROR(
GETPIVOTDATA(
"[Base].[Importe]",
TDinamica_R!$A$5,
"[Calendario].[AñoMes]",
"[Calendario].[AñoMes].&amp;[" &amp; TEXT(G$6,"yyyymm") &amp; "]",
"[Base].[Metrica]",
"[Base].[Metrica].&amp;[" &amp; $A16 &amp; "]",
"[Base].[SEGMENTO_DESCRIP]",
"[Base].[SEGMENTO_DESCRIP].&amp;[" &amp; $C$6 &amp; "]",
"[Base].[SITUACION]",
"[Base].[SITUACION].&amp;[" &amp; $C16 &amp; "]"
),0)/1000</f>
        <v>225223.25835697996</v>
      </c>
      <c r="H16" s="8">
        <f>IFERROR(
GETPIVOTDATA(
"[Base].[Importe]",
TDinamica_R!$A$5,
"[Calendario].[AñoMes]",
"[Calendario].[AñoMes].&amp;[" &amp; TEXT(H$6,"yyyymm") &amp; "]",
"[Base].[Metrica]",
"[Base].[Metrica].&amp;[" &amp; $A16 &amp; "]",
"[Base].[SEGMENTO_DESCRIP]",
"[Base].[SEGMENTO_DESCRIP].&amp;[" &amp; $C$6 &amp; "]",
"[Base].[SITUACION]",
"[Base].[SITUACION].&amp;[" &amp; $C16 &amp; "]"
),0)/1000</f>
        <v>231538.10070380007</v>
      </c>
      <c r="I16" s="8">
        <f>IFERROR(
GETPIVOTDATA(
"[Base].[Importe]",
TDinamica_R!$A$5,
"[Calendario].[AñoMes]",
"[Calendario].[AñoMes].&amp;[" &amp; TEXT(I$6,"yyyymm") &amp; "]",
"[Base].[Metrica]",
"[Base].[Metrica].&amp;[" &amp; $A16 &amp; "]",
"[Base].[SEGMENTO_DESCRIP]",
"[Base].[SEGMENTO_DESCRIP].&amp;[" &amp; $C$6 &amp; "]",
"[Base].[SITUACION]",
"[Base].[SITUACION].&amp;[" &amp; $C16 &amp; "]"
),0)/1000</f>
        <v>233406.82200750004</v>
      </c>
      <c r="J16" s="8">
        <f>IFERROR(
GETPIVOTDATA(
"[Base].[Importe]",
TDinamica_R!$A$5,
"[Calendario].[AñoMes]",
"[Calendario].[AñoMes].&amp;[" &amp; TEXT(J$6,"yyyymm") &amp; "]",
"[Base].[Metrica]",
"[Base].[Metrica].&amp;[" &amp; $A16 &amp; "]",
"[Base].[SEGMENTO_DESCRIP]",
"[Base].[SEGMENTO_DESCRIP].&amp;[" &amp; $C$6 &amp; "]",
"[Base].[SITUACION]",
"[Base].[SITUACION].&amp;[" &amp; $C16 &amp; "]"
),0)/1000</f>
        <v>230153.79778687999</v>
      </c>
      <c r="K16" s="8">
        <f>IFERROR(
GETPIVOTDATA(
"[Base].[Importe]",
TDinamica_R!$A$5,
"[Calendario].[AñoMes]",
"[Calendario].[AñoMes].&amp;[" &amp; TEXT(K$6,"yyyymm") &amp; "]",
"[Base].[Metrica]",
"[Base].[Metrica].&amp;[" &amp; $A16 &amp; "]",
"[Base].[SEGMENTO_DESCRIP]",
"[Base].[SEGMENTO_DESCRIP].&amp;[" &amp; $C$6 &amp; "]",
"[Base].[SITUACION]",
"[Base].[SITUACION].&amp;[" &amp; $C16 &amp; "]"
),0)/1000</f>
        <v>235084.84773206007</v>
      </c>
      <c r="L16" s="8">
        <f>IFERROR(
GETPIVOTDATA(
"[Base].[Importe]",
TDinamica_R!$A$5,
"[Calendario].[AñoMes]",
"[Calendario].[AñoMes].&amp;[" &amp; TEXT(L$6,"yyyymm") &amp; "]",
"[Base].[Metrica]",
"[Base].[Metrica].&amp;[" &amp; $A16 &amp; "]",
"[Base].[SEGMENTO_DESCRIP]",
"[Base].[SEGMENTO_DESCRIP].&amp;[" &amp; $C$6 &amp; "]",
"[Base].[SITUACION]",
"[Base].[SITUACION].&amp;[" &amp; $C16 &amp; "]"
),0)/1000</f>
        <v>237299.10196048999</v>
      </c>
      <c r="M16" s="8">
        <f>IFERROR(
GETPIVOTDATA(
"[Base].[Importe]",
TDinamica_R!$A$5,
"[Calendario].[AñoMes]",
"[Calendario].[AñoMes].&amp;[" &amp; TEXT(M$6,"yyyymm") &amp; "]",
"[Base].[Metrica]",
"[Base].[Metrica].&amp;[" &amp; $A16 &amp; "]",
"[Base].[SEGMENTO_DESCRIP]",
"[Base].[SEGMENTO_DESCRIP].&amp;[" &amp; $C$6 &amp; "]",
"[Base].[SITUACION]",
"[Base].[SITUACION].&amp;[" &amp; $C16 &amp; "]"
),0)/1000</f>
        <v>243516.57519724991</v>
      </c>
      <c r="N16" s="8">
        <f>IFERROR(
GETPIVOTDATA(
"[Base].[Importe]",
TDinamica_R!$A$5,
"[Calendario].[AñoMes]",
"[Calendario].[AñoMes].&amp;[" &amp; TEXT(N$6,"yyyymm") &amp; "]",
"[Base].[Metrica]",
"[Base].[Metrica].&amp;[" &amp; $A16 &amp; "]",
"[Base].[SEGMENTO_DESCRIP]",
"[Base].[SEGMENTO_DESCRIP].&amp;[" &amp; $C$6 &amp; "]",
"[Base].[SITUACION]",
"[Base].[SITUACION].&amp;[" &amp; $C16 &amp; "]"
),0)/1000</f>
        <v>252997.61889916001</v>
      </c>
      <c r="O16" s="8">
        <f>IFERROR(
GETPIVOTDATA(
"[Base].[Importe]",
TDinamica_R!$A$5,
"[Calendario].[AñoMes]",
"[Calendario].[AñoMes].&amp;[" &amp; TEXT(O$6,"yyyymm") &amp; "]",
"[Base].[Metrica]",
"[Base].[Metrica].&amp;[" &amp; $A16 &amp; "]",
"[Base].[SEGMENTO_DESCRIP]",
"[Base].[SEGMENTO_DESCRIP].&amp;[" &amp; $C$6 &amp; "]",
"[Base].[SITUACION]",
"[Base].[SITUACION].&amp;[" &amp; $C16 &amp; "]"
),0)/1000</f>
        <v>250514.89272984001</v>
      </c>
      <c r="P16" s="8">
        <f>IFERROR(
GETPIVOTDATA(
"[Base].[Importe]",
TDinamica_R!$A$5,
"[Calendario].[AñoMes]",
"[Calendario].[AñoMes].&amp;[" &amp; TEXT(P$6,"yyyymm") &amp; "]",
"[Base].[Metrica]",
"[Base].[Metrica].&amp;[" &amp; $A16 &amp; "]",
"[Base].[SEGMENTO_DESCRIP]",
"[Base].[SEGMENTO_DESCRIP].&amp;[" &amp; $C$6 &amp; "]",
"[Base].[SITUACION]",
"[Base].[SITUACION].&amp;[" &amp; $C16 &amp; "]"
),0)/1000</f>
        <v>260563.67067650004</v>
      </c>
      <c r="Q16" s="8">
        <f>IFERROR(
GETPIVOTDATA(
"[Base].[Importe]",
TDinamica_R!$A$5,
"[Calendario].[AñoMes]",
"[Calendario].[AñoMes].&amp;[" &amp; TEXT(Q$6,"yyyymm") &amp; "]",
"[Base].[Metrica]",
"[Base].[Metrica].&amp;[" &amp; $A16 &amp; "]",
"[Base].[SEGMENTO_DESCRIP]",
"[Base].[SEGMENTO_DESCRIP].&amp;[" &amp; $C$6 &amp; "]",
"[Base].[SITUACION]",
"[Base].[SITUACION].&amp;[" &amp; $C16 &amp; "]"
),0)/1000</f>
        <v>265430.54601157992</v>
      </c>
      <c r="R16" s="8">
        <f>IFERROR(
GETPIVOTDATA(
"[Base].[Importe]",
TDinamica_R!$A$5,
"[Calendario].[AñoMes]",
"[Calendario].[AñoMes].&amp;[" &amp; TEXT(R$6,"yyyymm") &amp; "]",
"[Base].[Metrica]",
"[Base].[Metrica].&amp;[" &amp; $A16 &amp; "]",
"[Base].[SEGMENTO_DESCRIP]",
"[Base].[SEGMENTO_DESCRIP].&amp;[" &amp; $C$6 &amp; "]",
"[Base].[SITUACION]",
"[Base].[SITUACION].&amp;[" &amp; $C16 &amp; "]"
),0)/1000</f>
        <v>267811.58827044995</v>
      </c>
      <c r="S16" s="8">
        <f>IFERROR(
GETPIVOTDATA(
"[Base].[Importe]",
TDinamica_R!$A$5,
"[Calendario].[AñoMes]",
"[Calendario].[AñoMes].&amp;[" &amp; TEXT(S$6,"yyyymm") &amp; "]",
"[Base].[Metrica]",
"[Base].[Metrica].&amp;[" &amp; $A16 &amp; "]",
"[Base].[SEGMENTO_DESCRIP]",
"[Base].[SEGMENTO_DESCRIP].&amp;[" &amp; $C$6 &amp; "]",
"[Base].[SITUACION]",
"[Base].[SITUACION].&amp;[" &amp; $C16 &amp; "]"
),0)/1000</f>
        <v>279470.29844025994</v>
      </c>
      <c r="T16" s="8">
        <f>IFERROR(
GETPIVOTDATA(
"[Base].[Importe]",
TDinamica_R!$A$5,
"[Calendario].[AñoMes]",
"[Calendario].[AñoMes].&amp;[" &amp; TEXT(T$6,"yyyymm") &amp; "]",
"[Base].[Metrica]",
"[Base].[Metrica].&amp;[" &amp; $A16 &amp; "]",
"[Base].[SEGMENTO_DESCRIP]",
"[Base].[SEGMENTO_DESCRIP].&amp;[" &amp; $C$6 &amp; "]",
"[Base].[SITUACION]",
"[Base].[SITUACION].&amp;[" &amp; $C16 &amp; "]"
),0)/1000</f>
        <v>286352.19325639994</v>
      </c>
      <c r="U16" s="8">
        <f>IFERROR(
GETPIVOTDATA(
"[Base].[Importe]",
TDinamica_R!$A$5,
"[Calendario].[AñoMes]",
"[Calendario].[AñoMes].&amp;[" &amp; TEXT(U$6,"yyyymm") &amp; "]",
"[Base].[Metrica]",
"[Base].[Metrica].&amp;[" &amp; $A16 &amp; "]",
"[Base].[SEGMENTO_DESCRIP]",
"[Base].[SEGMENTO_DESCRIP].&amp;[" &amp; $C$6 &amp; "]",
"[Base].[SITUACION]",
"[Base].[SITUACION].&amp;[" &amp; $C16 &amp; "]"
),0)/1000</f>
        <v>292949.67174546997</v>
      </c>
      <c r="V16" s="8">
        <f>IFERROR(
GETPIVOTDATA(
"[Base].[Importe]",
TDinamica_R!$A$5,
"[Calendario].[AñoMes]",
"[Calendario].[AñoMes].&amp;[" &amp; TEXT(V$6,"yyyymm") &amp; "]",
"[Base].[Metrica]",
"[Base].[Metrica].&amp;[" &amp; $A16 &amp; "]",
"[Base].[SEGMENTO_DESCRIP]",
"[Base].[SEGMENTO_DESCRIP].&amp;[" &amp; $C$6 &amp; "]",
"[Base].[SITUACION]",
"[Base].[SITUACION].&amp;[" &amp; $C16 &amp; "]"
),0)/1000</f>
        <v>282595.30028898001</v>
      </c>
      <c r="W16" s="8">
        <f>IFERROR(
GETPIVOTDATA(
"[Base].[Importe]",
TDinamica_R!$A$5,
"[Calendario].[AñoMes]",
"[Calendario].[AñoMes].&amp;[" &amp; TEXT(W$6,"yyyymm") &amp; "]",
"[Base].[Metrica]",
"[Base].[Metrica].&amp;[" &amp; $A16 &amp; "]",
"[Base].[SEGMENTO_DESCRIP]",
"[Base].[SEGMENTO_DESCRIP].&amp;[" &amp; $C$6 &amp; "]",
"[Base].[SITUACION]",
"[Base].[SITUACION].&amp;[" &amp; $C16 &amp; "]"
),0)/1000</f>
        <v>276493.55727634998</v>
      </c>
      <c r="X16" s="8">
        <f>IFERROR(
GETPIVOTDATA(
"[Base].[Importe]",
TDinamica_R!$A$5,
"[Calendario].[AñoMes]",
"[Calendario].[AñoMes].&amp;[" &amp; TEXT(X$6,"yyyymm") &amp; "]",
"[Base].[Metrica]",
"[Base].[Metrica].&amp;[" &amp; $A16 &amp; "]",
"[Base].[SEGMENTO_DESCRIP]",
"[Base].[SEGMENTO_DESCRIP].&amp;[" &amp; $C$6 &amp; "]",
"[Base].[SITUACION]",
"[Base].[SITUACION].&amp;[" &amp; $C16 &amp; "]"
),0)/1000</f>
        <v>274420.25101914001</v>
      </c>
      <c r="Y16" s="8">
        <f>IFERROR(
GETPIVOTDATA(
"[Base].[Importe]",
TDinamica_R!$A$5,
"[Calendario].[AñoMes]",
"[Calendario].[AñoMes].&amp;[" &amp; TEXT(Y$6,"yyyymm") &amp; "]",
"[Base].[Metrica]",
"[Base].[Metrica].&amp;[" &amp; $A16 &amp; "]",
"[Base].[SEGMENTO_DESCRIP]",
"[Base].[SEGMENTO_DESCRIP].&amp;[" &amp; $C$6 &amp; "]",
"[Base].[SITUACION]",
"[Base].[SITUACION].&amp;[" &amp; $C16 &amp; "]"
),0)/1000</f>
        <v>269678.71035561996</v>
      </c>
      <c r="Z16" s="8">
        <f>IFERROR(
GETPIVOTDATA(
"[Base].[Importe]",
TDinamica_R!$A$5,
"[Calendario].[AñoMes]",
"[Calendario].[AñoMes].&amp;[" &amp; TEXT(Z$6,"yyyymm") &amp; "]",
"[Base].[Metrica]",
"[Base].[Metrica].&amp;[" &amp; $A16 &amp; "]",
"[Base].[SEGMENTO_DESCRIP]",
"[Base].[SEGMENTO_DESCRIP].&amp;[" &amp; $C$6 &amp; "]",
"[Base].[SITUACION]",
"[Base].[SITUACION].&amp;[" &amp; $C16 &amp; "]"
),0)/1000</f>
        <v>285146.68251946004</v>
      </c>
      <c r="AA16" s="8">
        <f>IFERROR(
GETPIVOTDATA(
"[Base].[Importe]",
TDinamica_R!$A$5,
"[Calendario].[AñoMes]",
"[Calendario].[AñoMes].&amp;[" &amp; TEXT(AA$6,"yyyymm") &amp; "]",
"[Base].[Metrica]",
"[Base].[Metrica].&amp;[" &amp; $A16 &amp; "]",
"[Base].[SEGMENTO_DESCRIP]",
"[Base].[SEGMENTO_DESCRIP].&amp;[" &amp; $C$6 &amp; "]",
"[Base].[SITUACION]",
"[Base].[SITUACION].&amp;[" &amp; $C16 &amp; "]"
),0)/1000</f>
        <v>288419.22701989993</v>
      </c>
      <c r="AB16" s="8">
        <f>IFERROR(
GETPIVOTDATA(
"[Base].[Importe]",
TDinamica_R!$A$5,
"[Calendario].[AñoMes]",
"[Calendario].[AñoMes].&amp;[" &amp; TEXT(AB$6,"yyyymm") &amp; "]",
"[Base].[Metrica]",
"[Base].[Metrica].&amp;[" &amp; $A16 &amp; "]",
"[Base].[SEGMENTO_DESCRIP]",
"[Base].[SEGMENTO_DESCRIP].&amp;[" &amp; $C$6 &amp; "]",
"[Base].[SITUACION]",
"[Base].[SITUACION].&amp;[" &amp; $C16 &amp; "]"
),0)/1000</f>
        <v>292096.43481978</v>
      </c>
      <c r="AC16" s="8">
        <f>IFERROR(
GETPIVOTDATA(
"[Base].[Importe]",
TDinamica_R!$A$5,
"[Calendario].[AñoMes]",
"[Calendario].[AñoMes].&amp;[" &amp; TEXT(AC$6,"yyyymm") &amp; "]",
"[Base].[Metrica]",
"[Base].[Metrica].&amp;[" &amp; $A16 &amp; "]",
"[Base].[SEGMENTO_DESCRIP]",
"[Base].[SEGMENTO_DESCRIP].&amp;[" &amp; $C$6 &amp; "]",
"[Base].[SITUACION]",
"[Base].[SITUACION].&amp;[" &amp; $C16 &amp; "]"
),0)/1000</f>
        <v>293000.88154999999</v>
      </c>
      <c r="AD16" s="8">
        <f>IFERROR(
GETPIVOTDATA(
"[Base].[Importe]",
TDinamica_R!$A$5,
"[Calendario].[AñoMes]",
"[Calendario].[AñoMes].&amp;[" &amp; TEXT(AD$6,"yyyymm") &amp; "]",
"[Base].[Metrica]",
"[Base].[Metrica].&amp;[" &amp; $A16 &amp; "]",
"[Base].[SEGMENTO_DESCRIP]",
"[Base].[SEGMENTO_DESCRIP].&amp;[" &amp; $C$6 &amp; "]",
"[Base].[SITUACION]",
"[Base].[SITUACION].&amp;[" &amp; $C16 &amp; "]"
),0)/1000</f>
        <v>299575.80155681999</v>
      </c>
      <c r="AE16" s="8">
        <f>IFERROR(
GETPIVOTDATA(
"[Base].[Importe]",
TDinamica_R!$A$5,
"[Calendario].[AñoMes]",
"[Calendario].[AñoMes].&amp;[" &amp; TEXT(AE$6,"yyyymm") &amp; "]",
"[Base].[Metrica]",
"[Base].[Metrica].&amp;[" &amp; $A16 &amp; "]",
"[Base].[SEGMENTO_DESCRIP]",
"[Base].[SEGMENTO_DESCRIP].&amp;[" &amp; $C$6 &amp; "]",
"[Base].[SITUACION]",
"[Base].[SITUACION].&amp;[" &amp; $C16 &amp; "]"
),0)/1000</f>
        <v>305814.43789949</v>
      </c>
      <c r="AF16" s="8">
        <f>IFERROR(
GETPIVOTDATA(
"[Base].[Importe]",
TDinamica_R!$A$5,
"[Calendario].[AñoMes]",
"[Calendario].[AñoMes].&amp;[" &amp; TEXT(AF$6,"yyyymm") &amp; "]",
"[Base].[Metrica]",
"[Base].[Metrica].&amp;[" &amp; $A16 &amp; "]",
"[Base].[SEGMENTO_DESCRIP]",
"[Base].[SEGMENTO_DESCRIP].&amp;[" &amp; $C$6 &amp; "]",
"[Base].[SITUACION]",
"[Base].[SITUACION].&amp;[" &amp; $C16 &amp; "]"
),0)/1000</f>
        <v>313971.7580979999</v>
      </c>
      <c r="AG16" s="8">
        <f>IFERROR(
GETPIVOTDATA(
"[Base].[Importe]",
TDinamica_R!$A$5,
"[Calendario].[AñoMes]",
"[Calendario].[AñoMes].&amp;[" &amp; TEXT(AG$6,"yyyymm") &amp; "]",
"[Base].[Metrica]",
"[Base].[Metrica].&amp;[" &amp; $A16 &amp; "]",
"[Base].[SEGMENTO_DESCRIP]",
"[Base].[SEGMENTO_DESCRIP].&amp;[" &amp; $C$6 &amp; "]",
"[Base].[SITUACION]",
"[Base].[SITUACION].&amp;[" &amp; $C16 &amp; "]"
),0)/1000</f>
        <v>317511.71392869996</v>
      </c>
      <c r="AH16" s="8">
        <f>IFERROR(
GETPIVOTDATA(
"[Base].[Importe]",
TDinamica_R!$A$5,
"[Calendario].[AñoMes]",
"[Calendario].[AñoMes].&amp;[" &amp; TEXT(AH$6,"yyyymm") &amp; "]",
"[Base].[Metrica]",
"[Base].[Metrica].&amp;[" &amp; $A16 &amp; "]",
"[Base].[SEGMENTO_DESCRIP]",
"[Base].[SEGMENTO_DESCRIP].&amp;[" &amp; $C$6 &amp; "]",
"[Base].[SITUACION]",
"[Base].[SITUACION].&amp;[" &amp; $C16 &amp; "]"
),0)/1000</f>
        <v>314555.41573218006</v>
      </c>
      <c r="AI16" s="8">
        <f>IFERROR(
GETPIVOTDATA(
"[Base].[Importe]",
TDinamica_R!$A$5,
"[Calendario].[AñoMes]",
"[Calendario].[AñoMes].&amp;[" &amp; TEXT(AI$6,"yyyymm") &amp; "]",
"[Base].[Metrica]",
"[Base].[Metrica].&amp;[" &amp; $A16 &amp; "]",
"[Base].[SEGMENTO_DESCRIP]",
"[Base].[SEGMENTO_DESCRIP].&amp;[" &amp; $C$6 &amp; "]",
"[Base].[SITUACION]",
"[Base].[SITUACION].&amp;[" &amp; $C16 &amp; "]"
),0)/1000</f>
        <v>316667.90473190002</v>
      </c>
      <c r="AJ16" s="8">
        <f>IFERROR(
GETPIVOTDATA(
"[Base].[Importe]",
TDinamica_R!$A$5,
"[Calendario].[AñoMes]",
"[Calendario].[AñoMes].&amp;[" &amp; TEXT(AJ$6,"yyyymm") &amp; "]",
"[Base].[Metrica]",
"[Base].[Metrica].&amp;[" &amp; $A16 &amp; "]",
"[Base].[SEGMENTO_DESCRIP]",
"[Base].[SEGMENTO_DESCRIP].&amp;[" &amp; $C$6 &amp; "]",
"[Base].[SITUACION]",
"[Base].[SITUACION].&amp;[" &amp; $C16 &amp; "]"
),0)/1000</f>
        <v>311697.43820223009</v>
      </c>
      <c r="AK16" s="8">
        <f>IFERROR(
GETPIVOTDATA(
"[Base].[Importe]",
TDinamica_R!$A$5,
"[Calendario].[AñoMes]",
"[Calendario].[AñoMes].&amp;[" &amp; TEXT(AK$6,"yyyymm") &amp; "]",
"[Base].[Metrica]",
"[Base].[Metrica].&amp;[" &amp; $A16 &amp; "]",
"[Base].[SEGMENTO_DESCRIP]",
"[Base].[SEGMENTO_DESCRIP].&amp;[" &amp; $C$6 &amp; "]",
"[Base].[SITUACION]",
"[Base].[SITUACION].&amp;[" &amp; $C16 &amp; "]"
),0)/1000</f>
        <v>315706.45554817998</v>
      </c>
      <c r="AL16" s="8">
        <f>IFERROR(
GETPIVOTDATA(
"[Base].[Importe]",
TDinamica_R!$A$5,
"[Calendario].[AñoMes]",
"[Calendario].[AñoMes].&amp;[" &amp; TEXT(AL$6,"yyyymm") &amp; "]",
"[Base].[Metrica]",
"[Base].[Metrica].&amp;[" &amp; $A16 &amp; "]",
"[Base].[SEGMENTO_DESCRIP]",
"[Base].[SEGMENTO_DESCRIP].&amp;[" &amp; $C$6 &amp; "]",
"[Base].[SITUACION]",
"[Base].[SITUACION].&amp;[" &amp; $C16 &amp; "]"
),0)/1000</f>
        <v>317860.83762866008</v>
      </c>
      <c r="AM16" s="8">
        <f>IFERROR(
GETPIVOTDATA(
"[Base].[Importe]",
TDinamica_R!$A$5,
"[Calendario].[AñoMes]",
"[Calendario].[AñoMes].&amp;[" &amp; TEXT(AM$6,"yyyymm") &amp; "]",
"[Base].[Metrica]",
"[Base].[Metrica].&amp;[" &amp; $A16 &amp; "]",
"[Base].[SEGMENTO_DESCRIP]",
"[Base].[SEGMENTO_DESCRIP].&amp;[" &amp; $C$6 &amp; "]",
"[Base].[SITUACION]",
"[Base].[SITUACION].&amp;[" &amp; $C16 &amp; "]"
),0)/1000</f>
        <v>309660.06266675994</v>
      </c>
      <c r="AN16" s="8">
        <f>IFERROR(
GETPIVOTDATA(
"[Base].[Importe]",
TDinamica_R!$A$5,
"[Calendario].[AñoMes]",
"[Calendario].[AñoMes].&amp;[" &amp; TEXT(AN$6,"yyyymm") &amp; "]",
"[Base].[Metrica]",
"[Base].[Metrica].&amp;[" &amp; $A16 &amp; "]",
"[Base].[SEGMENTO_DESCRIP]",
"[Base].[SEGMENTO_DESCRIP].&amp;[" &amp; $C$6 &amp; "]",
"[Base].[SITUACION]",
"[Base].[SITUACION].&amp;[" &amp; $C16 &amp; "]"
),0)/1000</f>
        <v>300807.61</v>
      </c>
      <c r="AO16" s="8">
        <f>IFERROR(
GETPIVOTDATA(
"[Base].[Importe]",
TDinamica_R!$A$5,
"[Calendario].[AñoMes]",
"[Calendario].[AñoMes].&amp;[" &amp; TEXT(AO$6,"yyyymm") &amp; "]",
"[Base].[Metrica]",
"[Base].[Metrica].&amp;[" &amp; $A16 &amp; "]",
"[Base].[SEGMENTO_DESCRIP]",
"[Base].[SEGMENTO_DESCRIP].&amp;[" &amp; $C$6 &amp; "]",
"[Base].[SITUACION]",
"[Base].[SITUACION].&amp;[" &amp; $C16 &amp; "]"
),0)/1000</f>
        <v>294273.14</v>
      </c>
      <c r="AP16" s="8">
        <f>IFERROR(
GETPIVOTDATA(
"[Base].[Importe]",
TDinamica_R!$A$5,
"[Calendario].[AñoMes]",
"[Calendario].[AñoMes].&amp;[" &amp; TEXT(AP$6,"yyyymm") &amp; "]",
"[Base].[Metrica]",
"[Base].[Metrica].&amp;[" &amp; $A16 &amp; "]",
"[Base].[SEGMENTO_DESCRIP]",
"[Base].[SEGMENTO_DESCRIP].&amp;[" &amp; $C$6 &amp; "]",
"[Base].[SITUACION]",
"[Base].[SITUACION].&amp;[" &amp; $C16 &amp; "]"
),0)/1000</f>
        <v>291240.93</v>
      </c>
      <c r="AQ16" s="8">
        <f>IFERROR(
GETPIVOTDATA(
"[Base].[Importe]",
TDinamica_R!$A$5,
"[Calendario].[AñoMes]",
"[Calendario].[AñoMes].&amp;[" &amp; TEXT(AQ$6,"yyyymm") &amp; "]",
"[Base].[Metrica]",
"[Base].[Metrica].&amp;[" &amp; $A16 &amp; "]",
"[Base].[SEGMENTO_DESCRIP]",
"[Base].[SEGMENTO_DESCRIP].&amp;[" &amp; $C$6 &amp; "]",
"[Base].[SITUACION]",
"[Base].[SITUACION].&amp;[" &amp; $C16 &amp; "]"
),0)/1000</f>
        <v>293655.29217758984</v>
      </c>
      <c r="AR16" s="8">
        <f>IFERROR(
GETPIVOTDATA(
"[Base].[Importe]",
TDinamica_R!$A$5,
"[Calendario].[AñoMes]",
"[Calendario].[AñoMes].&amp;[" &amp; TEXT(AR$6,"yyyymm") &amp; "]",
"[Base].[Metrica]",
"[Base].[Metrica].&amp;[" &amp; $A16 &amp; "]",
"[Base].[SEGMENTO_DESCRIP]",
"[Base].[SEGMENTO_DESCRIP].&amp;[" &amp; $C$6 &amp; "]",
"[Base].[SITUACION]",
"[Base].[SITUACION].&amp;[" &amp; $C16 &amp; "]"
),0)/1000</f>
        <v>289553.45983337</v>
      </c>
      <c r="AS16" s="8">
        <f>IFERROR(
GETPIVOTDATA(
"[Base].[Importe]",
TDinamica_R!$A$5,
"[Calendario].[AñoMes]",
"[Calendario].[AñoMes].&amp;[" &amp; TEXT(AS$6,"yyyymm") &amp; "]",
"[Base].[Metrica]",
"[Base].[Metrica].&amp;[" &amp; $A16 &amp; "]",
"[Base].[SEGMENTO_DESCRIP]",
"[Base].[SEGMENTO_DESCRIP].&amp;[" &amp; $C$6 &amp; "]",
"[Base].[SITUACION]",
"[Base].[SITUACION].&amp;[" &amp; $C16 &amp; "]"
),0)/1000</f>
        <v>289821.95651660004</v>
      </c>
      <c r="AT16" s="8">
        <f>IFERROR(
GETPIVOTDATA(
"[Base].[Importe]",
TDinamica_R!$A$5,
"[Calendario].[AñoMes]",
"[Calendario].[AñoMes].&amp;[" &amp; TEXT(AT$6,"yyyymm")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U16" s="8">
        <f>IFERROR(
GETPIVOTDATA(
"[Base].[Importe]",
TDinamica_R!$A$5,
"[Calendario].[AñoMes]",
"[Calendario].[AñoMes].&amp;[" &amp; TEXT(AU$6,"yyyymm")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V16" s="8">
        <f>IFERROR(
GETPIVOTDATA(
"[Base].[Importe]",
TDinamica_R!$A$5,
"[Calendario].[AñoMes]",
"[Calendario].[AñoMes].&amp;[" &amp; TEXT(AV$6,"yyyymm")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W16" s="8">
        <f>IFERROR(
GETPIVOTDATA(
"[Base].[Importe]",
TDinamica_R!$A$5,
"[Calendario].[AñoMes]",
"[Calendario].[AñoMes].&amp;[" &amp; TEXT(AW$6,"yyyymm")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X16" s="8">
        <f>IFERROR(
GETPIVOTDATA(
"[Base].[Importe]",
TDinamica_R!$A$5,
"[Calendario].[AñoMes]",
"[Calendario].[AñoMes].&amp;[" &amp; TEXT(AX$6,"yyyymm")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Y16" s="8">
        <f>IFERROR(
GETPIVOTDATA(
"[Base].[Importe]",
TDinamica_R!$A$5,
"[Calendario].[AñoMes]",
"[Calendario].[AñoMes].&amp;[" &amp; TEXT(AY$6,"yyyymm")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Z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"[BASE_HIPO_PPTO].[Periodo]","[BASE_HIPO_PPTO].[Periodo].&amp;["&amp;TEXT(AZ$6,"yyyymm")&amp;"]"),
0)/1000</f>
        <v>312331.73171475198</v>
      </c>
      <c r="BA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"[BASE_HIPO_PPTO].[Periodo]","[BASE_HIPO_PPTO].[Periodo].&amp;["&amp;TEXT(BA$6,"yyyymm")&amp;"]"),
0)/1000</f>
        <v>307950.16296936333</v>
      </c>
      <c r="BB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"[BASE_HIPO_PPTO].[Periodo]","[BASE_HIPO_PPTO].[Periodo].&amp;["&amp;TEXT(BB$6,"yyyymm")&amp;"]"),
0)/1000</f>
        <v>311566.73730685218</v>
      </c>
      <c r="BC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"[BASE_HIPO_PPTO].[Periodo]","[BASE_HIPO_PPTO].[Periodo].&amp;["&amp;TEXT(BC$6,"yyyymm")&amp;"]"),
0)/1000</f>
        <v>318319.09991225065</v>
      </c>
      <c r="BD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"[BASE_HIPO_PPTO].[Periodo]","[BASE_HIPO_PPTO].[Periodo].&amp;["&amp;TEXT(BD$6,"yyyymm")&amp;"]"),
0)/1000</f>
        <v>313074.15862381755</v>
      </c>
      <c r="BE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"[BASE_HIPO_PPTO].[Periodo]","[BASE_HIPO_PPTO].[Periodo].&amp;["&amp;TEXT(BE$6,"yyyymm")&amp;"]"),
0)/1000</f>
        <v>316839.08035321144</v>
      </c>
      <c r="BF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"[BASE_HIPO_PPTO].[Periodo]","[BASE_HIPO_PPTO].[Periodo].&amp;["&amp;TEXT(BF$6,"yyyymm")&amp;"]"),
0)/1000</f>
        <v>312310.85804268281</v>
      </c>
      <c r="BG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"[BASE_HIPO_PPTO].[Periodo]","[BASE_HIPO_PPTO].[Periodo].&amp;["&amp;TEXT(BG$6,"yyyymm")&amp;"]"),
0)/1000</f>
        <v>312042.17361666891</v>
      </c>
      <c r="BH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"[BASE_HIPO_PPTO].[Periodo]","[BASE_HIPO_PPTO].[Periodo].&amp;["&amp;TEXT(BH$6,"yyyymm")&amp;"]"),
0)/1000</f>
        <v>311523.12838979351</v>
      </c>
      <c r="BI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"[BASE_HIPO_PPTO].[Periodo]","[BASE_HIPO_PPTO].[Periodo].&amp;["&amp;TEXT(BI$6,"yyyymm")&amp;"]"),
0)/1000</f>
        <v>315055.86738703406</v>
      </c>
      <c r="BJ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"[BASE_HIPO_PPTO].[Periodo]","[BASE_HIPO_PPTO].[Periodo].&amp;["&amp;TEXT(BJ$6,"yyyymm")&amp;"]"),
0)/1000</f>
        <v>315755.39205193263</v>
      </c>
      <c r="BK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"[BASE_HIPO_PPTO].[Periodo]","[BASE_HIPO_PPTO].[Periodo].&amp;["&amp;TEXT(BK$6,"yyyymm")&amp;"]"),
0)/1000</f>
        <v>313481.38206344954</v>
      </c>
      <c r="BO16" s="24">
        <f t="shared" si="9"/>
        <v>295440.56</v>
      </c>
      <c r="BP16" s="24">
        <f t="shared" si="9"/>
        <v>310616.21066365583</v>
      </c>
      <c r="BQ16" s="24">
        <f t="shared" si="9"/>
        <v>297540.375</v>
      </c>
      <c r="BR16" s="24">
        <f t="shared" si="9"/>
        <v>294891.03930886666</v>
      </c>
      <c r="BS16" s="24">
        <f t="shared" si="9"/>
        <v>264601.93498617667</v>
      </c>
      <c r="BT16" s="24">
        <f t="shared" si="9"/>
        <v>217705.43308897331</v>
      </c>
      <c r="BW16" s="24">
        <f t="shared" si="10"/>
        <v>886321.67999999993</v>
      </c>
      <c r="BX16" s="24">
        <f t="shared" si="10"/>
        <v>931848.63199096755</v>
      </c>
      <c r="BY16" s="24">
        <f t="shared" si="10"/>
        <v>595080.75</v>
      </c>
      <c r="BZ16" s="24">
        <f t="shared" si="10"/>
        <v>884673.11792659992</v>
      </c>
      <c r="CA16" s="24">
        <f t="shared" si="10"/>
        <v>793805.80495853</v>
      </c>
      <c r="CB16" s="24">
        <f t="shared" si="10"/>
        <v>653116.29926691996</v>
      </c>
    </row>
    <row r="17" spans="1:80" collapsed="1" x14ac:dyDescent="0.25">
      <c r="C17" s="3" t="s">
        <v>56</v>
      </c>
      <c r="D17" s="10">
        <f>SUM(D14:D16)</f>
        <v>5167435.5345589789</v>
      </c>
      <c r="E17" s="10">
        <f t="shared" ref="E17:BK17" si="11">SUM(E14:E16)</f>
        <v>5190609.0578648197</v>
      </c>
      <c r="F17" s="10">
        <f t="shared" si="11"/>
        <v>5209300.8316629995</v>
      </c>
      <c r="G17" s="10">
        <f t="shared" si="11"/>
        <v>5244078.8952273605</v>
      </c>
      <c r="H17" s="10">
        <f t="shared" si="11"/>
        <v>5274521.7799406396</v>
      </c>
      <c r="I17" s="10">
        <f t="shared" si="11"/>
        <v>5300008.5281539997</v>
      </c>
      <c r="J17" s="10">
        <f t="shared" si="11"/>
        <v>5321746.6461239699</v>
      </c>
      <c r="K17" s="10">
        <f t="shared" si="11"/>
        <v>5328805.4318476804</v>
      </c>
      <c r="L17" s="10">
        <f t="shared" si="11"/>
        <v>5355842.2557879891</v>
      </c>
      <c r="M17" s="10">
        <f t="shared" si="11"/>
        <v>5387849.4038131014</v>
      </c>
      <c r="N17" s="10">
        <f t="shared" si="11"/>
        <v>5404005.005385899</v>
      </c>
      <c r="O17" s="10">
        <f t="shared" si="11"/>
        <v>5414369.1677398505</v>
      </c>
      <c r="P17" s="10">
        <f t="shared" si="11"/>
        <v>5419915.0789764384</v>
      </c>
      <c r="Q17" s="10">
        <f t="shared" si="11"/>
        <v>5443887.2537412615</v>
      </c>
      <c r="R17" s="10">
        <f t="shared" si="11"/>
        <v>5462538.8903764896</v>
      </c>
      <c r="S17" s="10">
        <f t="shared" si="11"/>
        <v>5487399.6739309803</v>
      </c>
      <c r="T17" s="10">
        <f t="shared" si="11"/>
        <v>5515669.8537252983</v>
      </c>
      <c r="U17" s="10">
        <f t="shared" si="11"/>
        <v>5530878.2708939416</v>
      </c>
      <c r="V17" s="10">
        <f t="shared" si="11"/>
        <v>5554823.7629172402</v>
      </c>
      <c r="W17" s="10">
        <f t="shared" si="11"/>
        <v>5564735.7144308295</v>
      </c>
      <c r="X17" s="10">
        <f t="shared" si="11"/>
        <v>5597342.3151584016</v>
      </c>
      <c r="Y17" s="10">
        <f t="shared" si="11"/>
        <v>5613803.7956814012</v>
      </c>
      <c r="Z17" s="10">
        <f t="shared" si="11"/>
        <v>5655061.0277867001</v>
      </c>
      <c r="AA17" s="10">
        <f t="shared" si="11"/>
        <v>5676942.1502224989</v>
      </c>
      <c r="AB17" s="10">
        <f t="shared" si="11"/>
        <v>5700528.4013193902</v>
      </c>
      <c r="AC17" s="10">
        <f t="shared" si="11"/>
        <v>5734039.9063170003</v>
      </c>
      <c r="AD17" s="10">
        <f t="shared" si="11"/>
        <v>5776245.4017508002</v>
      </c>
      <c r="AE17" s="10">
        <f t="shared" si="11"/>
        <v>5820155.5015569311</v>
      </c>
      <c r="AF17" s="10">
        <f t="shared" si="11"/>
        <v>5862328.9372544009</v>
      </c>
      <c r="AG17" s="10">
        <f t="shared" si="11"/>
        <v>5900470.0469780006</v>
      </c>
      <c r="AH17" s="10">
        <f t="shared" si="11"/>
        <v>5955058.1942952396</v>
      </c>
      <c r="AI17" s="10">
        <f t="shared" si="11"/>
        <v>6001329.3279286008</v>
      </c>
      <c r="AJ17" s="10">
        <f t="shared" si="11"/>
        <v>6070641.9618764892</v>
      </c>
      <c r="AK17" s="10">
        <f t="shared" si="11"/>
        <v>6137342.3376179794</v>
      </c>
      <c r="AL17" s="10">
        <f t="shared" si="11"/>
        <v>6219371.7179225609</v>
      </c>
      <c r="AM17" s="10">
        <f t="shared" si="11"/>
        <v>6280624.3556702407</v>
      </c>
      <c r="AN17" s="10">
        <f t="shared" si="11"/>
        <v>6339753.4800000004</v>
      </c>
      <c r="AO17" s="10">
        <f t="shared" si="11"/>
        <v>6420204.6600000001</v>
      </c>
      <c r="AP17" s="10">
        <f t="shared" si="11"/>
        <v>6486519.3399999999</v>
      </c>
      <c r="AQ17" s="10">
        <f t="shared" si="11"/>
        <v>6536849.0337333381</v>
      </c>
      <c r="AR17" s="10">
        <f t="shared" si="11"/>
        <v>6601383.2565845614</v>
      </c>
      <c r="AS17" s="10">
        <f t="shared" si="11"/>
        <v>6667491.2741495036</v>
      </c>
      <c r="AT17" s="10">
        <f t="shared" si="11"/>
        <v>0</v>
      </c>
      <c r="AU17" s="10">
        <f t="shared" si="11"/>
        <v>0</v>
      </c>
      <c r="AV17" s="10">
        <f t="shared" si="11"/>
        <v>0</v>
      </c>
      <c r="AW17" s="10">
        <f t="shared" si="11"/>
        <v>0</v>
      </c>
      <c r="AX17" s="10">
        <f t="shared" si="11"/>
        <v>0</v>
      </c>
      <c r="AY17" s="10">
        <f t="shared" si="11"/>
        <v>0</v>
      </c>
      <c r="AZ17" s="10">
        <f t="shared" si="11"/>
        <v>6293981.807651788</v>
      </c>
      <c r="BA17" s="10">
        <f t="shared" si="11"/>
        <v>6345586.3889952619</v>
      </c>
      <c r="BB17" s="10">
        <f t="shared" si="11"/>
        <v>6391646.0691651395</v>
      </c>
      <c r="BC17" s="10">
        <f t="shared" si="11"/>
        <v>6442313.332821683</v>
      </c>
      <c r="BD17" s="10">
        <f t="shared" si="11"/>
        <v>6494713.7769190352</v>
      </c>
      <c r="BE17" s="10">
        <f t="shared" si="11"/>
        <v>6551426.2339468002</v>
      </c>
      <c r="BF17" s="10">
        <f t="shared" si="11"/>
        <v>6599259.3481165394</v>
      </c>
      <c r="BG17" s="10">
        <f t="shared" si="11"/>
        <v>6663491.9811725467</v>
      </c>
      <c r="BH17" s="10">
        <f t="shared" si="11"/>
        <v>6725826.0042072143</v>
      </c>
      <c r="BI17" s="10">
        <f t="shared" si="11"/>
        <v>6800284.7913811496</v>
      </c>
      <c r="BJ17" s="10">
        <f t="shared" si="11"/>
        <v>6864152.4196128175</v>
      </c>
      <c r="BK17" s="10">
        <f t="shared" si="11"/>
        <v>6918730.4540737811</v>
      </c>
      <c r="BO17" s="23">
        <f>SUM(BO14:BO16)</f>
        <v>6415492.4933333332</v>
      </c>
      <c r="BP17" s="23">
        <f t="shared" ref="BP17:BT17" si="12">SUM(BP14:BP16)</f>
        <v>6343738.0886040628</v>
      </c>
      <c r="BQ17" s="23">
        <f t="shared" si="12"/>
        <v>6379979.0699999994</v>
      </c>
      <c r="BR17" s="23">
        <f t="shared" si="12"/>
        <v>5736937.9031290635</v>
      </c>
      <c r="BS17" s="23">
        <f t="shared" si="12"/>
        <v>5442113.7410313971</v>
      </c>
      <c r="BT17" s="23">
        <f t="shared" si="12"/>
        <v>5189115.1413622657</v>
      </c>
      <c r="BW17" s="23">
        <f>SUM(BW14:BW16)</f>
        <v>19246477.48</v>
      </c>
      <c r="BX17" s="23">
        <f t="shared" ref="BX17:CB17" si="13">SUM(BX14:BX16)</f>
        <v>19031214.265812192</v>
      </c>
      <c r="BY17" s="23">
        <f t="shared" si="13"/>
        <v>12759958.139999999</v>
      </c>
      <c r="BZ17" s="23">
        <f t="shared" si="13"/>
        <v>17210813.709387191</v>
      </c>
      <c r="CA17" s="23">
        <f t="shared" si="13"/>
        <v>16326341.22309419</v>
      </c>
      <c r="CB17" s="23">
        <f t="shared" si="13"/>
        <v>15567345.424086796</v>
      </c>
    </row>
    <row r="18" spans="1:80" x14ac:dyDescent="0.25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80" x14ac:dyDescent="0.25"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spans="1:80" hidden="1" outlineLevel="1" x14ac:dyDescent="0.25">
      <c r="A20" s="11"/>
      <c r="C20" s="2" t="s">
        <v>0</v>
      </c>
      <c r="D20" s="14">
        <f>IFERROR(((1+D38/D14)^(360/D$3))-1,0)</f>
        <v>7.5512118723289889E-2</v>
      </c>
      <c r="E20" s="14">
        <f t="shared" ref="E20:AY23" si="14">IFERROR(((1+E38/E14)^(360/E$3))-1,0)</f>
        <v>7.60979027458899E-2</v>
      </c>
      <c r="F20" s="14">
        <f t="shared" si="14"/>
        <v>7.5877409807056706E-2</v>
      </c>
      <c r="G20" s="14">
        <f t="shared" si="14"/>
        <v>7.650394616250078E-2</v>
      </c>
      <c r="H20" s="14">
        <f t="shared" si="14"/>
        <v>7.6367208146980392E-2</v>
      </c>
      <c r="I20" s="14">
        <f t="shared" si="14"/>
        <v>7.64630216265485E-2</v>
      </c>
      <c r="J20" s="14">
        <f t="shared" si="14"/>
        <v>7.6870101874061181E-2</v>
      </c>
      <c r="K20" s="14">
        <f t="shared" si="14"/>
        <v>7.6345445367003384E-2</v>
      </c>
      <c r="L20" s="14">
        <f t="shared" si="14"/>
        <v>7.6280369600931319E-2</v>
      </c>
      <c r="M20" s="14">
        <f t="shared" si="14"/>
        <v>7.6237620176544896E-2</v>
      </c>
      <c r="N20" s="14">
        <f t="shared" si="14"/>
        <v>7.6906372570142434E-2</v>
      </c>
      <c r="O20" s="14">
        <f t="shared" si="14"/>
        <v>7.7598651714945843E-2</v>
      </c>
      <c r="P20" s="14">
        <f t="shared" si="14"/>
        <v>7.640402173435934E-2</v>
      </c>
      <c r="Q20" s="14">
        <f t="shared" si="14"/>
        <v>7.6977940955121449E-2</v>
      </c>
      <c r="R20" s="14">
        <f t="shared" si="14"/>
        <v>7.7306121499024938E-2</v>
      </c>
      <c r="S20" s="14">
        <f t="shared" si="14"/>
        <v>7.6282968615100311E-2</v>
      </c>
      <c r="T20" s="14">
        <f t="shared" si="14"/>
        <v>7.7701022067126813E-2</v>
      </c>
      <c r="U20" s="14">
        <f t="shared" si="14"/>
        <v>7.8152645686991651E-2</v>
      </c>
      <c r="V20" s="14">
        <f t="shared" si="14"/>
        <v>7.8261228832430696E-2</v>
      </c>
      <c r="W20" s="14">
        <f t="shared" si="14"/>
        <v>7.8613033014476308E-2</v>
      </c>
      <c r="X20" s="14">
        <f t="shared" si="14"/>
        <v>7.7638032169176752E-2</v>
      </c>
      <c r="Y20" s="14">
        <f t="shared" si="14"/>
        <v>7.7692719800446453E-2</v>
      </c>
      <c r="Z20" s="14">
        <f t="shared" si="14"/>
        <v>7.8584876709362206E-2</v>
      </c>
      <c r="AA20" s="14">
        <f t="shared" si="14"/>
        <v>7.8167855931844832E-2</v>
      </c>
      <c r="AB20" s="14">
        <f t="shared" si="14"/>
        <v>7.7436033587306108E-2</v>
      </c>
      <c r="AC20" s="14">
        <f t="shared" si="14"/>
        <v>7.7916258317767939E-2</v>
      </c>
      <c r="AD20" s="14">
        <f t="shared" si="14"/>
        <v>7.7089799672497739E-2</v>
      </c>
      <c r="AE20" s="14">
        <f t="shared" si="14"/>
        <v>7.7627730268938766E-2</v>
      </c>
      <c r="AF20" s="14">
        <f t="shared" si="14"/>
        <v>7.8627564123196159E-2</v>
      </c>
      <c r="AG20" s="14">
        <f t="shared" si="14"/>
        <v>7.758180026401118E-2</v>
      </c>
      <c r="AH20" s="14">
        <f t="shared" si="14"/>
        <v>7.8528096283559723E-2</v>
      </c>
      <c r="AI20" s="14">
        <f t="shared" si="14"/>
        <v>7.8165639914420826E-2</v>
      </c>
      <c r="AJ20" s="14">
        <f t="shared" si="14"/>
        <v>7.7294371067783363E-2</v>
      </c>
      <c r="AK20" s="14">
        <f t="shared" si="14"/>
        <v>7.7892667807926363E-2</v>
      </c>
      <c r="AL20" s="14">
        <f t="shared" si="14"/>
        <v>7.8606459051068223E-2</v>
      </c>
      <c r="AM20" s="14">
        <f t="shared" si="14"/>
        <v>7.8363972681149585E-2</v>
      </c>
      <c r="AN20" s="14">
        <f t="shared" si="14"/>
        <v>7.809617025668758E-2</v>
      </c>
      <c r="AO20" s="14">
        <f t="shared" si="14"/>
        <v>7.8671204580788467E-2</v>
      </c>
      <c r="AP20" s="14">
        <f t="shared" si="14"/>
        <v>7.7856933024962327E-2</v>
      </c>
      <c r="AQ20" s="14">
        <f t="shared" si="14"/>
        <v>7.7758289659719537E-2</v>
      </c>
      <c r="AR20" s="14">
        <f t="shared" si="14"/>
        <v>7.828802805541657E-2</v>
      </c>
      <c r="AS20" s="14">
        <f t="shared" si="14"/>
        <v>7.6823234485837943E-2</v>
      </c>
      <c r="AT20" s="14">
        <f t="shared" si="14"/>
        <v>0</v>
      </c>
      <c r="AU20" s="14">
        <f t="shared" si="14"/>
        <v>0</v>
      </c>
      <c r="AV20" s="14">
        <f t="shared" si="14"/>
        <v>0</v>
      </c>
      <c r="AW20" s="14">
        <f t="shared" si="14"/>
        <v>0</v>
      </c>
      <c r="AX20" s="14">
        <f t="shared" si="14"/>
        <v>0</v>
      </c>
      <c r="AY20" s="14">
        <f t="shared" si="14"/>
        <v>0</v>
      </c>
      <c r="AZ20" s="14">
        <f t="shared" ref="AZ20:BK23" si="15">IFERROR(((1+AZ38/AZ14)^(360/AZ$3))-1,0)</f>
        <v>7.6470747354484114E-2</v>
      </c>
      <c r="BA20" s="14">
        <f t="shared" si="15"/>
        <v>7.7157986322833771E-2</v>
      </c>
      <c r="BB20" s="14">
        <f t="shared" si="15"/>
        <v>7.6148129398805553E-2</v>
      </c>
      <c r="BC20" s="14">
        <f t="shared" si="15"/>
        <v>7.7058601041152697E-2</v>
      </c>
      <c r="BD20" s="14">
        <f t="shared" si="15"/>
        <v>7.7500178934813757E-2</v>
      </c>
      <c r="BE20" s="14">
        <f t="shared" si="15"/>
        <v>7.6800149608732493E-2</v>
      </c>
      <c r="BF20" s="14">
        <f t="shared" si="15"/>
        <v>7.7455138677248625E-2</v>
      </c>
      <c r="BG20" s="14">
        <f t="shared" si="15"/>
        <v>7.74942789289923E-2</v>
      </c>
      <c r="BH20" s="14">
        <f t="shared" si="15"/>
        <v>7.6348232583583586E-2</v>
      </c>
      <c r="BI20" s="14">
        <f t="shared" si="15"/>
        <v>7.6812200110179196E-2</v>
      </c>
      <c r="BJ20" s="14">
        <f t="shared" si="15"/>
        <v>7.7506099921372806E-2</v>
      </c>
      <c r="BK20" s="14">
        <f t="shared" si="15"/>
        <v>7.7006811586983304E-2</v>
      </c>
      <c r="BO20" s="28">
        <f>IFERROR(((1+BO38/BW14)^(360/BO$3))-1,0)</f>
        <v>7.8189529548252867E-2</v>
      </c>
      <c r="BP20" s="28">
        <f t="shared" ref="BP20:BT23" si="16">IFERROR(((1+BP38/BX14)^(360/BP$3))-1,0)</f>
        <v>7.6571028949774078E-2</v>
      </c>
      <c r="BQ20" s="28">
        <f t="shared" si="16"/>
        <v>7.8342051458441864E-2</v>
      </c>
      <c r="BR20" s="28">
        <f t="shared" si="16"/>
        <v>7.7466253637785032E-2</v>
      </c>
      <c r="BS20" s="28">
        <f t="shared" si="16"/>
        <v>7.6895067698299124E-2</v>
      </c>
      <c r="BT20" s="28">
        <f t="shared" si="16"/>
        <v>7.5819767413645156E-2</v>
      </c>
    </row>
    <row r="21" spans="1:80" hidden="1" outlineLevel="1" x14ac:dyDescent="0.25">
      <c r="A21" s="11"/>
      <c r="C21" s="2" t="s">
        <v>1</v>
      </c>
      <c r="D21" s="14">
        <f t="shared" ref="D21:S23" si="17">IFERROR(((1+D39/D15)^(360/D$3))-1,0)</f>
        <v>0</v>
      </c>
      <c r="E21" s="14">
        <f t="shared" si="17"/>
        <v>0</v>
      </c>
      <c r="F21" s="14">
        <f t="shared" si="17"/>
        <v>0</v>
      </c>
      <c r="G21" s="14">
        <f t="shared" si="17"/>
        <v>0</v>
      </c>
      <c r="H21" s="14">
        <f t="shared" si="17"/>
        <v>0</v>
      </c>
      <c r="I21" s="14">
        <f t="shared" si="17"/>
        <v>0</v>
      </c>
      <c r="J21" s="14">
        <f t="shared" si="17"/>
        <v>0</v>
      </c>
      <c r="K21" s="14">
        <f t="shared" si="17"/>
        <v>0</v>
      </c>
      <c r="L21" s="14">
        <f t="shared" si="17"/>
        <v>0</v>
      </c>
      <c r="M21" s="14">
        <f t="shared" si="17"/>
        <v>0</v>
      </c>
      <c r="N21" s="14">
        <f t="shared" si="17"/>
        <v>0</v>
      </c>
      <c r="O21" s="14">
        <f t="shared" si="17"/>
        <v>0</v>
      </c>
      <c r="P21" s="14">
        <f t="shared" si="17"/>
        <v>0</v>
      </c>
      <c r="Q21" s="14">
        <f t="shared" si="17"/>
        <v>0</v>
      </c>
      <c r="R21" s="14">
        <f t="shared" si="17"/>
        <v>0</v>
      </c>
      <c r="S21" s="14">
        <f t="shared" si="17"/>
        <v>0</v>
      </c>
      <c r="T21" s="14">
        <f t="shared" si="14"/>
        <v>0</v>
      </c>
      <c r="U21" s="14">
        <f t="shared" si="14"/>
        <v>0</v>
      </c>
      <c r="V21" s="14">
        <f t="shared" si="14"/>
        <v>0</v>
      </c>
      <c r="W21" s="14">
        <f t="shared" si="14"/>
        <v>0</v>
      </c>
      <c r="X21" s="14">
        <f t="shared" si="14"/>
        <v>0</v>
      </c>
      <c r="Y21" s="14">
        <f t="shared" si="14"/>
        <v>0</v>
      </c>
      <c r="Z21" s="14">
        <f t="shared" si="14"/>
        <v>0</v>
      </c>
      <c r="AA21" s="14">
        <f t="shared" si="14"/>
        <v>0</v>
      </c>
      <c r="AB21" s="14">
        <f t="shared" si="14"/>
        <v>0</v>
      </c>
      <c r="AC21" s="14">
        <f t="shared" si="14"/>
        <v>0</v>
      </c>
      <c r="AD21" s="14">
        <f t="shared" si="14"/>
        <v>0</v>
      </c>
      <c r="AE21" s="14">
        <f t="shared" si="14"/>
        <v>0</v>
      </c>
      <c r="AF21" s="14">
        <f t="shared" si="14"/>
        <v>0</v>
      </c>
      <c r="AG21" s="14">
        <f t="shared" si="14"/>
        <v>0</v>
      </c>
      <c r="AH21" s="14">
        <f t="shared" si="14"/>
        <v>0</v>
      </c>
      <c r="AI21" s="14">
        <f t="shared" si="14"/>
        <v>0</v>
      </c>
      <c r="AJ21" s="14">
        <f t="shared" si="14"/>
        <v>0</v>
      </c>
      <c r="AK21" s="14">
        <f t="shared" si="14"/>
        <v>0</v>
      </c>
      <c r="AL21" s="14">
        <f t="shared" si="14"/>
        <v>0</v>
      </c>
      <c r="AM21" s="14">
        <f t="shared" si="14"/>
        <v>0</v>
      </c>
      <c r="AN21" s="14">
        <f t="shared" si="14"/>
        <v>0</v>
      </c>
      <c r="AO21" s="14">
        <f t="shared" si="14"/>
        <v>0</v>
      </c>
      <c r="AP21" s="14">
        <f t="shared" si="14"/>
        <v>0</v>
      </c>
      <c r="AQ21" s="14">
        <f t="shared" si="14"/>
        <v>0</v>
      </c>
      <c r="AR21" s="14">
        <f t="shared" si="14"/>
        <v>0</v>
      </c>
      <c r="AS21" s="14">
        <f t="shared" si="14"/>
        <v>0</v>
      </c>
      <c r="AT21" s="14">
        <f t="shared" si="14"/>
        <v>0</v>
      </c>
      <c r="AU21" s="14">
        <f t="shared" si="14"/>
        <v>0</v>
      </c>
      <c r="AV21" s="14">
        <f t="shared" si="14"/>
        <v>0</v>
      </c>
      <c r="AW21" s="14">
        <f t="shared" si="14"/>
        <v>0</v>
      </c>
      <c r="AX21" s="14">
        <f t="shared" si="14"/>
        <v>0</v>
      </c>
      <c r="AY21" s="14">
        <f t="shared" si="14"/>
        <v>0</v>
      </c>
      <c r="AZ21" s="14">
        <f t="shared" si="15"/>
        <v>0</v>
      </c>
      <c r="BA21" s="14">
        <f t="shared" si="15"/>
        <v>0</v>
      </c>
      <c r="BB21" s="14">
        <f t="shared" si="15"/>
        <v>0</v>
      </c>
      <c r="BC21" s="14">
        <f t="shared" si="15"/>
        <v>0</v>
      </c>
      <c r="BD21" s="14">
        <f t="shared" si="15"/>
        <v>0</v>
      </c>
      <c r="BE21" s="14">
        <f t="shared" si="15"/>
        <v>0</v>
      </c>
      <c r="BF21" s="14">
        <f t="shared" si="15"/>
        <v>0</v>
      </c>
      <c r="BG21" s="14">
        <f t="shared" si="15"/>
        <v>0</v>
      </c>
      <c r="BH21" s="14">
        <f t="shared" si="15"/>
        <v>0</v>
      </c>
      <c r="BI21" s="14">
        <f t="shared" si="15"/>
        <v>0</v>
      </c>
      <c r="BJ21" s="14">
        <f t="shared" si="15"/>
        <v>0</v>
      </c>
      <c r="BK21" s="14">
        <f t="shared" si="15"/>
        <v>0</v>
      </c>
      <c r="BO21" s="28">
        <f t="shared" ref="BO21:BO23" si="18">IFERROR(((1+BO39/BW15)^(360/BO$3))-1,0)</f>
        <v>0</v>
      </c>
      <c r="BP21" s="28">
        <f t="shared" si="16"/>
        <v>0</v>
      </c>
      <c r="BQ21" s="28">
        <f t="shared" si="16"/>
        <v>0</v>
      </c>
      <c r="BR21" s="28">
        <f t="shared" si="16"/>
        <v>0</v>
      </c>
      <c r="BS21" s="28">
        <f t="shared" si="16"/>
        <v>0</v>
      </c>
      <c r="BT21" s="28">
        <f t="shared" si="16"/>
        <v>0</v>
      </c>
    </row>
    <row r="22" spans="1:80" hidden="1" outlineLevel="1" x14ac:dyDescent="0.25">
      <c r="A22" s="11"/>
      <c r="C22" s="2" t="s">
        <v>45</v>
      </c>
      <c r="D22" s="14">
        <f t="shared" si="17"/>
        <v>8.7769898510751787E-2</v>
      </c>
      <c r="E22" s="14">
        <f t="shared" si="14"/>
        <v>7.8976940671644513E-2</v>
      </c>
      <c r="F22" s="14">
        <f t="shared" si="14"/>
        <v>0.10705582795733282</v>
      </c>
      <c r="G22" s="14">
        <f t="shared" si="14"/>
        <v>8.1537590952921901E-2</v>
      </c>
      <c r="H22" s="14">
        <f t="shared" si="14"/>
        <v>9.9632351407867414E-2</v>
      </c>
      <c r="I22" s="14">
        <f t="shared" si="14"/>
        <v>0.10381131559157319</v>
      </c>
      <c r="J22" s="14">
        <f t="shared" si="14"/>
        <v>0.10393309944969964</v>
      </c>
      <c r="K22" s="14">
        <f t="shared" si="14"/>
        <v>9.5164949763597129E-2</v>
      </c>
      <c r="L22" s="14">
        <f t="shared" si="14"/>
        <v>9.2274172581824798E-2</v>
      </c>
      <c r="M22" s="14">
        <f t="shared" si="14"/>
        <v>0.11393041619406041</v>
      </c>
      <c r="N22" s="14">
        <f t="shared" si="14"/>
        <v>0.10276153227688023</v>
      </c>
      <c r="O22" s="14">
        <f t="shared" si="14"/>
        <v>9.8719169271390683E-2</v>
      </c>
      <c r="P22" s="14">
        <f t="shared" si="14"/>
        <v>0.10762978569922654</v>
      </c>
      <c r="Q22" s="14">
        <f t="shared" si="14"/>
        <v>9.2434880955500898E-2</v>
      </c>
      <c r="R22" s="14">
        <f t="shared" si="14"/>
        <v>0.10544571500434374</v>
      </c>
      <c r="S22" s="14">
        <f t="shared" si="14"/>
        <v>0.10536249256643271</v>
      </c>
      <c r="T22" s="14">
        <f t="shared" si="14"/>
        <v>0.10536999325190943</v>
      </c>
      <c r="U22" s="14">
        <f t="shared" si="14"/>
        <v>9.9186098142060919E-2</v>
      </c>
      <c r="V22" s="14">
        <f t="shared" si="14"/>
        <v>0.1252621049378142</v>
      </c>
      <c r="W22" s="14">
        <f t="shared" si="14"/>
        <v>0.11632342188256595</v>
      </c>
      <c r="X22" s="14">
        <f t="shared" si="14"/>
        <v>0.10370144054131014</v>
      </c>
      <c r="Y22" s="14">
        <f t="shared" si="14"/>
        <v>9.3889373800927434E-2</v>
      </c>
      <c r="Z22" s="14">
        <f t="shared" si="14"/>
        <v>9.6671341346860729E-2</v>
      </c>
      <c r="AA22" s="14">
        <f t="shared" si="14"/>
        <v>0.11567828713613371</v>
      </c>
      <c r="AB22" s="14">
        <f t="shared" si="14"/>
        <v>0.1037442545691023</v>
      </c>
      <c r="AC22" s="14">
        <f t="shared" si="14"/>
        <v>9.4466477914767255E-2</v>
      </c>
      <c r="AD22" s="14">
        <f t="shared" si="14"/>
        <v>0.11110355612363221</v>
      </c>
      <c r="AE22" s="14">
        <f t="shared" si="14"/>
        <v>0.10168252261328181</v>
      </c>
      <c r="AF22" s="14">
        <f t="shared" si="14"/>
        <v>0.11583346269721728</v>
      </c>
      <c r="AG22" s="14">
        <f t="shared" si="14"/>
        <v>9.9310075411664478E-2</v>
      </c>
      <c r="AH22" s="14">
        <f t="shared" si="14"/>
        <v>9.7785969708985565E-2</v>
      </c>
      <c r="AI22" s="14">
        <f t="shared" si="14"/>
        <v>8.6431290376859371E-2</v>
      </c>
      <c r="AJ22" s="14">
        <f t="shared" si="14"/>
        <v>0.11254968967782952</v>
      </c>
      <c r="AK22" s="14">
        <f t="shared" si="14"/>
        <v>9.252919288794037E-2</v>
      </c>
      <c r="AL22" s="14">
        <f t="shared" si="14"/>
        <v>0.10547066524721327</v>
      </c>
      <c r="AM22" s="14">
        <f t="shared" si="14"/>
        <v>0.11596721508917152</v>
      </c>
      <c r="AN22" s="14">
        <f t="shared" si="14"/>
        <v>9.5036198399761185E-2</v>
      </c>
      <c r="AO22" s="14">
        <f t="shared" si="14"/>
        <v>0.10880545132900599</v>
      </c>
      <c r="AP22" s="14">
        <f t="shared" si="14"/>
        <v>0.11088320076427904</v>
      </c>
      <c r="AQ22" s="14">
        <f t="shared" si="14"/>
        <v>9.8032022253956796E-2</v>
      </c>
      <c r="AR22" s="14">
        <f t="shared" si="14"/>
        <v>0.10455709616183317</v>
      </c>
      <c r="AS22" s="14">
        <f t="shared" si="14"/>
        <v>9.6842484005687623E-2</v>
      </c>
      <c r="AT22" s="14">
        <f t="shared" si="14"/>
        <v>0</v>
      </c>
      <c r="AU22" s="14">
        <f t="shared" si="14"/>
        <v>0</v>
      </c>
      <c r="AV22" s="14">
        <f t="shared" si="14"/>
        <v>0</v>
      </c>
      <c r="AW22" s="14">
        <f t="shared" si="14"/>
        <v>0</v>
      </c>
      <c r="AX22" s="14">
        <f t="shared" si="14"/>
        <v>0</v>
      </c>
      <c r="AY22" s="14">
        <f t="shared" si="14"/>
        <v>0</v>
      </c>
      <c r="AZ22" s="14">
        <f t="shared" si="15"/>
        <v>0.11492885807988995</v>
      </c>
      <c r="BA22" s="14">
        <f t="shared" si="15"/>
        <v>0.11890294426986614</v>
      </c>
      <c r="BB22" s="14">
        <f t="shared" si="15"/>
        <v>0.1166194774526188</v>
      </c>
      <c r="BC22" s="14">
        <f t="shared" si="15"/>
        <v>0.11626127186426971</v>
      </c>
      <c r="BD22" s="14">
        <f t="shared" si="15"/>
        <v>0.12010031201439531</v>
      </c>
      <c r="BE22" s="14">
        <f t="shared" si="15"/>
        <v>0.1185441960666922</v>
      </c>
      <c r="BF22" s="14">
        <f t="shared" si="15"/>
        <v>0.1224555763180657</v>
      </c>
      <c r="BG22" s="14">
        <f t="shared" si="15"/>
        <v>0.12396478273632083</v>
      </c>
      <c r="BH22" s="14">
        <f t="shared" si="15"/>
        <v>0.12358652189395936</v>
      </c>
      <c r="BI22" s="14">
        <f t="shared" si="15"/>
        <v>0.12427355311286359</v>
      </c>
      <c r="BJ22" s="14">
        <f t="shared" si="15"/>
        <v>0.12639382530110943</v>
      </c>
      <c r="BK22" s="14">
        <f t="shared" si="15"/>
        <v>0.1276379022324563</v>
      </c>
      <c r="BO22" s="28">
        <f t="shared" si="18"/>
        <v>0.10467587526228472</v>
      </c>
      <c r="BP22" s="28">
        <f t="shared" si="16"/>
        <v>0.11677307316633323</v>
      </c>
      <c r="BQ22" s="28">
        <f t="shared" si="16"/>
        <v>0.10153349469549289</v>
      </c>
      <c r="BR22" s="28">
        <f t="shared" si="16"/>
        <v>0.10345907424983536</v>
      </c>
      <c r="BS22" s="28">
        <f t="shared" si="16"/>
        <v>0.10199520849797761</v>
      </c>
      <c r="BT22" s="28">
        <f t="shared" si="16"/>
        <v>9.1731388803784064E-2</v>
      </c>
    </row>
    <row r="23" spans="1:80" collapsed="1" x14ac:dyDescent="0.25">
      <c r="C23" s="3" t="s">
        <v>59</v>
      </c>
      <c r="D23" s="15">
        <f t="shared" si="17"/>
        <v>7.5649464882628248E-2</v>
      </c>
      <c r="E23" s="15">
        <f t="shared" si="14"/>
        <v>7.5854821898305946E-2</v>
      </c>
      <c r="F23" s="15">
        <f t="shared" si="14"/>
        <v>7.6810343406815251E-2</v>
      </c>
      <c r="G23" s="15">
        <f t="shared" si="14"/>
        <v>7.6350775007975047E-2</v>
      </c>
      <c r="H23" s="15">
        <f t="shared" si="14"/>
        <v>7.7025212210417582E-2</v>
      </c>
      <c r="I23" s="15">
        <f t="shared" si="14"/>
        <v>7.7305551619588631E-2</v>
      </c>
      <c r="J23" s="15">
        <f t="shared" si="14"/>
        <v>7.7675225688993876E-2</v>
      </c>
      <c r="K23" s="15">
        <f t="shared" si="14"/>
        <v>7.6834985548849044E-2</v>
      </c>
      <c r="L23" s="15">
        <f t="shared" si="14"/>
        <v>7.6665768764612618E-2</v>
      </c>
      <c r="M23" s="15">
        <f t="shared" si="14"/>
        <v>7.7609294385671879E-2</v>
      </c>
      <c r="N23" s="15">
        <f t="shared" si="14"/>
        <v>7.7792572486367728E-2</v>
      </c>
      <c r="O23" s="15">
        <f t="shared" si="14"/>
        <v>7.8252069029372429E-2</v>
      </c>
      <c r="P23" s="15">
        <f t="shared" si="14"/>
        <v>7.7580400952325546E-2</v>
      </c>
      <c r="Q23" s="15">
        <f t="shared" si="14"/>
        <v>7.7426644265877975E-2</v>
      </c>
      <c r="R23" s="15">
        <f t="shared" si="14"/>
        <v>7.8366346007228804E-2</v>
      </c>
      <c r="S23" s="15">
        <f t="shared" si="14"/>
        <v>7.7456779381666063E-2</v>
      </c>
      <c r="T23" s="15">
        <f t="shared" si="14"/>
        <v>7.8831818007361054E-2</v>
      </c>
      <c r="U23" s="15">
        <f t="shared" si="14"/>
        <v>7.8970111652639119E-2</v>
      </c>
      <c r="V23" s="15">
        <f t="shared" si="14"/>
        <v>8.0317074413513767E-2</v>
      </c>
      <c r="W23" s="15">
        <f t="shared" si="14"/>
        <v>8.0172278808697817E-2</v>
      </c>
      <c r="X23" s="15">
        <f t="shared" si="14"/>
        <v>7.8622554433958047E-2</v>
      </c>
      <c r="Y23" s="15">
        <f t="shared" si="14"/>
        <v>7.8181703804446112E-2</v>
      </c>
      <c r="Z23" s="15">
        <f t="shared" si="14"/>
        <v>7.9207593711114077E-2</v>
      </c>
      <c r="AA23" s="15">
        <f t="shared" si="14"/>
        <v>7.9774315457107781E-2</v>
      </c>
      <c r="AB23" s="15">
        <f t="shared" si="14"/>
        <v>7.8501019164773478E-2</v>
      </c>
      <c r="AC23" s="15">
        <f t="shared" si="14"/>
        <v>7.8491593122728354E-2</v>
      </c>
      <c r="AD23" s="15">
        <f t="shared" si="14"/>
        <v>7.8569868185723868E-2</v>
      </c>
      <c r="AE23" s="15">
        <f t="shared" si="14"/>
        <v>7.8607980400554167E-2</v>
      </c>
      <c r="AF23" s="15">
        <f t="shared" si="14"/>
        <v>8.0322371374584201E-2</v>
      </c>
      <c r="AG23" s="15">
        <f t="shared" si="14"/>
        <v>7.8473879043256645E-2</v>
      </c>
      <c r="AH23" s="15">
        <f t="shared" si="14"/>
        <v>7.9266055527183799E-2</v>
      </c>
      <c r="AI23" s="15">
        <f t="shared" si="14"/>
        <v>7.8335916390517513E-2</v>
      </c>
      <c r="AJ23" s="15">
        <f t="shared" si="14"/>
        <v>7.8816216344563372E-2</v>
      </c>
      <c r="AK23" s="15">
        <f t="shared" si="14"/>
        <v>7.8373773153067816E-2</v>
      </c>
      <c r="AL23" s="15">
        <f t="shared" si="14"/>
        <v>7.9696443654249993E-2</v>
      </c>
      <c r="AM23" s="15">
        <f t="shared" si="14"/>
        <v>7.9920540054345457E-2</v>
      </c>
      <c r="AN23" s="15">
        <f t="shared" si="14"/>
        <v>7.8612564917266869E-2</v>
      </c>
      <c r="AO23" s="15">
        <f t="shared" si="14"/>
        <v>7.9751352661738828E-2</v>
      </c>
      <c r="AP23" s="15">
        <f t="shared" si="14"/>
        <v>7.9027375110847897E-2</v>
      </c>
      <c r="AQ23" s="15">
        <f t="shared" si="14"/>
        <v>7.837768498923392E-2</v>
      </c>
      <c r="AR23" s="15">
        <f t="shared" si="14"/>
        <v>7.9139582663728891E-2</v>
      </c>
      <c r="AS23" s="15">
        <f t="shared" si="14"/>
        <v>7.7406804152979181E-2</v>
      </c>
      <c r="AT23" s="15">
        <f t="shared" si="14"/>
        <v>0</v>
      </c>
      <c r="AU23" s="15">
        <f t="shared" si="14"/>
        <v>0</v>
      </c>
      <c r="AV23" s="15">
        <f t="shared" si="14"/>
        <v>0</v>
      </c>
      <c r="AW23" s="15">
        <f t="shared" si="14"/>
        <v>0</v>
      </c>
      <c r="AX23" s="15">
        <f t="shared" si="14"/>
        <v>0</v>
      </c>
      <c r="AY23" s="15">
        <f t="shared" si="14"/>
        <v>0</v>
      </c>
      <c r="AZ23" s="15">
        <f t="shared" si="15"/>
        <v>7.8107646936970809E-2</v>
      </c>
      <c r="BA23" s="15">
        <f t="shared" si="15"/>
        <v>7.8910046361820418E-2</v>
      </c>
      <c r="BB23" s="15">
        <f t="shared" si="15"/>
        <v>7.7850630329981962E-2</v>
      </c>
      <c r="BC23" s="15">
        <f t="shared" si="15"/>
        <v>7.8724360849364405E-2</v>
      </c>
      <c r="BD23" s="15">
        <f t="shared" si="15"/>
        <v>7.928037091898088E-2</v>
      </c>
      <c r="BE23" s="15">
        <f t="shared" si="15"/>
        <v>7.8548160477924345E-2</v>
      </c>
      <c r="BF23" s="15">
        <f t="shared" si="15"/>
        <v>7.9309724554852856E-2</v>
      </c>
      <c r="BG23" s="15">
        <f t="shared" si="15"/>
        <v>7.9395358326959986E-2</v>
      </c>
      <c r="BH23" s="15">
        <f t="shared" si="15"/>
        <v>7.8267031060077707E-2</v>
      </c>
      <c r="BI23" s="15">
        <f t="shared" si="15"/>
        <v>7.8741823268612787E-2</v>
      </c>
      <c r="BJ23" s="15">
        <f t="shared" si="15"/>
        <v>7.9483236987344164E-2</v>
      </c>
      <c r="BK23" s="15">
        <f t="shared" si="15"/>
        <v>7.9031564445515068E-2</v>
      </c>
      <c r="BO23" s="29">
        <f t="shared" si="18"/>
        <v>7.9109937866337354E-2</v>
      </c>
      <c r="BP23" s="29">
        <f t="shared" si="16"/>
        <v>7.8267728352782839E-2</v>
      </c>
      <c r="BQ23" s="29">
        <f t="shared" si="16"/>
        <v>7.913057839371973E-2</v>
      </c>
      <c r="BR23" s="29">
        <f t="shared" si="16"/>
        <v>7.8523913536504564E-2</v>
      </c>
      <c r="BS23" s="29">
        <f t="shared" si="16"/>
        <v>7.7799776641641616E-2</v>
      </c>
      <c r="BT23" s="29">
        <f t="shared" si="16"/>
        <v>7.6114506748574229E-2</v>
      </c>
    </row>
    <row r="26" spans="1:80" hidden="1" outlineLevel="1" x14ac:dyDescent="0.25">
      <c r="A26" s="11"/>
      <c r="C26" s="2" t="s">
        <v>0</v>
      </c>
      <c r="D26" s="14">
        <f>-IFERROR(((1-D44/D14)^(360/D$4))-1,0)</f>
        <v>-5.249342096987597E-2</v>
      </c>
      <c r="E26" s="14">
        <f t="shared" ref="E26:AY29" si="19">-IFERROR(((1-E44/E14)^(360/E$4))-1,0)</f>
        <v>-5.2775620443465288E-2</v>
      </c>
      <c r="F26" s="14">
        <f t="shared" si="19"/>
        <v>-5.3081601714000337E-2</v>
      </c>
      <c r="G26" s="14">
        <f t="shared" si="19"/>
        <v>-5.3435755178708799E-2</v>
      </c>
      <c r="H26" s="14">
        <f t="shared" si="19"/>
        <v>-5.3745988830357527E-2</v>
      </c>
      <c r="I26" s="14">
        <f t="shared" si="19"/>
        <v>-5.4008615980797536E-2</v>
      </c>
      <c r="J26" s="14">
        <f t="shared" si="19"/>
        <v>-5.4252426485657868E-2</v>
      </c>
      <c r="K26" s="14">
        <f t="shared" si="19"/>
        <v>-5.4415567062138237E-2</v>
      </c>
      <c r="L26" s="14">
        <f t="shared" si="19"/>
        <v>-5.4543616984509713E-2</v>
      </c>
      <c r="M26" s="14">
        <f t="shared" si="19"/>
        <v>-5.4752846577196923E-2</v>
      </c>
      <c r="N26" s="14">
        <f t="shared" si="19"/>
        <v>-5.4937760001782632E-2</v>
      </c>
      <c r="O26" s="14">
        <f t="shared" si="19"/>
        <v>-5.5119330077081363E-2</v>
      </c>
      <c r="P26" s="14">
        <f t="shared" si="19"/>
        <v>-5.539418780102956E-2</v>
      </c>
      <c r="Q26" s="14">
        <f t="shared" si="19"/>
        <v>-5.5452459636395668E-2</v>
      </c>
      <c r="R26" s="14">
        <f t="shared" si="19"/>
        <v>-5.5705092326184591E-2</v>
      </c>
      <c r="S26" s="14">
        <f t="shared" si="19"/>
        <v>-5.5793794930166118E-2</v>
      </c>
      <c r="T26" s="14">
        <f t="shared" si="19"/>
        <v>-5.6087232243317464E-2</v>
      </c>
      <c r="U26" s="14">
        <f t="shared" si="19"/>
        <v>-5.6163611923558676E-2</v>
      </c>
      <c r="V26" s="14">
        <f t="shared" si="19"/>
        <v>-5.6447684324917091E-2</v>
      </c>
      <c r="W26" s="14">
        <f t="shared" si="19"/>
        <v>-5.7179661164526774E-2</v>
      </c>
      <c r="X26" s="14">
        <f t="shared" si="19"/>
        <v>-5.6754757970933323E-2</v>
      </c>
      <c r="Y26" s="14">
        <f t="shared" si="19"/>
        <v>-5.6790774314682713E-2</v>
      </c>
      <c r="Z26" s="14">
        <f t="shared" si="19"/>
        <v>-5.6950491035135276E-2</v>
      </c>
      <c r="AA26" s="14">
        <f t="shared" si="19"/>
        <v>-5.7015141417225967E-2</v>
      </c>
      <c r="AB26" s="14">
        <f t="shared" si="19"/>
        <v>-5.7268509630507891E-2</v>
      </c>
      <c r="AC26" s="14">
        <f t="shared" si="19"/>
        <v>-5.7308196802853262E-2</v>
      </c>
      <c r="AD26" s="14">
        <f t="shared" si="19"/>
        <v>-5.7569410600947224E-2</v>
      </c>
      <c r="AE26" s="14">
        <f t="shared" si="19"/>
        <v>-5.7564198080724216E-2</v>
      </c>
      <c r="AF26" s="14">
        <f t="shared" si="19"/>
        <v>-5.7782230696329373E-2</v>
      </c>
      <c r="AG26" s="14">
        <f t="shared" si="19"/>
        <v>-5.7844410117856349E-2</v>
      </c>
      <c r="AH26" s="14">
        <f t="shared" si="19"/>
        <v>-5.8064149644838414E-2</v>
      </c>
      <c r="AI26" s="14">
        <f t="shared" si="19"/>
        <v>-5.8085603090932914E-2</v>
      </c>
      <c r="AJ26" s="14">
        <f t="shared" si="19"/>
        <v>-5.818319350903689E-2</v>
      </c>
      <c r="AK26" s="14">
        <f t="shared" si="19"/>
        <v>-5.8122972270192585E-2</v>
      </c>
      <c r="AL26" s="14">
        <f t="shared" si="19"/>
        <v>-5.816934736670043E-2</v>
      </c>
      <c r="AM26" s="14">
        <f t="shared" si="19"/>
        <v>-5.8072385289849926E-2</v>
      </c>
      <c r="AN26" s="14">
        <f t="shared" si="19"/>
        <v>-5.8129906141031196E-2</v>
      </c>
      <c r="AO26" s="14">
        <f t="shared" si="19"/>
        <v>-5.7984698103781041E-2</v>
      </c>
      <c r="AP26" s="14">
        <f t="shared" si="19"/>
        <v>-5.8010591758876462E-2</v>
      </c>
      <c r="AQ26" s="14">
        <f t="shared" si="19"/>
        <v>-5.7873241901331918E-2</v>
      </c>
      <c r="AR26" s="14">
        <f t="shared" si="19"/>
        <v>-5.8007844485357118E-2</v>
      </c>
      <c r="AS26" s="14">
        <f t="shared" si="19"/>
        <v>-5.7970120066168196E-2</v>
      </c>
      <c r="AT26" s="14">
        <f t="shared" si="19"/>
        <v>0</v>
      </c>
      <c r="AU26" s="14">
        <f t="shared" si="19"/>
        <v>0</v>
      </c>
      <c r="AV26" s="14">
        <f t="shared" si="19"/>
        <v>0</v>
      </c>
      <c r="AW26" s="14">
        <f t="shared" si="19"/>
        <v>0</v>
      </c>
      <c r="AX26" s="14">
        <f t="shared" si="19"/>
        <v>0</v>
      </c>
      <c r="AY26" s="14">
        <f t="shared" si="19"/>
        <v>0</v>
      </c>
      <c r="AZ26" s="14">
        <f t="shared" ref="AZ26:BK29" si="20">-IFERROR(((1-AZ44/AZ14)^(360/AZ$4))-1,0)</f>
        <v>-5.8339434519222522E-2</v>
      </c>
      <c r="BA26" s="14">
        <f t="shared" si="20"/>
        <v>-5.8318606249211591E-2</v>
      </c>
      <c r="BB26" s="14">
        <f t="shared" si="20"/>
        <v>-5.8389988930728665E-2</v>
      </c>
      <c r="BC26" s="14">
        <f t="shared" si="20"/>
        <v>-5.8484683000163518E-2</v>
      </c>
      <c r="BD26" s="14">
        <f t="shared" si="20"/>
        <v>-5.845973085415368E-2</v>
      </c>
      <c r="BE26" s="14">
        <f t="shared" si="20"/>
        <v>-5.8519769529757015E-2</v>
      </c>
      <c r="BF26" s="14">
        <f t="shared" si="20"/>
        <v>-5.8500007094371975E-2</v>
      </c>
      <c r="BG26" s="14">
        <f t="shared" si="20"/>
        <v>-5.8505402336834988E-2</v>
      </c>
      <c r="BH26" s="14">
        <f t="shared" si="20"/>
        <v>-5.8507353497954329E-2</v>
      </c>
      <c r="BI26" s="14">
        <f t="shared" si="20"/>
        <v>-5.8542517546930073E-2</v>
      </c>
      <c r="BJ26" s="14">
        <f t="shared" si="20"/>
        <v>-5.8556980951566695E-2</v>
      </c>
      <c r="BK26" s="14">
        <f t="shared" si="20"/>
        <v>-5.8548850748412873E-2</v>
      </c>
      <c r="BO26" s="28">
        <f>-IFERROR(((1-BO44/BW14)^(360/BO$4))-1,0)</f>
        <v>-5.8041196303111775E-2</v>
      </c>
      <c r="BP26" s="28">
        <f t="shared" ref="BP26:BT29" si="21">-IFERROR(((1-BP44/BX14)^(360/BP$4))-1,0)</f>
        <v>-5.8349468662371784E-2</v>
      </c>
      <c r="BQ26" s="28">
        <f t="shared" si="21"/>
        <v>-5.8056780493286997E-2</v>
      </c>
      <c r="BR26" s="28">
        <f t="shared" si="21"/>
        <v>-5.7382671081301906E-2</v>
      </c>
      <c r="BS26" s="28">
        <f t="shared" si="21"/>
        <v>-5.5517589167164205E-2</v>
      </c>
      <c r="BT26" s="28">
        <f t="shared" si="21"/>
        <v>-5.2784249466085731E-2</v>
      </c>
    </row>
    <row r="27" spans="1:80" hidden="1" outlineLevel="1" x14ac:dyDescent="0.25">
      <c r="A27" s="11"/>
      <c r="C27" s="2" t="s">
        <v>1</v>
      </c>
      <c r="D27" s="14">
        <f t="shared" ref="D27:S29" si="22">-IFERROR(((1-D45/D15)^(360/D$4))-1,0)</f>
        <v>-5.0872323212878712E-2</v>
      </c>
      <c r="E27" s="14">
        <f t="shared" si="22"/>
        <v>-5.0904438904975979E-2</v>
      </c>
      <c r="F27" s="14">
        <f t="shared" si="22"/>
        <v>-5.1341944896408531E-2</v>
      </c>
      <c r="G27" s="14">
        <f t="shared" si="22"/>
        <v>-5.1827834291146457E-2</v>
      </c>
      <c r="H27" s="14">
        <f t="shared" si="22"/>
        <v>-5.254458648529603E-2</v>
      </c>
      <c r="I27" s="14">
        <f t="shared" si="22"/>
        <v>-5.2724608866488776E-2</v>
      </c>
      <c r="J27" s="14">
        <f t="shared" si="22"/>
        <v>-5.265801256899838E-2</v>
      </c>
      <c r="K27" s="14">
        <f t="shared" si="22"/>
        <v>-5.2042834419747885E-2</v>
      </c>
      <c r="L27" s="14">
        <f t="shared" si="22"/>
        <v>-5.1260800777906512E-2</v>
      </c>
      <c r="M27" s="14">
        <f t="shared" si="22"/>
        <v>-5.1011268402260335E-2</v>
      </c>
      <c r="N27" s="14">
        <f t="shared" si="22"/>
        <v>-5.1869949818113659E-2</v>
      </c>
      <c r="O27" s="14">
        <f t="shared" si="22"/>
        <v>-5.2530480533624857E-2</v>
      </c>
      <c r="P27" s="14">
        <f t="shared" si="22"/>
        <v>-5.2816615008222767E-2</v>
      </c>
      <c r="Q27" s="14">
        <f t="shared" si="22"/>
        <v>-5.2840875335656845E-2</v>
      </c>
      <c r="R27" s="14">
        <f t="shared" si="22"/>
        <v>-5.3238581631603443E-2</v>
      </c>
      <c r="S27" s="14">
        <f t="shared" si="22"/>
        <v>-5.3414958101476451E-2</v>
      </c>
      <c r="T27" s="14">
        <f t="shared" si="19"/>
        <v>-5.3824967743558716E-2</v>
      </c>
      <c r="U27" s="14">
        <f t="shared" si="19"/>
        <v>-5.3785103147204971E-2</v>
      </c>
      <c r="V27" s="14">
        <f t="shared" si="19"/>
        <v>-5.3872514975730867E-2</v>
      </c>
      <c r="W27" s="14">
        <f t="shared" si="19"/>
        <v>-5.3908230407472946E-2</v>
      </c>
      <c r="X27" s="14">
        <f t="shared" si="19"/>
        <v>-5.4494378650874697E-2</v>
      </c>
      <c r="Y27" s="14">
        <f t="shared" si="19"/>
        <v>-5.4412627791632806E-2</v>
      </c>
      <c r="Z27" s="14">
        <f t="shared" si="19"/>
        <v>-5.4651241571921583E-2</v>
      </c>
      <c r="AA27" s="14">
        <f t="shared" si="19"/>
        <v>-5.4818401234123959E-2</v>
      </c>
      <c r="AB27" s="14">
        <f t="shared" si="19"/>
        <v>-5.5045352839715678E-2</v>
      </c>
      <c r="AC27" s="14">
        <f t="shared" si="19"/>
        <v>-5.4713937562929971E-2</v>
      </c>
      <c r="AD27" s="14">
        <f t="shared" si="19"/>
        <v>-5.5487496696848826E-2</v>
      </c>
      <c r="AE27" s="14">
        <f t="shared" si="19"/>
        <v>-5.5952492686083932E-2</v>
      </c>
      <c r="AF27" s="14">
        <f t="shared" si="19"/>
        <v>-5.6486687917249645E-2</v>
      </c>
      <c r="AG27" s="14">
        <f t="shared" si="19"/>
        <v>-5.6295417762414424E-2</v>
      </c>
      <c r="AH27" s="14">
        <f t="shared" si="19"/>
        <v>-5.6645124672984215E-2</v>
      </c>
      <c r="AI27" s="14">
        <f t="shared" si="19"/>
        <v>-5.6450356011096048E-2</v>
      </c>
      <c r="AJ27" s="14">
        <f t="shared" si="19"/>
        <v>-5.6699360247081998E-2</v>
      </c>
      <c r="AK27" s="14">
        <f t="shared" si="19"/>
        <v>-5.6801658572328995E-2</v>
      </c>
      <c r="AL27" s="14">
        <f t="shared" si="19"/>
        <v>-5.6869189704445766E-2</v>
      </c>
      <c r="AM27" s="14">
        <f t="shared" si="19"/>
        <v>-5.671187325248761E-2</v>
      </c>
      <c r="AN27" s="14">
        <f t="shared" si="19"/>
        <v>-5.7296495698606176E-2</v>
      </c>
      <c r="AO27" s="14">
        <f t="shared" si="19"/>
        <v>-5.7090689707445241E-2</v>
      </c>
      <c r="AP27" s="14">
        <f t="shared" si="19"/>
        <v>-5.7759184938357189E-2</v>
      </c>
      <c r="AQ27" s="14">
        <f t="shared" si="19"/>
        <v>-5.7955103935796837E-2</v>
      </c>
      <c r="AR27" s="14">
        <f t="shared" si="19"/>
        <v>-5.8292699779395107E-2</v>
      </c>
      <c r="AS27" s="14">
        <f t="shared" si="19"/>
        <v>-5.7975029715885862E-2</v>
      </c>
      <c r="AT27" s="14">
        <f t="shared" si="19"/>
        <v>0</v>
      </c>
      <c r="AU27" s="14">
        <f t="shared" si="19"/>
        <v>0</v>
      </c>
      <c r="AV27" s="14">
        <f t="shared" si="19"/>
        <v>0</v>
      </c>
      <c r="AW27" s="14">
        <f t="shared" si="19"/>
        <v>0</v>
      </c>
      <c r="AX27" s="14">
        <f t="shared" si="19"/>
        <v>0</v>
      </c>
      <c r="AY27" s="14">
        <f t="shared" si="19"/>
        <v>0</v>
      </c>
      <c r="AZ27" s="14">
        <f t="shared" si="20"/>
        <v>-6.1076433078649961E-2</v>
      </c>
      <c r="BA27" s="14">
        <f t="shared" si="20"/>
        <v>-6.2381193702236271E-2</v>
      </c>
      <c r="BB27" s="14">
        <f t="shared" si="20"/>
        <v>-6.1893726808289529E-2</v>
      </c>
      <c r="BC27" s="14">
        <f t="shared" si="20"/>
        <v>-6.2071540035918638E-2</v>
      </c>
      <c r="BD27" s="14">
        <f t="shared" si="20"/>
        <v>-6.3109893706336795E-2</v>
      </c>
      <c r="BE27" s="14">
        <f t="shared" si="20"/>
        <v>-6.2933915959581865E-2</v>
      </c>
      <c r="BF27" s="14">
        <f t="shared" si="20"/>
        <v>-6.3587313095138986E-2</v>
      </c>
      <c r="BG27" s="14">
        <f t="shared" si="20"/>
        <v>-6.4291974942727315E-2</v>
      </c>
      <c r="BH27" s="14">
        <f t="shared" si="20"/>
        <v>-6.5356930013015457E-2</v>
      </c>
      <c r="BI27" s="14">
        <f t="shared" si="20"/>
        <v>-6.5914607523083868E-2</v>
      </c>
      <c r="BJ27" s="14">
        <f t="shared" si="20"/>
        <v>-6.655423526037918E-2</v>
      </c>
      <c r="BK27" s="14">
        <f t="shared" si="20"/>
        <v>-6.757122047590669E-2</v>
      </c>
      <c r="BO27" s="28">
        <f t="shared" ref="BO27:BO29" si="23">-IFERROR(((1-BO45/BW15)^(360/BO$4))-1,0)</f>
        <v>-5.7388937823345199E-2</v>
      </c>
      <c r="BP27" s="28">
        <f t="shared" si="21"/>
        <v>-6.1781545478170052E-2</v>
      </c>
      <c r="BQ27" s="28">
        <f t="shared" si="21"/>
        <v>-5.7192924330789596E-2</v>
      </c>
      <c r="BR27" s="28">
        <f t="shared" si="21"/>
        <v>-5.5082169608926312E-2</v>
      </c>
      <c r="BS27" s="28">
        <f t="shared" si="21"/>
        <v>-5.2965221705350674E-2</v>
      </c>
      <c r="BT27" s="28">
        <f t="shared" si="21"/>
        <v>-5.1040813709413602E-2</v>
      </c>
    </row>
    <row r="28" spans="1:80" hidden="1" outlineLevel="1" x14ac:dyDescent="0.25">
      <c r="A28" s="11"/>
      <c r="C28" s="2" t="s">
        <v>45</v>
      </c>
      <c r="D28" s="14">
        <f t="shared" si="22"/>
        <v>-5.3035842867499294E-2</v>
      </c>
      <c r="E28" s="14">
        <f t="shared" si="19"/>
        <v>-5.3243061438988715E-2</v>
      </c>
      <c r="F28" s="14">
        <f t="shared" si="19"/>
        <v>-5.3325517306314074E-2</v>
      </c>
      <c r="G28" s="14">
        <f t="shared" si="19"/>
        <v>-5.3381749537231071E-2</v>
      </c>
      <c r="H28" s="14">
        <f t="shared" si="19"/>
        <v>-5.373257503705986E-2</v>
      </c>
      <c r="I28" s="14">
        <f t="shared" si="19"/>
        <v>-5.3416250390464493E-2</v>
      </c>
      <c r="J28" s="14">
        <f t="shared" si="19"/>
        <v>-5.3201187729060351E-2</v>
      </c>
      <c r="K28" s="14">
        <f t="shared" si="19"/>
        <v>-5.3326347706221133E-2</v>
      </c>
      <c r="L28" s="14">
        <f t="shared" si="19"/>
        <v>-5.3390323587774624E-2</v>
      </c>
      <c r="M28" s="14">
        <f t="shared" si="19"/>
        <v>-5.3578922235963722E-2</v>
      </c>
      <c r="N28" s="14">
        <f t="shared" si="19"/>
        <v>-5.4043316110509165E-2</v>
      </c>
      <c r="O28" s="14">
        <f t="shared" si="19"/>
        <v>-5.4223162139366066E-2</v>
      </c>
      <c r="P28" s="14">
        <f t="shared" si="19"/>
        <v>-5.4188834077931958E-2</v>
      </c>
      <c r="Q28" s="14">
        <f t="shared" si="19"/>
        <v>-5.397478954417867E-2</v>
      </c>
      <c r="R28" s="14">
        <f t="shared" si="19"/>
        <v>-5.462285250167076E-2</v>
      </c>
      <c r="S28" s="14">
        <f t="shared" si="19"/>
        <v>-5.4300694791395543E-2</v>
      </c>
      <c r="T28" s="14">
        <f t="shared" si="19"/>
        <v>-5.4748385581268488E-2</v>
      </c>
      <c r="U28" s="14">
        <f t="shared" si="19"/>
        <v>-5.4686225192833726E-2</v>
      </c>
      <c r="V28" s="14">
        <f t="shared" si="19"/>
        <v>-5.5133018562887992E-2</v>
      </c>
      <c r="W28" s="14">
        <f t="shared" si="19"/>
        <v>-5.4941712726516156E-2</v>
      </c>
      <c r="X28" s="14">
        <f t="shared" si="19"/>
        <v>-5.507537862154499E-2</v>
      </c>
      <c r="Y28" s="14">
        <f t="shared" si="19"/>
        <v>-5.4867272691286217E-2</v>
      </c>
      <c r="Z28" s="14">
        <f t="shared" si="19"/>
        <v>-5.5377646435803562E-2</v>
      </c>
      <c r="AA28" s="14">
        <f t="shared" si="19"/>
        <v>-5.4987291991685838E-2</v>
      </c>
      <c r="AB28" s="14">
        <f t="shared" si="19"/>
        <v>-5.5150143047058453E-2</v>
      </c>
      <c r="AC28" s="14">
        <f t="shared" si="19"/>
        <v>-5.4407222356000151E-2</v>
      </c>
      <c r="AD28" s="14">
        <f t="shared" si="19"/>
        <v>-5.2975256574676832E-2</v>
      </c>
      <c r="AE28" s="14">
        <f t="shared" si="19"/>
        <v>-5.5250224606042231E-2</v>
      </c>
      <c r="AF28" s="14">
        <f t="shared" si="19"/>
        <v>-5.6651640777784396E-2</v>
      </c>
      <c r="AG28" s="14">
        <f t="shared" si="19"/>
        <v>-5.5215749590090901E-2</v>
      </c>
      <c r="AH28" s="14">
        <f t="shared" si="19"/>
        <v>-5.5645464441883563E-2</v>
      </c>
      <c r="AI28" s="14">
        <f t="shared" si="19"/>
        <v>-5.6795671257409808E-2</v>
      </c>
      <c r="AJ28" s="14">
        <f t="shared" si="19"/>
        <v>-5.5820941348650122E-2</v>
      </c>
      <c r="AK28" s="14">
        <f t="shared" si="19"/>
        <v>-5.5624460257249098E-2</v>
      </c>
      <c r="AL28" s="14">
        <f t="shared" si="19"/>
        <v>-5.5834589432820936E-2</v>
      </c>
      <c r="AM28" s="14">
        <f t="shared" si="19"/>
        <v>-5.5836028673714067E-2</v>
      </c>
      <c r="AN28" s="14">
        <f t="shared" si="19"/>
        <v>-5.6061203908888801E-2</v>
      </c>
      <c r="AO28" s="14">
        <f t="shared" si="19"/>
        <v>-5.5837415413706681E-2</v>
      </c>
      <c r="AP28" s="14">
        <f t="shared" si="19"/>
        <v>-5.6127862029770048E-2</v>
      </c>
      <c r="AQ28" s="14">
        <f t="shared" si="19"/>
        <v>-5.5880164021020029E-2</v>
      </c>
      <c r="AR28" s="14">
        <f t="shared" si="19"/>
        <v>-5.7292730822418036E-2</v>
      </c>
      <c r="AS28" s="14">
        <f t="shared" si="19"/>
        <v>-5.5928608284133929E-2</v>
      </c>
      <c r="AT28" s="14">
        <f t="shared" si="19"/>
        <v>0</v>
      </c>
      <c r="AU28" s="14">
        <f t="shared" si="19"/>
        <v>0</v>
      </c>
      <c r="AV28" s="14">
        <f t="shared" si="19"/>
        <v>0</v>
      </c>
      <c r="AW28" s="14">
        <f t="shared" si="19"/>
        <v>0</v>
      </c>
      <c r="AX28" s="14">
        <f t="shared" si="19"/>
        <v>0</v>
      </c>
      <c r="AY28" s="14">
        <f t="shared" si="19"/>
        <v>0</v>
      </c>
      <c r="AZ28" s="14">
        <f t="shared" si="20"/>
        <v>-5.7778757048144946E-2</v>
      </c>
      <c r="BA28" s="14">
        <f t="shared" si="20"/>
        <v>-5.9159426395472003E-2</v>
      </c>
      <c r="BB28" s="14">
        <f t="shared" si="20"/>
        <v>-5.8883863084522092E-2</v>
      </c>
      <c r="BC28" s="14">
        <f t="shared" si="20"/>
        <v>-5.8089140619488777E-2</v>
      </c>
      <c r="BD28" s="14">
        <f t="shared" si="20"/>
        <v>-5.9576470759682199E-2</v>
      </c>
      <c r="BE28" s="14">
        <f t="shared" si="20"/>
        <v>-5.9405554774262459E-2</v>
      </c>
      <c r="BF28" s="14">
        <f t="shared" si="20"/>
        <v>-6.0766986171268966E-2</v>
      </c>
      <c r="BG28" s="14">
        <f t="shared" si="20"/>
        <v>-6.1468593754569145E-2</v>
      </c>
      <c r="BH28" s="14">
        <f t="shared" si="20"/>
        <v>-6.2205581684635414E-2</v>
      </c>
      <c r="BI28" s="14">
        <f t="shared" si="20"/>
        <v>-6.2186947514494273E-2</v>
      </c>
      <c r="BJ28" s="14">
        <f t="shared" si="20"/>
        <v>-6.2655648697917288E-2</v>
      </c>
      <c r="BK28" s="14">
        <f t="shared" si="20"/>
        <v>-6.3637137631489704E-2</v>
      </c>
      <c r="BO28" s="28">
        <f t="shared" si="23"/>
        <v>-5.600879937754355E-2</v>
      </c>
      <c r="BP28" s="28">
        <f t="shared" si="21"/>
        <v>-5.8604371622329676E-2</v>
      </c>
      <c r="BQ28" s="28">
        <f t="shared" si="21"/>
        <v>-5.5950532917248719E-2</v>
      </c>
      <c r="BR28" s="28">
        <f t="shared" si="21"/>
        <v>-5.4167254667006892E-2</v>
      </c>
      <c r="BS28" s="28">
        <f t="shared" si="21"/>
        <v>-5.4263658326010322E-2</v>
      </c>
      <c r="BT28" s="28">
        <f t="shared" si="21"/>
        <v>-5.3202516160194779E-2</v>
      </c>
    </row>
    <row r="29" spans="1:80" collapsed="1" x14ac:dyDescent="0.25">
      <c r="C29" s="3" t="s">
        <v>60</v>
      </c>
      <c r="D29" s="15">
        <f t="shared" si="22"/>
        <v>-5.2508323954328917E-2</v>
      </c>
      <c r="E29" s="15">
        <f t="shared" si="19"/>
        <v>-5.278650994719114E-2</v>
      </c>
      <c r="F29" s="15">
        <f t="shared" si="19"/>
        <v>-5.3083704225599382E-2</v>
      </c>
      <c r="G29" s="15">
        <f t="shared" si="19"/>
        <v>-5.3425932934392906E-2</v>
      </c>
      <c r="H29" s="15">
        <f t="shared" si="19"/>
        <v>-5.3740018502949294E-2</v>
      </c>
      <c r="I29" s="15">
        <f t="shared" si="19"/>
        <v>-5.397686248953848E-2</v>
      </c>
      <c r="J29" s="15">
        <f t="shared" si="19"/>
        <v>-5.4199871746779538E-2</v>
      </c>
      <c r="K29" s="15">
        <f t="shared" si="19"/>
        <v>-5.4357436887685351E-2</v>
      </c>
      <c r="L29" s="15">
        <f t="shared" si="19"/>
        <v>-5.4479219274597757E-2</v>
      </c>
      <c r="M29" s="15">
        <f t="shared" si="19"/>
        <v>-5.468521098730772E-2</v>
      </c>
      <c r="N29" s="15">
        <f t="shared" si="19"/>
        <v>-5.4883841632167751E-2</v>
      </c>
      <c r="O29" s="15">
        <f t="shared" si="19"/>
        <v>-5.5067669891986304E-2</v>
      </c>
      <c r="P29" s="15">
        <f t="shared" si="19"/>
        <v>-5.5326221378035667E-2</v>
      </c>
      <c r="Q29" s="15">
        <f t="shared" si="19"/>
        <v>-5.5370515324030256E-2</v>
      </c>
      <c r="R29" s="15">
        <f t="shared" si="19"/>
        <v>-5.5642633786905815E-2</v>
      </c>
      <c r="S29" s="15">
        <f t="shared" si="19"/>
        <v>-5.5708958632428418E-2</v>
      </c>
      <c r="T29" s="15">
        <f t="shared" si="19"/>
        <v>-5.6009527690431105E-2</v>
      </c>
      <c r="U29" s="15">
        <f t="shared" si="19"/>
        <v>-5.6076862993453158E-2</v>
      </c>
      <c r="V29" s="15">
        <f t="shared" si="19"/>
        <v>-5.637151182134037E-2</v>
      </c>
      <c r="W29" s="15">
        <f t="shared" si="19"/>
        <v>-5.7056838740738414E-2</v>
      </c>
      <c r="X29" s="15">
        <f t="shared" si="19"/>
        <v>-5.6664486908310829E-2</v>
      </c>
      <c r="Y29" s="15">
        <f t="shared" si="19"/>
        <v>-5.6689891178026475E-2</v>
      </c>
      <c r="Z29" s="15">
        <f t="shared" si="19"/>
        <v>-5.6863138849154726E-2</v>
      </c>
      <c r="AA29" s="15">
        <f t="shared" si="19"/>
        <v>-5.6904670674838842E-2</v>
      </c>
      <c r="AB29" s="15">
        <f t="shared" si="19"/>
        <v>-5.715240468437699E-2</v>
      </c>
      <c r="AC29" s="15">
        <f t="shared" si="19"/>
        <v>-5.7151264299558413E-2</v>
      </c>
      <c r="AD29" s="15">
        <f t="shared" si="19"/>
        <v>-5.7323898086542258E-2</v>
      </c>
      <c r="AE29" s="15">
        <f t="shared" si="19"/>
        <v>-5.743704854936249E-2</v>
      </c>
      <c r="AF29" s="15">
        <f t="shared" si="19"/>
        <v>-5.771737687220968E-2</v>
      </c>
      <c r="AG29" s="15">
        <f t="shared" si="19"/>
        <v>-5.7697654021259481E-2</v>
      </c>
      <c r="AH29" s="15">
        <f t="shared" si="19"/>
        <v>-5.7931524535630663E-2</v>
      </c>
      <c r="AI29" s="15">
        <f t="shared" si="19"/>
        <v>-5.8012153815818035E-2</v>
      </c>
      <c r="AJ29" s="15">
        <f t="shared" si="19"/>
        <v>-5.8056907487264331E-2</v>
      </c>
      <c r="AK29" s="15">
        <f t="shared" si="19"/>
        <v>-5.7989932032564528E-2</v>
      </c>
      <c r="AL29" s="15">
        <f t="shared" si="19"/>
        <v>-5.8045621670210323E-2</v>
      </c>
      <c r="AM29" s="15">
        <f t="shared" si="19"/>
        <v>-5.7957497752597842E-2</v>
      </c>
      <c r="AN29" s="15">
        <f t="shared" si="19"/>
        <v>-5.8028759934384277E-2</v>
      </c>
      <c r="AO29" s="15">
        <f t="shared" si="19"/>
        <v>-5.788306968815693E-2</v>
      </c>
      <c r="AP29" s="15">
        <f t="shared" si="19"/>
        <v>-5.7925079010276992E-2</v>
      </c>
      <c r="AQ29" s="15">
        <f t="shared" si="19"/>
        <v>-5.7783921503120839E-2</v>
      </c>
      <c r="AR29" s="15">
        <f t="shared" si="19"/>
        <v>-5.7977482228980026E-2</v>
      </c>
      <c r="AS29" s="15">
        <f t="shared" si="19"/>
        <v>-5.7881321903992866E-2</v>
      </c>
      <c r="AT29" s="15">
        <f t="shared" si="19"/>
        <v>0</v>
      </c>
      <c r="AU29" s="15">
        <f t="shared" si="19"/>
        <v>0</v>
      </c>
      <c r="AV29" s="15">
        <f t="shared" si="19"/>
        <v>0</v>
      </c>
      <c r="AW29" s="15">
        <f t="shared" si="19"/>
        <v>0</v>
      </c>
      <c r="AX29" s="15">
        <f t="shared" si="19"/>
        <v>0</v>
      </c>
      <c r="AY29" s="15">
        <f t="shared" si="19"/>
        <v>0</v>
      </c>
      <c r="AZ29" s="15">
        <f t="shared" si="20"/>
        <v>-5.8319979049392456E-2</v>
      </c>
      <c r="BA29" s="15">
        <f t="shared" si="20"/>
        <v>-5.8371579557339182E-2</v>
      </c>
      <c r="BB29" s="15">
        <f t="shared" si="20"/>
        <v>-5.8424653918037084E-2</v>
      </c>
      <c r="BC29" s="15">
        <f t="shared" si="20"/>
        <v>-5.8475958018963992E-2</v>
      </c>
      <c r="BD29" s="15">
        <f t="shared" si="20"/>
        <v>-5.8527343396976406E-2</v>
      </c>
      <c r="BE29" s="15">
        <f t="shared" si="20"/>
        <v>-5.8575743692984128E-2</v>
      </c>
      <c r="BF29" s="15">
        <f t="shared" si="20"/>
        <v>-5.8622204143736534E-2</v>
      </c>
      <c r="BG29" s="15">
        <f t="shared" si="20"/>
        <v>-5.8660908004027457E-2</v>
      </c>
      <c r="BH29" s="15">
        <f t="shared" si="20"/>
        <v>-5.8698102989312551E-2</v>
      </c>
      <c r="BI29" s="15">
        <f t="shared" si="20"/>
        <v>-5.8732182334676031E-2</v>
      </c>
      <c r="BJ29" s="15">
        <f t="shared" si="20"/>
        <v>-5.8767862664921511E-2</v>
      </c>
      <c r="BK29" s="15">
        <f t="shared" si="20"/>
        <v>-5.880410302928718E-2</v>
      </c>
      <c r="BO29" s="29">
        <f t="shared" si="23"/>
        <v>-5.7945216305682834E-2</v>
      </c>
      <c r="BP29" s="29">
        <f t="shared" si="21"/>
        <v>-5.8372338564144366E-2</v>
      </c>
      <c r="BQ29" s="29">
        <f t="shared" si="21"/>
        <v>-5.7955453226020914E-2</v>
      </c>
      <c r="BR29" s="29">
        <f t="shared" si="21"/>
        <v>-5.7209578024522978E-2</v>
      </c>
      <c r="BS29" s="29">
        <f t="shared" si="21"/>
        <v>-5.544684898021246E-2</v>
      </c>
      <c r="BT29" s="29">
        <f t="shared" si="21"/>
        <v>-5.279359478768475E-2</v>
      </c>
    </row>
    <row r="32" spans="1:80" hidden="1" outlineLevel="1" x14ac:dyDescent="0.25">
      <c r="A32" s="11"/>
      <c r="C32" s="2" t="s">
        <v>0</v>
      </c>
      <c r="D32" s="14">
        <f>D20+D26</f>
        <v>2.3018697753413919E-2</v>
      </c>
      <c r="E32" s="14">
        <f t="shared" ref="E32:BK35" si="24">E20+E26</f>
        <v>2.3322282302424613E-2</v>
      </c>
      <c r="F32" s="14">
        <f t="shared" si="24"/>
        <v>2.2795808093056369E-2</v>
      </c>
      <c r="G32" s="14">
        <f t="shared" si="24"/>
        <v>2.3068190983791981E-2</v>
      </c>
      <c r="H32" s="14">
        <f t="shared" si="24"/>
        <v>2.2621219316622865E-2</v>
      </c>
      <c r="I32" s="14">
        <f t="shared" si="24"/>
        <v>2.2454405645750963E-2</v>
      </c>
      <c r="J32" s="14">
        <f t="shared" si="24"/>
        <v>2.2617675388403313E-2</v>
      </c>
      <c r="K32" s="14">
        <f t="shared" si="24"/>
        <v>2.1929878304865147E-2</v>
      </c>
      <c r="L32" s="14">
        <f t="shared" si="24"/>
        <v>2.1736752616421606E-2</v>
      </c>
      <c r="M32" s="14">
        <f t="shared" si="24"/>
        <v>2.1484773599347973E-2</v>
      </c>
      <c r="N32" s="14">
        <f t="shared" si="24"/>
        <v>2.1968612568359802E-2</v>
      </c>
      <c r="O32" s="14">
        <f t="shared" si="24"/>
        <v>2.247932163786448E-2</v>
      </c>
      <c r="P32" s="14">
        <f t="shared" si="24"/>
        <v>2.100983393332978E-2</v>
      </c>
      <c r="Q32" s="14">
        <f t="shared" si="24"/>
        <v>2.1525481318725781E-2</v>
      </c>
      <c r="R32" s="14">
        <f t="shared" si="24"/>
        <v>2.1601029172840347E-2</v>
      </c>
      <c r="S32" s="14">
        <f t="shared" si="24"/>
        <v>2.0489173684934192E-2</v>
      </c>
      <c r="T32" s="14">
        <f t="shared" si="24"/>
        <v>2.1613789823809348E-2</v>
      </c>
      <c r="U32" s="14">
        <f t="shared" si="24"/>
        <v>2.1989033763432975E-2</v>
      </c>
      <c r="V32" s="14">
        <f t="shared" si="24"/>
        <v>2.1813544507513605E-2</v>
      </c>
      <c r="W32" s="14">
        <f t="shared" si="24"/>
        <v>2.1433371849949534E-2</v>
      </c>
      <c r="X32" s="14">
        <f t="shared" si="24"/>
        <v>2.0883274198243429E-2</v>
      </c>
      <c r="Y32" s="14">
        <f t="shared" si="24"/>
        <v>2.090194548576374E-2</v>
      </c>
      <c r="Z32" s="14">
        <f t="shared" si="24"/>
        <v>2.163438567422693E-2</v>
      </c>
      <c r="AA32" s="14">
        <f t="shared" si="24"/>
        <v>2.1152714514618864E-2</v>
      </c>
      <c r="AB32" s="14">
        <f t="shared" si="24"/>
        <v>2.0167523956798217E-2</v>
      </c>
      <c r="AC32" s="14">
        <f t="shared" si="24"/>
        <v>2.0608061514914677E-2</v>
      </c>
      <c r="AD32" s="14">
        <f t="shared" si="24"/>
        <v>1.9520389071550515E-2</v>
      </c>
      <c r="AE32" s="14">
        <f t="shared" si="24"/>
        <v>2.006353218821455E-2</v>
      </c>
      <c r="AF32" s="14">
        <f t="shared" si="24"/>
        <v>2.0845333426866786E-2</v>
      </c>
      <c r="AG32" s="14">
        <f t="shared" si="24"/>
        <v>1.9737390146154832E-2</v>
      </c>
      <c r="AH32" s="14">
        <f t="shared" si="24"/>
        <v>2.0463946638721309E-2</v>
      </c>
      <c r="AI32" s="14">
        <f t="shared" si="24"/>
        <v>2.0080036823487912E-2</v>
      </c>
      <c r="AJ32" s="14">
        <f t="shared" si="24"/>
        <v>1.9111177558746473E-2</v>
      </c>
      <c r="AK32" s="14">
        <f t="shared" si="24"/>
        <v>1.9769695537733778E-2</v>
      </c>
      <c r="AL32" s="14">
        <f t="shared" si="24"/>
        <v>2.0437111684367792E-2</v>
      </c>
      <c r="AM32" s="14">
        <f t="shared" si="24"/>
        <v>2.0291587391299659E-2</v>
      </c>
      <c r="AN32" s="14">
        <f t="shared" si="24"/>
        <v>1.9966264115656385E-2</v>
      </c>
      <c r="AO32" s="14">
        <f t="shared" si="24"/>
        <v>2.0686506477007427E-2</v>
      </c>
      <c r="AP32" s="14">
        <f t="shared" si="24"/>
        <v>1.9846341266085865E-2</v>
      </c>
      <c r="AQ32" s="14">
        <f t="shared" si="24"/>
        <v>1.988504775838762E-2</v>
      </c>
      <c r="AR32" s="14">
        <f t="shared" si="24"/>
        <v>2.0280183570059451E-2</v>
      </c>
      <c r="AS32" s="14">
        <f t="shared" si="24"/>
        <v>1.8853114419669748E-2</v>
      </c>
      <c r="AT32" s="14">
        <f t="shared" si="24"/>
        <v>0</v>
      </c>
      <c r="AU32" s="14">
        <f t="shared" si="24"/>
        <v>0</v>
      </c>
      <c r="AV32" s="14">
        <f t="shared" si="24"/>
        <v>0</v>
      </c>
      <c r="AW32" s="14">
        <f t="shared" si="24"/>
        <v>0</v>
      </c>
      <c r="AX32" s="14">
        <f t="shared" si="24"/>
        <v>0</v>
      </c>
      <c r="AY32" s="14">
        <f t="shared" si="24"/>
        <v>0</v>
      </c>
      <c r="AZ32" s="14">
        <f t="shared" si="24"/>
        <v>1.8131312835261593E-2</v>
      </c>
      <c r="BA32" s="14">
        <f t="shared" si="24"/>
        <v>1.8839380073622181E-2</v>
      </c>
      <c r="BB32" s="14">
        <f t="shared" si="24"/>
        <v>1.7758140468076888E-2</v>
      </c>
      <c r="BC32" s="14">
        <f t="shared" si="24"/>
        <v>1.8573918040989179E-2</v>
      </c>
      <c r="BD32" s="14">
        <f t="shared" si="24"/>
        <v>1.9040448080660077E-2</v>
      </c>
      <c r="BE32" s="14">
        <f t="shared" si="24"/>
        <v>1.8280380078975478E-2</v>
      </c>
      <c r="BF32" s="14">
        <f t="shared" si="24"/>
        <v>1.895513158287665E-2</v>
      </c>
      <c r="BG32" s="14">
        <f t="shared" si="24"/>
        <v>1.8988876592157311E-2</v>
      </c>
      <c r="BH32" s="14">
        <f t="shared" si="24"/>
        <v>1.7840879085629258E-2</v>
      </c>
      <c r="BI32" s="14">
        <f t="shared" si="24"/>
        <v>1.8269682563249123E-2</v>
      </c>
      <c r="BJ32" s="14">
        <f t="shared" si="24"/>
        <v>1.8949118969806111E-2</v>
      </c>
      <c r="BK32" s="14">
        <f t="shared" si="24"/>
        <v>1.8457960838570431E-2</v>
      </c>
      <c r="BO32" s="28">
        <f>BO20+BO26</f>
        <v>2.0148333245141092E-2</v>
      </c>
      <c r="BP32" s="28">
        <f t="shared" ref="BP32:BT32" si="25">BP20+BP26</f>
        <v>1.8221560287402294E-2</v>
      </c>
      <c r="BQ32" s="28">
        <f t="shared" si="25"/>
        <v>2.0285270965154867E-2</v>
      </c>
      <c r="BR32" s="28">
        <f t="shared" si="25"/>
        <v>2.0083582556483126E-2</v>
      </c>
      <c r="BS32" s="28">
        <f t="shared" si="25"/>
        <v>2.1377478531134919E-2</v>
      </c>
      <c r="BT32" s="28">
        <f t="shared" si="25"/>
        <v>2.3035517947559425E-2</v>
      </c>
    </row>
    <row r="33" spans="1:72" hidden="1" outlineLevel="1" x14ac:dyDescent="0.25">
      <c r="A33" s="11"/>
      <c r="C33" s="2" t="s">
        <v>1</v>
      </c>
      <c r="D33" s="14">
        <f t="shared" ref="D33:AY35" si="26">D21+D27</f>
        <v>-5.0872323212878712E-2</v>
      </c>
      <c r="E33" s="14">
        <f t="shared" si="26"/>
        <v>-5.0904438904975979E-2</v>
      </c>
      <c r="F33" s="14">
        <f t="shared" si="26"/>
        <v>-5.1341944896408531E-2</v>
      </c>
      <c r="G33" s="14">
        <f t="shared" si="26"/>
        <v>-5.1827834291146457E-2</v>
      </c>
      <c r="H33" s="14">
        <f t="shared" si="26"/>
        <v>-5.254458648529603E-2</v>
      </c>
      <c r="I33" s="14">
        <f t="shared" si="26"/>
        <v>-5.2724608866488776E-2</v>
      </c>
      <c r="J33" s="14">
        <f t="shared" si="26"/>
        <v>-5.265801256899838E-2</v>
      </c>
      <c r="K33" s="14">
        <f t="shared" si="26"/>
        <v>-5.2042834419747885E-2</v>
      </c>
      <c r="L33" s="14">
        <f t="shared" si="26"/>
        <v>-5.1260800777906512E-2</v>
      </c>
      <c r="M33" s="14">
        <f t="shared" si="26"/>
        <v>-5.1011268402260335E-2</v>
      </c>
      <c r="N33" s="14">
        <f t="shared" si="26"/>
        <v>-5.1869949818113659E-2</v>
      </c>
      <c r="O33" s="14">
        <f t="shared" si="26"/>
        <v>-5.2530480533624857E-2</v>
      </c>
      <c r="P33" s="14">
        <f t="shared" si="26"/>
        <v>-5.2816615008222767E-2</v>
      </c>
      <c r="Q33" s="14">
        <f t="shared" si="26"/>
        <v>-5.2840875335656845E-2</v>
      </c>
      <c r="R33" s="14">
        <f t="shared" si="26"/>
        <v>-5.3238581631603443E-2</v>
      </c>
      <c r="S33" s="14">
        <f t="shared" si="26"/>
        <v>-5.3414958101476451E-2</v>
      </c>
      <c r="T33" s="14">
        <f t="shared" si="26"/>
        <v>-5.3824967743558716E-2</v>
      </c>
      <c r="U33" s="14">
        <f t="shared" si="26"/>
        <v>-5.3785103147204971E-2</v>
      </c>
      <c r="V33" s="14">
        <f t="shared" si="26"/>
        <v>-5.3872514975730867E-2</v>
      </c>
      <c r="W33" s="14">
        <f t="shared" si="26"/>
        <v>-5.3908230407472946E-2</v>
      </c>
      <c r="X33" s="14">
        <f t="shared" si="26"/>
        <v>-5.4494378650874697E-2</v>
      </c>
      <c r="Y33" s="14">
        <f t="shared" si="26"/>
        <v>-5.4412627791632806E-2</v>
      </c>
      <c r="Z33" s="14">
        <f t="shared" si="26"/>
        <v>-5.4651241571921583E-2</v>
      </c>
      <c r="AA33" s="14">
        <f t="shared" si="26"/>
        <v>-5.4818401234123959E-2</v>
      </c>
      <c r="AB33" s="14">
        <f t="shared" si="26"/>
        <v>-5.5045352839715678E-2</v>
      </c>
      <c r="AC33" s="14">
        <f t="shared" si="26"/>
        <v>-5.4713937562929971E-2</v>
      </c>
      <c r="AD33" s="14">
        <f t="shared" si="26"/>
        <v>-5.5487496696848826E-2</v>
      </c>
      <c r="AE33" s="14">
        <f t="shared" si="26"/>
        <v>-5.5952492686083932E-2</v>
      </c>
      <c r="AF33" s="14">
        <f t="shared" si="26"/>
        <v>-5.6486687917249645E-2</v>
      </c>
      <c r="AG33" s="14">
        <f t="shared" si="26"/>
        <v>-5.6295417762414424E-2</v>
      </c>
      <c r="AH33" s="14">
        <f t="shared" si="26"/>
        <v>-5.6645124672984215E-2</v>
      </c>
      <c r="AI33" s="14">
        <f t="shared" si="26"/>
        <v>-5.6450356011096048E-2</v>
      </c>
      <c r="AJ33" s="14">
        <f t="shared" si="26"/>
        <v>-5.6699360247081998E-2</v>
      </c>
      <c r="AK33" s="14">
        <f t="shared" si="26"/>
        <v>-5.6801658572328995E-2</v>
      </c>
      <c r="AL33" s="14">
        <f t="shared" si="26"/>
        <v>-5.6869189704445766E-2</v>
      </c>
      <c r="AM33" s="14">
        <f t="shared" si="26"/>
        <v>-5.671187325248761E-2</v>
      </c>
      <c r="AN33" s="14">
        <f t="shared" si="26"/>
        <v>-5.7296495698606176E-2</v>
      </c>
      <c r="AO33" s="14">
        <f t="shared" si="26"/>
        <v>-5.7090689707445241E-2</v>
      </c>
      <c r="AP33" s="14">
        <f t="shared" si="26"/>
        <v>-5.7759184938357189E-2</v>
      </c>
      <c r="AQ33" s="14">
        <f t="shared" si="26"/>
        <v>-5.7955103935796837E-2</v>
      </c>
      <c r="AR33" s="14">
        <f t="shared" si="26"/>
        <v>-5.8292699779395107E-2</v>
      </c>
      <c r="AS33" s="14">
        <f t="shared" si="26"/>
        <v>-5.7975029715885862E-2</v>
      </c>
      <c r="AT33" s="14">
        <f t="shared" si="26"/>
        <v>0</v>
      </c>
      <c r="AU33" s="14">
        <f t="shared" si="26"/>
        <v>0</v>
      </c>
      <c r="AV33" s="14">
        <f t="shared" si="26"/>
        <v>0</v>
      </c>
      <c r="AW33" s="14">
        <f t="shared" si="26"/>
        <v>0</v>
      </c>
      <c r="AX33" s="14">
        <f t="shared" si="26"/>
        <v>0</v>
      </c>
      <c r="AY33" s="14">
        <f t="shared" si="26"/>
        <v>0</v>
      </c>
      <c r="AZ33" s="14">
        <f t="shared" si="24"/>
        <v>-6.1076433078649961E-2</v>
      </c>
      <c r="BA33" s="14">
        <f t="shared" si="24"/>
        <v>-6.2381193702236271E-2</v>
      </c>
      <c r="BB33" s="14">
        <f t="shared" si="24"/>
        <v>-6.1893726808289529E-2</v>
      </c>
      <c r="BC33" s="14">
        <f t="shared" si="24"/>
        <v>-6.2071540035918638E-2</v>
      </c>
      <c r="BD33" s="14">
        <f t="shared" si="24"/>
        <v>-6.3109893706336795E-2</v>
      </c>
      <c r="BE33" s="14">
        <f t="shared" si="24"/>
        <v>-6.2933915959581865E-2</v>
      </c>
      <c r="BF33" s="14">
        <f t="shared" si="24"/>
        <v>-6.3587313095138986E-2</v>
      </c>
      <c r="BG33" s="14">
        <f t="shared" si="24"/>
        <v>-6.4291974942727315E-2</v>
      </c>
      <c r="BH33" s="14">
        <f t="shared" si="24"/>
        <v>-6.5356930013015457E-2</v>
      </c>
      <c r="BI33" s="14">
        <f t="shared" si="24"/>
        <v>-6.5914607523083868E-2</v>
      </c>
      <c r="BJ33" s="14">
        <f t="shared" si="24"/>
        <v>-6.655423526037918E-2</v>
      </c>
      <c r="BK33" s="14">
        <f t="shared" si="24"/>
        <v>-6.757122047590669E-2</v>
      </c>
      <c r="BO33" s="28">
        <f t="shared" ref="BO33:BT35" si="27">BO21+BO27</f>
        <v>-5.7388937823345199E-2</v>
      </c>
      <c r="BP33" s="28">
        <f t="shared" si="27"/>
        <v>-6.1781545478170052E-2</v>
      </c>
      <c r="BQ33" s="28">
        <f t="shared" si="27"/>
        <v>-5.7192924330789596E-2</v>
      </c>
      <c r="BR33" s="28">
        <f t="shared" si="27"/>
        <v>-5.5082169608926312E-2</v>
      </c>
      <c r="BS33" s="28">
        <f t="shared" si="27"/>
        <v>-5.2965221705350674E-2</v>
      </c>
      <c r="BT33" s="28">
        <f t="shared" si="27"/>
        <v>-5.1040813709413602E-2</v>
      </c>
    </row>
    <row r="34" spans="1:72" hidden="1" outlineLevel="1" x14ac:dyDescent="0.25">
      <c r="A34" s="11"/>
      <c r="C34" s="2" t="s">
        <v>45</v>
      </c>
      <c r="D34" s="14">
        <f t="shared" si="26"/>
        <v>3.4734055643252493E-2</v>
      </c>
      <c r="E34" s="14">
        <f t="shared" si="26"/>
        <v>2.5733879232655799E-2</v>
      </c>
      <c r="F34" s="14">
        <f t="shared" si="26"/>
        <v>5.3730310651018742E-2</v>
      </c>
      <c r="G34" s="14">
        <f t="shared" si="26"/>
        <v>2.815584141569083E-2</v>
      </c>
      <c r="H34" s="14">
        <f t="shared" si="26"/>
        <v>4.5899776370807555E-2</v>
      </c>
      <c r="I34" s="14">
        <f t="shared" si="26"/>
        <v>5.0395065201108702E-2</v>
      </c>
      <c r="J34" s="14">
        <f t="shared" si="26"/>
        <v>5.0731911720639289E-2</v>
      </c>
      <c r="K34" s="14">
        <f t="shared" si="26"/>
        <v>4.1838602057375995E-2</v>
      </c>
      <c r="L34" s="14">
        <f t="shared" si="26"/>
        <v>3.8883848994050174E-2</v>
      </c>
      <c r="M34" s="14">
        <f t="shared" si="26"/>
        <v>6.0351493958096691E-2</v>
      </c>
      <c r="N34" s="14">
        <f t="shared" si="26"/>
        <v>4.8718216166371064E-2</v>
      </c>
      <c r="O34" s="14">
        <f t="shared" si="26"/>
        <v>4.4496007132024618E-2</v>
      </c>
      <c r="P34" s="14">
        <f t="shared" si="26"/>
        <v>5.3440951621294586E-2</v>
      </c>
      <c r="Q34" s="14">
        <f t="shared" si="26"/>
        <v>3.8460091411322228E-2</v>
      </c>
      <c r="R34" s="14">
        <f t="shared" si="26"/>
        <v>5.0822862502672983E-2</v>
      </c>
      <c r="S34" s="14">
        <f t="shared" si="26"/>
        <v>5.1061797775037165E-2</v>
      </c>
      <c r="T34" s="14">
        <f t="shared" si="26"/>
        <v>5.0621607670640945E-2</v>
      </c>
      <c r="U34" s="14">
        <f t="shared" si="26"/>
        <v>4.4499872949227193E-2</v>
      </c>
      <c r="V34" s="14">
        <f t="shared" si="26"/>
        <v>7.0129086374926208E-2</v>
      </c>
      <c r="W34" s="14">
        <f t="shared" si="26"/>
        <v>6.1381709156049791E-2</v>
      </c>
      <c r="X34" s="14">
        <f t="shared" si="26"/>
        <v>4.8626061919765151E-2</v>
      </c>
      <c r="Y34" s="14">
        <f t="shared" si="26"/>
        <v>3.9022101109641216E-2</v>
      </c>
      <c r="Z34" s="14">
        <f t="shared" si="26"/>
        <v>4.1293694911057166E-2</v>
      </c>
      <c r="AA34" s="14">
        <f t="shared" si="26"/>
        <v>6.0690995144447868E-2</v>
      </c>
      <c r="AB34" s="14">
        <f t="shared" si="26"/>
        <v>4.8594111522043848E-2</v>
      </c>
      <c r="AC34" s="14">
        <f t="shared" si="26"/>
        <v>4.0059255558767104E-2</v>
      </c>
      <c r="AD34" s="14">
        <f t="shared" si="26"/>
        <v>5.8128299548955376E-2</v>
      </c>
      <c r="AE34" s="14">
        <f t="shared" si="26"/>
        <v>4.6432298007239581E-2</v>
      </c>
      <c r="AF34" s="14">
        <f t="shared" si="26"/>
        <v>5.9181821919432887E-2</v>
      </c>
      <c r="AG34" s="14">
        <f t="shared" si="26"/>
        <v>4.4094325821573577E-2</v>
      </c>
      <c r="AH34" s="14">
        <f t="shared" si="26"/>
        <v>4.2140505267102002E-2</v>
      </c>
      <c r="AI34" s="14">
        <f t="shared" si="26"/>
        <v>2.9635619119449563E-2</v>
      </c>
      <c r="AJ34" s="14">
        <f t="shared" si="26"/>
        <v>5.6728748329179401E-2</v>
      </c>
      <c r="AK34" s="14">
        <f t="shared" si="26"/>
        <v>3.6904732630691273E-2</v>
      </c>
      <c r="AL34" s="14">
        <f t="shared" si="26"/>
        <v>4.9636075814392333E-2</v>
      </c>
      <c r="AM34" s="14">
        <f t="shared" si="26"/>
        <v>6.0131186415457449E-2</v>
      </c>
      <c r="AN34" s="14">
        <f t="shared" si="26"/>
        <v>3.8974994490872383E-2</v>
      </c>
      <c r="AO34" s="14">
        <f t="shared" si="26"/>
        <v>5.2968035915299305E-2</v>
      </c>
      <c r="AP34" s="14">
        <f t="shared" si="26"/>
        <v>5.4755338734508996E-2</v>
      </c>
      <c r="AQ34" s="14">
        <f t="shared" si="26"/>
        <v>4.2151858232936767E-2</v>
      </c>
      <c r="AR34" s="14">
        <f t="shared" si="26"/>
        <v>4.7264365339415138E-2</v>
      </c>
      <c r="AS34" s="14">
        <f t="shared" si="26"/>
        <v>4.0913875721553694E-2</v>
      </c>
      <c r="AT34" s="14">
        <f t="shared" si="26"/>
        <v>0</v>
      </c>
      <c r="AU34" s="14">
        <f t="shared" si="26"/>
        <v>0</v>
      </c>
      <c r="AV34" s="14">
        <f t="shared" si="26"/>
        <v>0</v>
      </c>
      <c r="AW34" s="14">
        <f t="shared" si="26"/>
        <v>0</v>
      </c>
      <c r="AX34" s="14">
        <f t="shared" si="26"/>
        <v>0</v>
      </c>
      <c r="AY34" s="14">
        <f t="shared" si="26"/>
        <v>0</v>
      </c>
      <c r="AZ34" s="14">
        <f t="shared" si="24"/>
        <v>5.7150101031745004E-2</v>
      </c>
      <c r="BA34" s="14">
        <f t="shared" si="24"/>
        <v>5.9743517874394136E-2</v>
      </c>
      <c r="BB34" s="14">
        <f t="shared" si="24"/>
        <v>5.773561436809671E-2</v>
      </c>
      <c r="BC34" s="14">
        <f t="shared" si="24"/>
        <v>5.8172131244780934E-2</v>
      </c>
      <c r="BD34" s="14">
        <f t="shared" si="24"/>
        <v>6.0523841254713107E-2</v>
      </c>
      <c r="BE34" s="14">
        <f t="shared" si="24"/>
        <v>5.9138641292429739E-2</v>
      </c>
      <c r="BF34" s="14">
        <f t="shared" si="24"/>
        <v>6.1688590146796729E-2</v>
      </c>
      <c r="BG34" s="14">
        <f t="shared" si="24"/>
        <v>6.2496188981751688E-2</v>
      </c>
      <c r="BH34" s="14">
        <f t="shared" si="24"/>
        <v>6.1380940209323942E-2</v>
      </c>
      <c r="BI34" s="14">
        <f t="shared" si="24"/>
        <v>6.2086605598369315E-2</v>
      </c>
      <c r="BJ34" s="14">
        <f t="shared" si="24"/>
        <v>6.3738176603192143E-2</v>
      </c>
      <c r="BK34" s="14">
        <f t="shared" si="24"/>
        <v>6.4000764600966598E-2</v>
      </c>
      <c r="BO34" s="28">
        <f t="shared" si="27"/>
        <v>4.8667075884741173E-2</v>
      </c>
      <c r="BP34" s="28">
        <f t="shared" si="27"/>
        <v>5.8168701544003554E-2</v>
      </c>
      <c r="BQ34" s="28">
        <f t="shared" si="27"/>
        <v>4.5582961778244169E-2</v>
      </c>
      <c r="BR34" s="28">
        <f t="shared" si="27"/>
        <v>4.9291819582828467E-2</v>
      </c>
      <c r="BS34" s="28">
        <f t="shared" si="27"/>
        <v>4.7731550171967285E-2</v>
      </c>
      <c r="BT34" s="28">
        <f t="shared" si="27"/>
        <v>3.8528872643589285E-2</v>
      </c>
    </row>
    <row r="35" spans="1:72" collapsed="1" x14ac:dyDescent="0.25">
      <c r="C35" s="3" t="s">
        <v>63</v>
      </c>
      <c r="D35" s="15">
        <f t="shared" si="26"/>
        <v>2.3141140928299331E-2</v>
      </c>
      <c r="E35" s="15">
        <f t="shared" si="26"/>
        <v>2.3068311951114806E-2</v>
      </c>
      <c r="F35" s="15">
        <f t="shared" si="26"/>
        <v>2.3726639181215869E-2</v>
      </c>
      <c r="G35" s="15">
        <f t="shared" si="26"/>
        <v>2.2924842073582141E-2</v>
      </c>
      <c r="H35" s="15">
        <f t="shared" si="26"/>
        <v>2.3285193707468288E-2</v>
      </c>
      <c r="I35" s="15">
        <f t="shared" si="26"/>
        <v>2.3328689130050151E-2</v>
      </c>
      <c r="J35" s="15">
        <f t="shared" si="26"/>
        <v>2.3475353942214339E-2</v>
      </c>
      <c r="K35" s="15">
        <f t="shared" si="26"/>
        <v>2.2477548661163693E-2</v>
      </c>
      <c r="L35" s="15">
        <f t="shared" si="26"/>
        <v>2.2186549490014862E-2</v>
      </c>
      <c r="M35" s="15">
        <f t="shared" si="26"/>
        <v>2.2924083398364159E-2</v>
      </c>
      <c r="N35" s="15">
        <f t="shared" si="26"/>
        <v>2.2908730854199977E-2</v>
      </c>
      <c r="O35" s="15">
        <f t="shared" si="26"/>
        <v>2.3184399137386125E-2</v>
      </c>
      <c r="P35" s="15">
        <f t="shared" si="26"/>
        <v>2.2254179574289878E-2</v>
      </c>
      <c r="Q35" s="15">
        <f t="shared" si="26"/>
        <v>2.2056128941847719E-2</v>
      </c>
      <c r="R35" s="15">
        <f t="shared" si="26"/>
        <v>2.2723712220322989E-2</v>
      </c>
      <c r="S35" s="15">
        <f t="shared" si="26"/>
        <v>2.1747820749237645E-2</v>
      </c>
      <c r="T35" s="15">
        <f t="shared" si="26"/>
        <v>2.282229031692995E-2</v>
      </c>
      <c r="U35" s="15">
        <f t="shared" si="26"/>
        <v>2.2893248659185961E-2</v>
      </c>
      <c r="V35" s="15">
        <f t="shared" si="26"/>
        <v>2.3945562592173397E-2</v>
      </c>
      <c r="W35" s="15">
        <f t="shared" si="26"/>
        <v>2.3115440067959403E-2</v>
      </c>
      <c r="X35" s="15">
        <f t="shared" si="26"/>
        <v>2.1958067525647218E-2</v>
      </c>
      <c r="Y35" s="15">
        <f t="shared" si="26"/>
        <v>2.1491812626419637E-2</v>
      </c>
      <c r="Z35" s="15">
        <f t="shared" si="26"/>
        <v>2.2344454861959351E-2</v>
      </c>
      <c r="AA35" s="15">
        <f t="shared" si="26"/>
        <v>2.2869644782268939E-2</v>
      </c>
      <c r="AB35" s="15">
        <f t="shared" si="26"/>
        <v>2.1348614480396488E-2</v>
      </c>
      <c r="AC35" s="15">
        <f t="shared" si="26"/>
        <v>2.1340328823169941E-2</v>
      </c>
      <c r="AD35" s="15">
        <f t="shared" si="26"/>
        <v>2.124597009918161E-2</v>
      </c>
      <c r="AE35" s="15">
        <f t="shared" si="26"/>
        <v>2.1170931851191677E-2</v>
      </c>
      <c r="AF35" s="15">
        <f t="shared" si="26"/>
        <v>2.260499450237452E-2</v>
      </c>
      <c r="AG35" s="15">
        <f t="shared" si="26"/>
        <v>2.0776225021997163E-2</v>
      </c>
      <c r="AH35" s="15">
        <f t="shared" si="26"/>
        <v>2.1334530991553136E-2</v>
      </c>
      <c r="AI35" s="15">
        <f t="shared" si="26"/>
        <v>2.0323762574699478E-2</v>
      </c>
      <c r="AJ35" s="15">
        <f t="shared" si="26"/>
        <v>2.0759308857299041E-2</v>
      </c>
      <c r="AK35" s="15">
        <f t="shared" si="26"/>
        <v>2.0383841120503288E-2</v>
      </c>
      <c r="AL35" s="15">
        <f t="shared" si="26"/>
        <v>2.165082198403967E-2</v>
      </c>
      <c r="AM35" s="15">
        <f t="shared" si="26"/>
        <v>2.1963042301747615E-2</v>
      </c>
      <c r="AN35" s="15">
        <f t="shared" si="26"/>
        <v>2.0583804982882592E-2</v>
      </c>
      <c r="AO35" s="15">
        <f t="shared" si="26"/>
        <v>2.1868282973581898E-2</v>
      </c>
      <c r="AP35" s="15">
        <f t="shared" si="26"/>
        <v>2.1102296100570905E-2</v>
      </c>
      <c r="AQ35" s="15">
        <f t="shared" si="26"/>
        <v>2.0593763486113081E-2</v>
      </c>
      <c r="AR35" s="15">
        <f t="shared" si="26"/>
        <v>2.1162100434748865E-2</v>
      </c>
      <c r="AS35" s="15">
        <f t="shared" si="26"/>
        <v>1.9525482248986314E-2</v>
      </c>
      <c r="AT35" s="15">
        <f t="shared" si="26"/>
        <v>0</v>
      </c>
      <c r="AU35" s="15">
        <f t="shared" si="26"/>
        <v>0</v>
      </c>
      <c r="AV35" s="15">
        <f t="shared" si="26"/>
        <v>0</v>
      </c>
      <c r="AW35" s="15">
        <f t="shared" si="26"/>
        <v>0</v>
      </c>
      <c r="AX35" s="15">
        <f t="shared" si="26"/>
        <v>0</v>
      </c>
      <c r="AY35" s="15">
        <f t="shared" si="26"/>
        <v>0</v>
      </c>
      <c r="AZ35" s="15">
        <f t="shared" si="24"/>
        <v>1.9787667887578353E-2</v>
      </c>
      <c r="BA35" s="15">
        <f t="shared" si="24"/>
        <v>2.0538466804481237E-2</v>
      </c>
      <c r="BB35" s="15">
        <f t="shared" si="24"/>
        <v>1.9425976411944879E-2</v>
      </c>
      <c r="BC35" s="15">
        <f t="shared" si="24"/>
        <v>2.0248402830400414E-2</v>
      </c>
      <c r="BD35" s="15">
        <f t="shared" si="24"/>
        <v>2.0753027522004475E-2</v>
      </c>
      <c r="BE35" s="15">
        <f t="shared" si="24"/>
        <v>1.9972416784940217E-2</v>
      </c>
      <c r="BF35" s="15">
        <f t="shared" si="24"/>
        <v>2.0687520411116322E-2</v>
      </c>
      <c r="BG35" s="15">
        <f t="shared" si="24"/>
        <v>2.0734450322932529E-2</v>
      </c>
      <c r="BH35" s="15">
        <f t="shared" si="24"/>
        <v>1.9568928070765157E-2</v>
      </c>
      <c r="BI35" s="15">
        <f t="shared" si="24"/>
        <v>2.0009640933936756E-2</v>
      </c>
      <c r="BJ35" s="15">
        <f t="shared" si="24"/>
        <v>2.0715374322422653E-2</v>
      </c>
      <c r="BK35" s="15">
        <f t="shared" si="24"/>
        <v>2.0227461416227888E-2</v>
      </c>
      <c r="BO35" s="29">
        <f t="shared" si="27"/>
        <v>2.116472156065452E-2</v>
      </c>
      <c r="BP35" s="29">
        <f t="shared" si="27"/>
        <v>1.9895389788638473E-2</v>
      </c>
      <c r="BQ35" s="29">
        <f t="shared" si="27"/>
        <v>2.1175125167698816E-2</v>
      </c>
      <c r="BR35" s="29">
        <f t="shared" si="27"/>
        <v>2.1314335511981586E-2</v>
      </c>
      <c r="BS35" s="29">
        <f t="shared" si="27"/>
        <v>2.2352927661429156E-2</v>
      </c>
      <c r="BT35" s="29">
        <f t="shared" si="27"/>
        <v>2.3320911960889479E-2</v>
      </c>
    </row>
    <row r="38" spans="1:72" hidden="1" outlineLevel="1" x14ac:dyDescent="0.25">
      <c r="A38" s="11" t="s">
        <v>55</v>
      </c>
      <c r="C38" s="2" t="s">
        <v>0</v>
      </c>
      <c r="D38" s="8">
        <f>IFERROR(
GETPIVOTDATA(
"[Base].[Importe]",
TDinamica_R!$A$5,
"[Calendario].[AñoMes]",
"[Calendario].[AñoMes].&amp;[" &amp; TEXT(D$6,"yyyymm") &amp; "]",
"[Base].[Metrica]",
"[Base].[Metrica].&amp;[" &amp; $A38 &amp; "]",
"[Base].[SEGMENTO_DESCRIP]",
"[Base].[SEGMENTO_DESCRIP].&amp;[" &amp; $C$6 &amp; "]",
"[Base].[SITUACION]",
"[Base].[SITUACION].&amp;[" &amp; $C38 &amp; "]"
),0)/1000</f>
        <v>30984.396955759996</v>
      </c>
      <c r="E38" s="8">
        <f>IFERROR(
GETPIVOTDATA(
"[Base].[Importe]",
TDinamica_R!$A$5,
"[Calendario].[AñoMes]",
"[Calendario].[AñoMes].&amp;[" &amp; TEXT(E$6,"yyyymm") &amp; "]",
"[Base].[Metrica]",
"[Base].[Metrica].&amp;[" &amp; $A38 &amp; "]",
"[Base].[SEGMENTO_DESCRIP]",
"[Base].[SEGMENTO_DESCRIP].&amp;[" &amp; $C$6 &amp; "]",
"[Base].[SITUACION]",
"[Base].[SITUACION].&amp;[" &amp; $C38 &amp; "]"
),0)/1000</f>
        <v>28315.344619090003</v>
      </c>
      <c r="F38" s="8">
        <f>IFERROR(
GETPIVOTDATA(
"[Base].[Importe]",
TDinamica_R!$A$5,
"[Calendario].[AñoMes]",
"[Calendario].[AñoMes].&amp;[" &amp; TEXT(F$6,"yyyymm") &amp; "]",
"[Base].[Metrica]",
"[Base].[Metrica].&amp;[" &amp; $A38 &amp; "]",
"[Base].[SEGMENTO_DESCRIP]",
"[Base].[SEGMENTO_DESCRIP].&amp;[" &amp; $C$6 &amp; "]",
"[Base].[SITUACION]",
"[Base].[SITUACION].&amp;[" &amp; $C38 &amp; "]"
),0)/1000</f>
        <v>31361.810371359996</v>
      </c>
      <c r="G38" s="8">
        <f>IFERROR(
GETPIVOTDATA(
"[Base].[Importe]",
TDinamica_R!$A$5,
"[Calendario].[AñoMes]",
"[Calendario].[AñoMes].&amp;[" &amp; TEXT(G$6,"yyyymm") &amp; "]",
"[Base].[Metrica]",
"[Base].[Metrica].&amp;[" &amp; $A38 &amp; "]",
"[Base].[SEGMENTO_DESCRIP]",
"[Base].[SEGMENTO_DESCRIP].&amp;[" &amp; $C$6 &amp; "]",
"[Base].[SITUACION]",
"[Base].[SITUACION].&amp;[" &amp; $C38 &amp; "]"
),0)/1000</f>
        <v>30776.179348499994</v>
      </c>
      <c r="H38" s="8">
        <f>IFERROR(
GETPIVOTDATA(
"[Base].[Importe]",
TDinamica_R!$A$5,
"[Calendario].[AñoMes]",
"[Calendario].[AñoMes].&amp;[" &amp; TEXT(H$6,"yyyymm") &amp; "]",
"[Base].[Metrica]",
"[Base].[Metrica].&amp;[" &amp; $A38 &amp; "]",
"[Base].[SEGMENTO_DESCRIP]",
"[Base].[SEGMENTO_DESCRIP].&amp;[" &amp; $C$6 &amp; "]",
"[Base].[SITUACION]",
"[Base].[SITUACION].&amp;[" &amp; $C38 &amp; "]"
),0)/1000</f>
        <v>31909.048683649999</v>
      </c>
      <c r="I38" s="8">
        <f>IFERROR(
GETPIVOTDATA(
"[Base].[Importe]",
TDinamica_R!$A$5,
"[Calendario].[AñoMes]",
"[Calendario].[AñoMes].&amp;[" &amp; TEXT(I$6,"yyyymm") &amp; "]",
"[Base].[Metrica]",
"[Base].[Metrica].&amp;[" &amp; $A38 &amp; "]",
"[Base].[SEGMENTO_DESCRIP]",
"[Base].[SEGMENTO_DESCRIP].&amp;[" &amp; $C$6 &amp; "]",
"[Base].[SITUACION]",
"[Base].[SITUACION].&amp;[" &amp; $C38 &amp; "]"
),0)/1000</f>
        <v>31061.115081830001</v>
      </c>
      <c r="J38" s="8">
        <f>IFERROR(
GETPIVOTDATA(
"[Base].[Importe]",
TDinamica_R!$A$5,
"[Calendario].[AñoMes]",
"[Calendario].[AñoMes].&amp;[" &amp; TEXT(J$6,"yyyymm") &amp; "]",
"[Base].[Metrica]",
"[Base].[Metrica].&amp;[" &amp; $A38 &amp; "]",
"[Base].[SEGMENTO_DESCRIP]",
"[Base].[SEGMENTO_DESCRIP].&amp;[" &amp; $C$6 &amp; "]",
"[Base].[SITUACION]",
"[Base].[SITUACION].&amp;[" &amp; $C38 &amp; "]"
),0)/1000</f>
        <v>32423.393895749992</v>
      </c>
      <c r="K38" s="8">
        <f>IFERROR(
GETPIVOTDATA(
"[Base].[Importe]",
TDinamica_R!$A$5,
"[Calendario].[AñoMes]",
"[Calendario].[AñoMes].&amp;[" &amp; TEXT(K$6,"yyyymm") &amp; "]",
"[Base].[Metrica]",
"[Base].[Metrica].&amp;[" &amp; $A38 &amp; "]",
"[Base].[SEGMENTO_DESCRIP]",
"[Base].[SEGMENTO_DESCRIP].&amp;[" &amp; $C$6 &amp; "]",
"[Base].[SITUACION]",
"[Base].[SITUACION].&amp;[" &amp; $C38 &amp; "]"
),0)/1000</f>
        <v>32229.387349049994</v>
      </c>
      <c r="L38" s="8">
        <f>IFERROR(
GETPIVOTDATA(
"[Base].[Importe]",
TDinamica_R!$A$5,
"[Calendario].[AñoMes]",
"[Calendario].[AñoMes].&amp;[" &amp; TEXT(L$6,"yyyymm") &amp; "]",
"[Base].[Metrica]",
"[Base].[Metrica].&amp;[" &amp; $A38 &amp; "]",
"[Base].[SEGMENTO_DESCRIP]",
"[Base].[SEGMENTO_DESCRIP].&amp;[" &amp; $C$6 &amp; "]",
"[Base].[SITUACION]",
"[Base].[SITUACION].&amp;[" &amp; $C38 &amp; "]"
),0)/1000</f>
        <v>31319.108849820008</v>
      </c>
      <c r="M38" s="8">
        <f>IFERROR(
GETPIVOTDATA(
"[Base].[Importe]",
TDinamica_R!$A$5,
"[Calendario].[AñoMes]",
"[Calendario].[AñoMes].&amp;[" &amp; TEXT(M$6,"yyyymm") &amp; "]",
"[Base].[Metrica]",
"[Base].[Metrica].&amp;[" &amp; $A38 &amp; "]",
"[Base].[SEGMENTO_DESCRIP]",
"[Base].[SEGMENTO_DESCRIP].&amp;[" &amp; $C$6 &amp; "]",
"[Base].[SITUACION]",
"[Base].[SITUACION].&amp;[" &amp; $C38 &amp; "]"
),0)/1000</f>
        <v>32517.008029329994</v>
      </c>
      <c r="N38" s="8">
        <f>IFERROR(
GETPIVOTDATA(
"[Base].[Importe]",
TDinamica_R!$A$5,
"[Calendario].[AñoMes]",
"[Calendario].[AñoMes].&amp;[" &amp; TEXT(N$6,"yyyymm") &amp; "]",
"[Base].[Metrica]",
"[Base].[Metrica].&amp;[" &amp; $A38 &amp; "]",
"[Base].[SEGMENTO_DESCRIP]",
"[Base].[SEGMENTO_DESCRIP].&amp;[" &amp; $C$6 &amp; "]",
"[Base].[SITUACION]",
"[Base].[SITUACION].&amp;[" &amp; $C38 &amp; "]"
),0)/1000</f>
        <v>31771.568002370001</v>
      </c>
      <c r="O38" s="8">
        <f>IFERROR(
GETPIVOTDATA(
"[Base].[Importe]",
TDinamica_R!$A$5,
"[Calendario].[AñoMes]",
"[Calendario].[AñoMes].&amp;[" &amp; TEXT(O$6,"yyyymm") &amp; "]",
"[Base].[Metrica]",
"[Base].[Metrica].&amp;[" &amp; $A38 &amp; "]",
"[Base].[SEGMENTO_DESCRIP]",
"[Base].[SEGMENTO_DESCRIP].&amp;[" &amp; $C$6 &amp; "]",
"[Base].[SITUACION]",
"[Base].[SITUACION].&amp;[" &amp; $C38 &amp; "]"
),0)/1000</f>
        <v>33201.946126859999</v>
      </c>
      <c r="P38" s="8">
        <f>IFERROR(
GETPIVOTDATA(
"[Base].[Importe]",
TDinamica_R!$A$5,
"[Calendario].[AñoMes]",
"[Calendario].[AñoMes].&amp;[" &amp; TEXT(P$6,"yyyymm") &amp; "]",
"[Base].[Metrica]",
"[Base].[Metrica].&amp;[" &amp; $A38 &amp; "]",
"[Base].[SEGMENTO_DESCRIP]",
"[Base].[SEGMENTO_DESCRIP].&amp;[" &amp; $C$6 &amp; "]",
"[Base].[SITUACION]",
"[Base].[SITUACION].&amp;[" &amp; $C38 &amp; "]"
),0)/1000</f>
        <v>32680.771895369999</v>
      </c>
      <c r="Q38" s="8">
        <f>IFERROR(
GETPIVOTDATA(
"[Base].[Importe]",
TDinamica_R!$A$5,
"[Calendario].[AñoMes]",
"[Calendario].[AñoMes].&amp;[" &amp; TEXT(Q$6,"yyyymm") &amp; "]",
"[Base].[Metrica]",
"[Base].[Metrica].&amp;[" &amp; $A38 &amp; "]",
"[Base].[SEGMENTO_DESCRIP]",
"[Base].[SEGMENTO_DESCRIP].&amp;[" &amp; $C$6 &amp; "]",
"[Base].[SITUACION]",
"[Base].[SITUACION].&amp;[" &amp; $C38 &amp; "]"
),0)/1000</f>
        <v>30905.306769509993</v>
      </c>
      <c r="R38" s="8">
        <f>IFERROR(
GETPIVOTDATA(
"[Base].[Importe]",
TDinamica_R!$A$5,
"[Calendario].[AñoMes]",
"[Calendario].[AñoMes].&amp;[" &amp; TEXT(R$6,"yyyymm") &amp; "]",
"[Base].[Metrica]",
"[Base].[Metrica].&amp;[" &amp; $A38 &amp; "]",
"[Base].[SEGMENTO_DESCRIP]",
"[Base].[SEGMENTO_DESCRIP].&amp;[" &amp; $C$6 &amp; "]",
"[Base].[SITUACION]",
"[Base].[SITUACION].&amp;[" &amp; $C38 &amp; "]"
),0)/1000</f>
        <v>33282.916374339999</v>
      </c>
      <c r="S38" s="8">
        <f>IFERROR(
GETPIVOTDATA(
"[Base].[Importe]",
TDinamica_R!$A$5,
"[Calendario].[AñoMes]",
"[Calendario].[AñoMes].&amp;[" &amp; TEXT(S$6,"yyyymm") &amp; "]",
"[Base].[Metrica]",
"[Base].[Metrica].&amp;[" &amp; $A38 &amp; "]",
"[Base].[SEGMENTO_DESCRIP]",
"[Base].[SEGMENTO_DESCRIP].&amp;[" &amp; $C$6 &amp; "]",
"[Base].[SITUACION]",
"[Base].[SITUACION].&amp;[" &amp; $C38 &amp; "]"
),0)/1000</f>
        <v>31878.448213300002</v>
      </c>
      <c r="T38" s="8">
        <f>IFERROR(
GETPIVOTDATA(
"[Base].[Importe]",
TDinamica_R!$A$5,
"[Calendario].[AñoMes]",
"[Calendario].[AñoMes].&amp;[" &amp; TEXT(T$6,"yyyymm") &amp; "]",
"[Base].[Metrica]",
"[Base].[Metrica].&amp;[" &amp; $A38 &amp; "]",
"[Base].[SEGMENTO_DESCRIP]",
"[Base].[SEGMENTO_DESCRIP].&amp;[" &amp; $C$6 &amp; "]",
"[Base].[SITUACION]",
"[Base].[SITUACION].&amp;[" &amp; $C38 &amp; "]"
),0)/1000</f>
        <v>33676.492781239998</v>
      </c>
      <c r="U38" s="8">
        <f>IFERROR(
GETPIVOTDATA(
"[Base].[Importe]",
TDinamica_R!$A$5,
"[Calendario].[AñoMes]",
"[Calendario].[AñoMes].&amp;[" &amp; TEXT(U$6,"yyyymm") &amp; "]",
"[Base].[Metrica]",
"[Base].[Metrica].&amp;[" &amp; $A38 &amp; "]",
"[Base].[SEGMENTO_DESCRIP]",
"[Base].[SEGMENTO_DESCRIP].&amp;[" &amp; $C$6 &amp; "]",
"[Base].[SITUACION]",
"[Base].[SITUACION].&amp;[" &amp; $C38 &amp; "]"
),0)/1000</f>
        <v>32825.48682428</v>
      </c>
      <c r="V38" s="8">
        <f>IFERROR(
GETPIVOTDATA(
"[Base].[Importe]",
TDinamica_R!$A$5,
"[Calendario].[AñoMes]",
"[Calendario].[AñoMes].&amp;[" &amp; TEXT(V$6,"yyyymm") &amp; "]",
"[Base].[Metrica]",
"[Base].[Metrica].&amp;[" &amp; $A38 &amp; "]",
"[Base].[SEGMENTO_DESCRIP]",
"[Base].[SEGMENTO_DESCRIP].&amp;[" &amp; $C$6 &amp; "]",
"[Base].[SITUACION]",
"[Base].[SITUACION].&amp;[" &amp; $C38 &amp; "]"
),0)/1000</f>
        <v>34190.019014519989</v>
      </c>
      <c r="W38" s="8">
        <f>IFERROR(
GETPIVOTDATA(
"[Base].[Importe]",
TDinamica_R!$A$5,
"[Calendario].[AñoMes]",
"[Calendario].[AñoMes].&amp;[" &amp; TEXT(W$6,"yyyymm") &amp; "]",
"[Base].[Metrica]",
"[Base].[Metrica].&amp;[" &amp; $A38 &amp; "]",
"[Base].[SEGMENTO_DESCRIP]",
"[Base].[SEGMENTO_DESCRIP].&amp;[" &amp; $C$6 &amp; "]",
"[Base].[SITUACION]",
"[Base].[SITUACION].&amp;[" &amp; $C38 &amp; "]"
),0)/1000</f>
        <v>34445.605201589999</v>
      </c>
      <c r="X38" s="8">
        <f>IFERROR(
GETPIVOTDATA(
"[Base].[Importe]",
TDinamica_R!$A$5,
"[Calendario].[AñoMes]",
"[Calendario].[AñoMes].&amp;[" &amp; TEXT(X$6,"yyyymm") &amp; "]",
"[Base].[Metrica]",
"[Base].[Metrica].&amp;[" &amp; $A38 &amp; "]",
"[Base].[SEGMENTO_DESCRIP]",
"[Base].[SEGMENTO_DESCRIP].&amp;[" &amp; $C$6 &amp; "]",
"[Base].[SITUACION]",
"[Base].[SITUACION].&amp;[" &amp; $C38 &amp; "]"
),0)/1000</f>
        <v>33148.670336360003</v>
      </c>
      <c r="Y38" s="8">
        <f>IFERROR(
GETPIVOTDATA(
"[Base].[Importe]",
TDinamica_R!$A$5,
"[Calendario].[AñoMes]",
"[Calendario].[AñoMes].&amp;[" &amp; TEXT(Y$6,"yyyymm") &amp; "]",
"[Base].[Metrica]",
"[Base].[Metrica].&amp;[" &amp; $A38 &amp; "]",
"[Base].[SEGMENTO_DESCRIP]",
"[Base].[SEGMENTO_DESCRIP].&amp;[" &amp; $C$6 &amp; "]",
"[Base].[SITUACION]",
"[Base].[SITUACION].&amp;[" &amp; $C38 &amp; "]"
),0)/1000</f>
        <v>34415.404145439999</v>
      </c>
      <c r="Z38" s="8">
        <f>IFERROR(
GETPIVOTDATA(
"[Base].[Importe]",
TDinamica_R!$A$5,
"[Calendario].[AñoMes]",
"[Calendario].[AñoMes].&amp;[" &amp; TEXT(Z$6,"yyyymm") &amp; "]",
"[Base].[Metrica]",
"[Base].[Metrica].&amp;[" &amp; $A38 &amp; "]",
"[Base].[SEGMENTO_DESCRIP]",
"[Base].[SEGMENTO_DESCRIP].&amp;[" &amp; $C$6 &amp; "]",
"[Base].[SITUACION]",
"[Base].[SITUACION].&amp;[" &amp; $C38 &amp; "]"
),0)/1000</f>
        <v>33835.507016639989</v>
      </c>
      <c r="AA38" s="8">
        <f>IFERROR(
GETPIVOTDATA(
"[Base].[Importe]",
TDinamica_R!$A$5,
"[Calendario].[AñoMes]",
"[Calendario].[AñoMes].&amp;[" &amp; TEXT(AA$6,"yyyymm") &amp; "]",
"[Base].[Metrica]",
"[Base].[Metrica].&amp;[" &amp; $A38 &amp; "]",
"[Base].[SEGMENTO_DESCRIP]",
"[Base].[SEGMENTO_DESCRIP].&amp;[" &amp; $C$6 &amp; "]",
"[Base].[SITUACION]",
"[Base].[SITUACION].&amp;[" &amp; $C38 &amp; "]"
),0)/1000</f>
        <v>34912.858090500005</v>
      </c>
      <c r="AB38" s="8">
        <f>IFERROR(
GETPIVOTDATA(
"[Base].[Importe]",
TDinamica_R!$A$5,
"[Calendario].[AñoMes]",
"[Calendario].[AñoMes].&amp;[" &amp; TEXT(AB$6,"yyyymm") &amp; "]",
"[Base].[Metrica]",
"[Base].[Metrica].&amp;[" &amp; $A38 &amp; "]",
"[Base].[SEGMENTO_DESCRIP]",
"[Base].[SEGMENTO_DESCRIP].&amp;[" &amp; $C$6 &amp; "]",
"[Base].[SITUACION]",
"[Base].[SITUACION].&amp;[" &amp; $C38 &amp; "]"
),0)/1000</f>
        <v>34724.361825029999</v>
      </c>
      <c r="AC38" s="8">
        <f>IFERROR(
GETPIVOTDATA(
"[Base].[Importe]",
TDinamica_R!$A$5,
"[Calendario].[AñoMes]",
"[Calendario].[AñoMes].&amp;[" &amp; TEXT(AC$6,"yyyymm") &amp; "]",
"[Base].[Metrica]",
"[Base].[Metrica].&amp;[" &amp; $A38 &amp; "]",
"[Base].[SEGMENTO_DESCRIP]",
"[Base].[SEGMENTO_DESCRIP].&amp;[" &amp; $C$6 &amp; "]",
"[Base].[SITUACION]",
"[Base].[SITUACION].&amp;[" &amp; $C38 &amp; "]"
),0)/1000</f>
        <v>31734.722766209994</v>
      </c>
      <c r="AD38" s="8">
        <f>IFERROR(
GETPIVOTDATA(
"[Base].[Importe]",
TDinamica_R!$A$5,
"[Calendario].[AñoMes]",
"[Calendario].[AñoMes].&amp;[" &amp; TEXT(AD$6,"yyyymm") &amp; "]",
"[Base].[Metrica]",
"[Base].[Metrica].&amp;[" &amp; $A38 &amp; "]",
"[Base].[SEGMENTO_DESCRIP]",
"[Base].[SEGMENTO_DESCRIP].&amp;[" &amp; $C$6 &amp; "]",
"[Base].[SITUACION]",
"[Base].[SITUACION].&amp;[" &amp; $C38 &amp; "]"
),0)/1000</f>
        <v>35013.874882039992</v>
      </c>
      <c r="AE38" s="8">
        <f>IFERROR(
GETPIVOTDATA(
"[Base].[Importe]",
TDinamica_R!$A$5,
"[Calendario].[AñoMes]",
"[Calendario].[AñoMes].&amp;[" &amp; TEXT(AE$6,"yyyymm") &amp; "]",
"[Base].[Metrica]",
"[Base].[Metrica].&amp;[" &amp; $A38 &amp; "]",
"[Base].[SEGMENTO_DESCRIP]",
"[Base].[SEGMENTO_DESCRIP].&amp;[" &amp; $C$6 &amp; "]",
"[Base].[SITUACION]",
"[Base].[SITUACION].&amp;[" &amp; $C38 &amp; "]"
),0)/1000</f>
        <v>34339.654127959999</v>
      </c>
      <c r="AF38" s="8">
        <f>IFERROR(
GETPIVOTDATA(
"[Base].[Importe]",
TDinamica_R!$A$5,
"[Calendario].[AñoMes]",
"[Calendario].[AñoMes].&amp;[" &amp; TEXT(AF$6,"yyyymm") &amp; "]",
"[Base].[Metrica]",
"[Base].[Metrica].&amp;[" &amp; $A38 &amp; "]",
"[Base].[SEGMENTO_DESCRIP]",
"[Base].[SEGMENTO_DESCRIP].&amp;[" &amp; $C$6 &amp; "]",
"[Base].[SITUACION]",
"[Base].[SITUACION].&amp;[" &amp; $C38 &amp; "]"
),0)/1000</f>
        <v>36154.24814226001</v>
      </c>
      <c r="AG38" s="8">
        <f>IFERROR(
GETPIVOTDATA(
"[Base].[Importe]",
TDinamica_R!$A$5,
"[Calendario].[AñoMes]",
"[Calendario].[AñoMes].&amp;[" &amp; TEXT(AG$6,"yyyymm") &amp; "]",
"[Base].[Metrica]",
"[Base].[Metrica].&amp;[" &amp; $A38 &amp; "]",
"[Base].[SEGMENTO_DESCRIP]",
"[Base].[SEGMENTO_DESCRIP].&amp;[" &amp; $C$6 &amp; "]",
"[Base].[SITUACION]",
"[Base].[SITUACION].&amp;[" &amp; $C38 &amp; "]"
),0)/1000</f>
        <v>34748.910494000003</v>
      </c>
      <c r="AH38" s="8">
        <f>IFERROR(
GETPIVOTDATA(
"[Base].[Importe]",
TDinamica_R!$A$5,
"[Calendario].[AñoMes]",
"[Calendario].[AñoMes].&amp;[" &amp; TEXT(AH$6,"yyyymm") &amp; "]",
"[Base].[Metrica]",
"[Base].[Metrica].&amp;[" &amp; $A38 &amp; "]",
"[Base].[SEGMENTO_DESCRIP]",
"[Base].[SEGMENTO_DESCRIP].&amp;[" &amp; $C$6 &amp; "]",
"[Base].[SITUACION]",
"[Base].[SITUACION].&amp;[" &amp; $C38 &amp; "]"
),0)/1000</f>
        <v>36708.272330200009</v>
      </c>
      <c r="AI38" s="8">
        <f>IFERROR(
GETPIVOTDATA(
"[Base].[Importe]",
TDinamica_R!$A$5,
"[Calendario].[AñoMes]",
"[Calendario].[AñoMes].&amp;[" &amp; TEXT(AI$6,"yyyymm") &amp; "]",
"[Base].[Metrica]",
"[Base].[Metrica].&amp;[" &amp; $A38 &amp; "]",
"[Base].[SEGMENTO_DESCRIP]",
"[Base].[SEGMENTO_DESCRIP].&amp;[" &amp; $C$6 &amp; "]",
"[Base].[SITUACION]",
"[Base].[SITUACION].&amp;[" &amp; $C38 &amp; "]"
),0)/1000</f>
        <v>36833.359618450006</v>
      </c>
      <c r="AJ38" s="8">
        <f>IFERROR(
GETPIVOTDATA(
"[Base].[Importe]",
TDinamica_R!$A$5,
"[Calendario].[AñoMes]",
"[Calendario].[AñoMes].&amp;[" &amp; TEXT(AJ$6,"yyyymm") &amp; "]",
"[Base].[Metrica]",
"[Base].[Metrica].&amp;[" &amp; $A38 &amp; "]",
"[Base].[SEGMENTO_DESCRIP]",
"[Base].[SEGMENTO_DESCRIP].&amp;[" &amp; $C$6 &amp; "]",
"[Base].[SITUACION]",
"[Base].[SITUACION].&amp;[" &amp; $C38 &amp; "]"
),0)/1000</f>
        <v>35717.671481389996</v>
      </c>
      <c r="AK38" s="8">
        <f>IFERROR(
GETPIVOTDATA(
"[Base].[Importe]",
TDinamica_R!$A$5,
"[Calendario].[AñoMes]",
"[Calendario].[AñoMes].&amp;[" &amp; TEXT(AK$6,"yyyymm") &amp; "]",
"[Base].[Metrica]",
"[Base].[Metrica].&amp;[" &amp; $A38 &amp; "]",
"[Base].[SEGMENTO_DESCRIP]",
"[Base].[SEGMENTO_DESCRIP].&amp;[" &amp; $C$6 &amp; "]",
"[Base].[SITUACION]",
"[Base].[SITUACION].&amp;[" &amp; $C38 &amp; "]"
),0)/1000</f>
        <v>37591.832841109994</v>
      </c>
      <c r="AL38" s="8">
        <f>IFERROR(
GETPIVOTDATA(
"[Base].[Importe]",
TDinamica_R!$A$5,
"[Calendario].[AñoMes]",
"[Calendario].[AñoMes].&amp;[" &amp; TEXT(AL$6,"yyyymm") &amp; "]",
"[Base].[Metrica]",
"[Base].[Metrica].&amp;[" &amp; $A38 &amp; "]",
"[Base].[SEGMENTO_DESCRIP]",
"[Base].[SEGMENTO_DESCRIP].&amp;[" &amp; $C$6 &amp; "]",
"[Base].[SITUACION]",
"[Base].[SITUACION].&amp;[" &amp; $C38 &amp; "]"
),0)/1000</f>
        <v>37201.843809459984</v>
      </c>
      <c r="AM38" s="8">
        <f>IFERROR(
GETPIVOTDATA(
"[Base].[Importe]",
TDinamica_R!$A$5,
"[Calendario].[AñoMes]",
"[Calendario].[AñoMes].&amp;[" &amp; TEXT(AM$6,"yyyymm") &amp; "]",
"[Base].[Metrica]",
"[Base].[Metrica].&amp;[" &amp; $A38 &amp; "]",
"[Base].[SEGMENTO_DESCRIP]",
"[Base].[SEGMENTO_DESCRIP].&amp;[" &amp; $C$6 &amp; "]",
"[Base].[SITUACION]",
"[Base].[SITUACION].&amp;[" &amp; $C38 &amp; "]"
),0)/1000</f>
        <v>38781.520985429997</v>
      </c>
      <c r="AN38" s="8">
        <f>IFERROR(
GETPIVOTDATA(
"[Base].[Importe]",
TDinamica_R!$A$5,
"[Calendario].[AñoMes]",
"[Calendario].[AñoMes].&amp;[" &amp; TEXT(AN$6,"yyyymm") &amp; "]",
"[Base].[Metrica]",
"[Base].[Metrica].&amp;[" &amp; $A38 &amp; "]",
"[Base].[SEGMENTO_DESCRIP]",
"[Base].[SEGMENTO_DESCRIP].&amp;[" &amp; $C$6 &amp; "]",
"[Base].[SITUACION]",
"[Base].[SITUACION].&amp;[" &amp; $C38 &amp; "]"
),0)/1000</f>
        <v>39087.070743730008</v>
      </c>
      <c r="AO38" s="8">
        <f>IFERROR(
GETPIVOTDATA(
"[Base].[Importe]",
TDinamica_R!$A$5,
"[Calendario].[AñoMes]",
"[Calendario].[AñoMes].&amp;[" &amp; TEXT(AO$6,"yyyymm") &amp; "]",
"[Base].[Metrica]",
"[Base].[Metrica].&amp;[" &amp; $A38 &amp; "]",
"[Base].[SEGMENTO_DESCRIP]",
"[Base].[SEGMENTO_DESCRIP].&amp;[" &amp; $C$6 &amp; "]",
"[Base].[SITUACION]",
"[Base].[SITUACION].&amp;[" &amp; $C38 &amp; "]"
),0)/1000</f>
        <v>36056.561920620006</v>
      </c>
      <c r="AP38" s="8">
        <f>IFERROR(
GETPIVOTDATA(
"[Base].[Importe]",
TDinamica_R!$A$5,
"[Calendario].[AñoMes]",
"[Calendario].[AñoMes].&amp;[" &amp; TEXT(AP$6,"yyyymm") &amp; "]",
"[Base].[Metrica]",
"[Base].[Metrica].&amp;[" &amp; $A38 &amp; "]",
"[Base].[SEGMENTO_DESCRIP]",
"[Base].[SEGMENTO_DESCRIP].&amp;[" &amp; $C$6 &amp; "]",
"[Base].[SITUACION]",
"[Base].[SITUACION].&amp;[" &amp; $C38 &amp; "]"
),0)/1000</f>
        <v>39974.466543740004</v>
      </c>
      <c r="AQ38" s="8">
        <f>IFERROR(
GETPIVOTDATA(
"[Base].[Importe]",
TDinamica_R!$A$5,
"[Calendario].[AñoMes]",
"[Calendario].[AñoMes].&amp;[" &amp; TEXT(AQ$6,"yyyymm") &amp; "]",
"[Base].[Metrica]",
"[Base].[Metrica].&amp;[" &amp; $A38 &amp; "]",
"[Base].[SEGMENTO_DESCRIP]",
"[Base].[SEGMENTO_DESCRIP].&amp;[" &amp; $C$6 &amp; "]",
"[Base].[SITUACION]",
"[Base].[SITUACION].&amp;[" &amp; $C38 &amp; "]"
),0)/1000</f>
        <v>38936.695027400005</v>
      </c>
      <c r="AR38" s="8">
        <f>IFERROR(
GETPIVOTDATA(
"[Base].[Importe]",
TDinamica_R!$A$5,
"[Calendario].[AñoMes]",
"[Calendario].[AñoMes].&amp;[" &amp; TEXT(AR$6,"yyyymm") &amp; "]",
"[Base].[Metrica]",
"[Base].[Metrica].&amp;[" &amp; $A38 &amp; "]",
"[Base].[SEGMENTO_DESCRIP]",
"[Base].[SEGMENTO_DESCRIP].&amp;[" &amp; $C$6 &amp; "]",
"[Base].[SITUACION]",
"[Base].[SITUACION].&amp;[" &amp; $C38 &amp; "]"
),0)/1000</f>
        <v>40947.75354598002</v>
      </c>
      <c r="AS38" s="8">
        <f>IFERROR(
GETPIVOTDATA(
"[Base].[Importe]",
TDinamica_R!$A$5,
"[Calendario].[AñoMes]",
"[Calendario].[AñoMes].&amp;[" &amp; TEXT(AS$6,"yyyymm") &amp; "]",
"[Base].[Metrica]",
"[Base].[Metrica].&amp;[" &amp; $A38 &amp; "]",
"[Base].[SEGMENTO_DESCRIP]",
"[Base].[SEGMENTO_DESCRIP].&amp;[" &amp; $C$6 &amp; "]",
"[Base].[SITUACION]",
"[Base].[SITUACION].&amp;[" &amp; $C38 &amp; "]"
),0)/1000</f>
        <v>39313.553521070011</v>
      </c>
      <c r="AT38" s="8">
        <f>IFERROR(
GETPIVOTDATA(
"[Base].[Importe]",
TDinamica_R!$A$5,
"[Calendario].[AñoMes]",
"[Calendario].[AñoMes].&amp;[" &amp; TEXT(AT$6,"yyyymm")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U38" s="8">
        <f>IFERROR(
GETPIVOTDATA(
"[Base].[Importe]",
TDinamica_R!$A$5,
"[Calendario].[AñoMes]",
"[Calendario].[AñoMes].&amp;[" &amp; TEXT(AU$6,"yyyymm")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V38" s="8">
        <f>IFERROR(
GETPIVOTDATA(
"[Base].[Importe]",
TDinamica_R!$A$5,
"[Calendario].[AñoMes]",
"[Calendario].[AñoMes].&amp;[" &amp; TEXT(AV$6,"yyyymm")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W38" s="8">
        <f>IFERROR(
GETPIVOTDATA(
"[Base].[Importe]",
TDinamica_R!$A$5,
"[Calendario].[AñoMes]",
"[Calendario].[AñoMes].&amp;[" &amp; TEXT(AW$6,"yyyymm")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X38" s="8">
        <f>IFERROR(
GETPIVOTDATA(
"[Base].[Importe]",
TDinamica_R!$A$5,
"[Calendario].[AñoMes]",
"[Calendario].[AñoMes].&amp;[" &amp; TEXT(AX$6,"yyyymm")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Y38" s="8">
        <f>IFERROR(
GETPIVOTDATA(
"[Base].[Importe]",
TDinamica_R!$A$5,
"[Calendario].[AñoMes]",
"[Calendario].[AñoMes].&amp;[" &amp; TEXT(AY$6,"yyyymm")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Z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"[BASE_HIPO_PPTO].[Periodo]","[BASE_HIPO_PPTO].[Periodo].&amp;["&amp;TEXT(AZ$6,"yyyymm")&amp;"]"),
0)/1000</f>
        <v>37953.575866599531</v>
      </c>
      <c r="BA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"[BASE_HIPO_PPTO].[Periodo]","[BASE_HIPO_PPTO].[Periodo].&amp;["&amp;TEXT(BA$6,"yyyymm")&amp;"]"),
0)/1000</f>
        <v>34893.644532408325</v>
      </c>
      <c r="BB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"[BASE_HIPO_PPTO].[Periodo]","[BASE_HIPO_PPTO].[Periodo].&amp;["&amp;TEXT(BB$6,"yyyymm")&amp;"]"),
0)/1000</f>
        <v>38422.205302536684</v>
      </c>
      <c r="BC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"[BASE_HIPO_PPTO].[Periodo]","[BASE_HIPO_PPTO].[Periodo].&amp;["&amp;TEXT(BC$6,"yyyymm")&amp;"]"),
0)/1000</f>
        <v>37880.565217463438</v>
      </c>
      <c r="BD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"[BASE_HIPO_PPTO].[Periodo]","[BASE_HIPO_PPTO].[Periodo].&amp;["&amp;TEXT(BD$6,"yyyymm")&amp;"]"),
0)/1000</f>
        <v>39736.82500765397</v>
      </c>
      <c r="BE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"[BASE_HIPO_PPTO].[Periodo]","[BASE_HIPO_PPTO].[Periodo].&amp;["&amp;TEXT(BE$6,"yyyymm")&amp;"]"),
0)/1000</f>
        <v>38441.220318646374</v>
      </c>
      <c r="BF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"[BASE_HIPO_PPTO].[Periodo]","[BASE_HIPO_PPTO].[Periodo].&amp;["&amp;TEXT(BF$6,"yyyymm")&amp;"]"),
0)/1000</f>
        <v>40391.92882080358</v>
      </c>
      <c r="BG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"[BASE_HIPO_PPTO].[Periodo]","[BASE_HIPO_PPTO].[Periodo].&amp;["&amp;TEXT(BG$6,"yyyymm")&amp;"]"),
0)/1000</f>
        <v>40827.50849379578</v>
      </c>
      <c r="BH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"[BASE_HIPO_PPTO].[Periodo]","[BASE_HIPO_PPTO].[Periodo].&amp;["&amp;TEXT(BH$6,"yyyymm")&amp;"]"),
0)/1000</f>
        <v>39328.583014914293</v>
      </c>
      <c r="BI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"[BASE_HIPO_PPTO].[Periodo]","[BASE_HIPO_PPTO].[Periodo].&amp;["&amp;TEXT(BI$6,"yyyymm")&amp;"]"),
0)/1000</f>
        <v>41335.437761595575</v>
      </c>
      <c r="BJ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"[BASE_HIPO_PPTO].[Periodo]","[BASE_HIPO_PPTO].[Periodo].&amp;["&amp;TEXT(BJ$6,"yyyymm")&amp;"]"),
0)/1000</f>
        <v>40741.2606457824</v>
      </c>
      <c r="BK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"[BASE_HIPO_PPTO].[Periodo]","[BASE_HIPO_PPTO].[Periodo].&amp;["&amp;TEXT(BK$6,"yyyymm")&amp;"]"),
0)/1000</f>
        <v>42206.564811969532</v>
      </c>
      <c r="BO38" s="24">
        <f t="shared" ref="BO38:BT40" si="28">SUMIFS($D38:$BM38,$D$6:$BM$6,"&gt;="&amp;BO$2,$D$6:$BM$6,"&lt;="&amp;BO$6,$D$5:$BM$5,BO$5)</f>
        <v>115118.09920809002</v>
      </c>
      <c r="BP38" s="24">
        <f t="shared" si="28"/>
        <v>111269.42570154453</v>
      </c>
      <c r="BQ38" s="24">
        <f t="shared" si="28"/>
        <v>75143.632664350007</v>
      </c>
      <c r="BR38" s="24">
        <f t="shared" si="28"/>
        <v>101472.95947327999</v>
      </c>
      <c r="BS38" s="24">
        <f t="shared" si="28"/>
        <v>96868.995039219997</v>
      </c>
      <c r="BT38" s="24">
        <f t="shared" si="28"/>
        <v>90661.551946209991</v>
      </c>
    </row>
    <row r="39" spans="1:72" hidden="1" outlineLevel="1" x14ac:dyDescent="0.25">
      <c r="A39" s="11" t="s">
        <v>55</v>
      </c>
      <c r="C39" s="2" t="s">
        <v>1</v>
      </c>
      <c r="D39" s="8">
        <f>IFERROR(
GETPIVOTDATA(
"[Base].[Importe]",
TDinamica_R!$A$5,
"[Calendario].[AñoMes]",
"[Calendario].[AñoMes].&amp;[" &amp; TEXT(D$6,"yyyymm")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E39" s="8">
        <f>IFERROR(
GETPIVOTDATA(
"[Base].[Importe]",
TDinamica_R!$A$5,
"[Calendario].[AñoMes]",
"[Calendario].[AñoMes].&amp;[" &amp; TEXT(E$6,"yyyymm")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F39" s="8">
        <f>IFERROR(
GETPIVOTDATA(
"[Base].[Importe]",
TDinamica_R!$A$5,
"[Calendario].[AñoMes]",
"[Calendario].[AñoMes].&amp;[" &amp; TEXT(F$6,"yyyymm")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G39" s="8">
        <f>IFERROR(
GETPIVOTDATA(
"[Base].[Importe]",
TDinamica_R!$A$5,
"[Calendario].[AñoMes]",
"[Calendario].[AñoMes].&amp;[" &amp; TEXT(G$6,"yyyymm")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H39" s="8">
        <f>IFERROR(
GETPIVOTDATA(
"[Base].[Importe]",
TDinamica_R!$A$5,
"[Calendario].[AñoMes]",
"[Calendario].[AñoMes].&amp;[" &amp; TEXT(H$6,"yyyymm")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I39" s="8">
        <f>IFERROR(
GETPIVOTDATA(
"[Base].[Importe]",
TDinamica_R!$A$5,
"[Calendario].[AñoMes]",
"[Calendario].[AñoMes].&amp;[" &amp; TEXT(I$6,"yyyymm")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J39" s="8">
        <f>IFERROR(
GETPIVOTDATA(
"[Base].[Importe]",
TDinamica_R!$A$5,
"[Calendario].[AñoMes]",
"[Calendario].[AñoMes].&amp;[" &amp; TEXT(J$6,"yyyymm")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K39" s="8">
        <f>IFERROR(
GETPIVOTDATA(
"[Base].[Importe]",
TDinamica_R!$A$5,
"[Calendario].[AñoMes]",
"[Calendario].[AñoMes].&amp;[" &amp; TEXT(K$6,"yyyymm")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L39" s="8">
        <f>IFERROR(
GETPIVOTDATA(
"[Base].[Importe]",
TDinamica_R!$A$5,
"[Calendario].[AñoMes]",
"[Calendario].[AñoMes].&amp;[" &amp; TEXT(L$6,"yyyymm")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M39" s="8">
        <f>IFERROR(
GETPIVOTDATA(
"[Base].[Importe]",
TDinamica_R!$A$5,
"[Calendario].[AñoMes]",
"[Calendario].[AñoMes].&amp;[" &amp; TEXT(M$6,"yyyymm")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N39" s="8">
        <f>IFERROR(
GETPIVOTDATA(
"[Base].[Importe]",
TDinamica_R!$A$5,
"[Calendario].[AñoMes]",
"[Calendario].[AñoMes].&amp;[" &amp; TEXT(N$6,"yyyymm")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O39" s="8">
        <f>IFERROR(
GETPIVOTDATA(
"[Base].[Importe]",
TDinamica_R!$A$5,
"[Calendario].[AñoMes]",
"[Calendario].[AñoMes].&amp;[" &amp; TEXT(O$6,"yyyymm")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P39" s="8">
        <f>IFERROR(
GETPIVOTDATA(
"[Base].[Importe]",
TDinamica_R!$A$5,
"[Calendario].[AñoMes]",
"[Calendario].[AñoMes].&amp;[" &amp; TEXT(P$6,"yyyymm")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Q39" s="8">
        <f>IFERROR(
GETPIVOTDATA(
"[Base].[Importe]",
TDinamica_R!$A$5,
"[Calendario].[AñoMes]",
"[Calendario].[AñoMes].&amp;[" &amp; TEXT(Q$6,"yyyymm")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R39" s="8">
        <f>IFERROR(
GETPIVOTDATA(
"[Base].[Importe]",
TDinamica_R!$A$5,
"[Calendario].[AñoMes]",
"[Calendario].[AñoMes].&amp;[" &amp; TEXT(R$6,"yyyymm")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S39" s="8">
        <f>IFERROR(
GETPIVOTDATA(
"[Base].[Importe]",
TDinamica_R!$A$5,
"[Calendario].[AñoMes]",
"[Calendario].[AñoMes].&amp;[" &amp; TEXT(S$6,"yyyymm")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T39" s="8">
        <f>IFERROR(
GETPIVOTDATA(
"[Base].[Importe]",
TDinamica_R!$A$5,
"[Calendario].[AñoMes]",
"[Calendario].[AñoMes].&amp;[" &amp; TEXT(T$6,"yyyymm")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U39" s="8">
        <f>IFERROR(
GETPIVOTDATA(
"[Base].[Importe]",
TDinamica_R!$A$5,
"[Calendario].[AñoMes]",
"[Calendario].[AñoMes].&amp;[" &amp; TEXT(U$6,"yyyymm")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V39" s="8">
        <f>IFERROR(
GETPIVOTDATA(
"[Base].[Importe]",
TDinamica_R!$A$5,
"[Calendario].[AñoMes]",
"[Calendario].[AñoMes].&amp;[" &amp; TEXT(V$6,"yyyymm")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W39" s="8">
        <f>IFERROR(
GETPIVOTDATA(
"[Base].[Importe]",
TDinamica_R!$A$5,
"[Calendario].[AñoMes]",
"[Calendario].[AñoMes].&amp;[" &amp; TEXT(W$6,"yyyymm")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X39" s="8">
        <f>IFERROR(
GETPIVOTDATA(
"[Base].[Importe]",
TDinamica_R!$A$5,
"[Calendario].[AñoMes]",
"[Calendario].[AñoMes].&amp;[" &amp; TEXT(X$6,"yyyymm")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Y39" s="8">
        <f>IFERROR(
GETPIVOTDATA(
"[Base].[Importe]",
TDinamica_R!$A$5,
"[Calendario].[AñoMes]",
"[Calendario].[AñoMes].&amp;[" &amp; TEXT(Y$6,"yyyymm")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Z39" s="8">
        <f>IFERROR(
GETPIVOTDATA(
"[Base].[Importe]",
TDinamica_R!$A$5,
"[Calendario].[AñoMes]",
"[Calendario].[AñoMes].&amp;[" &amp; TEXT(Z$6,"yyyymm")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A39" s="8">
        <f>IFERROR(
GETPIVOTDATA(
"[Base].[Importe]",
TDinamica_R!$A$5,
"[Calendario].[AñoMes]",
"[Calendario].[AñoMes].&amp;[" &amp; TEXT(AA$6,"yyyymm")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B39" s="8">
        <f>IFERROR(
GETPIVOTDATA(
"[Base].[Importe]",
TDinamica_R!$A$5,
"[Calendario].[AñoMes]",
"[Calendario].[AñoMes].&amp;[" &amp; TEXT(AB$6,"yyyymm")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C39" s="8">
        <f>IFERROR(
GETPIVOTDATA(
"[Base].[Importe]",
TDinamica_R!$A$5,
"[Calendario].[AñoMes]",
"[Calendario].[AñoMes].&amp;[" &amp; TEXT(AC$6,"yyyymm")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D39" s="8">
        <f>IFERROR(
GETPIVOTDATA(
"[Base].[Importe]",
TDinamica_R!$A$5,
"[Calendario].[AñoMes]",
"[Calendario].[AñoMes].&amp;[" &amp; TEXT(AD$6,"yyyymm")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E39" s="8">
        <f>IFERROR(
GETPIVOTDATA(
"[Base].[Importe]",
TDinamica_R!$A$5,
"[Calendario].[AñoMes]",
"[Calendario].[AñoMes].&amp;[" &amp; TEXT(AE$6,"yyyymm")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F39" s="8">
        <f>IFERROR(
GETPIVOTDATA(
"[Base].[Importe]",
TDinamica_R!$A$5,
"[Calendario].[AñoMes]",
"[Calendario].[AñoMes].&amp;[" &amp; TEXT(AF$6,"yyyymm")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G39" s="8">
        <f>IFERROR(
GETPIVOTDATA(
"[Base].[Importe]",
TDinamica_R!$A$5,
"[Calendario].[AñoMes]",
"[Calendario].[AñoMes].&amp;[" &amp; TEXT(AG$6,"yyyymm")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H39" s="8">
        <f>IFERROR(
GETPIVOTDATA(
"[Base].[Importe]",
TDinamica_R!$A$5,
"[Calendario].[AñoMes]",
"[Calendario].[AñoMes].&amp;[" &amp; TEXT(AH$6,"yyyymm")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I39" s="8">
        <f>IFERROR(
GETPIVOTDATA(
"[Base].[Importe]",
TDinamica_R!$A$5,
"[Calendario].[AñoMes]",
"[Calendario].[AñoMes].&amp;[" &amp; TEXT(AI$6,"yyyymm")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J39" s="8">
        <f>IFERROR(
GETPIVOTDATA(
"[Base].[Importe]",
TDinamica_R!$A$5,
"[Calendario].[AñoMes]",
"[Calendario].[AñoMes].&amp;[" &amp; TEXT(AJ$6,"yyyymm")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K39" s="8">
        <f>IFERROR(
GETPIVOTDATA(
"[Base].[Importe]",
TDinamica_R!$A$5,
"[Calendario].[AñoMes]",
"[Calendario].[AñoMes].&amp;[" &amp; TEXT(AK$6,"yyyymm")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L39" s="8">
        <f>IFERROR(
GETPIVOTDATA(
"[Base].[Importe]",
TDinamica_R!$A$5,
"[Calendario].[AñoMes]",
"[Calendario].[AñoMes].&amp;[" &amp; TEXT(AL$6,"yyyymm")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M39" s="8">
        <f>IFERROR(
GETPIVOTDATA(
"[Base].[Importe]",
TDinamica_R!$A$5,
"[Calendario].[AñoMes]",
"[Calendario].[AñoMes].&amp;[" &amp; TEXT(AM$6,"yyyymm")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N39" s="8">
        <f>IFERROR(
GETPIVOTDATA(
"[Base].[Importe]",
TDinamica_R!$A$5,
"[Calendario].[AñoMes]",
"[Calendario].[AñoMes].&amp;[" &amp; TEXT(AN$6,"yyyymm")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O39" s="8">
        <f>IFERROR(
GETPIVOTDATA(
"[Base].[Importe]",
TDinamica_R!$A$5,
"[Calendario].[AñoMes]",
"[Calendario].[AñoMes].&amp;[" &amp; TEXT(AO$6,"yyyymm")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P39" s="8">
        <f>IFERROR(
GETPIVOTDATA(
"[Base].[Importe]",
TDinamica_R!$A$5,
"[Calendario].[AñoMes]",
"[Calendario].[AñoMes].&amp;[" &amp; TEXT(AP$6,"yyyymm")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Q39" s="8">
        <f>IFERROR(
GETPIVOTDATA(
"[Base].[Importe]",
TDinamica_R!$A$5,
"[Calendario].[AñoMes]",
"[Calendario].[AñoMes].&amp;[" &amp; TEXT(AQ$6,"yyyymm")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R39" s="8">
        <f>IFERROR(
GETPIVOTDATA(
"[Base].[Importe]",
TDinamica_R!$A$5,
"[Calendario].[AñoMes]",
"[Calendario].[AñoMes].&amp;[" &amp; TEXT(AR$6,"yyyymm")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S39" s="8">
        <f>IFERROR(
GETPIVOTDATA(
"[Base].[Importe]",
TDinamica_R!$A$5,
"[Calendario].[AñoMes]",
"[Calendario].[AñoMes].&amp;[" &amp; TEXT(AS$6,"yyyymm")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T39" s="8">
        <f>IFERROR(
GETPIVOTDATA(
"[Base].[Importe]",
TDinamica_R!$A$5,
"[Calendario].[AñoMes]",
"[Calendario].[AñoMes].&amp;[" &amp; TEXT(AT$6,"yyyymm")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U39" s="8">
        <f>IFERROR(
GETPIVOTDATA(
"[Base].[Importe]",
TDinamica_R!$A$5,
"[Calendario].[AñoMes]",
"[Calendario].[AñoMes].&amp;[" &amp; TEXT(AU$6,"yyyymm")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V39" s="8">
        <f>IFERROR(
GETPIVOTDATA(
"[Base].[Importe]",
TDinamica_R!$A$5,
"[Calendario].[AñoMes]",
"[Calendario].[AñoMes].&amp;[" &amp; TEXT(AV$6,"yyyymm")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W39" s="8">
        <f>IFERROR(
GETPIVOTDATA(
"[Base].[Importe]",
TDinamica_R!$A$5,
"[Calendario].[AñoMes]",
"[Calendario].[AñoMes].&amp;[" &amp; TEXT(AW$6,"yyyymm")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X39" s="8">
        <f>IFERROR(
GETPIVOTDATA(
"[Base].[Importe]",
TDinamica_R!$A$5,
"[Calendario].[AñoMes]",
"[Calendario].[AñoMes].&amp;[" &amp; TEXT(AX$6,"yyyymm")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Y39" s="8">
        <f>IFERROR(
GETPIVOTDATA(
"[Base].[Importe]",
TDinamica_R!$A$5,
"[Calendario].[AñoMes]",
"[Calendario].[AñoMes].&amp;[" &amp; TEXT(AY$6,"yyyymm")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Z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"[BASE_HIPO_PPTO].[Periodo]","[BASE_HIPO_PPTO].[Periodo].&amp;["&amp;TEXT(AZ$6,"yyyymm")&amp;"]"),
0)/1000</f>
        <v>0</v>
      </c>
      <c r="BA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"[BASE_HIPO_PPTO].[Periodo]","[BASE_HIPO_PPTO].[Periodo].&amp;["&amp;TEXT(BA$6,"yyyymm")&amp;"]"),
0)/1000</f>
        <v>0</v>
      </c>
      <c r="BB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"[BASE_HIPO_PPTO].[Periodo]","[BASE_HIPO_PPTO].[Periodo].&amp;["&amp;TEXT(BB$6,"yyyymm")&amp;"]"),
0)/1000</f>
        <v>0</v>
      </c>
      <c r="BC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"[BASE_HIPO_PPTO].[Periodo]","[BASE_HIPO_PPTO].[Periodo].&amp;["&amp;TEXT(BC$6,"yyyymm")&amp;"]"),
0)/1000</f>
        <v>0</v>
      </c>
      <c r="BD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"[BASE_HIPO_PPTO].[Periodo]","[BASE_HIPO_PPTO].[Periodo].&amp;["&amp;TEXT(BD$6,"yyyymm")&amp;"]"),
0)/1000</f>
        <v>0</v>
      </c>
      <c r="BE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"[BASE_HIPO_PPTO].[Periodo]","[BASE_HIPO_PPTO].[Periodo].&amp;["&amp;TEXT(BE$6,"yyyymm")&amp;"]"),
0)/1000</f>
        <v>0</v>
      </c>
      <c r="BF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"[BASE_HIPO_PPTO].[Periodo]","[BASE_HIPO_PPTO].[Periodo].&amp;["&amp;TEXT(BF$6,"yyyymm")&amp;"]"),
0)/1000</f>
        <v>0</v>
      </c>
      <c r="BG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"[BASE_HIPO_PPTO].[Periodo]","[BASE_HIPO_PPTO].[Periodo].&amp;["&amp;TEXT(BG$6,"yyyymm")&amp;"]"),
0)/1000</f>
        <v>0</v>
      </c>
      <c r="BH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"[BASE_HIPO_PPTO].[Periodo]","[BASE_HIPO_PPTO].[Periodo].&amp;["&amp;TEXT(BH$6,"yyyymm")&amp;"]"),
0)/1000</f>
        <v>0</v>
      </c>
      <c r="BI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"[BASE_HIPO_PPTO].[Periodo]","[BASE_HIPO_PPTO].[Periodo].&amp;["&amp;TEXT(BI$6,"yyyymm")&amp;"]"),
0)/1000</f>
        <v>0</v>
      </c>
      <c r="BJ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"[BASE_HIPO_PPTO].[Periodo]","[BASE_HIPO_PPTO].[Periodo].&amp;["&amp;TEXT(BJ$6,"yyyymm")&amp;"]"),
0)/1000</f>
        <v>0</v>
      </c>
      <c r="BK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"[BASE_HIPO_PPTO].[Periodo]","[BASE_HIPO_PPTO].[Periodo].&amp;["&amp;TEXT(BK$6,"yyyymm")&amp;"]"),
0)/1000</f>
        <v>0</v>
      </c>
      <c r="BO39" s="24">
        <f t="shared" si="28"/>
        <v>0</v>
      </c>
      <c r="BP39" s="24">
        <f t="shared" si="28"/>
        <v>0</v>
      </c>
      <c r="BQ39" s="24">
        <f t="shared" si="28"/>
        <v>0</v>
      </c>
      <c r="BR39" s="24">
        <f t="shared" si="28"/>
        <v>0</v>
      </c>
      <c r="BS39" s="24">
        <f t="shared" si="28"/>
        <v>0</v>
      </c>
      <c r="BT39" s="24">
        <f t="shared" si="28"/>
        <v>0</v>
      </c>
    </row>
    <row r="40" spans="1:72" hidden="1" outlineLevel="1" x14ac:dyDescent="0.25">
      <c r="A40" s="11" t="s">
        <v>55</v>
      </c>
      <c r="C40" s="2" t="s">
        <v>45</v>
      </c>
      <c r="D40" s="8">
        <f>IFERROR(
GETPIVOTDATA(
"[Base].[Importe]",
TDinamica_R!$A$5,
"[Calendario].[AñoMes]",
"[Calendario].[AñoMes].&amp;[" &amp; TEXT(D$6,"yyyymm") &amp; "]",
"[Base].[Metrica]",
"[Base].[Metrica].&amp;[" &amp; $A40 &amp; "]",
"[Base].[SEGMENTO_DESCRIP]",
"[Base].[SEGMENTO_DESCRIP].&amp;[" &amp; $C$6 &amp; "]",
"[Base].[SITUACION]",
"[Base].[SITUACION].&amp;[" &amp; $C40 &amp; "]"
),0)/1000</f>
        <v>1567.23944198</v>
      </c>
      <c r="E40" s="8">
        <f>IFERROR(
GETPIVOTDATA(
"[Base].[Importe]",
TDinamica_R!$A$5,
"[Calendario].[AñoMes]",
"[Calendario].[AñoMes].&amp;[" &amp; TEXT(E$6,"yyyymm") &amp; "]",
"[Base].[Metrica]",
"[Base].[Metrica].&amp;[" &amp; $A40 &amp; "]",
"[Base].[SEGMENTO_DESCRIP]",
"[Base].[SEGMENTO_DESCRIP].&amp;[" &amp; $C$6 &amp; "]",
"[Base].[SITUACION]",
"[Base].[SITUACION].&amp;[" &amp; $C40 &amp; "]"
),0)/1000</f>
        <v>1286.5103176799996</v>
      </c>
      <c r="F40" s="8">
        <f>IFERROR(
GETPIVOTDATA(
"[Base].[Importe]",
TDinamica_R!$A$5,
"[Calendario].[AñoMes]",
"[Calendario].[AñoMes].&amp;[" &amp; TEXT(F$6,"yyyymm") &amp; "]",
"[Base].[Metrica]",
"[Base].[Metrica].&amp;[" &amp; $A40 &amp; "]",
"[Base].[SEGMENTO_DESCRIP]",
"[Base].[SEGMENTO_DESCRIP].&amp;[" &amp; $C$6 &amp; "]",
"[Base].[SITUACION]",
"[Base].[SITUACION].&amp;[" &amp; $C40 &amp; "]"
),0)/1000</f>
        <v>1940.4827991200002</v>
      </c>
      <c r="G40" s="8">
        <f>IFERROR(
GETPIVOTDATA(
"[Base].[Importe]",
TDinamica_R!$A$5,
"[Calendario].[AñoMes]",
"[Calendario].[AñoMes].&amp;[" &amp; TEXT(G$6,"yyyymm") &amp; "]",
"[Base].[Metrica]",
"[Base].[Metrica].&amp;[" &amp; $A40 &amp; "]",
"[Base].[SEGMENTO_DESCRIP]",
"[Base].[SEGMENTO_DESCRIP].&amp;[" &amp; $C$6 &amp; "]",
"[Base].[SITUACION]",
"[Base].[SITUACION].&amp;[" &amp; $C40 &amp; "]"
),0)/1000</f>
        <v>1475.9683907799999</v>
      </c>
      <c r="H40" s="8">
        <f>IFERROR(
GETPIVOTDATA(
"[Base].[Importe]",
TDinamica_R!$A$5,
"[Calendario].[AñoMes]",
"[Calendario].[AñoMes].&amp;[" &amp; TEXT(H$6,"yyyymm") &amp; "]",
"[Base].[Metrica]",
"[Base].[Metrica].&amp;[" &amp; $A40 &amp; "]",
"[Base].[SEGMENTO_DESCRIP]",
"[Base].[SEGMENTO_DESCRIP].&amp;[" &amp; $C$6 &amp; "]",
"[Base].[SITUACION]",
"[Base].[SITUACION].&amp;[" &amp; $C40 &amp; "]"
),0)/1000</f>
        <v>1901.3944090800001</v>
      </c>
      <c r="I40" s="8">
        <f>IFERROR(
GETPIVOTDATA(
"[Base].[Importe]",
TDinamica_R!$A$5,
"[Calendario].[AñoMes]",
"[Calendario].[AñoMes].&amp;[" &amp; TEXT(I$6,"yyyymm") &amp; "]",
"[Base].[Metrica]",
"[Base].[Metrica].&amp;[" &amp; $A40 &amp; "]",
"[Base].[SEGMENTO_DESCRIP]",
"[Base].[SEGMENTO_DESCRIP].&amp;[" &amp; $C$6 &amp; "]",
"[Base].[SITUACION]",
"[Base].[SITUACION].&amp;[" &amp; $C40 &amp; "]"
),0)/1000</f>
        <v>1929.04149727</v>
      </c>
      <c r="J40" s="8">
        <f>IFERROR(
GETPIVOTDATA(
"[Base].[Importe]",
TDinamica_R!$A$5,
"[Calendario].[AñoMes]",
"[Calendario].[AñoMes].&amp;[" &amp; TEXT(J$6,"yyyymm") &amp; "]",
"[Base].[Metrica]",
"[Base].[Metrica].&amp;[" &amp; $A40 &amp; "]",
"[Base].[SEGMENTO_DESCRIP]",
"[Base].[SEGMENTO_DESCRIP].&amp;[" &amp; $C$6 &amp; "]",
"[Base].[SITUACION]",
"[Base].[SITUACION].&amp;[" &amp; $C40 &amp; "]"
),0)/1000</f>
        <v>1968.03658481</v>
      </c>
      <c r="K40" s="8">
        <f>IFERROR(
GETPIVOTDATA(
"[Base].[Importe]",
TDinamica_R!$A$5,
"[Calendario].[AñoMes]",
"[Calendario].[AñoMes].&amp;[" &amp; TEXT(K$6,"yyyymm") &amp; "]",
"[Base].[Metrica]",
"[Base].[Metrica].&amp;[" &amp; $A40 &amp; "]",
"[Base].[SEGMENTO_DESCRIP]",
"[Base].[SEGMENTO_DESCRIP].&amp;[" &amp; $C$6 &amp; "]",
"[Base].[SITUACION]",
"[Base].[SITUACION].&amp;[" &amp; $C40 &amp; "]"
),0)/1000</f>
        <v>1847.4490971999999</v>
      </c>
      <c r="L40" s="8">
        <f>IFERROR(
GETPIVOTDATA(
"[Base].[Importe]",
TDinamica_R!$A$5,
"[Calendario].[AñoMes]",
"[Calendario].[AñoMes].&amp;[" &amp; TEXT(L$6,"yyyymm") &amp; "]",
"[Base].[Metrica]",
"[Base].[Metrica].&amp;[" &amp; $A40 &amp; "]",
"[Base].[SEGMENTO_DESCRIP]",
"[Base].[SEGMENTO_DESCRIP].&amp;[" &amp; $C$6 &amp; "]",
"[Base].[SITUACION]",
"[Base].[SITUACION].&amp;[" &amp; $C40 &amp; "]"
),0)/1000</f>
        <v>1751.8073691300003</v>
      </c>
      <c r="M40" s="8">
        <f>IFERROR(
GETPIVOTDATA(
"[Base].[Importe]",
TDinamica_R!$A$5,
"[Calendario].[AñoMes]",
"[Calendario].[AñoMes].&amp;[" &amp; TEXT(M$6,"yyyymm") &amp; "]",
"[Base].[Metrica]",
"[Base].[Metrica].&amp;[" &amp; $A40 &amp; "]",
"[Base].[SEGMENTO_DESCRIP]",
"[Base].[SEGMENTO_DESCRIP].&amp;[" &amp; $C$6 &amp; "]",
"[Base].[SITUACION]",
"[Base].[SITUACION].&amp;[" &amp; $C40 &amp; "]"
),0)/1000</f>
        <v>2273.0385412599999</v>
      </c>
      <c r="N40" s="8">
        <f>IFERROR(
GETPIVOTDATA(
"[Base].[Importe]",
TDinamica_R!$A$5,
"[Calendario].[AñoMes]",
"[Calendario].[AñoMes].&amp;[" &amp; TEXT(N$6,"yyyymm") &amp; "]",
"[Base].[Metrica]",
"[Base].[Metrica].&amp;[" &amp; $A40 &amp; "]",
"[Base].[SEGMENTO_DESCRIP]",
"[Base].[SEGMENTO_DESCRIP].&amp;[" &amp; $C$6 &amp; "]",
"[Base].[SITUACION]",
"[Base].[SITUACION].&amp;[" &amp; $C40 &amp; "]"
),0)/1000</f>
        <v>2070.7281846700002</v>
      </c>
      <c r="O40" s="8">
        <f>IFERROR(
GETPIVOTDATA(
"[Base].[Importe]",
TDinamica_R!$A$5,
"[Calendario].[AñoMes]",
"[Calendario].[AñoMes].&amp;[" &amp; TEXT(O$6,"yyyymm") &amp; "]",
"[Base].[Metrica]",
"[Base].[Metrica].&amp;[" &amp; $A40 &amp; "]",
"[Base].[SEGMENTO_DESCRIP]",
"[Base].[SEGMENTO_DESCRIP].&amp;[" &amp; $C$6 &amp; "]",
"[Base].[SITUACION]",
"[Base].[SITUACION].&amp;[" &amp; $C40 &amp; "]"
),0)/1000</f>
        <v>2039.1637279400002</v>
      </c>
      <c r="P40" s="8">
        <f>IFERROR(
GETPIVOTDATA(
"[Base].[Importe]",
TDinamica_R!$A$5,
"[Calendario].[AñoMes]",
"[Calendario].[AñoMes].&amp;[" &amp; TEXT(P$6,"yyyymm") &amp; "]",
"[Base].[Metrica]",
"[Base].[Metrica].&amp;[" &amp; $A40 &amp; "]",
"[Base].[SEGMENTO_DESCRIP]",
"[Base].[SEGMENTO_DESCRIP].&amp;[" &amp; $C$6 &amp; "]",
"[Base].[SITUACION]",
"[Base].[SITUACION].&amp;[" &amp; $C40 &amp; "]"
),0)/1000</f>
        <v>2303.7321575600004</v>
      </c>
      <c r="Q40" s="8">
        <f>IFERROR(
GETPIVOTDATA(
"[Base].[Importe]",
TDinamica_R!$A$5,
"[Calendario].[AñoMes]",
"[Calendario].[AñoMes].&amp;[" &amp; TEXT(Q$6,"yyyymm") &amp; "]",
"[Base].[Metrica]",
"[Base].[Metrica].&amp;[" &amp; $A40 &amp; "]",
"[Base].[SEGMENTO_DESCRIP]",
"[Base].[SEGMENTO_DESCRIP].&amp;[" &amp; $C$6 &amp; "]",
"[Base].[SITUACION]",
"[Base].[SITUACION].&amp;[" &amp; $C40 &amp; "]"
),0)/1000</f>
        <v>1897.1011236099996</v>
      </c>
      <c r="R40" s="8">
        <f>IFERROR(
GETPIVOTDATA(
"[Base].[Importe]",
TDinamica_R!$A$5,
"[Calendario].[AñoMes]",
"[Calendario].[AñoMes].&amp;[" &amp; TEXT(R$6,"yyyymm") &amp; "]",
"[Base].[Metrica]",
"[Base].[Metrica].&amp;[" &amp; $A40 &amp; "]",
"[Base].[SEGMENTO_DESCRIP]",
"[Base].[SEGMENTO_DESCRIP].&amp;[" &amp; $C$6 &amp; "]",
"[Base].[SITUACION]",
"[Base].[SITUACION].&amp;[" &amp; $C40 &amp; "]"
),0)/1000</f>
        <v>2321.8962949100001</v>
      </c>
      <c r="S40" s="8">
        <f>IFERROR(
GETPIVOTDATA(
"[Base].[Importe]",
TDinamica_R!$A$5,
"[Calendario].[AñoMes]",
"[Calendario].[AñoMes].&amp;[" &amp; TEXT(S$6,"yyyymm") &amp; "]",
"[Base].[Metrica]",
"[Base].[Metrica].&amp;[" &amp; $A40 &amp; "]",
"[Base].[SEGMENTO_DESCRIP]",
"[Base].[SEGMENTO_DESCRIP].&amp;[" &amp; $C$6 &amp; "]",
"[Base].[SITUACION]",
"[Base].[SITUACION].&amp;[" &amp; $C40 &amp; "]"
),0)/1000</f>
        <v>2342.7204901600007</v>
      </c>
      <c r="T40" s="8">
        <f>IFERROR(
GETPIVOTDATA(
"[Base].[Importe]",
TDinamica_R!$A$5,
"[Calendario].[AñoMes]",
"[Calendario].[AñoMes].&amp;[" &amp; TEXT(T$6,"yyyymm") &amp; "]",
"[Base].[Metrica]",
"[Base].[Metrica].&amp;[" &amp; $A40 &amp; "]",
"[Base].[SEGMENTO_DESCRIP]",
"[Base].[SEGMENTO_DESCRIP].&amp;[" &amp; $C$6 &amp; "]",
"[Base].[SITUACION]",
"[Base].[SITUACION].&amp;[" &amp; $C40 &amp; "]"
),0)/1000</f>
        <v>2480.9375021799997</v>
      </c>
      <c r="U40" s="8">
        <f>IFERROR(
GETPIVOTDATA(
"[Base].[Importe]",
TDinamica_R!$A$5,
"[Calendario].[AñoMes]",
"[Calendario].[AñoMes].&amp;[" &amp; TEXT(U$6,"yyyymm") &amp; "]",
"[Base].[Metrica]",
"[Base].[Metrica].&amp;[" &amp; $A40 &amp; "]",
"[Base].[SEGMENTO_DESCRIP]",
"[Base].[SEGMENTO_DESCRIP].&amp;[" &amp; $C$6 &amp; "]",
"[Base].[SITUACION]",
"[Base].[SITUACION].&amp;[" &amp; $C40 &amp; "]"
),0)/1000</f>
        <v>2317.8085546999996</v>
      </c>
      <c r="V40" s="8">
        <f>IFERROR(
GETPIVOTDATA(
"[Base].[Importe]",
TDinamica_R!$A$5,
"[Calendario].[AñoMes]",
"[Calendario].[AñoMes].&amp;[" &amp; TEXT(V$6,"yyyymm") &amp; "]",
"[Base].[Metrica]",
"[Base].[Metrica].&amp;[" &amp; $A40 &amp; "]",
"[Base].[SEGMENTO_DESCRIP]",
"[Base].[SEGMENTO_DESCRIP].&amp;[" &amp; $C$6 &amp; "]",
"[Base].[SITUACION]",
"[Base].[SITUACION].&amp;[" &amp; $C40 &amp; "]"
),0)/1000</f>
        <v>2886.5136104100002</v>
      </c>
      <c r="W40" s="8">
        <f>IFERROR(
GETPIVOTDATA(
"[Base].[Importe]",
TDinamica_R!$A$5,
"[Calendario].[AñoMes]",
"[Calendario].[AñoMes].&amp;[" &amp; TEXT(W$6,"yyyymm") &amp; "]",
"[Base].[Metrica]",
"[Base].[Metrica].&amp;[" &amp; $A40 &amp; "]",
"[Base].[SEGMENTO_DESCRIP]",
"[Base].[SEGMENTO_DESCRIP].&amp;[" &amp; $C$6 &amp; "]",
"[Base].[SITUACION]",
"[Base].[SITUACION].&amp;[" &amp; $C40 &amp; "]"
),0)/1000</f>
        <v>2632.4280809100005</v>
      </c>
      <c r="X40" s="8">
        <f>IFERROR(
GETPIVOTDATA(
"[Base].[Importe]",
TDinamica_R!$A$5,
"[Calendario].[AñoMes]",
"[Calendario].[AñoMes].&amp;[" &amp; TEXT(X$6,"yyyymm") &amp; "]",
"[Base].[Metrica]",
"[Base].[Metrica].&amp;[" &amp; $A40 &amp; "]",
"[Base].[SEGMENTO_DESCRIP]",
"[Base].[SEGMENTO_DESCRIP].&amp;[" &amp; $C$6 &amp; "]",
"[Base].[SITUACION]",
"[Base].[SITUACION].&amp;[" &amp; $C40 &amp; "]"
),0)/1000</f>
        <v>2265.7106419500001</v>
      </c>
      <c r="Y40" s="8">
        <f>IFERROR(
GETPIVOTDATA(
"[Base].[Importe]",
TDinamica_R!$A$5,
"[Calendario].[AñoMes]",
"[Calendario].[AñoMes].&amp;[" &amp; TEXT(Y$6,"yyyymm") &amp; "]",
"[Base].[Metrica]",
"[Base].[Metrica].&amp;[" &amp; $A40 &amp; "]",
"[Base].[SEGMENTO_DESCRIP]",
"[Base].[SEGMENTO_DESCRIP].&amp;[" &amp; $C$6 &amp; "]",
"[Base].[SITUACION]",
"[Base].[SITUACION].&amp;[" &amp; $C40 &amp; "]"
),0)/1000</f>
        <v>2092.03516838</v>
      </c>
      <c r="Z40" s="8">
        <f>IFERROR(
GETPIVOTDATA(
"[Base].[Importe]",
TDinamica_R!$A$5,
"[Calendario].[AñoMes]",
"[Calendario].[AñoMes].&amp;[" &amp; TEXT(Z$6,"yyyymm") &amp; "]",
"[Base].[Metrica]",
"[Base].[Metrica].&amp;[" &amp; $A40 &amp; "]",
"[Base].[SEGMENTO_DESCRIP]",
"[Base].[SEGMENTO_DESCRIP].&amp;[" &amp; $C$6 &amp; "]",
"[Base].[SITUACION]",
"[Base].[SITUACION].&amp;[" &amp; $C40 &amp; "]"
),0)/1000</f>
        <v>2201.21982811</v>
      </c>
      <c r="AA40" s="8">
        <f>IFERROR(
GETPIVOTDATA(
"[Base].[Importe]",
TDinamica_R!$A$5,
"[Calendario].[AñoMes]",
"[Calendario].[AñoMes].&amp;[" &amp; TEXT(AA$6,"yyyymm") &amp; "]",
"[Base].[Metrica]",
"[Base].[Metrica].&amp;[" &amp; $A40 &amp; "]",
"[Base].[SEGMENTO_DESCRIP]",
"[Base].[SEGMENTO_DESCRIP].&amp;[" &amp; $C$6 &amp; "]",
"[Base].[SITUACION]",
"[Base].[SITUACION].&amp;[" &amp; $C40 &amp; "]"
),0)/1000</f>
        <v>2731.4759730300002</v>
      </c>
      <c r="AB40" s="8">
        <f>IFERROR(
GETPIVOTDATA(
"[Base].[Importe]",
TDinamica_R!$A$5,
"[Calendario].[AñoMes]",
"[Calendario].[AñoMes].&amp;[" &amp; TEXT(AB$6,"yyyymm") &amp; "]",
"[Base].[Metrica]",
"[Base].[Metrica].&amp;[" &amp; $A40 &amp; "]",
"[Base].[SEGMENTO_DESCRIP]",
"[Base].[SEGMENTO_DESCRIP].&amp;[" &amp; $C$6 &amp; "]",
"[Base].[SITUACION]",
"[Base].[SITUACION].&amp;[" &amp; $C40 &amp; "]"
),0)/1000</f>
        <v>2493.3658757799999</v>
      </c>
      <c r="AC40" s="8">
        <f>IFERROR(
GETPIVOTDATA(
"[Base].[Importe]",
TDinamica_R!$A$5,
"[Calendario].[AñoMes]",
"[Calendario].[AñoMes].&amp;[" &amp; TEXT(AC$6,"yyyymm") &amp; "]",
"[Base].[Metrica]",
"[Base].[Metrica].&amp;[" &amp; $A40 &amp; "]",
"[Base].[SEGMENTO_DESCRIP]",
"[Base].[SEGMENTO_DESCRIP].&amp;[" &amp; $C$6 &amp; "]",
"[Base].[SITUACION]",
"[Base].[SITUACION].&amp;[" &amp; $C40 &amp; "]"
),0)/1000</f>
        <v>2064.3291526899998</v>
      </c>
      <c r="AD40" s="8">
        <f>IFERROR(
GETPIVOTDATA(
"[Base].[Importe]",
TDinamica_R!$A$5,
"[Calendario].[AñoMes]",
"[Calendario].[AñoMes].&amp;[" &amp; TEXT(AD$6,"yyyymm") &amp; "]",
"[Base].[Metrica]",
"[Base].[Metrica].&amp;[" &amp; $A40 &amp; "]",
"[Base].[SEGMENTO_DESCRIP]",
"[Base].[SEGMENTO_DESCRIP].&amp;[" &amp; $C$6 &amp; "]",
"[Base].[SITUACION]",
"[Base].[SITUACION].&amp;[" &amp; $C40 &amp; "]"
),0)/1000</f>
        <v>2730.1547136700001</v>
      </c>
      <c r="AE40" s="8">
        <f>IFERROR(
GETPIVOTDATA(
"[Base].[Importe]",
TDinamica_R!$A$5,
"[Calendario].[AñoMes]",
"[Calendario].[AñoMes].&amp;[" &amp; TEXT(AE$6,"yyyymm") &amp; "]",
"[Base].[Metrica]",
"[Base].[Metrica].&amp;[" &amp; $A40 &amp; "]",
"[Base].[SEGMENTO_DESCRIP]",
"[Base].[SEGMENTO_DESCRIP].&amp;[" &amp; $C$6 &amp; "]",
"[Base].[SITUACION]",
"[Base].[SITUACION].&amp;[" &amp; $C40 &amp; "]"
),0)/1000</f>
        <v>2477.8708698899995</v>
      </c>
      <c r="AF40" s="8">
        <f>IFERROR(
GETPIVOTDATA(
"[Base].[Importe]",
TDinamica_R!$A$5,
"[Calendario].[AñoMes]",
"[Calendario].[AñoMes].&amp;[" &amp; TEXT(AF$6,"yyyymm") &amp; "]",
"[Base].[Metrica]",
"[Base].[Metrica].&amp;[" &amp; $A40 &amp; "]",
"[Base].[SEGMENTO_DESCRIP]",
"[Base].[SEGMENTO_DESCRIP].&amp;[" &amp; $C$6 &amp; "]",
"[Base].[SITUACION]",
"[Base].[SITUACION].&amp;[" &amp; $C40 &amp; "]"
),0)/1000</f>
        <v>2977.2671400899999</v>
      </c>
      <c r="AG40" s="8">
        <f>IFERROR(
GETPIVOTDATA(
"[Base].[Importe]",
TDinamica_R!$A$5,
"[Calendario].[AñoMes]",
"[Calendario].[AñoMes].&amp;[" &amp; TEXT(AG$6,"yyyymm") &amp; "]",
"[Base].[Metrica]",
"[Base].[Metrica].&amp;[" &amp; $A40 &amp; "]",
"[Base].[SEGMENTO_DESCRIP]",
"[Base].[SEGMENTO_DESCRIP].&amp;[" &amp; $C$6 &amp; "]",
"[Base].[SITUACION]",
"[Base].[SITUACION].&amp;[" &amp; $C40 &amp; "]"
),0)/1000</f>
        <v>2515.1504608199998</v>
      </c>
      <c r="AH40" s="8">
        <f>IFERROR(
GETPIVOTDATA(
"[Base].[Importe]",
TDinamica_R!$A$5,
"[Calendario].[AñoMes]",
"[Calendario].[AñoMes].&amp;[" &amp; TEXT(AH$6,"yyyymm") &amp; "]",
"[Base].[Metrica]",
"[Base].[Metrica].&amp;[" &amp; $A40 &amp; "]",
"[Base].[SEGMENTO_DESCRIP]",
"[Base].[SEGMENTO_DESCRIP].&amp;[" &amp; $C$6 &amp; "]",
"[Base].[SITUACION]",
"[Base].[SITUACION].&amp;[" &amp; $C40 &amp; "]"
),0)/1000</f>
        <v>2537.2441188500002</v>
      </c>
      <c r="AI40" s="8">
        <f>IFERROR(
GETPIVOTDATA(
"[Base].[Importe]",
TDinamica_R!$A$5,
"[Calendario].[AñoMes]",
"[Calendario].[AñoMes].&amp;[" &amp; TEXT(AI$6,"yyyymm") &amp; "]",
"[Base].[Metrica]",
"[Base].[Metrica].&amp;[" &amp; $A40 &amp; "]",
"[Base].[SEGMENTO_DESCRIP]",
"[Base].[SEGMENTO_DESCRIP].&amp;[" &amp; $C$6 &amp; "]",
"[Base].[SITUACION]",
"[Base].[SITUACION].&amp;[" &amp; $C40 &amp; "]"
),0)/1000</f>
        <v>2268.6096615699998</v>
      </c>
      <c r="AJ40" s="8">
        <f>IFERROR(
GETPIVOTDATA(
"[Base].[Importe]",
TDinamica_R!$A$5,
"[Calendario].[AñoMes]",
"[Calendario].[AñoMes].&amp;[" &amp; TEXT(AJ$6,"yyyymm") &amp; "]",
"[Base].[Metrica]",
"[Base].[Metrica].&amp;[" &amp; $A40 &amp; "]",
"[Base].[SEGMENTO_DESCRIP]",
"[Base].[SEGMENTO_DESCRIP].&amp;[" &amp; $C$6 &amp; "]",
"[Base].[SITUACION]",
"[Base].[SITUACION].&amp;[" &amp; $C40 &amp; "]"
),0)/1000</f>
        <v>2782.6729385600006</v>
      </c>
      <c r="AK40" s="8">
        <f>IFERROR(
GETPIVOTDATA(
"[Base].[Importe]",
TDinamica_R!$A$5,
"[Calendario].[AñoMes]",
"[Calendario].[AñoMes].&amp;[" &amp; TEXT(AK$6,"yyyymm") &amp; "]",
"[Base].[Metrica]",
"[Base].[Metrica].&amp;[" &amp; $A40 &amp; "]",
"[Base].[SEGMENTO_DESCRIP]",
"[Base].[SEGMENTO_DESCRIP].&amp;[" &amp; $C$6 &amp; "]",
"[Base].[SITUACION]",
"[Base].[SITUACION].&amp;[" &amp; $C40 &amp; "]"
),0)/1000</f>
        <v>2415.0104047300006</v>
      </c>
      <c r="AL40" s="8">
        <f>IFERROR(
GETPIVOTDATA(
"[Base].[Importe]",
TDinamica_R!$A$5,
"[Calendario].[AñoMes]",
"[Calendario].[AñoMes].&amp;[" &amp; TEXT(AL$6,"yyyymm") &amp; "]",
"[Base].[Metrica]",
"[Base].[Metrica].&amp;[" &amp; $A40 &amp; "]",
"[Base].[SEGMENTO_DESCRIP]",
"[Base].[SEGMENTO_DESCRIP].&amp;[" &amp; $C$6 &amp; "]",
"[Base].[SITUACION]",
"[Base].[SITUACION].&amp;[" &amp; $C40 &amp; "]"
),0)/1000</f>
        <v>2667.1513383399997</v>
      </c>
      <c r="AM40" s="8">
        <f>IFERROR(
GETPIVOTDATA(
"[Base].[Importe]",
TDinamica_R!$A$5,
"[Calendario].[AñoMes]",
"[Calendario].[AñoMes].&amp;[" &amp; TEXT(AM$6,"yyyymm") &amp; "]",
"[Base].[Metrica]",
"[Base].[Metrica].&amp;[" &amp; $A40 &amp; "]",
"[Base].[SEGMENTO_DESCRIP]",
"[Base].[SEGMENTO_DESCRIP].&amp;[" &amp; $C$6 &amp; "]",
"[Base].[SITUACION]",
"[Base].[SITUACION].&amp;[" &amp; $C40 &amp; "]"
),0)/1000</f>
        <v>2939.6075022599998</v>
      </c>
      <c r="AN40" s="8">
        <f>IFERROR(
GETPIVOTDATA(
"[Base].[Importe]",
TDinamica_R!$A$5,
"[Calendario].[AñoMes]",
"[Calendario].[AñoMes].&amp;[" &amp; TEXT(AN$6,"yyyymm") &amp; "]",
"[Base].[Metrica]",
"[Base].[Metrica].&amp;[" &amp; $A40 &amp; "]",
"[Base].[SEGMENTO_DESCRIP]",
"[Base].[SEGMENTO_DESCRIP].&amp;[" &amp; $C$6 &amp; "]",
"[Base].[SITUACION]",
"[Base].[SITUACION].&amp;[" &amp; $C40 &amp; "]"
),0)/1000</f>
        <v>2360.8718316899999</v>
      </c>
      <c r="AO40" s="8">
        <f>IFERROR(
GETPIVOTDATA(
"[Base].[Importe]",
TDinamica_R!$A$5,
"[Calendario].[AñoMes]",
"[Calendario].[AñoMes].&amp;[" &amp; TEXT(AO$6,"yyyymm") &amp; "]",
"[Base].[Metrica]",
"[Base].[Metrica].&amp;[" &amp; $A40 &amp; "]",
"[Base].[SEGMENTO_DESCRIP]",
"[Base].[SEGMENTO_DESCRIP].&amp;[" &amp; $C$6 &amp; "]",
"[Base].[SITUACION]",
"[Base].[SITUACION].&amp;[" &amp; $C40 &amp; "]"
),0)/1000</f>
        <v>2373.4585878700009</v>
      </c>
      <c r="AP40" s="8">
        <f>IFERROR(
GETPIVOTDATA(
"[Base].[Importe]",
TDinamica_R!$A$5,
"[Calendario].[AñoMes]",
"[Calendario].[AñoMes].&amp;[" &amp; TEXT(AP$6,"yyyymm") &amp; "]",
"[Base].[Metrica]",
"[Base].[Metrica].&amp;[" &amp; $A40 &amp; "]",
"[Base].[SEGMENTO_DESCRIP]",
"[Base].[SEGMENTO_DESCRIP].&amp;[" &amp; $C$6 &amp; "]",
"[Base].[SITUACION]",
"[Base].[SITUACION].&amp;[" &amp; $C40 &amp; "]"
),0)/1000</f>
        <v>2649.1761835399998</v>
      </c>
      <c r="AQ40" s="8">
        <f>IFERROR(
GETPIVOTDATA(
"[Base].[Importe]",
TDinamica_R!$A$5,
"[Calendario].[AñoMes]",
"[Calendario].[AñoMes].&amp;[" &amp; TEXT(AQ$6,"yyyymm") &amp; "]",
"[Base].[Metrica]",
"[Base].[Metrica].&amp;[" &amp; $A40 &amp; "]",
"[Base].[SEGMENTO_DESCRIP]",
"[Base].[SEGMENTO_DESCRIP].&amp;[" &amp; $C$6 &amp; "]",
"[Base].[SITUACION]",
"[Base].[SITUACION].&amp;[" &amp; $C40 &amp; "]"
),0)/1000</f>
        <v>2297.4823559900001</v>
      </c>
      <c r="AR40" s="8">
        <f>IFERROR(
GETPIVOTDATA(
"[Base].[Importe]",
TDinamica_R!$A$5,
"[Calendario].[AñoMes]",
"[Calendario].[AñoMes].&amp;[" &amp; TEXT(AR$6,"yyyymm") &amp; "]",
"[Base].[Metrica]",
"[Base].[Metrica].&amp;[" &amp; $A40 &amp; "]",
"[Base].[SEGMENTO_DESCRIP]",
"[Base].[SEGMENTO_DESCRIP].&amp;[" &amp; $C$6 &amp; "]",
"[Base].[SITUACION]",
"[Base].[SITUACION].&amp;[" &amp; $C40 &amp; "]"
),0)/1000</f>
        <v>2490.1715165600003</v>
      </c>
      <c r="AS40" s="8">
        <f>IFERROR(
GETPIVOTDATA(
"[Base].[Importe]",
TDinamica_R!$A$5,
"[Calendario].[AñoMes]",
"[Calendario].[AñoMes].&amp;[" &amp; TEXT(AS$6,"yyyymm") &amp; "]",
"[Base].[Metrica]",
"[Base].[Metrica].&amp;[" &amp; $A40 &amp; "]",
"[Base].[SEGMENTO_DESCRIP]",
"[Base].[SEGMENTO_DESCRIP].&amp;[" &amp; $C$6 &amp; "]",
"[Base].[SITUACION]",
"[Base].[SITUACION].&amp;[" &amp; $C40 &amp; "]"
),0)/1000</f>
        <v>2241.1089710500005</v>
      </c>
      <c r="AT40" s="8">
        <f>IFERROR(
GETPIVOTDATA(
"[Base].[Importe]",
TDinamica_R!$A$5,
"[Calendario].[AñoMes]",
"[Calendario].[AñoMes].&amp;[" &amp; TEXT(AT$6,"yyyymm")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U40" s="8">
        <f>IFERROR(
GETPIVOTDATA(
"[Base].[Importe]",
TDinamica_R!$A$5,
"[Calendario].[AñoMes]",
"[Calendario].[AñoMes].&amp;[" &amp; TEXT(AU$6,"yyyymm")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V40" s="8">
        <f>IFERROR(
GETPIVOTDATA(
"[Base].[Importe]",
TDinamica_R!$A$5,
"[Calendario].[AñoMes]",
"[Calendario].[AñoMes].&amp;[" &amp; TEXT(AV$6,"yyyymm")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W40" s="8">
        <f>IFERROR(
GETPIVOTDATA(
"[Base].[Importe]",
TDinamica_R!$A$5,
"[Calendario].[AñoMes]",
"[Calendario].[AñoMes].&amp;[" &amp; TEXT(AW$6,"yyyymm")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X40" s="8">
        <f>IFERROR(
GETPIVOTDATA(
"[Base].[Importe]",
TDinamica_R!$A$5,
"[Calendario].[AñoMes]",
"[Calendario].[AñoMes].&amp;[" &amp; TEXT(AX$6,"yyyymm")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Y40" s="8">
        <f>IFERROR(
GETPIVOTDATA(
"[Base].[Importe]",
TDinamica_R!$A$5,
"[Calendario].[AñoMes]",
"[Calendario].[AñoMes].&amp;[" &amp; TEXT(AY$6,"yyyymm")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Z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"[BASE_HIPO_PPTO].[Periodo]","[BASE_HIPO_PPTO].[Periodo].&amp;["&amp;TEXT(AZ$6,"yyyymm")&amp;"]"),
0)/1000</f>
        <v>2939.6965906441696</v>
      </c>
      <c r="BA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"[BASE_HIPO_PPTO].[Periodo]","[BASE_HIPO_PPTO].[Periodo].&amp;["&amp;TEXT(BA$6,"yyyymm")&amp;"]"),
0)/1000</f>
        <v>2702.7311745023421</v>
      </c>
      <c r="BB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"[BASE_HIPO_PPTO].[Periodo]","[BASE_HIPO_PPTO].[Periodo].&amp;["&amp;TEXT(BB$6,"yyyymm")&amp;"]"),
0)/1000</f>
        <v>2973.5334962257484</v>
      </c>
      <c r="BC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"[BASE_HIPO_PPTO].[Periodo]","[BASE_HIPO_PPTO].[Periodo].&amp;["&amp;TEXT(BC$6,"yyyymm")&amp;"]"),
0)/1000</f>
        <v>2930.9369930755574</v>
      </c>
      <c r="BD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"[BASE_HIPO_PPTO].[Periodo]","[BASE_HIPO_PPTO].[Periodo].&amp;["&amp;TEXT(BD$6,"yyyymm")&amp;"]"),
0)/1000</f>
        <v>3072.6412055637329</v>
      </c>
      <c r="BE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"[BASE_HIPO_PPTO].[Periodo]","[BASE_HIPO_PPTO].[Periodo].&amp;["&amp;TEXT(BE$6,"yyyymm")&amp;"]"),
0)/1000</f>
        <v>2971.7545066252483</v>
      </c>
      <c r="BF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"[BASE_HIPO_PPTO].[Periodo]","[BASE_HIPO_PPTO].[Periodo].&amp;["&amp;TEXT(BF$6,"yyyymm")&amp;"]"),
0)/1000</f>
        <v>3122.1995910185406</v>
      </c>
      <c r="BG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"[BASE_HIPO_PPTO].[Periodo]","[BASE_HIPO_PPTO].[Periodo].&amp;["&amp;TEXT(BG$6,"yyyymm")&amp;"]"),
0)/1000</f>
        <v>3155.9809801665815</v>
      </c>
      <c r="BH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"[BASE_HIPO_PPTO].[Periodo]","[BASE_HIPO_PPTO].[Periodo].&amp;["&amp;TEXT(BH$6,"yyyymm")&amp;"]"),
0)/1000</f>
        <v>3039.7756459089642</v>
      </c>
      <c r="BI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"[BASE_HIPO_PPTO].[Periodo]","[BASE_HIPO_PPTO].[Periodo].&amp;["&amp;TEXT(BI$6,"yyyymm")&amp;"]"),
0)/1000</f>
        <v>3193.9887575832036</v>
      </c>
      <c r="BJ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"[BASE_HIPO_PPTO].[Periodo]","[BASE_HIPO_PPTO].[Periodo].&amp;["&amp;TEXT(BJ$6,"yyyymm")&amp;"]"),
0)/1000</f>
        <v>3147.3822046785463</v>
      </c>
      <c r="BK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"[BASE_HIPO_PPTO].[Periodo]","[BASE_HIPO_PPTO].[Periodo].&amp;["&amp;TEXT(BK$6,"yyyymm")&amp;"]"),
0)/1000</f>
        <v>3259.513713032241</v>
      </c>
      <c r="BO40" s="24">
        <f t="shared" si="28"/>
        <v>7383.5066031000006</v>
      </c>
      <c r="BP40" s="24">
        <f t="shared" si="28"/>
        <v>8615.9612613722602</v>
      </c>
      <c r="BQ40" s="24">
        <f t="shared" si="28"/>
        <v>4734.3304195600012</v>
      </c>
      <c r="BR40" s="24">
        <f t="shared" si="28"/>
        <v>7287.8497421399998</v>
      </c>
      <c r="BS40" s="24">
        <f t="shared" si="28"/>
        <v>6522.7295760800007</v>
      </c>
      <c r="BT40" s="24">
        <f t="shared" si="28"/>
        <v>4794.2325587799996</v>
      </c>
    </row>
    <row r="41" spans="1:72" collapsed="1" x14ac:dyDescent="0.25">
      <c r="C41" s="3" t="s">
        <v>57</v>
      </c>
      <c r="D41" s="10">
        <f>SUM(D38:D40)</f>
        <v>32551.636397739996</v>
      </c>
      <c r="E41" s="10">
        <f t="shared" ref="E41:BK41" si="29">SUM(E38:E40)</f>
        <v>29601.854936770003</v>
      </c>
      <c r="F41" s="10">
        <f t="shared" si="29"/>
        <v>33302.293170479999</v>
      </c>
      <c r="G41" s="10">
        <f t="shared" si="29"/>
        <v>32252.147739279993</v>
      </c>
      <c r="H41" s="10">
        <f t="shared" si="29"/>
        <v>33810.443092729998</v>
      </c>
      <c r="I41" s="10">
        <f t="shared" si="29"/>
        <v>32990.156579100003</v>
      </c>
      <c r="J41" s="10">
        <f t="shared" si="29"/>
        <v>34391.43048055999</v>
      </c>
      <c r="K41" s="10">
        <f t="shared" si="29"/>
        <v>34076.836446249996</v>
      </c>
      <c r="L41" s="10">
        <f t="shared" si="29"/>
        <v>33070.916218950006</v>
      </c>
      <c r="M41" s="10">
        <f t="shared" si="29"/>
        <v>34790.046570589991</v>
      </c>
      <c r="N41" s="10">
        <f t="shared" si="29"/>
        <v>33842.296187040003</v>
      </c>
      <c r="O41" s="10">
        <f t="shared" si="29"/>
        <v>35241.109854800001</v>
      </c>
      <c r="P41" s="10">
        <f t="shared" si="29"/>
        <v>34984.504052930002</v>
      </c>
      <c r="Q41" s="10">
        <f t="shared" si="29"/>
        <v>32802.407893119991</v>
      </c>
      <c r="R41" s="10">
        <f t="shared" si="29"/>
        <v>35604.812669250001</v>
      </c>
      <c r="S41" s="10">
        <f t="shared" si="29"/>
        <v>34221.168703460004</v>
      </c>
      <c r="T41" s="10">
        <f t="shared" si="29"/>
        <v>36157.430283419999</v>
      </c>
      <c r="U41" s="10">
        <f t="shared" si="29"/>
        <v>35143.295378980001</v>
      </c>
      <c r="V41" s="10">
        <f t="shared" si="29"/>
        <v>37076.532624929991</v>
      </c>
      <c r="W41" s="10">
        <f t="shared" si="29"/>
        <v>37078.0332825</v>
      </c>
      <c r="X41" s="10">
        <f t="shared" si="29"/>
        <v>35414.380978310001</v>
      </c>
      <c r="Y41" s="10">
        <f t="shared" si="29"/>
        <v>36507.439313819996</v>
      </c>
      <c r="Z41" s="10">
        <f t="shared" si="29"/>
        <v>36036.726844749988</v>
      </c>
      <c r="AA41" s="10">
        <f t="shared" si="29"/>
        <v>37644.334063530005</v>
      </c>
      <c r="AB41" s="10">
        <f t="shared" si="29"/>
        <v>37217.727700809999</v>
      </c>
      <c r="AC41" s="10">
        <f t="shared" si="29"/>
        <v>33799.051918899997</v>
      </c>
      <c r="AD41" s="10">
        <f t="shared" si="29"/>
        <v>37744.029595709995</v>
      </c>
      <c r="AE41" s="10">
        <f t="shared" si="29"/>
        <v>36817.52499785</v>
      </c>
      <c r="AF41" s="10">
        <f t="shared" si="29"/>
        <v>39131.51528235001</v>
      </c>
      <c r="AG41" s="10">
        <f t="shared" si="29"/>
        <v>37264.060954820001</v>
      </c>
      <c r="AH41" s="10">
        <f t="shared" si="29"/>
        <v>39245.51644905001</v>
      </c>
      <c r="AI41" s="10">
        <f t="shared" si="29"/>
        <v>39101.969280020006</v>
      </c>
      <c r="AJ41" s="10">
        <f t="shared" si="29"/>
        <v>38500.344419949994</v>
      </c>
      <c r="AK41" s="10">
        <f t="shared" si="29"/>
        <v>40006.843245839991</v>
      </c>
      <c r="AL41" s="10">
        <f t="shared" si="29"/>
        <v>39868.995147799986</v>
      </c>
      <c r="AM41" s="10">
        <f t="shared" si="29"/>
        <v>41721.128487689995</v>
      </c>
      <c r="AN41" s="10">
        <f t="shared" si="29"/>
        <v>41447.942575420006</v>
      </c>
      <c r="AO41" s="10">
        <f t="shared" si="29"/>
        <v>38430.020508490008</v>
      </c>
      <c r="AP41" s="10">
        <f t="shared" si="29"/>
        <v>42623.642727280007</v>
      </c>
      <c r="AQ41" s="10">
        <f t="shared" si="29"/>
        <v>41234.177383390008</v>
      </c>
      <c r="AR41" s="10">
        <f t="shared" si="29"/>
        <v>43437.925062540024</v>
      </c>
      <c r="AS41" s="10">
        <f t="shared" si="29"/>
        <v>41554.662492120013</v>
      </c>
      <c r="AT41" s="10">
        <f t="shared" si="29"/>
        <v>0</v>
      </c>
      <c r="AU41" s="10">
        <f t="shared" si="29"/>
        <v>0</v>
      </c>
      <c r="AV41" s="10">
        <f t="shared" si="29"/>
        <v>0</v>
      </c>
      <c r="AW41" s="10">
        <f t="shared" si="29"/>
        <v>0</v>
      </c>
      <c r="AX41" s="10">
        <f t="shared" si="29"/>
        <v>0</v>
      </c>
      <c r="AY41" s="10">
        <f t="shared" si="29"/>
        <v>0</v>
      </c>
      <c r="AZ41" s="10">
        <f t="shared" si="29"/>
        <v>40893.2724572437</v>
      </c>
      <c r="BA41" s="10">
        <f t="shared" si="29"/>
        <v>37596.375706910665</v>
      </c>
      <c r="BB41" s="10">
        <f t="shared" si="29"/>
        <v>41395.738798762432</v>
      </c>
      <c r="BC41" s="10">
        <f t="shared" si="29"/>
        <v>40811.502210538994</v>
      </c>
      <c r="BD41" s="10">
        <f t="shared" si="29"/>
        <v>42809.466213217704</v>
      </c>
      <c r="BE41" s="10">
        <f t="shared" si="29"/>
        <v>41412.974825271624</v>
      </c>
      <c r="BF41" s="10">
        <f t="shared" si="29"/>
        <v>43514.128411822123</v>
      </c>
      <c r="BG41" s="10">
        <f t="shared" si="29"/>
        <v>43983.489473962363</v>
      </c>
      <c r="BH41" s="10">
        <f t="shared" si="29"/>
        <v>42368.358660823258</v>
      </c>
      <c r="BI41" s="10">
        <f t="shared" si="29"/>
        <v>44529.426519178778</v>
      </c>
      <c r="BJ41" s="10">
        <f t="shared" si="29"/>
        <v>43888.64285046095</v>
      </c>
      <c r="BK41" s="10">
        <f t="shared" si="29"/>
        <v>45466.078525001773</v>
      </c>
      <c r="BO41" s="23">
        <f>SUM(BO38:BO40)</f>
        <v>122501.60581119002</v>
      </c>
      <c r="BP41" s="23">
        <f t="shared" ref="BP41:BT41" si="30">SUM(BP38:BP40)</f>
        <v>119885.38696291679</v>
      </c>
      <c r="BQ41" s="23">
        <f t="shared" si="30"/>
        <v>79877.963083910014</v>
      </c>
      <c r="BR41" s="23">
        <f t="shared" si="30"/>
        <v>108760.80921541998</v>
      </c>
      <c r="BS41" s="23">
        <f t="shared" si="30"/>
        <v>103391.7246153</v>
      </c>
      <c r="BT41" s="23">
        <f t="shared" si="30"/>
        <v>95455.784504989992</v>
      </c>
    </row>
    <row r="44" spans="1:72" hidden="1" outlineLevel="1" x14ac:dyDescent="0.25">
      <c r="A44" s="11" t="s">
        <v>50</v>
      </c>
      <c r="C44" s="2" t="s">
        <v>0</v>
      </c>
      <c r="D44" s="8">
        <f>-IFERROR(
GETPIVOTDATA(
"[Base].[Importe]",
TDinamica_R!$A$5,
"[Calendario].[AñoMes]",
"[Calendario].[AñoMes].&amp;[" &amp; TEXT(D$6,"yyyymm") &amp; "]",
"[Base].[Metrica]",
"[Base].[Metrica].&amp;[" &amp; $A44 &amp; "]",
"[Base].[SEGMENTO_DESCRIP]",
"[Base].[SEGMENTO_DESCRIP].&amp;[" &amp; $C$6 &amp; "]",
"[Base].[SITUACION]",
"[Base].[SITUACION].&amp;[" &amp; $C44 &amp; "]"
),0)/1000</f>
        <v>-21052.395781160001</v>
      </c>
      <c r="E44" s="8">
        <f>-IFERROR(
GETPIVOTDATA(
"[Base].[Importe]",
TDinamica_R!$A$5,
"[Calendario].[AñoMes]",
"[Calendario].[AñoMes].&amp;[" &amp; TEXT(E$6,"yyyymm") &amp; "]",
"[Base].[Metrica]",
"[Base].[Metrica].&amp;[" &amp; $A44 &amp; "]",
"[Base].[SEGMENTO_DESCRIP]",
"[Base].[SEGMENTO_DESCRIP].&amp;[" &amp; $C$6 &amp; "]",
"[Base].[SITUACION]",
"[Base].[SITUACION].&amp;[" &amp; $C44 &amp; "]"
),0)/1000</f>
        <v>-21259.101646060004</v>
      </c>
      <c r="F44" s="8">
        <f>-IFERROR(
GETPIVOTDATA(
"[Base].[Importe]",
TDinamica_R!$A$5,
"[Calendario].[AñoMes]",
"[Calendario].[AñoMes].&amp;[" &amp; TEXT(F$6,"yyyymm") &amp; "]",
"[Base].[Metrica]",
"[Base].[Metrica].&amp;[" &amp; $A44 &amp; "]",
"[Base].[SEGMENTO_DESCRIP]",
"[Base].[SEGMENTO_DESCRIP].&amp;[" &amp; $C$6 &amp; "]",
"[Base].[SITUACION]",
"[Base].[SITUACION].&amp;[" &amp; $C44 &amp; "]"
),0)/1000</f>
        <v>-21441.686582999992</v>
      </c>
      <c r="G44" s="8">
        <f>-IFERROR(
GETPIVOTDATA(
"[Base].[Importe]",
TDinamica_R!$A$5,
"[Calendario].[AñoMes]",
"[Calendario].[AñoMes].&amp;[" &amp; TEXT(G$6,"yyyymm") &amp; "]",
"[Base].[Metrica]",
"[Base].[Metrica].&amp;[" &amp; $A44 &amp; "]",
"[Base].[SEGMENTO_DESCRIP]",
"[Base].[SEGMENTO_DESCRIP].&amp;[" &amp; $C$6 &amp; "]",
"[Base].[SITUACION]",
"[Base].[SITUACION].&amp;[" &amp; $C44 &amp; "]"
),0)/1000</f>
        <v>-21713.187269819995</v>
      </c>
      <c r="H44" s="8">
        <f>-IFERROR(
GETPIVOTDATA(
"[Base].[Importe]",
TDinamica_R!$A$5,
"[Calendario].[AñoMes]",
"[Calendario].[AñoMes].&amp;[" &amp; TEXT(H$6,"yyyymm") &amp; "]",
"[Base].[Metrica]",
"[Base].[Metrica].&amp;[" &amp; $A44 &amp; "]",
"[Base].[SEGMENTO_DESCRIP]",
"[Base].[SEGMENTO_DESCRIP].&amp;[" &amp; $C$6 &amp; "]",
"[Base].[SITUACION]",
"[Base].[SITUACION].&amp;[" &amp; $C44 &amp; "]"
),0)/1000</f>
        <v>-21945.430248199991</v>
      </c>
      <c r="I44" s="8">
        <f>-IFERROR(
GETPIVOTDATA(
"[Base].[Importe]",
TDinamica_R!$A$5,
"[Calendario].[AñoMes]",
"[Calendario].[AñoMes].&amp;[" &amp; TEXT(I$6,"yyyymm") &amp; "]",
"[Base].[Metrica]",
"[Base].[Metrica].&amp;[" &amp; $A44 &amp; "]",
"[Base].[SEGMENTO_DESCRIP]",
"[Base].[SEGMENTO_DESCRIP].&amp;[" &amp; $C$6 &amp; "]",
"[Base].[SITUACION]",
"[Base].[SITUACION].&amp;[" &amp; $C44 &amp; "]"
),0)/1000</f>
        <v>-22155.037453000001</v>
      </c>
      <c r="J44" s="8">
        <f>-IFERROR(
GETPIVOTDATA(
"[Base].[Importe]",
TDinamica_R!$A$5,
"[Calendario].[AñoMes]",
"[Calendario].[AñoMes].&amp;[" &amp; TEXT(J$6,"yyyymm") &amp; "]",
"[Base].[Metrica]",
"[Base].[Metrica].&amp;[" &amp; $A44 &amp; "]",
"[Base].[SEGMENTO_DESCRIP]",
"[Base].[SEGMENTO_DESCRIP].&amp;[" &amp; $C$6 &amp; "]",
"[Base].[SITUACION]",
"[Base].[SITUACION].&amp;[" &amp; $C44 &amp; "]"
),0)/1000</f>
        <v>-22361.898219130002</v>
      </c>
      <c r="K44" s="8">
        <f>-IFERROR(
GETPIVOTDATA(
"[Base].[Importe]",
TDinamica_R!$A$5,
"[Calendario].[AñoMes]",
"[Calendario].[AñoMes].&amp;[" &amp; TEXT(K$6,"yyyymm") &amp; "]",
"[Base].[Metrica]",
"[Base].[Metrica].&amp;[" &amp; $A44 &amp; "]",
"[Base].[SEGMENTO_DESCRIP]",
"[Base].[SEGMENTO_DESCRIP].&amp;[" &amp; $C$6 &amp; "]",
"[Base].[SITUACION]",
"[Base].[SITUACION].&amp;[" &amp; $C44 &amp; "]"
),0)/1000</f>
        <v>-22441.478458299996</v>
      </c>
      <c r="L44" s="8">
        <f>-IFERROR(
GETPIVOTDATA(
"[Base].[Importe]",
TDinamica_R!$A$5,
"[Calendario].[AñoMes]",
"[Calendario].[AñoMes].&amp;[" &amp; TEXT(L$6,"yyyymm") &amp; "]",
"[Base].[Metrica]",
"[Base].[Metrica].&amp;[" &amp; $A44 &amp; "]",
"[Base].[SEGMENTO_DESCRIP]",
"[Base].[SEGMENTO_DESCRIP].&amp;[" &amp; $C$6 &amp; "]",
"[Base].[SITUACION]",
"[Base].[SITUACION].&amp;[" &amp; $C44 &amp; "]"
),0)/1000</f>
        <v>-22607.273843719995</v>
      </c>
      <c r="M44" s="8">
        <f>-IFERROR(
GETPIVOTDATA(
"[Base].[Importe]",
TDinamica_R!$A$5,
"[Calendario].[AñoMes]",
"[Calendario].[AñoMes].&amp;[" &amp; TEXT(M$6,"yyyymm") &amp; "]",
"[Base].[Metrica]",
"[Base].[Metrica].&amp;[" &amp; $A44 &amp; "]",
"[Base].[SEGMENTO_DESCRIP]",
"[Base].[SEGMENTO_DESCRIP].&amp;[" &amp; $C$6 &amp; "]",
"[Base].[SITUACION]",
"[Base].[SITUACION].&amp;[" &amp; $C44 &amp; "]"
),0)/1000</f>
        <v>-22809.875839750002</v>
      </c>
      <c r="N44" s="8">
        <f>-IFERROR(
GETPIVOTDATA(
"[Base].[Importe]",
TDinamica_R!$A$5,
"[Calendario].[AñoMes]",
"[Calendario].[AñoMes].&amp;[" &amp; TEXT(N$6,"yyyymm") &amp; "]",
"[Base].[Metrica]",
"[Base].[Metrica].&amp;[" &amp; $A44 &amp; "]",
"[Base].[SEGMENTO_DESCRIP]",
"[Base].[SEGMENTO_DESCRIP].&amp;[" &amp; $C$6 &amp; "]",
"[Base].[SITUACION]",
"[Base].[SITUACION].&amp;[" &amp; $C44 &amp; "]"
),0)/1000</f>
        <v>-22913.799444800003</v>
      </c>
      <c r="O44" s="8">
        <f>-IFERROR(
GETPIVOTDATA(
"[Base].[Importe]",
TDinamica_R!$A$5,
"[Calendario].[AñoMes]",
"[Calendario].[AñoMes].&amp;[" &amp; TEXT(O$6,"yyyymm") &amp; "]",
"[Base].[Metrica]",
"[Base].[Metrica].&amp;[" &amp; $A44 &amp; "]",
"[Base].[SEGMENTO_DESCRIP]",
"[Base].[SEGMENTO_DESCRIP].&amp;[" &amp; $C$6 &amp; "]",
"[Base].[SITUACION]",
"[Base].[SITUACION].&amp;[" &amp; $C44 &amp; "]"
),0)/1000</f>
        <v>-23044.78263428999</v>
      </c>
      <c r="P44" s="8">
        <f>-IFERROR(
GETPIVOTDATA(
"[Base].[Importe]",
TDinamica_R!$A$5,
"[Calendario].[AñoMes]",
"[Calendario].[AñoMes].&amp;[" &amp; TEXT(P$6,"yyyymm") &amp; "]",
"[Base].[Metrica]",
"[Base].[Metrica].&amp;[" &amp; $A44 &amp; "]",
"[Base].[SEGMENTO_DESCRIP]",
"[Base].[SEGMENTO_DESCRIP].&amp;[" &amp; $C$6 &amp; "]",
"[Base].[SITUACION]",
"[Base].[SITUACION].&amp;[" &amp; $C44 &amp; "]"
),0)/1000</f>
        <v>-23137.912690020006</v>
      </c>
      <c r="Q44" s="8">
        <f>-IFERROR(
GETPIVOTDATA(
"[Base].[Importe]",
TDinamica_R!$A$5,
"[Calendario].[AñoMes]",
"[Calendario].[AñoMes].&amp;[" &amp; TEXT(Q$6,"yyyymm") &amp; "]",
"[Base].[Metrica]",
"[Base].[Metrica].&amp;[" &amp; $A44 &amp; "]",
"[Base].[SEGMENTO_DESCRIP]",
"[Base].[SEGMENTO_DESCRIP].&amp;[" &amp; $C$6 &amp; "]",
"[Base].[SITUACION]",
"[Base].[SITUACION].&amp;[" &amp; $C44 &amp; "]"
),0)/1000</f>
        <v>-23249.885892999995</v>
      </c>
      <c r="R44" s="8">
        <f>-IFERROR(
GETPIVOTDATA(
"[Base].[Importe]",
TDinamica_R!$A$5,
"[Calendario].[AñoMes]",
"[Calendario].[AñoMes].&amp;[" &amp; TEXT(R$6,"yyyymm") &amp; "]",
"[Base].[Metrica]",
"[Base].[Metrica].&amp;[" &amp; $A44 &amp; "]",
"[Base].[SEGMENTO_DESCRIP]",
"[Base].[SEGMENTO_DESCRIP].&amp;[" &amp; $C$6 &amp; "]",
"[Base].[SITUACION]",
"[Base].[SITUACION].&amp;[" &amp; $C44 &amp; "]"
),0)/1000</f>
        <v>-23425.860354799996</v>
      </c>
      <c r="S44" s="8">
        <f>-IFERROR(
GETPIVOTDATA(
"[Base].[Importe]",
TDinamica_R!$A$5,
"[Calendario].[AñoMes]",
"[Calendario].[AñoMes].&amp;[" &amp; TEXT(S$6,"yyyymm") &amp; "]",
"[Base].[Metrica]",
"[Base].[Metrica].&amp;[" &amp; $A44 &amp; "]",
"[Base].[SEGMENTO_DESCRIP]",
"[Base].[SEGMENTO_DESCRIP].&amp;[" &amp; $C$6 &amp; "]",
"[Base].[SITUACION]",
"[Base].[SITUACION].&amp;[" &amp; $C44 &amp; "]"
),0)/1000</f>
        <v>-23524.776358679996</v>
      </c>
      <c r="T44" s="8">
        <f>-IFERROR(
GETPIVOTDATA(
"[Base].[Importe]",
TDinamica_R!$A$5,
"[Calendario].[AñoMes]",
"[Calendario].[AñoMes].&amp;[" &amp; TEXT(T$6,"yyyymm") &amp; "]",
"[Base].[Metrica]",
"[Base].[Metrica].&amp;[" &amp; $A44 &amp; "]",
"[Base].[SEGMENTO_DESCRIP]",
"[Base].[SEGMENTO_DESCRIP].&amp;[" &amp; $C$6 &amp; "]",
"[Base].[SITUACION]",
"[Base].[SITUACION].&amp;[" &amp; $C44 &amp; "]"
),0)/1000</f>
        <v>-23744.239454900009</v>
      </c>
      <c r="U44" s="8">
        <f>-IFERROR(
GETPIVOTDATA(
"[Base].[Importe]",
TDinamica_R!$A$5,
"[Calendario].[AñoMes]",
"[Calendario].[AñoMes].&amp;[" &amp; TEXT(U$6,"yyyymm") &amp; "]",
"[Base].[Metrica]",
"[Base].[Metrica].&amp;[" &amp; $A44 &amp; "]",
"[Base].[SEGMENTO_DESCRIP]",
"[Base].[SEGMENTO_DESCRIP].&amp;[" &amp; $C$6 &amp; "]",
"[Base].[SITUACION]",
"[Base].[SITUACION].&amp;[" &amp; $C44 &amp; "]"
),0)/1000</f>
        <v>-23816.188762609996</v>
      </c>
      <c r="V44" s="8">
        <f>-IFERROR(
GETPIVOTDATA(
"[Base].[Importe]",
TDinamica_R!$A$5,
"[Calendario].[AñoMes]",
"[Calendario].[AñoMes].&amp;[" &amp; TEXT(V$6,"yyyymm") &amp; "]",
"[Base].[Metrica]",
"[Base].[Metrica].&amp;[" &amp; $A44 &amp; "]",
"[Base].[SEGMENTO_DESCRIP]",
"[Base].[SEGMENTO_DESCRIP].&amp;[" &amp; $C$6 &amp; "]",
"[Base].[SITUACION]",
"[Base].[SITUACION].&amp;[" &amp; $C44 &amp; "]"
),0)/1000</f>
        <v>-24089.560327259995</v>
      </c>
      <c r="W44" s="8">
        <f>-IFERROR(
GETPIVOTDATA(
"[Base].[Importe]",
TDinamica_R!$A$5,
"[Calendario].[AñoMes]",
"[Calendario].[AñoMes].&amp;[" &amp; TEXT(W$6,"yyyymm") &amp; "]",
"[Base].[Metrica]",
"[Base].[Metrica].&amp;[" &amp; $A44 &amp; "]",
"[Base].[SEGMENTO_DESCRIP]",
"[Base].[SEGMENTO_DESCRIP].&amp;[" &amp; $C$6 &amp; "]",
"[Base].[SITUACION]",
"[Base].[SITUACION].&amp;[" &amp; $C44 &amp; "]"
),0)/1000</f>
        <v>-24470.186900180001</v>
      </c>
      <c r="X44" s="8">
        <f>-IFERROR(
GETPIVOTDATA(
"[Base].[Importe]",
TDinamica_R!$A$5,
"[Calendario].[AñoMes]",
"[Calendario].[AñoMes].&amp;[" &amp; TEXT(X$6,"yyyymm") &amp; "]",
"[Base].[Metrica]",
"[Base].[Metrica].&amp;[" &amp; $A44 &amp; "]",
"[Base].[SEGMENTO_DESCRIP]",
"[Base].[SEGMENTO_DESCRIP].&amp;[" &amp; $C$6 &amp; "]",
"[Base].[SITUACION]",
"[Base].[SITUACION].&amp;[" &amp; $C44 &amp; "]"
),0)/1000</f>
        <v>-24453.149822740004</v>
      </c>
      <c r="Y44" s="8">
        <f>-IFERROR(
GETPIVOTDATA(
"[Base].[Importe]",
TDinamica_R!$A$5,
"[Calendario].[AñoMes]",
"[Calendario].[AñoMes].&amp;[" &amp; TEXT(Y$6,"yyyymm") &amp; "]",
"[Base].[Metrica]",
"[Base].[Metrica].&amp;[" &amp; $A44 &amp; "]",
"[Base].[SEGMENTO_DESCRIP]",
"[Base].[SEGMENTO_DESCRIP].&amp;[" &amp; $C$6 &amp; "]",
"[Base].[SITUACION]",
"[Base].[SITUACION].&amp;[" &amp; $C44 &amp; "]"
),0)/1000</f>
        <v>-24564.563168320004</v>
      </c>
      <c r="Z44" s="8">
        <f>-IFERROR(
GETPIVOTDATA(
"[Base].[Importe]",
TDinamica_R!$A$5,
"[Calendario].[AñoMes]",
"[Calendario].[AñoMes].&amp;[" &amp; TEXT(Z$6,"yyyymm") &amp; "]",
"[Base].[Metrica]",
"[Base].[Metrica].&amp;[" &amp; $A44 &amp; "]",
"[Base].[SEGMENTO_DESCRIP]",
"[Base].[SEGMENTO_DESCRIP].&amp;[" &amp; $C$6 &amp; "]",
"[Base].[SITUACION]",
"[Base].[SITUACION].&amp;[" &amp; $C44 &amp; "]"
),0)/1000</f>
        <v>-24752.101725960001</v>
      </c>
      <c r="AA44" s="8">
        <f>-IFERROR(
GETPIVOTDATA(
"[Base].[Importe]",
TDinamica_R!$A$5,
"[Calendario].[AñoMes]",
"[Calendario].[AñoMes].&amp;[" &amp; TEXT(AA$6,"yyyymm") &amp; "]",
"[Base].[Metrica]",
"[Base].[Metrica].&amp;[" &amp; $A44 &amp; "]",
"[Base].[SEGMENTO_DESCRIP]",
"[Base].[SEGMENTO_DESCRIP].&amp;[" &amp; $C$6 &amp; "]",
"[Base].[SITUACION]",
"[Base].[SITUACION].&amp;[" &amp; $C44 &amp; "]"
),0)/1000</f>
        <v>-24868.6436211</v>
      </c>
      <c r="AB44" s="8">
        <f>-IFERROR(
GETPIVOTDATA(
"[Base].[Importe]",
TDinamica_R!$A$5,
"[Calendario].[AñoMes]",
"[Calendario].[AñoMes].&amp;[" &amp; TEXT(AB$6,"yyyymm") &amp; "]",
"[Base].[Metrica]",
"[Base].[Metrica].&amp;[" &amp; $A44 &amp; "]",
"[Base].[SEGMENTO_DESCRIP]",
"[Base].[SEGMENTO_DESCRIP].&amp;[" &amp; $C$6 &amp; "]",
"[Base].[SITUACION]",
"[Base].[SITUACION].&amp;[" &amp; $C44 &amp; "]"
),0)/1000</f>
        <v>-25068.421321650007</v>
      </c>
      <c r="AC44" s="8">
        <f>-IFERROR(
GETPIVOTDATA(
"[Base].[Importe]",
TDinamica_R!$A$5,
"[Calendario].[AñoMes]",
"[Calendario].[AñoMes].&amp;[" &amp; TEXT(AC$6,"yyyymm") &amp; "]",
"[Base].[Metrica]",
"[Base].[Metrica].&amp;[" &amp; $A44 &amp; "]",
"[Base].[SEGMENTO_DESCRIP]",
"[Base].[SEGMENTO_DESCRIP].&amp;[" &amp; $C$6 &amp; "]",
"[Base].[SITUACION]",
"[Base].[SITUACION].&amp;[" &amp; $C44 &amp; "]"
),0)/1000</f>
        <v>-25238.581843999997</v>
      </c>
      <c r="AD44" s="8">
        <f>-IFERROR(
GETPIVOTDATA(
"[Base].[Importe]",
TDinamica_R!$A$5,
"[Calendario].[AñoMes]",
"[Calendario].[AñoMes].&amp;[" &amp; TEXT(AD$6,"yyyymm") &amp; "]",
"[Base].[Metrica]",
"[Base].[Metrica].&amp;[" &amp; $A44 &amp; "]",
"[Base].[SEGMENTO_DESCRIP]",
"[Base].[SEGMENTO_DESCRIP].&amp;[" &amp; $C$6 &amp; "]",
"[Base].[SITUACION]",
"[Base].[SITUACION].&amp;[" &amp; $C44 &amp; "]"
),0)/1000</f>
        <v>-25517.205905500006</v>
      </c>
      <c r="AE44" s="8">
        <f>-IFERROR(
GETPIVOTDATA(
"[Base].[Importe]",
TDinamica_R!$A$5,
"[Calendario].[AñoMes]",
"[Calendario].[AñoMes].&amp;[" &amp; TEXT(AE$6,"yyyymm") &amp; "]",
"[Base].[Metrica]",
"[Base].[Metrica].&amp;[" &amp; $A44 &amp; "]",
"[Base].[SEGMENTO_DESCRIP]",
"[Base].[SEGMENTO_DESCRIP].&amp;[" &amp; $C$6 &amp; "]",
"[Base].[SITUACION]",
"[Base].[SITUACION].&amp;[" &amp; $C44 &amp; "]"
),0)/1000</f>
        <v>-25687.187735689989</v>
      </c>
      <c r="AF44" s="8">
        <f>-IFERROR(
GETPIVOTDATA(
"[Base].[Importe]",
TDinamica_R!$A$5,
"[Calendario].[AñoMes]",
"[Calendario].[AñoMes].&amp;[" &amp; TEXT(AF$6,"yyyymm") &amp; "]",
"[Base].[Metrica]",
"[Base].[Metrica].&amp;[" &amp; $A44 &amp; "]",
"[Base].[SEGMENTO_DESCRIP]",
"[Base].[SEGMENTO_DESCRIP].&amp;[" &amp; $C$6 &amp; "]",
"[Base].[SITUACION]",
"[Base].[SITUACION].&amp;[" &amp; $C44 &amp; "]"
),0)/1000</f>
        <v>-25943.191497200005</v>
      </c>
      <c r="AG44" s="8">
        <f>-IFERROR(
GETPIVOTDATA(
"[Base].[Importe]",
TDinamica_R!$A$5,
"[Calendario].[AñoMes]",
"[Calendario].[AñoMes].&amp;[" &amp; TEXT(AG$6,"yyyymm") &amp; "]",
"[Base].[Metrica]",
"[Base].[Metrica].&amp;[" &amp; $A44 &amp; "]",
"[Base].[SEGMENTO_DESCRIP]",
"[Base].[SEGMENTO_DESCRIP].&amp;[" &amp; $C$6 &amp; "]",
"[Base].[SITUACION]",
"[Base].[SITUACION].&amp;[" &amp; $C44 &amp; "]"
),0)/1000</f>
        <v>-26131.596405</v>
      </c>
      <c r="AH44" s="8">
        <f>-IFERROR(
GETPIVOTDATA(
"[Base].[Importe]",
TDinamica_R!$A$5,
"[Calendario].[AñoMes]",
"[Calendario].[AñoMes].&amp;[" &amp; TEXT(AH$6,"yyyymm") &amp; "]",
"[Base].[Metrica]",
"[Base].[Metrica].&amp;[" &amp; $A44 &amp; "]",
"[Base].[SEGMENTO_DESCRIP]",
"[Base].[SEGMENTO_DESCRIP].&amp;[" &amp; $C$6 &amp; "]",
"[Base].[SITUACION]",
"[Base].[SITUACION].&amp;[" &amp; $C44 &amp; "]"
),0)/1000</f>
        <v>-26498.384372879995</v>
      </c>
      <c r="AI44" s="8">
        <f>-IFERROR(
GETPIVOTDATA(
"[Base].[Importe]",
TDinamica_R!$A$5,
"[Calendario].[AñoMes]",
"[Calendario].[AñoMes].&amp;[" &amp; TEXT(AI$6,"yyyymm") &amp; "]",
"[Base].[Metrica]",
"[Base].[Metrica].&amp;[" &amp; $A44 &amp; "]",
"[Base].[SEGMENTO_DESCRIP]",
"[Base].[SEGMENTO_DESCRIP].&amp;[" &amp; $C$6 &amp; "]",
"[Base].[SITUACION]",
"[Base].[SITUACION].&amp;[" &amp; $C44 &amp; "]"
),0)/1000</f>
        <v>-26717.431668650006</v>
      </c>
      <c r="AJ44" s="8">
        <f>-IFERROR(
GETPIVOTDATA(
"[Base].[Importe]",
TDinamica_R!$A$5,
"[Calendario].[AñoMes]",
"[Calendario].[AñoMes].&amp;[" &amp; TEXT(AJ$6,"yyyymm") &amp; "]",
"[Base].[Metrica]",
"[Base].[Metrica].&amp;[" &amp; $A44 &amp; "]",
"[Base].[SEGMENTO_DESCRIP]",
"[Base].[SEGMENTO_DESCRIP].&amp;[" &amp; $C$6 &amp; "]",
"[Base].[SITUACION]",
"[Base].[SITUACION].&amp;[" &amp; $C44 &amp; "]"
),0)/1000</f>
        <v>-27110.518805029991</v>
      </c>
      <c r="AK44" s="8">
        <f>-IFERROR(
GETPIVOTDATA(
"[Base].[Importe]",
TDinamica_R!$A$5,
"[Calendario].[AñoMes]",
"[Calendario].[AñoMes].&amp;[" &amp; TEXT(AK$6,"yyyymm") &amp; "]",
"[Base].[Metrica]",
"[Base].[Metrica].&amp;[" &amp; $A44 &amp; "]",
"[Base].[SEGMENTO_DESCRIP]",
"[Base].[SEGMENTO_DESCRIP].&amp;[" &amp; $C$6 &amp; "]",
"[Base].[SITUACION]",
"[Base].[SITUACION].&amp;[" &amp; $C44 &amp; "]"
),0)/1000</f>
        <v>-27377.101189020002</v>
      </c>
      <c r="AL44" s="8">
        <f>-IFERROR(
GETPIVOTDATA(
"[Base].[Importe]",
TDinamica_R!$A$5,
"[Calendario].[AñoMes]",
"[Calendario].[AñoMes].&amp;[" &amp; TEXT(AL$6,"yyyymm") &amp; "]",
"[Base].[Metrica]",
"[Base].[Metrica].&amp;[" &amp; $A44 &amp; "]",
"[Base].[SEGMENTO_DESCRIP]",
"[Base].[SEGMENTO_DESCRIP].&amp;[" &amp; $C$6 &amp; "]",
"[Base].[SITUACION]",
"[Base].[SITUACION].&amp;[" &amp; $C44 &amp; "]"
),0)/1000</f>
        <v>-27774.971860340003</v>
      </c>
      <c r="AM44" s="8">
        <f>-IFERROR(
GETPIVOTDATA(
"[Base].[Importe]",
TDinamica_R!$A$5,
"[Calendario].[AñoMes]",
"[Calendario].[AñoMes].&amp;[" &amp; TEXT(AM$6,"yyyymm") &amp; "]",
"[Base].[Metrica]",
"[Base].[Metrica].&amp;[" &amp; $A44 &amp; "]",
"[Base].[SEGMENTO_DESCRIP]",
"[Base].[SEGMENTO_DESCRIP].&amp;[" &amp; $C$6 &amp; "]",
"[Base].[SITUACION]",
"[Base].[SITUACION].&amp;[" &amp; $C44 &amp; "]"
),0)/1000</f>
        <v>-28055.520394359999</v>
      </c>
      <c r="AN44" s="8">
        <f>-IFERROR(
GETPIVOTDATA(
"[Base].[Importe]",
TDinamica_R!$A$5,
"[Calendario].[AñoMes]",
"[Calendario].[AñoMes].&amp;[" &amp; TEXT(AN$6,"yyyymm") &amp; "]",
"[Base].[Metrica]",
"[Base].[Metrica].&amp;[" &amp; $A44 &amp; "]",
"[Base].[SEGMENTO_DESCRIP]",
"[Base].[SEGMENTO_DESCRIP].&amp;[" &amp; $C$6 &amp; "]",
"[Base].[SITUACION]",
"[Base].[SITUACION].&amp;[" &amp; $C44 &amp; "]"
),0)/1000</f>
        <v>-28397.649057320003</v>
      </c>
      <c r="AO44" s="8">
        <f>-IFERROR(
GETPIVOTDATA(
"[Base].[Importe]",
TDinamica_R!$A$5,
"[Calendario].[AñoMes]",
"[Calendario].[AñoMes].&amp;[" &amp; TEXT(AO$6,"yyyymm") &amp; "]",
"[Base].[Metrica]",
"[Base].[Metrica].&amp;[" &amp; $A44 &amp; "]",
"[Base].[SEGMENTO_DESCRIP]",
"[Base].[SEGMENTO_DESCRIP].&amp;[" &amp; $C$6 &amp; "]",
"[Base].[SITUACION]",
"[Base].[SITUACION].&amp;[" &amp; $C44 &amp; "]"
),0)/1000</f>
        <v>-28736.706734769999</v>
      </c>
      <c r="AP44" s="8">
        <f>-IFERROR(
GETPIVOTDATA(
"[Base].[Importe]",
TDinamica_R!$A$5,
"[Calendario].[AñoMes]",
"[Calendario].[AñoMes].&amp;[" &amp; TEXT(AP$6,"yyyymm") &amp; "]",
"[Base].[Metrica]",
"[Base].[Metrica].&amp;[" &amp; $A44 &amp; "]",
"[Base].[SEGMENTO_DESCRIP]",
"[Base].[SEGMENTO_DESCRIP].&amp;[" &amp; $C$6 &amp; "]",
"[Base].[SITUACION]",
"[Base].[SITUACION].&amp;[" &amp; $C44 &amp; "]"
),0)/1000</f>
        <v>-29070.338815499992</v>
      </c>
      <c r="AQ44" s="8">
        <f>-IFERROR(
GETPIVOTDATA(
"[Base].[Importe]",
TDinamica_R!$A$5,
"[Calendario].[AñoMes]",
"[Calendario].[AñoMes].&amp;[" &amp; TEXT(AQ$6,"yyyymm") &amp; "]",
"[Base].[Metrica]",
"[Base].[Metrica].&amp;[" &amp; $A44 &amp; "]",
"[Base].[SEGMENTO_DESCRIP]",
"[Base].[SEGMENTO_DESCRIP].&amp;[" &amp; $C$6 &amp; "]",
"[Base].[SITUACION]",
"[Base].[SITUACION].&amp;[" &amp; $C44 &amp; "]"
),0)/1000</f>
        <v>-29230.817520209999</v>
      </c>
      <c r="AR44" s="8">
        <f>-IFERROR(
GETPIVOTDATA(
"[Base].[Importe]",
TDinamica_R!$A$5,
"[Calendario].[AñoMes]",
"[Calendario].[AñoMes].&amp;[" &amp; TEXT(AR$6,"yyyymm") &amp; "]",
"[Base].[Metrica]",
"[Base].[Metrica].&amp;[" &amp; $A44 &amp; "]",
"[Base].[SEGMENTO_DESCRIP]",
"[Base].[SEGMENTO_DESCRIP].&amp;[" &amp; $C$6 &amp; "]",
"[Base].[SITUACION]",
"[Base].[SITUACION].&amp;[" &amp; $C44 &amp; "]"
),0)/1000</f>
        <v>-29618.279278919985</v>
      </c>
      <c r="AS44" s="8">
        <f>-IFERROR(
GETPIVOTDATA(
"[Base].[Importe]",
TDinamica_R!$A$5,
"[Calendario].[AñoMes]",
"[Calendario].[AñoMes].&amp;[" &amp; TEXT(AS$6,"yyyymm") &amp; "]",
"[Base].[Metrica]",
"[Base].[Metrica].&amp;[" &amp; $A44 &amp; "]",
"[Base].[SEGMENTO_DESCRIP]",
"[Base].[SEGMENTO_DESCRIP].&amp;[" &amp; $C$6 &amp; "]",
"[Base].[SITUACION]",
"[Base].[SITUACION].&amp;[" &amp; $C44 &amp; "]"
),0)/1000</f>
        <v>-29909.638993700006</v>
      </c>
      <c r="AT44" s="8">
        <f>-IFERROR(
GETPIVOTDATA(
"[Base].[Importe]",
TDinamica_R!$A$5,
"[Calendario].[AñoMes]",
"[Calendario].[AñoMes].&amp;[" &amp; TEXT(AT$6,"yyyymm")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U44" s="8">
        <f>-IFERROR(
GETPIVOTDATA(
"[Base].[Importe]",
TDinamica_R!$A$5,
"[Calendario].[AñoMes]",
"[Calendario].[AñoMes].&amp;[" &amp; TEXT(AU$6,"yyyymm")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V44" s="8">
        <f>-IFERROR(
GETPIVOTDATA(
"[Base].[Importe]",
TDinamica_R!$A$5,
"[Calendario].[AñoMes]",
"[Calendario].[AñoMes].&amp;[" &amp; TEXT(AV$6,"yyyymm")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W44" s="8">
        <f>-IFERROR(
GETPIVOTDATA(
"[Base].[Importe]",
TDinamica_R!$A$5,
"[Calendario].[AñoMes]",
"[Calendario].[AñoMes].&amp;[" &amp; TEXT(AW$6,"yyyymm")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X44" s="8">
        <f>-IFERROR(
GETPIVOTDATA(
"[Base].[Importe]",
TDinamica_R!$A$5,
"[Calendario].[AñoMes]",
"[Calendario].[AñoMes].&amp;[" &amp; TEXT(AX$6,"yyyymm")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Y44" s="8">
        <f>-IFERROR(
GETPIVOTDATA(
"[Base].[Importe]",
TDinamica_R!$A$5,
"[Calendario].[AñoMes]",
"[Calendario].[AñoMes].&amp;[" &amp; TEXT(AY$6,"yyyymm")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Z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"[BASE_HIPO_PPTO].[Periodo]","[BASE_HIPO_PPTO].[Periodo].&amp;["&amp;TEXT(AZ$6,"yyyymm")&amp;"]"),
0)/1000</f>
        <v>-28239.414470552485</v>
      </c>
      <c r="BA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"[BASE_HIPO_PPTO].[Periodo]","[BASE_HIPO_PPTO].[Periodo].&amp;["&amp;TEXT(BA$6,"yyyymm")&amp;"]"),
0)/1000</f>
        <v>-28495.69766066903</v>
      </c>
      <c r="BB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"[BASE_HIPO_PPTO].[Periodo]","[BASE_HIPO_PPTO].[Periodo].&amp;["&amp;TEXT(BB$6,"yyyymm")&amp;"]"),
0)/1000</f>
        <v>-28729.473552027477</v>
      </c>
      <c r="BC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"[BASE_HIPO_PPTO].[Periodo]","[BASE_HIPO_PPTO].[Periodo].&amp;["&amp;TEXT(BC$6,"yyyymm")&amp;"]"),
0)/1000</f>
        <v>-28982.846465046121</v>
      </c>
      <c r="BD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"[BASE_HIPO_PPTO].[Periodo]","[BASE_HIPO_PPTO].[Periodo].&amp;["&amp;TEXT(BD$6,"yyyymm")&amp;"]"),
0)/1000</f>
        <v>-29245.075962125702</v>
      </c>
      <c r="BE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"[BASE_HIPO_PPTO].[Periodo]","[BASE_HIPO_PPTO].[Periodo].&amp;["&amp;TEXT(BE$6,"yyyymm")&amp;"]"),
0)/1000</f>
        <v>-29524.747863410445</v>
      </c>
      <c r="BF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"[BASE_HIPO_PPTO].[Periodo]","[BASE_HIPO_PPTO].[Periodo].&amp;["&amp;TEXT(BF$6,"yyyymm")&amp;"]"),
0)/1000</f>
        <v>-29763.890597136422</v>
      </c>
      <c r="BG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"[BASE_HIPO_PPTO].[Periodo]","[BASE_HIPO_PPTO].[Periodo].&amp;["&amp;TEXT(BG$6,"yyyymm")&amp;"]"),
0)/1000</f>
        <v>-30072.872430228676</v>
      </c>
      <c r="BH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"[BASE_HIPO_PPTO].[Periodo]","[BASE_HIPO_PPTO].[Periodo].&amp;["&amp;TEXT(BH$6,"yyyymm")&amp;"]"),
0)/1000</f>
        <v>-30372.877954944128</v>
      </c>
      <c r="BI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"[BASE_HIPO_PPTO].[Periodo]","[BASE_HIPO_PPTO].[Periodo].&amp;["&amp;TEXT(BI$6,"yyyymm")&amp;"]"),
0)/1000</f>
        <v>-30727.344759346448</v>
      </c>
      <c r="BJ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"[BASE_HIPO_PPTO].[Periodo]","[BASE_HIPO_PPTO].[Periodo].&amp;["&amp;TEXT(BJ$6,"yyyymm")&amp;"]"),
0)/1000</f>
        <v>-31034.938136484448</v>
      </c>
      <c r="BK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"[BASE_HIPO_PPTO].[Periodo]","[BASE_HIPO_PPTO].[Periodo].&amp;["&amp;TEXT(BK$6,"yyyymm")&amp;"]"),
0)/1000</f>
        <v>-31301.538265218471</v>
      </c>
      <c r="BO44" s="24">
        <f t="shared" ref="BO44:BT46" si="31">SUMIFS($D44:$BM44,$D$6:$BM$6,"&gt;="&amp;BO$2,$D$6:$BM$6,"&lt;="&amp;BO$6,$D$5:$BM$5,BO$5)</f>
        <v>-86204.694607590005</v>
      </c>
      <c r="BP44" s="24">
        <f t="shared" si="31"/>
        <v>-85464.585683248995</v>
      </c>
      <c r="BQ44" s="24">
        <f t="shared" si="31"/>
        <v>-57134.355792090006</v>
      </c>
      <c r="BR44" s="24">
        <f t="shared" si="31"/>
        <v>-75824.20907115002</v>
      </c>
      <c r="BS44" s="24">
        <f t="shared" si="31"/>
        <v>-69813.658937820001</v>
      </c>
      <c r="BT44" s="24">
        <f t="shared" si="31"/>
        <v>-63753.184010219993</v>
      </c>
    </row>
    <row r="45" spans="1:72" hidden="1" outlineLevel="1" x14ac:dyDescent="0.25">
      <c r="A45" s="11" t="s">
        <v>50</v>
      </c>
      <c r="C45" s="2" t="s">
        <v>1</v>
      </c>
      <c r="D45" s="8">
        <f>-IFERROR(
GETPIVOTDATA(
"[Base].[Importe]",
TDinamica_R!$A$5,
"[Calendario].[AñoMes]",
"[Calendario].[AñoMes].&amp;[" &amp; TEXT(D$6,"yyyymm") &amp; "]",
"[Base].[Metrica]",
"[Base].[Metrica].&amp;[" &amp; $A45 &amp; "]",
"[Base].[SEGMENTO_DESCRIP]",
"[Base].[SEGMENTO_DESCRIP].&amp;[" &amp; $C$6 &amp; "]",
"[Base].[SITUACION]",
"[Base].[SITUACION].&amp;[" &amp; $C45 &amp; "]"
),0)/1000</f>
        <v>-101.87126938999999</v>
      </c>
      <c r="E45" s="8">
        <f>-IFERROR(
GETPIVOTDATA(
"[Base].[Importe]",
TDinamica_R!$A$5,
"[Calendario].[AñoMes]",
"[Calendario].[AñoMes].&amp;[" &amp; TEXT(E$6,"yyyymm") &amp; "]",
"[Base].[Metrica]",
"[Base].[Metrica].&amp;[" &amp; $A45 &amp; "]",
"[Base].[SEGMENTO_DESCRIP]",
"[Base].[SEGMENTO_DESCRIP].&amp;[" &amp; $C$6 &amp; "]",
"[Base].[SITUACION]",
"[Base].[SITUACION].&amp;[" &amp; $C45 &amp; "]"
),0)/1000</f>
        <v>-99.349567539999995</v>
      </c>
      <c r="F45" s="8">
        <f>-IFERROR(
GETPIVOTDATA(
"[Base].[Importe]",
TDinamica_R!$A$5,
"[Calendario].[AñoMes]",
"[Calendario].[AñoMes].&amp;[" &amp; TEXT(F$6,"yyyymm") &amp; "]",
"[Base].[Metrica]",
"[Base].[Metrica].&amp;[" &amp; $A45 &amp; "]",
"[Base].[SEGMENTO_DESCRIP]",
"[Base].[SEGMENTO_DESCRIP].&amp;[" &amp; $C$6 &amp; "]",
"[Base].[SITUACION]",
"[Base].[SITUACION].&amp;[" &amp; $C45 &amp; "]"
),0)/1000</f>
        <v>-102.90518620000002</v>
      </c>
      <c r="G45" s="8">
        <f>-IFERROR(
GETPIVOTDATA(
"[Base].[Importe]",
TDinamica_R!$A$5,
"[Calendario].[AñoMes]",
"[Calendario].[AñoMes].&amp;[" &amp; TEXT(G$6,"yyyymm") &amp; "]",
"[Base].[Metrica]",
"[Base].[Metrica].&amp;[" &amp; $A45 &amp; "]",
"[Base].[SEGMENTO_DESCRIP]",
"[Base].[SEGMENTO_DESCRIP].&amp;[" &amp; $C$6 &amp; "]",
"[Base].[SITUACION]",
"[Base].[SITUACION].&amp;[" &amp; $C45 &amp; "]"
),0)/1000</f>
        <v>-103.18139240000001</v>
      </c>
      <c r="H45" s="8">
        <f>-IFERROR(
GETPIVOTDATA(
"[Base].[Importe]",
TDinamica_R!$A$5,
"[Calendario].[AñoMes]",
"[Calendario].[AñoMes].&amp;[" &amp; TEXT(H$6,"yyyymm") &amp; "]",
"[Base].[Metrica]",
"[Base].[Metrica].&amp;[" &amp; $A45 &amp; "]",
"[Base].[SEGMENTO_DESCRIP]",
"[Base].[SEGMENTO_DESCRIP].&amp;[" &amp; $C$6 &amp; "]",
"[Base].[SITUACION]",
"[Base].[SITUACION].&amp;[" &amp; $C45 &amp; "]"
),0)/1000</f>
        <v>-100.98982088</v>
      </c>
      <c r="I45" s="8">
        <f>-IFERROR(
GETPIVOTDATA(
"[Base].[Importe]",
TDinamica_R!$A$5,
"[Calendario].[AñoMes]",
"[Calendario].[AñoMes].&amp;[" &amp; TEXT(I$6,"yyyymm") &amp; "]",
"[Base].[Metrica]",
"[Base].[Metrica].&amp;[" &amp; $A45 &amp; "]",
"[Base].[SEGMENTO_DESCRIP]",
"[Base].[SEGMENTO_DESCRIP].&amp;[" &amp; $C$6 &amp; "]",
"[Base].[SITUACION]",
"[Base].[SITUACION].&amp;[" &amp; $C45 &amp; "]"
),0)/1000</f>
        <v>-100.194456</v>
      </c>
      <c r="J45" s="8">
        <f>-IFERROR(
GETPIVOTDATA(
"[Base].[Importe]",
TDinamica_R!$A$5,
"[Calendario].[AñoMes]",
"[Calendario].[AñoMes].&amp;[" &amp; TEXT(J$6,"yyyymm") &amp; "]",
"[Base].[Metrica]",
"[Base].[Metrica].&amp;[" &amp; $A45 &amp; "]",
"[Base].[SEGMENTO_DESCRIP]",
"[Base].[SEGMENTO_DESCRIP].&amp;[" &amp; $C$6 &amp; "]",
"[Base].[SITUACION]",
"[Base].[SITUACION].&amp;[" &amp; $C45 &amp; "]"
),0)/1000</f>
        <v>-101.08290188000001</v>
      </c>
      <c r="K45" s="8">
        <f>-IFERROR(
GETPIVOTDATA(
"[Base].[Importe]",
TDinamica_R!$A$5,
"[Calendario].[AñoMes]",
"[Calendario].[AñoMes].&amp;[" &amp; TEXT(K$6,"yyyymm") &amp; "]",
"[Base].[Metrica]",
"[Base].[Metrica].&amp;[" &amp; $A45 &amp; "]",
"[Base].[SEGMENTO_DESCRIP]",
"[Base].[SEGMENTO_DESCRIP].&amp;[" &amp; $C$6 &amp; "]",
"[Base].[SITUACION]",
"[Base].[SITUACION].&amp;[" &amp; $C45 &amp; "]"
),0)/1000</f>
        <v>-95.59542264000001</v>
      </c>
      <c r="L45" s="8">
        <f>-IFERROR(
GETPIVOTDATA(
"[Base].[Importe]",
TDinamica_R!$A$5,
"[Calendario].[AñoMes]",
"[Calendario].[AñoMes].&amp;[" &amp; TEXT(L$6,"yyyymm") &amp; "]",
"[Base].[Metrica]",
"[Base].[Metrica].&amp;[" &amp; $A45 &amp; "]",
"[Base].[SEGMENTO_DESCRIP]",
"[Base].[SEGMENTO_DESCRIP].&amp;[" &amp; $C$6 &amp; "]",
"[Base].[SITUACION]",
"[Base].[SITUACION].&amp;[" &amp; $C45 &amp; "]"
),0)/1000</f>
        <v>-90.285182309999996</v>
      </c>
      <c r="M45" s="8">
        <f>-IFERROR(
GETPIVOTDATA(
"[Base].[Importe]",
TDinamica_R!$A$5,
"[Calendario].[AñoMes]",
"[Calendario].[AñoMes].&amp;[" &amp; TEXT(M$6,"yyyymm") &amp; "]",
"[Base].[Metrica]",
"[Base].[Metrica].&amp;[" &amp; $A45 &amp; "]",
"[Base].[SEGMENTO_DESCRIP]",
"[Base].[SEGMENTO_DESCRIP].&amp;[" &amp; $C$6 &amp; "]",
"[Base].[SITUACION]",
"[Base].[SITUACION].&amp;[" &amp; $C45 &amp; "]"
),0)/1000</f>
        <v>-86.919949450000004</v>
      </c>
      <c r="N45" s="8">
        <f>-IFERROR(
GETPIVOTDATA(
"[Base].[Importe]",
TDinamica_R!$A$5,
"[Calendario].[AñoMes]",
"[Calendario].[AñoMes].&amp;[" &amp; TEXT(N$6,"yyyymm") &amp; "]",
"[Base].[Metrica]",
"[Base].[Metrica].&amp;[" &amp; $A45 &amp; "]",
"[Base].[SEGMENTO_DESCRIP]",
"[Base].[SEGMENTO_DESCRIP].&amp;[" &amp; $C$6 &amp; "]",
"[Base].[SITUACION]",
"[Base].[SITUACION].&amp;[" &amp; $C45 &amp; "]"
),0)/1000</f>
        <v>-89.359365520000011</v>
      </c>
      <c r="O45" s="8">
        <f>-IFERROR(
GETPIVOTDATA(
"[Base].[Importe]",
TDinamica_R!$A$5,
"[Calendario].[AñoMes]",
"[Calendario].[AñoMes].&amp;[" &amp; TEXT(O$6,"yyyymm") &amp; "]",
"[Base].[Metrica]",
"[Base].[Metrica].&amp;[" &amp; $A45 &amp; "]",
"[Base].[SEGMENTO_DESCRIP]",
"[Base].[SEGMENTO_DESCRIP].&amp;[" &amp; $C$6 &amp; "]",
"[Base].[SITUACION]",
"[Base].[SITUACION].&amp;[" &amp; $C45 &amp; "]"
),0)/1000</f>
        <v>-90.934182589999992</v>
      </c>
      <c r="P45" s="8">
        <f>-IFERROR(
GETPIVOTDATA(
"[Base].[Importe]",
TDinamica_R!$A$5,
"[Calendario].[AñoMes]",
"[Calendario].[AñoMes].&amp;[" &amp; TEXT(P$6,"yyyymm") &amp; "]",
"[Base].[Metrica]",
"[Base].[Metrica].&amp;[" &amp; $A45 &amp; "]",
"[Base].[SEGMENTO_DESCRIP]",
"[Base].[SEGMENTO_DESCRIP].&amp;[" &amp; $C$6 &amp; "]",
"[Base].[SITUACION]",
"[Base].[SITUACION].&amp;[" &amp; $C45 &amp; "]"
),0)/1000</f>
        <v>-90.193482639999999</v>
      </c>
      <c r="Q45" s="8">
        <f>-IFERROR(
GETPIVOTDATA(
"[Base].[Importe]",
TDinamica_R!$A$5,
"[Calendario].[AñoMes]",
"[Calendario].[AñoMes].&amp;[" &amp; TEXT(Q$6,"yyyymm") &amp; "]",
"[Base].[Metrica]",
"[Base].[Metrica].&amp;[" &amp; $A45 &amp; "]",
"[Base].[SEGMENTO_DESCRIP]",
"[Base].[SEGMENTO_DESCRIP].&amp;[" &amp; $C$6 &amp; "]",
"[Base].[SITUACION]",
"[Base].[SITUACION].&amp;[" &amp; $C45 &amp; "]"
),0)/1000</f>
        <v>-88.224578879999996</v>
      </c>
      <c r="R45" s="8">
        <f>-IFERROR(
GETPIVOTDATA(
"[Base].[Importe]",
TDinamica_R!$A$5,
"[Calendario].[AñoMes]",
"[Calendario].[AñoMes].&amp;[" &amp; TEXT(R$6,"yyyymm") &amp; "]",
"[Base].[Metrica]",
"[Base].[Metrica].&amp;[" &amp; $A45 &amp; "]",
"[Base].[SEGMENTO_DESCRIP]",
"[Base].[SEGMENTO_DESCRIP].&amp;[" &amp; $C$6 &amp; "]",
"[Base].[SITUACION]",
"[Base].[SITUACION].&amp;[" &amp; $C45 &amp; "]"
),0)/1000</f>
        <v>-89.857254600000005</v>
      </c>
      <c r="S45" s="8">
        <f>-IFERROR(
GETPIVOTDATA(
"[Base].[Importe]",
TDinamica_R!$A$5,
"[Calendario].[AñoMes]",
"[Calendario].[AñoMes].&amp;[" &amp; TEXT(S$6,"yyyymm") &amp; "]",
"[Base].[Metrica]",
"[Base].[Metrica].&amp;[" &amp; $A45 &amp; "]",
"[Base].[SEGMENTO_DESCRIP]",
"[Base].[SEGMENTO_DESCRIP].&amp;[" &amp; $C$6 &amp; "]",
"[Base].[SITUACION]",
"[Base].[SITUACION].&amp;[" &amp; $C45 &amp; "]"
),0)/1000</f>
        <v>-87.599625279999998</v>
      </c>
      <c r="T45" s="8">
        <f>-IFERROR(
GETPIVOTDATA(
"[Base].[Importe]",
TDinamica_R!$A$5,
"[Calendario].[AñoMes]",
"[Calendario].[AñoMes].&amp;[" &amp; TEXT(T$6,"yyyymm") &amp; "]",
"[Base].[Metrica]",
"[Base].[Metrica].&amp;[" &amp; $A45 &amp; "]",
"[Base].[SEGMENTO_DESCRIP]",
"[Base].[SEGMENTO_DESCRIP].&amp;[" &amp; $C$6 &amp; "]",
"[Base].[SITUACION]",
"[Base].[SITUACION].&amp;[" &amp; $C45 &amp; "]"
),0)/1000</f>
        <v>-87.012972000000005</v>
      </c>
      <c r="U45" s="8">
        <f>-IFERROR(
GETPIVOTDATA(
"[Base].[Importe]",
TDinamica_R!$A$5,
"[Calendario].[AñoMes]",
"[Calendario].[AñoMes].&amp;[" &amp; TEXT(U$6,"yyyymm") &amp; "]",
"[Base].[Metrica]",
"[Base].[Metrica].&amp;[" &amp; $A45 &amp; "]",
"[Base].[SEGMENTO_DESCRIP]",
"[Base].[SEGMENTO_DESCRIP].&amp;[" &amp; $C$6 &amp; "]",
"[Base].[SITUACION]",
"[Base].[SITUACION].&amp;[" &amp; $C45 &amp; "]"
),0)/1000</f>
        <v>-85.885824649999989</v>
      </c>
      <c r="V45" s="8">
        <f>-IFERROR(
GETPIVOTDATA(
"[Base].[Importe]",
TDinamica_R!$A$5,
"[Calendario].[AñoMes]",
"[Calendario].[AñoMes].&amp;[" &amp; TEXT(V$6,"yyyymm") &amp; "]",
"[Base].[Metrica]",
"[Base].[Metrica].&amp;[" &amp; $A45 &amp; "]",
"[Base].[SEGMENTO_DESCRIP]",
"[Base].[SEGMENTO_DESCRIP].&amp;[" &amp; $C$6 &amp; "]",
"[Base].[SITUACION]",
"[Base].[SITUACION].&amp;[" &amp; $C45 &amp; "]"
),0)/1000</f>
        <v>-87.384510040000009</v>
      </c>
      <c r="W45" s="8">
        <f>-IFERROR(
GETPIVOTDATA(
"[Base].[Importe]",
TDinamica_R!$A$5,
"[Calendario].[AñoMes]",
"[Calendario].[AñoMes].&amp;[" &amp; TEXT(W$6,"yyyymm") &amp; "]",
"[Base].[Metrica]",
"[Base].[Metrica].&amp;[" &amp; $A45 &amp; "]",
"[Base].[SEGMENTO_DESCRIP]",
"[Base].[SEGMENTO_DESCRIP].&amp;[" &amp; $C$6 &amp; "]",
"[Base].[SITUACION]",
"[Base].[SITUACION].&amp;[" &amp; $C45 &amp; "]"
),0)/1000</f>
        <v>-85.839667340000005</v>
      </c>
      <c r="X45" s="8">
        <f>-IFERROR(
GETPIVOTDATA(
"[Base].[Importe]",
TDinamica_R!$A$5,
"[Calendario].[AñoMes]",
"[Calendario].[AñoMes].&amp;[" &amp; TEXT(X$6,"yyyymm") &amp; "]",
"[Base].[Metrica]",
"[Base].[Metrica].&amp;[" &amp; $A45 &amp; "]",
"[Base].[SEGMENTO_DESCRIP]",
"[Base].[SEGMENTO_DESCRIP].&amp;[" &amp; $C$6 &amp; "]",
"[Base].[SITUACION]",
"[Base].[SITUACION].&amp;[" &amp; $C45 &amp; "]"
),0)/1000</f>
        <v>-86.387144839999991</v>
      </c>
      <c r="Y45" s="8">
        <f>-IFERROR(
GETPIVOTDATA(
"[Base].[Importe]",
TDinamica_R!$A$5,
"[Calendario].[AñoMes]",
"[Calendario].[AñoMes].&amp;[" &amp; TEXT(Y$6,"yyyymm") &amp; "]",
"[Base].[Metrica]",
"[Base].[Metrica].&amp;[" &amp; $A45 &amp; "]",
"[Base].[SEGMENTO_DESCRIP]",
"[Base].[SEGMENTO_DESCRIP].&amp;[" &amp; $C$6 &amp; "]",
"[Base].[SITUACION]",
"[Base].[SITUACION].&amp;[" &amp; $C45 &amp; "]"
),0)/1000</f>
        <v>-87.739896160000001</v>
      </c>
      <c r="Z45" s="8">
        <f>-IFERROR(
GETPIVOTDATA(
"[Base].[Importe]",
TDinamica_R!$A$5,
"[Calendario].[AñoMes]",
"[Calendario].[AñoMes].&amp;[" &amp; TEXT(Z$6,"yyyymm") &amp; "]",
"[Base].[Metrica]",
"[Base].[Metrica].&amp;[" &amp; $A45 &amp; "]",
"[Base].[SEGMENTO_DESCRIP]",
"[Base].[SEGMENTO_DESCRIP].&amp;[" &amp; $C$6 &amp; "]",
"[Base].[SITUACION]",
"[Base].[SITUACION].&amp;[" &amp; $C45 &amp; "]"
),0)/1000</f>
        <v>-87.28198762000001</v>
      </c>
      <c r="AA45" s="8">
        <f>-IFERROR(
GETPIVOTDATA(
"[Base].[Importe]",
TDinamica_R!$A$5,
"[Calendario].[AñoMes]",
"[Calendario].[AñoMes].&amp;[" &amp; TEXT(AA$6,"yyyymm") &amp; "]",
"[Base].[Metrica]",
"[Base].[Metrica].&amp;[" &amp; $A45 &amp; "]",
"[Base].[SEGMENTO_DESCRIP]",
"[Base].[SEGMENTO_DESCRIP].&amp;[" &amp; $C$6 &amp; "]",
"[Base].[SITUACION]",
"[Base].[SITUACION].&amp;[" &amp; $C45 &amp; "]"
),0)/1000</f>
        <v>-84.6935912</v>
      </c>
      <c r="AB45" s="8">
        <f>-IFERROR(
GETPIVOTDATA(
"[Base].[Importe]",
TDinamica_R!$A$5,
"[Calendario].[AñoMes]",
"[Calendario].[AñoMes].&amp;[" &amp; TEXT(AB$6,"yyyymm") &amp; "]",
"[Base].[Metrica]",
"[Base].[Metrica].&amp;[" &amp; $A45 &amp; "]",
"[Base].[SEGMENTO_DESCRIP]",
"[Base].[SEGMENTO_DESCRIP].&amp;[" &amp; $C$6 &amp; "]",
"[Base].[SITUACION]",
"[Base].[SITUACION].&amp;[" &amp; $C45 &amp; "]"
),0)/1000</f>
        <v>-85.585367649999995</v>
      </c>
      <c r="AC45" s="8">
        <f>-IFERROR(
GETPIVOTDATA(
"[Base].[Importe]",
TDinamica_R!$A$5,
"[Calendario].[AñoMes]",
"[Calendario].[AñoMes].&amp;[" &amp; TEXT(AC$6,"yyyymm") &amp; "]",
"[Base].[Metrica]",
"[Base].[Metrica].&amp;[" &amp; $A45 &amp; "]",
"[Base].[SEGMENTO_DESCRIP]",
"[Base].[SEGMENTO_DESCRIP].&amp;[" &amp; $C$6 &amp; "]",
"[Base].[SITUACION]",
"[Base].[SITUACION].&amp;[" &amp; $C45 &amp; "]"
),0)/1000</f>
        <v>-83.697036999999995</v>
      </c>
      <c r="AD45" s="8">
        <f>-IFERROR(
GETPIVOTDATA(
"[Base].[Importe]",
TDinamica_R!$A$5,
"[Calendario].[AñoMes]",
"[Calendario].[AñoMes].&amp;[" &amp; TEXT(AD$6,"yyyymm") &amp; "]",
"[Base].[Metrica]",
"[Base].[Metrica].&amp;[" &amp; $A45 &amp; "]",
"[Base].[SEGMENTO_DESCRIP]",
"[Base].[SEGMENTO_DESCRIP].&amp;[" &amp; $C$6 &amp; "]",
"[Base].[SITUACION]",
"[Base].[SITUACION].&amp;[" &amp; $C45 &amp; "]"
),0)/1000</f>
        <v>-84.948306940000009</v>
      </c>
      <c r="AE45" s="8">
        <f>-IFERROR(
GETPIVOTDATA(
"[Base].[Importe]",
TDinamica_R!$A$5,
"[Calendario].[AñoMes]",
"[Calendario].[AñoMes].&amp;[" &amp; TEXT(AE$6,"yyyymm") &amp; "]",
"[Base].[Metrica]",
"[Base].[Metrica].&amp;[" &amp; $A45 &amp; "]",
"[Base].[SEGMENTO_DESCRIP]",
"[Base].[SEGMENTO_DESCRIP].&amp;[" &amp; $C$6 &amp; "]",
"[Base].[SITUACION]",
"[Base].[SITUACION].&amp;[" &amp; $C45 &amp; "]"
),0)/1000</f>
        <v>-89.413958949999994</v>
      </c>
      <c r="AF45" s="8">
        <f>-IFERROR(
GETPIVOTDATA(
"[Base].[Importe]",
TDinamica_R!$A$5,
"[Calendario].[AñoMes]",
"[Calendario].[AñoMes].&amp;[" &amp; TEXT(AF$6,"yyyymm") &amp; "]",
"[Base].[Metrica]",
"[Base].[Metrica].&amp;[" &amp; $A45 &amp; "]",
"[Base].[SEGMENTO_DESCRIP]",
"[Base].[SEGMENTO_DESCRIP].&amp;[" &amp; $C$6 &amp; "]",
"[Base].[SITUACION]",
"[Base].[SITUACION].&amp;[" &amp; $C45 &amp; "]"
),0)/1000</f>
        <v>-88.719783800000002</v>
      </c>
      <c r="AG45" s="8">
        <f>-IFERROR(
GETPIVOTDATA(
"[Base].[Importe]",
TDinamica_R!$A$5,
"[Calendario].[AñoMes]",
"[Calendario].[AñoMes].&amp;[" &amp; TEXT(AG$6,"yyyymm") &amp; "]",
"[Base].[Metrica]",
"[Base].[Metrica].&amp;[" &amp; $A45 &amp; "]",
"[Base].[SEGMENTO_DESCRIP]",
"[Base].[SEGMENTO_DESCRIP].&amp;[" &amp; $C$6 &amp; "]",
"[Base].[SITUACION]",
"[Base].[SITUACION].&amp;[" &amp; $C45 &amp; "]"
),0)/1000</f>
        <v>-89.722929879999995</v>
      </c>
      <c r="AH45" s="8">
        <f>-IFERROR(
GETPIVOTDATA(
"[Base].[Importe]",
TDinamica_R!$A$5,
"[Calendario].[AñoMes]",
"[Calendario].[AñoMes].&amp;[" &amp; TEXT(AH$6,"yyyymm") &amp; "]",
"[Base].[Metrica]",
"[Base].[Metrica].&amp;[" &amp; $A45 &amp; "]",
"[Base].[SEGMENTO_DESCRIP]",
"[Base].[SEGMENTO_DESCRIP].&amp;[" &amp; $C$6 &amp; "]",
"[Base].[SITUACION]",
"[Base].[SITUACION].&amp;[" &amp; $C45 &amp; "]"
),0)/1000</f>
        <v>-91.487918759999985</v>
      </c>
      <c r="AI45" s="8">
        <f>-IFERROR(
GETPIVOTDATA(
"[Base].[Importe]",
TDinamica_R!$A$5,
"[Calendario].[AñoMes]",
"[Calendario].[AñoMes].&amp;[" &amp; TEXT(AI$6,"yyyymm") &amp; "]",
"[Base].[Metrica]",
"[Base].[Metrica].&amp;[" &amp; $A45 &amp; "]",
"[Base].[SEGMENTO_DESCRIP]",
"[Base].[SEGMENTO_DESCRIP].&amp;[" &amp; $C$6 &amp; "]",
"[Base].[SITUACION]",
"[Base].[SITUACION].&amp;[" &amp; $C45 &amp; "]"
),0)/1000</f>
        <v>-89.970287650000017</v>
      </c>
      <c r="AJ45" s="8">
        <f>-IFERROR(
GETPIVOTDATA(
"[Base].[Importe]",
TDinamica_R!$A$5,
"[Calendario].[AñoMes]",
"[Calendario].[AñoMes].&amp;[" &amp; TEXT(AJ$6,"yyyymm") &amp; "]",
"[Base].[Metrica]",
"[Base].[Metrica].&amp;[" &amp; $A45 &amp; "]",
"[Base].[SEGMENTO_DESCRIP]",
"[Base].[SEGMENTO_DESCRIP].&amp;[" &amp; $C$6 &amp; "]",
"[Base].[SITUACION]",
"[Base].[SITUACION].&amp;[" &amp; $C45 &amp; "]"
),0)/1000</f>
        <v>-91.883563780000003</v>
      </c>
      <c r="AK45" s="8">
        <f>-IFERROR(
GETPIVOTDATA(
"[Base].[Importe]",
TDinamica_R!$A$5,
"[Calendario].[AñoMes]",
"[Calendario].[AñoMes].&amp;[" &amp; TEXT(AK$6,"yyyymm") &amp; "]",
"[Base].[Metrica]",
"[Base].[Metrica].&amp;[" &amp; $A45 &amp; "]",
"[Base].[SEGMENTO_DESCRIP]",
"[Base].[SEGMENTO_DESCRIP].&amp;[" &amp; $C$6 &amp; "]",
"[Base].[SITUACION]",
"[Base].[SITUACION].&amp;[" &amp; $C45 &amp; "]"
),0)/1000</f>
        <v>-93.923475280000005</v>
      </c>
      <c r="AL45" s="8">
        <f>-IFERROR(
GETPIVOTDATA(
"[Base].[Importe]",
TDinamica_R!$A$5,
"[Calendario].[AñoMes]",
"[Calendario].[AñoMes].&amp;[" &amp; TEXT(AL$6,"yyyymm") &amp; "]",
"[Base].[Metrica]",
"[Base].[Metrica].&amp;[" &amp; $A45 &amp; "]",
"[Base].[SEGMENTO_DESCRIP]",
"[Base].[SEGMENTO_DESCRIP].&amp;[" &amp; $C$6 &amp; "]",
"[Base].[SITUACION]",
"[Base].[SITUACION].&amp;[" &amp; $C45 &amp; "]"
),0)/1000</f>
        <v>-94.670047989999986</v>
      </c>
      <c r="AM45" s="8">
        <f>-IFERROR(
GETPIVOTDATA(
"[Base].[Importe]",
TDinamica_R!$A$5,
"[Calendario].[AñoMes]",
"[Calendario].[AñoMes].&amp;[" &amp; TEXT(AM$6,"yyyymm") &amp; "]",
"[Base].[Metrica]",
"[Base].[Metrica].&amp;[" &amp; $A45 &amp; "]",
"[Base].[SEGMENTO_DESCRIP]",
"[Base].[SEGMENTO_DESCRIP].&amp;[" &amp; $C$6 &amp; "]",
"[Base].[SITUACION]",
"[Base].[SITUACION].&amp;[" &amp; $C45 &amp; "]"
),0)/1000</f>
        <v>-96.186146800000017</v>
      </c>
      <c r="AN45" s="8">
        <f>-IFERROR(
GETPIVOTDATA(
"[Base].[Importe]",
TDinamica_R!$A$5,
"[Calendario].[AñoMes]",
"[Calendario].[AñoMes].&amp;[" &amp; TEXT(AN$6,"yyyymm") &amp; "]",
"[Base].[Metrica]",
"[Base].[Metrica].&amp;[" &amp; $A45 &amp; "]",
"[Base].[SEGMENTO_DESCRIP]",
"[Base].[SEGMENTO_DESCRIP].&amp;[" &amp; $C$6 &amp; "]",
"[Base].[SITUACION]",
"[Base].[SITUACION].&amp;[" &amp; $C45 &amp; "]"
),0)/1000</f>
        <v>-102.87755396999999</v>
      </c>
      <c r="AO45" s="8">
        <f>-IFERROR(
GETPIVOTDATA(
"[Base].[Importe]",
TDinamica_R!$A$5,
"[Calendario].[AñoMes]",
"[Calendario].[AñoMes].&amp;[" &amp; TEXT(AO$6,"yyyymm") &amp; "]",
"[Base].[Metrica]",
"[Base].[Metrica].&amp;[" &amp; $A45 &amp; "]",
"[Base].[SEGMENTO_DESCRIP]",
"[Base].[SEGMENTO_DESCRIP].&amp;[" &amp; $C$6 &amp; "]",
"[Base].[SITUACION]",
"[Base].[SITUACION].&amp;[" &amp; $C45 &amp; "]"
),0)/1000</f>
        <v>-103.84843551</v>
      </c>
      <c r="AP45" s="8">
        <f>-IFERROR(
GETPIVOTDATA(
"[Base].[Importe]",
TDinamica_R!$A$5,
"[Calendario].[AñoMes]",
"[Calendario].[AñoMes].&amp;[" &amp; TEXT(AP$6,"yyyymm") &amp; "]",
"[Base].[Metrica]",
"[Base].[Metrica].&amp;[" &amp; $A45 &amp; "]",
"[Base].[SEGMENTO_DESCRIP]",
"[Base].[SEGMENTO_DESCRIP].&amp;[" &amp; $C$6 &amp; "]",
"[Base].[SITUACION]",
"[Base].[SITUACION].&amp;[" &amp; $C45 &amp; "]"
),0)/1000</f>
        <v>-110.526659</v>
      </c>
      <c r="AQ45" s="8">
        <f>-IFERROR(
GETPIVOTDATA(
"[Base].[Importe]",
TDinamica_R!$A$5,
"[Calendario].[AñoMes]",
"[Calendario].[AñoMes].&amp;[" &amp; TEXT(AQ$6,"yyyymm") &amp; "]",
"[Base].[Metrica]",
"[Base].[Metrica].&amp;[" &amp; $A45 &amp; "]",
"[Base].[SEGMENTO_DESCRIP]",
"[Base].[SEGMENTO_DESCRIP].&amp;[" &amp; $C$6 &amp; "]",
"[Base].[SITUACION]",
"[Base].[SITUACION].&amp;[" &amp; $C45 &amp; "]"
),0)/1000</f>
        <v>-108.49698450000001</v>
      </c>
      <c r="AR45" s="8">
        <f>-IFERROR(
GETPIVOTDATA(
"[Base].[Importe]",
TDinamica_R!$A$5,
"[Calendario].[AñoMes]",
"[Calendario].[AñoMes].&amp;[" &amp; TEXT(AR$6,"yyyymm") &amp; "]",
"[Base].[Metrica]",
"[Base].[Metrica].&amp;[" &amp; $A45 &amp; "]",
"[Base].[SEGMENTO_DESCRIP]",
"[Base].[SEGMENTO_DESCRIP].&amp;[" &amp; $C$6 &amp; "]",
"[Base].[SITUACION]",
"[Base].[SITUACION].&amp;[" &amp; $C45 &amp; "]"
),0)/1000</f>
        <v>-111.19905853000002</v>
      </c>
      <c r="AS45" s="8">
        <f>-IFERROR(
GETPIVOTDATA(
"[Base].[Importe]",
TDinamica_R!$A$5,
"[Calendario].[AñoMes]",
"[Calendario].[AñoMes].&amp;[" &amp; TEXT(AS$6,"yyyymm") &amp; "]",
"[Base].[Metrica]",
"[Base].[Metrica].&amp;[" &amp; $A45 &amp; "]",
"[Base].[SEGMENTO_DESCRIP]",
"[Base].[SEGMENTO_DESCRIP].&amp;[" &amp; $C$6 &amp; "]",
"[Base].[SITUACION]",
"[Base].[SITUACION].&amp;[" &amp; $C45 &amp; "]"
),0)/1000</f>
        <v>-110.38561035000001</v>
      </c>
      <c r="AT45" s="8">
        <f>-IFERROR(
GETPIVOTDATA(
"[Base].[Importe]",
TDinamica_R!$A$5,
"[Calendario].[AñoMes]",
"[Calendario].[AñoMes].&amp;[" &amp; TEXT(AT$6,"yyyymm")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U45" s="8">
        <f>-IFERROR(
GETPIVOTDATA(
"[Base].[Importe]",
TDinamica_R!$A$5,
"[Calendario].[AñoMes]",
"[Calendario].[AñoMes].&amp;[" &amp; TEXT(AU$6,"yyyymm")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V45" s="8">
        <f>-IFERROR(
GETPIVOTDATA(
"[Base].[Importe]",
TDinamica_R!$A$5,
"[Calendario].[AñoMes]",
"[Calendario].[AñoMes].&amp;[" &amp; TEXT(AV$6,"yyyymm")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W45" s="8">
        <f>-IFERROR(
GETPIVOTDATA(
"[Base].[Importe]",
TDinamica_R!$A$5,
"[Calendario].[AñoMes]",
"[Calendario].[AñoMes].&amp;[" &amp; TEXT(AW$6,"yyyymm")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X45" s="8">
        <f>-IFERROR(
GETPIVOTDATA(
"[Base].[Importe]",
TDinamica_R!$A$5,
"[Calendario].[AñoMes]",
"[Calendario].[AñoMes].&amp;[" &amp; TEXT(AX$6,"yyyymm")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Y45" s="8">
        <f>-IFERROR(
GETPIVOTDATA(
"[Base].[Importe]",
TDinamica_R!$A$5,
"[Calendario].[AñoMes]",
"[Calendario].[AñoMes].&amp;[" &amp; TEXT(AY$6,"yyyymm")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Z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"[BASE_HIPO_PPTO].[Periodo]","[BASE_HIPO_PPTO].[Periodo].&amp;["&amp;TEXT(AZ$6,"yyyymm")&amp;"]"),
0)/1000</f>
        <v>-95.48441859397272</v>
      </c>
      <c r="BA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"[BASE_HIPO_PPTO].[Periodo]","[BASE_HIPO_PPTO].[Periodo].&amp;["&amp;TEXT(BA$6,"yyyymm")&amp;"]"),
0)/1000</f>
        <v>-96.364117915007952</v>
      </c>
      <c r="BB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"[BASE_HIPO_PPTO].[Periodo]","[BASE_HIPO_PPTO].[Periodo].&amp;["&amp;TEXT(BB$6,"yyyymm")&amp;"]"),
0)/1000</f>
        <v>-97.11750206826396</v>
      </c>
      <c r="BC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"[BASE_HIPO_PPTO].[Periodo]","[BASE_HIPO_PPTO].[Periodo].&amp;["&amp;TEXT(BC$6,"yyyymm")&amp;"]"),
0)/1000</f>
        <v>-97.944944074485463</v>
      </c>
      <c r="BD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"[BASE_HIPO_PPTO].[Periodo]","[BASE_HIPO_PPTO].[Periodo].&amp;["&amp;TEXT(BD$6,"yyyymm")&amp;"]"),
0)/1000</f>
        <v>-98.777973231474846</v>
      </c>
      <c r="BE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"[BASE_HIPO_PPTO].[Periodo]","[BASE_HIPO_PPTO].[Periodo].&amp;["&amp;TEXT(BE$6,"yyyymm")&amp;"]"),
0)/1000</f>
        <v>-99.71602727282631</v>
      </c>
      <c r="BF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"[BASE_HIPO_PPTO].[Periodo]","[BASE_HIPO_PPTO].[Periodo].&amp;["&amp;TEXT(BF$6,"yyyymm")&amp;"]"),
0)/1000</f>
        <v>-100.51055770198496</v>
      </c>
      <c r="BG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"[BASE_HIPO_PPTO].[Periodo]","[BASE_HIPO_PPTO].[Periodo].&amp;["&amp;TEXT(BG$6,"yyyymm")&amp;"]"),
0)/1000</f>
        <v>-101.63227627104227</v>
      </c>
      <c r="BH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"[BASE_HIPO_PPTO].[Periodo]","[BASE_HIPO_PPTO].[Periodo].&amp;["&amp;TEXT(BH$6,"yyyymm")&amp;"]"),
0)/1000</f>
        <v>-102.70649147837331</v>
      </c>
      <c r="BI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"[BASE_HIPO_PPTO].[Periodo]","[BASE_HIPO_PPTO].[Periodo].&amp;["&amp;TEXT(BI$6,"yyyymm")&amp;"]"),
0)/1000</f>
        <v>-103.98980244402165</v>
      </c>
      <c r="BJ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"[BASE_HIPO_PPTO].[Periodo]","[BASE_HIPO_PPTO].[Periodo].&amp;["&amp;TEXT(BJ$6,"yyyymm")&amp;"]"),
0)/1000</f>
        <v>-105.05133875382801</v>
      </c>
      <c r="BK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"[BASE_HIPO_PPTO].[Periodo]","[BASE_HIPO_PPTO].[Periodo].&amp;["&amp;TEXT(BK$6,"yyyymm")&amp;"]"),
0)/1000</f>
        <v>-105.93107396232259</v>
      </c>
      <c r="BO45" s="24">
        <f t="shared" si="31"/>
        <v>-317.25264848</v>
      </c>
      <c r="BP45" s="24">
        <f t="shared" si="31"/>
        <v>-288.9660385772446</v>
      </c>
      <c r="BQ45" s="24">
        <f t="shared" si="31"/>
        <v>-206.72598948000001</v>
      </c>
      <c r="BR45" s="24">
        <f t="shared" si="31"/>
        <v>-254.23071159</v>
      </c>
      <c r="BS45" s="24">
        <f t="shared" si="31"/>
        <v>-268.27531611999996</v>
      </c>
      <c r="BT45" s="24">
        <f t="shared" si="31"/>
        <v>-304.12602313000002</v>
      </c>
    </row>
    <row r="46" spans="1:72" hidden="1" outlineLevel="1" x14ac:dyDescent="0.25">
      <c r="A46" s="11" t="s">
        <v>50</v>
      </c>
      <c r="C46" s="2" t="s">
        <v>45</v>
      </c>
      <c r="D46" s="8">
        <f>-IFERROR(
GETPIVOTDATA(
"[Base].[Importe]",
TDinamica_R!$A$5,
"[Calendario].[AñoMes]",
"[Calendario].[AñoMes].&amp;[" &amp; TEXT(D$6,"yyyymm") &amp; "]",
"[Base].[Metrica]",
"[Base].[Metrica].&amp;[" &amp; $A46 &amp; "]",
"[Base].[SEGMENTO_DESCRIP]",
"[Base].[SEGMENTO_DESCRIP].&amp;[" &amp; $C$6 &amp; "]",
"[Base].[SITUACION]",
"[Base].[SITUACION].&amp;[" &amp; $C46 &amp; "]"
),0)/1000</f>
        <v>-930.26541335000002</v>
      </c>
      <c r="E46" s="8">
        <f>-IFERROR(
GETPIVOTDATA(
"[Base].[Importe]",
TDinamica_R!$A$5,
"[Calendario].[AñoMes]",
"[Calendario].[AñoMes].&amp;[" &amp; TEXT(E$6,"yyyymm") &amp; "]",
"[Base].[Metrica]",
"[Base].[Metrica].&amp;[" &amp; $A46 &amp; "]",
"[Base].[SEGMENTO_DESCRIP]",
"[Base].[SEGMENTO_DESCRIP].&amp;[" &amp; $C$6 &amp; "]",
"[Base].[SITUACION]",
"[Base].[SITUACION].&amp;[" &amp; $C46 &amp; "]"
),0)/1000</f>
        <v>-939.92118487000016</v>
      </c>
      <c r="F46" s="8">
        <f>-IFERROR(
GETPIVOTDATA(
"[Base].[Importe]",
TDinamica_R!$A$5,
"[Calendario].[AñoMes]",
"[Calendario].[AñoMes].&amp;[" &amp; TEXT(F$6,"yyyymm") &amp; "]",
"[Base].[Metrica]",
"[Base].[Metrica].&amp;[" &amp; $A46 &amp; "]",
"[Base].[SEGMENTO_DESCRIP]",
"[Base].[SEGMENTO_DESCRIP].&amp;[" &amp; $C$6 &amp; "]",
"[Base].[SITUACION]",
"[Base].[SITUACION].&amp;[" &amp; $C46 &amp; "]"
),0)/1000</f>
        <v>-957.13504060000002</v>
      </c>
      <c r="G46" s="8">
        <f>-IFERROR(
GETPIVOTDATA(
"[Base].[Importe]",
TDinamica_R!$A$5,
"[Calendario].[AñoMes]",
"[Calendario].[AñoMes].&amp;[" &amp; TEXT(G$6,"yyyymm") &amp; "]",
"[Base].[Metrica]",
"[Base].[Metrica].&amp;[" &amp; $A46 &amp; "]",
"[Base].[SEGMENTO_DESCRIP]",
"[Base].[SEGMENTO_DESCRIP].&amp;[" &amp; $C$6 &amp; "]",
"[Base].[SITUACION]",
"[Base].[SITUACION].&amp;[" &amp; $C46 &amp; "]"
),0)/1000</f>
        <v>-978.1926019</v>
      </c>
      <c r="H46" s="8">
        <f>-IFERROR(
GETPIVOTDATA(
"[Base].[Importe]",
TDinamica_R!$A$5,
"[Calendario].[AñoMes]",
"[Calendario].[AñoMes].&amp;[" &amp; TEXT(H$6,"yyyymm") &amp; "]",
"[Base].[Metrica]",
"[Base].[Metrica].&amp;[" &amp; $A46 &amp; "]",
"[Base].[SEGMENTO_DESCRIP]",
"[Base].[SEGMENTO_DESCRIP].&amp;[" &amp; $C$6 &amp; "]",
"[Base].[SITUACION]",
"[Base].[SITUACION].&amp;[" &amp; $C46 &amp; "]"
),0)/1000</f>
        <v>-1012.0723194200001</v>
      </c>
      <c r="I46" s="8">
        <f>-IFERROR(
GETPIVOTDATA(
"[Base].[Importe]",
TDinamica_R!$A$5,
"[Calendario].[AñoMes]",
"[Calendario].[AñoMes].&amp;[" &amp; TEXT(I$6,"yyyymm") &amp; "]",
"[Base].[Metrica]",
"[Base].[Metrica].&amp;[" &amp; $A46 &amp; "]",
"[Base].[SEGMENTO_DESCRIP]",
"[Base].[SEGMENTO_DESCRIP].&amp;[" &amp; $C$6 &amp; "]",
"[Base].[SITUACION]",
"[Base].[SITUACION].&amp;[" &amp; $C46 &amp; "]"
),0)/1000</f>
        <v>-1014.3753740000002</v>
      </c>
      <c r="J46" s="8">
        <f>-IFERROR(
GETPIVOTDATA(
"[Base].[Importe]",
TDinamica_R!$A$5,
"[Calendario].[AñoMes]",
"[Calendario].[AñoMes].&amp;[" &amp; TEXT(J$6,"yyyymm") &amp; "]",
"[Base].[Metrica]",
"[Base].[Metrica].&amp;[" &amp; $A46 &amp; "]",
"[Base].[SEGMENTO_DESCRIP]",
"[Base].[SEGMENTO_DESCRIP].&amp;[" &amp; $C$6 &amp; "]",
"[Base].[SITUACION]",
"[Base].[SITUACION].&amp;[" &amp; $C46 &amp; "]"
),0)/1000</f>
        <v>-996.30486201999997</v>
      </c>
      <c r="K46" s="8">
        <f>-IFERROR(
GETPIVOTDATA(
"[Base].[Importe]",
TDinamica_R!$A$5,
"[Calendario].[AñoMes]",
"[Calendario].[AñoMes].&amp;[" &amp; TEXT(K$6,"yyyymm") &amp; "]",
"[Base].[Metrica]",
"[Base].[Metrica].&amp;[" &amp; $A46 &amp; "]",
"[Base].[SEGMENTO_DESCRIP]",
"[Base].[SEGMENTO_DESCRIP].&amp;[" &amp; $C$6 &amp; "]",
"[Base].[SITUACION]",
"[Base].[SITUACION].&amp;[" &amp; $C46 &amp; "]"
),0)/1000</f>
        <v>-1019.9887431799999</v>
      </c>
      <c r="L46" s="8">
        <f>-IFERROR(
GETPIVOTDATA(
"[Base].[Importe]",
TDinamica_R!$A$5,
"[Calendario].[AñoMes]",
"[Calendario].[AñoMes].&amp;[" &amp; TEXT(L$6,"yyyymm") &amp; "]",
"[Base].[Metrica]",
"[Base].[Metrica].&amp;[" &amp; $A46 &amp; "]",
"[Base].[SEGMENTO_DESCRIP]",
"[Base].[SEGMENTO_DESCRIP].&amp;[" &amp; $C$6 &amp; "]",
"[Base].[SITUACION]",
"[Base].[SITUACION].&amp;[" &amp; $C46 &amp; "]"
),0)/1000</f>
        <v>-1030.8022212199999</v>
      </c>
      <c r="M46" s="8">
        <f>-IFERROR(
GETPIVOTDATA(
"[Base].[Importe]",
TDinamica_R!$A$5,
"[Calendario].[AñoMes]",
"[Calendario].[AñoMes].&amp;[" &amp; TEXT(M$6,"yyyymm") &amp; "]",
"[Base].[Metrica]",
"[Base].[Metrica].&amp;[" &amp; $A46 &amp; "]",
"[Base].[SEGMENTO_DESCRIP]",
"[Base].[SEGMENTO_DESCRIP].&amp;[" &amp; $C$6 &amp; "]",
"[Base].[SITUACION]",
"[Base].[SITUACION].&amp;[" &amp; $C46 &amp; "]"
),0)/1000</f>
        <v>-1061.4590114500002</v>
      </c>
      <c r="N46" s="8">
        <f>-IFERROR(
GETPIVOTDATA(
"[Base].[Importe]",
TDinamica_R!$A$5,
"[Calendario].[AñoMes]",
"[Calendario].[AñoMes].&amp;[" &amp; TEXT(N$6,"yyyymm") &amp; "]",
"[Base].[Metrica]",
"[Base].[Metrica].&amp;[" &amp; $A46 &amp; "]",
"[Base].[SEGMENTO_DESCRIP]",
"[Base].[SEGMENTO_DESCRIP].&amp;[" &amp; $C$6 &amp; "]",
"[Base].[SITUACION]",
"[Base].[SITUACION].&amp;[" &amp; $C46 &amp; "]"
),0)/1000</f>
        <v>-1112.1173162600001</v>
      </c>
      <c r="O46" s="8">
        <f>-IFERROR(
GETPIVOTDATA(
"[Base].[Importe]",
TDinamica_R!$A$5,
"[Calendario].[AñoMes]",
"[Calendario].[AñoMes].&amp;[" &amp; TEXT(O$6,"yyyymm") &amp; "]",
"[Base].[Metrica]",
"[Base].[Metrica].&amp;[" &amp; $A46 &amp; "]",
"[Base].[SEGMENTO_DESCRIP]",
"[Base].[SEGMENTO_DESCRIP].&amp;[" &amp; $C$6 &amp; "]",
"[Base].[SITUACION]",
"[Base].[SITUACION].&amp;[" &amp; $C46 &amp; "]"
),0)/1000</f>
        <v>-1104.7812273300001</v>
      </c>
      <c r="P46" s="8">
        <f>-IFERROR(
GETPIVOTDATA(
"[Base].[Importe]",
TDinamica_R!$A$5,
"[Calendario].[AñoMes]",
"[Calendario].[AñoMes].&amp;[" &amp; TEXT(P$6,"yyyymm") &amp; "]",
"[Base].[Metrica]",
"[Base].[Metrica].&amp;[" &amp; $A46 &amp; "]",
"[Base].[SEGMENTO_DESCRIP]",
"[Base].[SEGMENTO_DESCRIP].&amp;[" &amp; $C$6 &amp; "]",
"[Base].[SITUACION]",
"[Base].[SITUACION].&amp;[" &amp; $C46 &amp; "]"
),0)/1000</f>
        <v>-1148.38658384</v>
      </c>
      <c r="Q46" s="8">
        <f>-IFERROR(
GETPIVOTDATA(
"[Base].[Importe]",
TDinamica_R!$A$5,
"[Calendario].[AñoMes]",
"[Calendario].[AñoMes].&amp;[" &amp; TEXT(Q$6,"yyyymm") &amp; "]",
"[Base].[Metrica]",
"[Base].[Metrica].&amp;[" &amp; $A46 &amp; "]",
"[Base].[SEGMENTO_DESCRIP]",
"[Base].[SEGMENTO_DESCRIP].&amp;[" &amp; $C$6 &amp; "]",
"[Base].[SITUACION]",
"[Base].[SITUACION].&amp;[" &amp; $C46 &amp; "]"
),0)/1000</f>
        <v>-1165.3251030000001</v>
      </c>
      <c r="R46" s="8">
        <f>-IFERROR(
GETPIVOTDATA(
"[Base].[Importe]",
TDinamica_R!$A$5,
"[Calendario].[AñoMes]",
"[Calendario].[AñoMes].&amp;[" &amp; TEXT(R$6,"yyyymm") &amp; "]",
"[Base].[Metrica]",
"[Base].[Metrica].&amp;[" &amp; $A46 &amp; "]",
"[Base].[SEGMENTO_DESCRIP]",
"[Base].[SEGMENTO_DESCRIP].&amp;[" &amp; $C$6 &amp; "]",
"[Base].[SITUACION]",
"[Base].[SITUACION].&amp;[" &amp; $C46 &amp; "]"
),0)/1000</f>
        <v>-1189.5575633900003</v>
      </c>
      <c r="S46" s="8">
        <f>-IFERROR(
GETPIVOTDATA(
"[Base].[Importe]",
TDinamica_R!$A$5,
"[Calendario].[AñoMes]",
"[Calendario].[AñoMes].&amp;[" &amp; TEXT(S$6,"yyyymm") &amp; "]",
"[Base].[Metrica]",
"[Base].[Metrica].&amp;[" &amp; $A46 &amp; "]",
"[Base].[SEGMENTO_DESCRIP]",
"[Base].[SEGMENTO_DESCRIP].&amp;[" &amp; $C$6 &amp; "]",
"[Base].[SITUACION]",
"[Base].[SITUACION].&amp;[" &amp; $C46 &amp; "]"
),0)/1000</f>
        <v>-1234.19608088</v>
      </c>
      <c r="T46" s="8">
        <f>-IFERROR(
GETPIVOTDATA(
"[Base].[Importe]",
TDinamica_R!$A$5,
"[Calendario].[AñoMes]",
"[Calendario].[AñoMes].&amp;[" &amp; TEXT(T$6,"yyyymm") &amp; "]",
"[Base].[Metrica]",
"[Base].[Metrica].&amp;[" &amp; $A46 &amp; "]",
"[Base].[SEGMENTO_DESCRIP]",
"[Base].[SEGMENTO_DESCRIP].&amp;[" &amp; $C$6 &amp; "]",
"[Base].[SITUACION]",
"[Base].[SITUACION].&amp;[" &amp; $C46 &amp; "]"
),0)/1000</f>
        <v>-1274.7635380999998</v>
      </c>
      <c r="U46" s="8">
        <f>-IFERROR(
GETPIVOTDATA(
"[Base].[Importe]",
TDinamica_R!$A$5,
"[Calendario].[AñoMes]",
"[Calendario].[AñoMes].&amp;[" &amp; TEXT(U$6,"yyyymm") &amp; "]",
"[Base].[Metrica]",
"[Base].[Metrica].&amp;[" &amp; $A46 &amp; "]",
"[Base].[SEGMENTO_DESCRIP]",
"[Base].[SEGMENTO_DESCRIP].&amp;[" &amp; $C$6 &amp; "]",
"[Base].[SITUACION]",
"[Base].[SITUACION].&amp;[" &amp; $C46 &amp; "]"
),0)/1000</f>
        <v>-1302.6885865300007</v>
      </c>
      <c r="V46" s="8">
        <f>-IFERROR(
GETPIVOTDATA(
"[Base].[Importe]",
TDinamica_R!$A$5,
"[Calendario].[AñoMes]",
"[Calendario].[AñoMes].&amp;[" &amp; TEXT(V$6,"yyyymm") &amp; "]",
"[Base].[Metrica]",
"[Base].[Metrica].&amp;[" &amp; $A46 &amp; "]",
"[Base].[SEGMENTO_DESCRIP]",
"[Base].[SEGMENTO_DESCRIP].&amp;[" &amp; $C$6 &amp; "]",
"[Base].[SITUACION]",
"[Base].[SITUACION].&amp;[" &amp; $C46 &amp; "]"
),0)/1000</f>
        <v>-1266.6634309599997</v>
      </c>
      <c r="W46" s="8">
        <f>-IFERROR(
GETPIVOTDATA(
"[Base].[Importe]",
TDinamica_R!$A$5,
"[Calendario].[AñoMes]",
"[Calendario].[AñoMes].&amp;[" &amp; TEXT(W$6,"yyyymm") &amp; "]",
"[Base].[Metrica]",
"[Base].[Metrica].&amp;[" &amp; $A46 &amp; "]",
"[Base].[SEGMENTO_DESCRIP]",
"[Base].[SEGMENTO_DESCRIP].&amp;[" &amp; $C$6 &amp; "]",
"[Base].[SITUACION]",
"[Base].[SITUACION].&amp;[" &amp; $C46 &amp; "]"
),0)/1000</f>
        <v>-1235.11722566</v>
      </c>
      <c r="X46" s="8">
        <f>-IFERROR(
GETPIVOTDATA(
"[Base].[Importe]",
TDinamica_R!$A$5,
"[Calendario].[AñoMes]",
"[Calendario].[AñoMes].&amp;[" &amp; TEXT(X$6,"yyyymm") &amp; "]",
"[Base].[Metrica]",
"[Base].[Metrica].&amp;[" &amp; $A46 &amp; "]",
"[Base].[SEGMENTO_DESCRIP]",
"[Base].[SEGMENTO_DESCRIP].&amp;[" &amp; $C$6 &amp; "]",
"[Base].[SITUACION]",
"[Base].[SITUACION].&amp;[" &amp; $C46 &amp; "]"
),0)/1000</f>
        <v>-1228.7659114</v>
      </c>
      <c r="Y46" s="8">
        <f>-IFERROR(
GETPIVOTDATA(
"[Base].[Importe]",
TDinamica_R!$A$5,
"[Calendario].[AñoMes]",
"[Calendario].[AñoMes].&amp;[" &amp; TEXT(Y$6,"yyyymm") &amp; "]",
"[Base].[Metrica]",
"[Base].[Metrica].&amp;[" &amp; $A46 &amp; "]",
"[Base].[SEGMENTO_DESCRIP]",
"[Base].[SEGMENTO_DESCRIP].&amp;[" &amp; $C$6 &amp; "]",
"[Base].[SITUACION]",
"[Base].[SITUACION].&amp;[" &amp; $C46 &amp; "]"
),0)/1000</f>
        <v>-1203.0818815999999</v>
      </c>
      <c r="Z46" s="8">
        <f>-IFERROR(
GETPIVOTDATA(
"[Base].[Importe]",
TDinamica_R!$A$5,
"[Calendario].[AñoMes]",
"[Calendario].[AñoMes].&amp;[" &amp; TEXT(Z$6,"yyyymm") &amp; "]",
"[Base].[Metrica]",
"[Base].[Metrica].&amp;[" &amp; $A46 &amp; "]",
"[Base].[SEGMENTO_DESCRIP]",
"[Base].[SEGMENTO_DESCRIP].&amp;[" &amp; $C$6 &amp; "]",
"[Base].[SITUACION]",
"[Base].[SITUACION].&amp;[" &amp; $C46 &amp; "]"
),0)/1000</f>
        <v>-1283.6326406000001</v>
      </c>
      <c r="AA46" s="8">
        <f>-IFERROR(
GETPIVOTDATA(
"[Base].[Importe]",
TDinamica_R!$A$5,
"[Calendario].[AñoMes]",
"[Calendario].[AñoMes].&amp;[" &amp; TEXT(AA$6,"yyyymm") &amp; "]",
"[Base].[Metrica]",
"[Base].[Metrica].&amp;[" &amp; $A46 &amp; "]",
"[Base].[SEGMENTO_DESCRIP]",
"[Base].[SEGMENTO_DESCRIP].&amp;[" &amp; $C$6 &amp; "]",
"[Base].[SITUACION]",
"[Base].[SITUACION].&amp;[" &amp; $C46 &amp; "]"
),0)/1000</f>
        <v>-1289.4331359500004</v>
      </c>
      <c r="AB46" s="8">
        <f>-IFERROR(
GETPIVOTDATA(
"[Base].[Importe]",
TDinamica_R!$A$5,
"[Calendario].[AñoMes]",
"[Calendario].[AñoMes].&amp;[" &amp; TEXT(AB$6,"yyyymm") &amp; "]",
"[Base].[Metrica]",
"[Base].[Metrica].&amp;[" &amp; $A46 &amp; "]",
"[Base].[SEGMENTO_DESCRIP]",
"[Base].[SEGMENTO_DESCRIP].&amp;[" &amp; $C$6 &amp; "]",
"[Base].[SITUACION]",
"[Base].[SITUACION].&amp;[" &amp; $C46 &amp; "]"
),0)/1000</f>
        <v>-1309.64673365</v>
      </c>
      <c r="AC46" s="8">
        <f>-IFERROR(
GETPIVOTDATA(
"[Base].[Importe]",
TDinamica_R!$A$5,
"[Calendario].[AñoMes]",
"[Calendario].[AñoMes].&amp;[" &amp; TEXT(AC$6,"yyyymm") &amp; "]",
"[Base].[Metrica]",
"[Base].[Metrica].&amp;[" &amp; $A46 &amp; "]",
"[Base].[SEGMENTO_DESCRIP]",
"[Base].[SEGMENTO_DESCRIP].&amp;[" &amp; $C$6 &amp; "]",
"[Base].[SITUACION]",
"[Base].[SITUACION].&amp;[" &amp; $C46 &amp; "]"
),0)/1000</f>
        <v>-1296.4276820000002</v>
      </c>
      <c r="AD46" s="8">
        <f>-IFERROR(
GETPIVOTDATA(
"[Base].[Importe]",
TDinamica_R!$A$5,
"[Calendario].[AñoMes]",
"[Calendario].[AñoMes].&amp;[" &amp; TEXT(AD$6,"yyyymm") &amp; "]",
"[Base].[Metrica]",
"[Base].[Metrica].&amp;[" &amp; $A46 &amp; "]",
"[Base].[SEGMENTO_DESCRIP]",
"[Base].[SEGMENTO_DESCRIP].&amp;[" &amp; $C$6 &amp; "]",
"[Base].[SITUACION]",
"[Base].[SITUACION].&amp;[" &amp; $C46 &amp; "]"
),0)/1000</f>
        <v>-1291.4442959699998</v>
      </c>
      <c r="AE46" s="8">
        <f>-IFERROR(
GETPIVOTDATA(
"[Base].[Importe]",
TDinamica_R!$A$5,
"[Calendario].[AñoMes]",
"[Calendario].[AñoMes].&amp;[" &amp; TEXT(AE$6,"yyyymm") &amp; "]",
"[Base].[Metrica]",
"[Base].[Metrica].&amp;[" &amp; $A46 &amp; "]",
"[Base].[SEGMENTO_DESCRIP]",
"[Base].[SEGMENTO_DESCRIP].&amp;[" &amp; $C$6 &amp; "]",
"[Base].[SITUACION]",
"[Base].[SITUACION].&amp;[" &amp; $C46 &amp; "]"
),0)/1000</f>
        <v>-1373.5808749300002</v>
      </c>
      <c r="AF46" s="8">
        <f>-IFERROR(
GETPIVOTDATA(
"[Base].[Importe]",
TDinamica_R!$A$5,
"[Calendario].[AñoMes]",
"[Calendario].[AñoMes].&amp;[" &amp; TEXT(AF$6,"yyyymm") &amp; "]",
"[Base].[Metrica]",
"[Base].[Metrica].&amp;[" &amp; $A46 &amp; "]",
"[Base].[SEGMENTO_DESCRIP]",
"[Base].[SEGMENTO_DESCRIP].&amp;[" &amp; $C$6 &amp; "]",
"[Base].[SITUACION]",
"[Base].[SITUACION].&amp;[" &amp; $C46 &amp; "]"
),0)/1000</f>
        <v>-1445.1020252000003</v>
      </c>
      <c r="AG46" s="8">
        <f>-IFERROR(
GETPIVOTDATA(
"[Base].[Importe]",
TDinamica_R!$A$5,
"[Calendario].[AñoMes]",
"[Calendario].[AñoMes].&amp;[" &amp; TEXT(AG$6,"yyyymm") &amp; "]",
"[Base].[Metrica]",
"[Base].[Metrica].&amp;[" &amp; $A46 &amp; "]",
"[Base].[SEGMENTO_DESCRIP]",
"[Base].[SEGMENTO_DESCRIP].&amp;[" &amp; $C$6 &amp; "]",
"[Base].[SITUACION]",
"[Base].[SITUACION].&amp;[" &amp; $C46 &amp; "]"
),0)/1000</f>
        <v>-1425.2514554400004</v>
      </c>
      <c r="AH46" s="8">
        <f>-IFERROR(
GETPIVOTDATA(
"[Base].[Importe]",
TDinamica_R!$A$5,
"[Calendario].[AñoMes]",
"[Calendario].[AñoMes].&amp;[" &amp; TEXT(AH$6,"yyyymm") &amp; "]",
"[Base].[Metrica]",
"[Base].[Metrica].&amp;[" &amp; $A46 &amp; "]",
"[Base].[SEGMENTO_DESCRIP]",
"[Base].[SEGMENTO_DESCRIP].&amp;[" &amp; $C$6 &amp; "]",
"[Base].[SITUACION]",
"[Base].[SITUACION].&amp;[" &amp; $C46 &amp; "]"
),0)/1000</f>
        <v>-1422.7017784000004</v>
      </c>
      <c r="AI46" s="8">
        <f>-IFERROR(
GETPIVOTDATA(
"[Base].[Importe]",
TDinamica_R!$A$5,
"[Calendario].[AñoMes]",
"[Calendario].[AñoMes].&amp;[" &amp; TEXT(AI$6,"yyyymm") &amp; "]",
"[Base].[Metrica]",
"[Base].[Metrica].&amp;[" &amp; $A46 &amp; "]",
"[Base].[SEGMENTO_DESCRIP]",
"[Base].[SEGMENTO_DESCRIP].&amp;[" &amp; $C$6 &amp; "]",
"[Base].[SITUACION]",
"[Base].[SITUACION].&amp;[" &amp; $C46 &amp; "]"
),0)/1000</f>
        <v>-1461.1248148499997</v>
      </c>
      <c r="AJ46" s="8">
        <f>-IFERROR(
GETPIVOTDATA(
"[Base].[Importe]",
TDinamica_R!$A$5,
"[Calendario].[AñoMes]",
"[Calendario].[AñoMes].&amp;[" &amp; TEXT(AJ$6,"yyyymm") &amp; "]",
"[Base].[Metrica]",
"[Base].[Metrica].&amp;[" &amp; $A46 &amp; "]",
"[Base].[SEGMENTO_DESCRIP]",
"[Base].[SEGMENTO_DESCRIP].&amp;[" &amp; $C$6 &amp; "]",
"[Base].[SITUACION]",
"[Base].[SITUACION].&amp;[" &amp; $C46 &amp; "]"
),0)/1000</f>
        <v>-1414.11235227</v>
      </c>
      <c r="AK46" s="8">
        <f>-IFERROR(
GETPIVOTDATA(
"[Base].[Importe]",
TDinamica_R!$A$5,
"[Calendario].[AñoMes]",
"[Calendario].[AñoMes].&amp;[" &amp; TEXT(AK$6,"yyyymm") &amp; "]",
"[Base].[Metrica]",
"[Base].[Metrica].&amp;[" &amp; $A46 &amp; "]",
"[Base].[SEGMENTO_DESCRIP]",
"[Base].[SEGMENTO_DESCRIP].&amp;[" &amp; $C$6 &amp; "]",
"[Base].[SITUACION]",
"[Base].[SITUACION].&amp;[" &amp; $C46 &amp; "]"
),0)/1000</f>
        <v>-1427.3819728799999</v>
      </c>
      <c r="AL46" s="8">
        <f>-IFERROR(
GETPIVOTDATA(
"[Base].[Importe]",
TDinamica_R!$A$5,
"[Calendario].[AñoMes]",
"[Calendario].[AñoMes].&amp;[" &amp; TEXT(AL$6,"yyyymm") &amp; "]",
"[Base].[Metrica]",
"[Base].[Metrica].&amp;[" &amp; $A46 &amp; "]",
"[Base].[SEGMENTO_DESCRIP]",
"[Base].[SEGMENTO_DESCRIP].&amp;[" &amp; $C$6 &amp; "]",
"[Base].[SITUACION]",
"[Base].[SITUACION].&amp;[" &amp; $C46 &amp; "]"
),0)/1000</f>
        <v>-1442.4184843999999</v>
      </c>
      <c r="AM46" s="8">
        <f>-IFERROR(
GETPIVOTDATA(
"[Base].[Importe]",
TDinamica_R!$A$5,
"[Calendario].[AñoMes]",
"[Calendario].[AñoMes].&amp;[" &amp; TEXT(AM$6,"yyyymm") &amp; "]",
"[Base].[Metrica]",
"[Base].[Metrica].&amp;[" &amp; $A46 &amp; "]",
"[Base].[SEGMENTO_DESCRIP]",
"[Base].[SEGMENTO_DESCRIP].&amp;[" &amp; $C$6 &amp; "]",
"[Base].[SITUACION]",
"[Base].[SITUACION].&amp;[" &amp; $C46 &amp; "]"
),0)/1000</f>
        <v>-1405.2395799400003</v>
      </c>
      <c r="AN46" s="8">
        <f>-IFERROR(
GETPIVOTDATA(
"[Base].[Importe]",
TDinamica_R!$A$5,
"[Calendario].[AñoMes]",
"[Calendario].[AñoMes].&amp;[" &amp; TEXT(AN$6,"yyyymm") &amp; "]",
"[Base].[Metrica]",
"[Base].[Metrica].&amp;[" &amp; $A46 &amp; "]",
"[Base].[SEGMENTO_DESCRIP]",
"[Base].[SEGMENTO_DESCRIP].&amp;[" &amp; $C$6 &amp; "]",
"[Base].[SITUACION]",
"[Base].[SITUACION].&amp;[" &amp; $C46 &amp; "]"
),0)/1000</f>
        <v>-1370.4368559299999</v>
      </c>
      <c r="AO46" s="8">
        <f>-IFERROR(
GETPIVOTDATA(
"[Base].[Importe]",
TDinamica_R!$A$5,
"[Calendario].[AñoMes]",
"[Calendario].[AñoMes].&amp;[" &amp; TEXT(AO$6,"yyyymm") &amp; "]",
"[Base].[Metrica]",
"[Base].[Metrica].&amp;[" &amp; $A46 &amp; "]",
"[Base].[SEGMENTO_DESCRIP]",
"[Base].[SEGMENTO_DESCRIP].&amp;[" &amp; $C$6 &amp; "]",
"[Base].[SITUACION]",
"[Base].[SITUACION].&amp;[" &amp; $C46 &amp; "]"
),0)/1000</f>
        <v>-1335.4459692400003</v>
      </c>
      <c r="AP46" s="8">
        <f>-IFERROR(
GETPIVOTDATA(
"[Base].[Importe]",
TDinamica_R!$A$5,
"[Calendario].[AñoMes]",
"[Calendario].[AñoMes].&amp;[" &amp; TEXT(AP$6,"yyyymm") &amp; "]",
"[Base].[Metrica]",
"[Base].[Metrica].&amp;[" &amp; $A46 &amp; "]",
"[Base].[SEGMENTO_DESCRIP]",
"[Base].[SEGMENTO_DESCRIP].&amp;[" &amp; $C$6 &amp; "]",
"[Base].[SITUACION]",
"[Base].[SITUACION].&amp;[" &amp; $C46 &amp; "]"
),0)/1000</f>
        <v>-1328.3912685</v>
      </c>
      <c r="AQ46" s="8">
        <f>-IFERROR(
GETPIVOTDATA(
"[Base].[Importe]",
TDinamica_R!$A$5,
"[Calendario].[AñoMes]",
"[Calendario].[AñoMes].&amp;[" &amp; TEXT(AQ$6,"yyyymm") &amp; "]",
"[Base].[Metrica]",
"[Base].[Metrica].&amp;[" &amp; $A46 &amp; "]",
"[Base].[SEGMENTO_DESCRIP]",
"[Base].[SEGMENTO_DESCRIP].&amp;[" &amp; $C$6 &amp; "]",
"[Base].[SITUACION]",
"[Base].[SITUACION].&amp;[" &amp; $C46 &amp; "]"
),0)/1000</f>
        <v>-1333.6373710799999</v>
      </c>
      <c r="AR46" s="8">
        <f>-IFERROR(
GETPIVOTDATA(
"[Base].[Importe]",
TDinamica_R!$A$5,
"[Calendario].[AñoMes]",
"[Calendario].[AñoMes].&amp;[" &amp; TEXT(AR$6,"yyyymm") &amp; "]",
"[Base].[Metrica]",
"[Base].[Metrica].&amp;[" &amp; $A46 &amp; "]",
"[Base].[SEGMENTO_DESCRIP]",
"[Base].[SEGMENTO_DESCRIP].&amp;[" &amp; $C$6 &amp; "]",
"[Base].[SITUACION]",
"[Base].[SITUACION].&amp;[" &amp; $C46 &amp; "]"
),0)/1000</f>
        <v>-1347.41623061</v>
      </c>
      <c r="AS46" s="8">
        <f>-IFERROR(
GETPIVOTDATA(
"[Base].[Importe]",
TDinamica_R!$A$5,
"[Calendario].[AñoMes]",
"[Calendario].[AñoMes].&amp;[" &amp; TEXT(AS$6,"yyyymm") &amp; "]",
"[Base].[Metrica]",
"[Base].[Metrica].&amp;[" &amp; $A46 &amp; "]",
"[Base].[SEGMENTO_DESCRIP]",
"[Base].[SEGMENTO_DESCRIP].&amp;[" &amp; $C$6 &amp; "]",
"[Base].[SITUACION]",
"[Base].[SITUACION].&amp;[" &amp; $C46 &amp; "]"
),0)/1000</f>
        <v>-1317.3413588500002</v>
      </c>
      <c r="AT46" s="8">
        <f>-IFERROR(
GETPIVOTDATA(
"[Base].[Importe]",
TDinamica_R!$A$5,
"[Calendario].[AñoMes]",
"[Calendario].[AñoMes].&amp;[" &amp; TEXT(AT$6,"yyyymm")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U46" s="8">
        <f>-IFERROR(
GETPIVOTDATA(
"[Base].[Importe]",
TDinamica_R!$A$5,
"[Calendario].[AñoMes]",
"[Calendario].[AñoMes].&amp;[" &amp; TEXT(AU$6,"yyyymm")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V46" s="8">
        <f>-IFERROR(
GETPIVOTDATA(
"[Base].[Importe]",
TDinamica_R!$A$5,
"[Calendario].[AñoMes]",
"[Calendario].[AñoMes].&amp;[" &amp; TEXT(AV$6,"yyyymm")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W46" s="8">
        <f>-IFERROR(
GETPIVOTDATA(
"[Base].[Importe]",
TDinamica_R!$A$5,
"[Calendario].[AñoMes]",
"[Calendario].[AñoMes].&amp;[" &amp; TEXT(AW$6,"yyyymm")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X46" s="8">
        <f>-IFERROR(
GETPIVOTDATA(
"[Base].[Importe]",
TDinamica_R!$A$5,
"[Calendario].[AñoMes]",
"[Calendario].[AñoMes].&amp;[" &amp; TEXT(AX$6,"yyyymm")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Y46" s="8">
        <f>-IFERROR(
GETPIVOTDATA(
"[Base].[Importe]",
TDinamica_R!$A$5,
"[Calendario].[AñoMes]",
"[Calendario].[AñoMes].&amp;[" &amp; TEXT(AY$6,"yyyymm")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Z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"[BASE_HIPO_PPTO].[Periodo]","[BASE_HIPO_PPTO].[Periodo].&amp;["&amp;TEXT(AZ$6,"yyyymm")&amp;"]"),
0)/1000</f>
        <v>-1465.431059005916</v>
      </c>
      <c r="BA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"[BASE_HIPO_PPTO].[Periodo]","[BASE_HIPO_PPTO].[Periodo].&amp;["&amp;TEXT(BA$6,"yyyymm")&amp;"]"),
0)/1000</f>
        <v>-1478.506279535799</v>
      </c>
      <c r="BB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"[BASE_HIPO_PPTO].[Periodo]","[BASE_HIPO_PPTO].[Periodo].&amp;["&amp;TEXT(BB$6,"yyyymm")&amp;"]"),
0)/1000</f>
        <v>-1489.0815817519988</v>
      </c>
      <c r="BC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"[BASE_HIPO_PPTO].[Periodo]","[BASE_HIPO_PPTO].[Periodo].&amp;["&amp;TEXT(BC$6,"yyyymm")&amp;"]"),
0)/1000</f>
        <v>-1501.3423818061622</v>
      </c>
      <c r="BD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"[BASE_HIPO_PPTO].[Periodo]","[BASE_HIPO_PPTO].[Periodo].&amp;["&amp;TEXT(BD$6,"yyyymm")&amp;"]"),
0)/1000</f>
        <v>-1513.4274200278624</v>
      </c>
      <c r="BE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"[BASE_HIPO_PPTO].[Periodo]","[BASE_HIPO_PPTO].[Periodo].&amp;["&amp;TEXT(BE$6,"yyyymm")&amp;"]"),
0)/1000</f>
        <v>-1527.347468481353</v>
      </c>
      <c r="BF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"[BASE_HIPO_PPTO].[Periodo]","[BASE_HIPO_PPTO].[Periodo].&amp;["&amp;TEXT(BF$6,"yyyymm")&amp;"]"),
0)/1000</f>
        <v>-1539.1058970557708</v>
      </c>
      <c r="BG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"[BASE_HIPO_PPTO].[Periodo]","[BASE_HIPO_PPTO].[Periodo].&amp;["&amp;TEXT(BG$6,"yyyymm")&amp;"]"),
0)/1000</f>
        <v>-1555.0604335359046</v>
      </c>
      <c r="BH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"[BASE_HIPO_PPTO].[Periodo]","[BASE_HIPO_PPTO].[Periodo].&amp;["&amp;TEXT(BH$6,"yyyymm")&amp;"]"),
0)/1000</f>
        <v>-1570.5822980242051</v>
      </c>
      <c r="BI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"[BASE_HIPO_PPTO].[Periodo]","[BASE_HIPO_PPTO].[Periodo].&amp;["&amp;TEXT(BI$6,"yyyymm")&amp;"]"),
0)/1000</f>
        <v>-1587.9301289669816</v>
      </c>
      <c r="BJ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"[BASE_HIPO_PPTO].[Periodo]","[BASE_HIPO_PPTO].[Periodo].&amp;["&amp;TEXT(BJ$6,"yyyymm")&amp;"]"),
0)/1000</f>
        <v>-1603.1228684115408</v>
      </c>
      <c r="BK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"[BASE_HIPO_PPTO].[Periodo]","[BASE_HIPO_PPTO].[Periodo].&amp;["&amp;TEXT(BK$6,"yyyymm")&amp;"]"),
0)/1000</f>
        <v>-1615.8178380172665</v>
      </c>
      <c r="BO46" s="24">
        <f t="shared" si="31"/>
        <v>-4034.2740936700002</v>
      </c>
      <c r="BP46" s="24">
        <f t="shared" si="31"/>
        <v>-4433.0189202937136</v>
      </c>
      <c r="BQ46" s="24">
        <f t="shared" si="31"/>
        <v>-2705.8828251700002</v>
      </c>
      <c r="BR46" s="24">
        <f t="shared" si="31"/>
        <v>-3897.5187116200004</v>
      </c>
      <c r="BS46" s="24">
        <f t="shared" si="31"/>
        <v>-3503.2692502300001</v>
      </c>
      <c r="BT46" s="24">
        <f t="shared" si="31"/>
        <v>-2827.3216388200003</v>
      </c>
    </row>
    <row r="47" spans="1:72" collapsed="1" x14ac:dyDescent="0.25">
      <c r="C47" s="3" t="s">
        <v>58</v>
      </c>
      <c r="D47" s="10">
        <f>SUM(D44:D46)</f>
        <v>-22084.532463900003</v>
      </c>
      <c r="E47" s="10">
        <f t="shared" ref="E47:BK47" si="32">SUM(E44:E46)</f>
        <v>-22298.372398470005</v>
      </c>
      <c r="F47" s="10">
        <f t="shared" si="32"/>
        <v>-22501.726809799991</v>
      </c>
      <c r="G47" s="10">
        <f t="shared" si="32"/>
        <v>-22794.561264119995</v>
      </c>
      <c r="H47" s="10">
        <f t="shared" si="32"/>
        <v>-23058.492388499992</v>
      </c>
      <c r="I47" s="10">
        <f t="shared" si="32"/>
        <v>-23269.607283000001</v>
      </c>
      <c r="J47" s="10">
        <f t="shared" si="32"/>
        <v>-23459.28598303</v>
      </c>
      <c r="K47" s="10">
        <f t="shared" si="32"/>
        <v>-23557.062624119997</v>
      </c>
      <c r="L47" s="10">
        <f t="shared" si="32"/>
        <v>-23728.361247249995</v>
      </c>
      <c r="M47" s="10">
        <f t="shared" si="32"/>
        <v>-23958.25480065</v>
      </c>
      <c r="N47" s="10">
        <f t="shared" si="32"/>
        <v>-24115.27612658</v>
      </c>
      <c r="O47" s="10">
        <f t="shared" si="32"/>
        <v>-24240.498044209991</v>
      </c>
      <c r="P47" s="10">
        <f t="shared" si="32"/>
        <v>-24376.492756500007</v>
      </c>
      <c r="Q47" s="10">
        <f t="shared" si="32"/>
        <v>-24503.435574879994</v>
      </c>
      <c r="R47" s="10">
        <f t="shared" si="32"/>
        <v>-24705.275172789996</v>
      </c>
      <c r="S47" s="10">
        <f t="shared" si="32"/>
        <v>-24846.572064839995</v>
      </c>
      <c r="T47" s="10">
        <f t="shared" si="32"/>
        <v>-25106.01596500001</v>
      </c>
      <c r="U47" s="10">
        <f t="shared" si="32"/>
        <v>-25204.763173789994</v>
      </c>
      <c r="V47" s="10">
        <f t="shared" si="32"/>
        <v>-25443.608268259995</v>
      </c>
      <c r="W47" s="10">
        <f t="shared" si="32"/>
        <v>-25791.143793179999</v>
      </c>
      <c r="X47" s="10">
        <f t="shared" si="32"/>
        <v>-25768.302878980005</v>
      </c>
      <c r="Y47" s="10">
        <f t="shared" si="32"/>
        <v>-25855.384946080005</v>
      </c>
      <c r="Z47" s="10">
        <f t="shared" si="32"/>
        <v>-26123.016354180003</v>
      </c>
      <c r="AA47" s="10">
        <f t="shared" si="32"/>
        <v>-26242.77034825</v>
      </c>
      <c r="AB47" s="10">
        <f t="shared" si="32"/>
        <v>-26463.653422950007</v>
      </c>
      <c r="AC47" s="10">
        <f t="shared" si="32"/>
        <v>-26618.706563</v>
      </c>
      <c r="AD47" s="10">
        <f t="shared" si="32"/>
        <v>-26893.598508410007</v>
      </c>
      <c r="AE47" s="10">
        <f t="shared" si="32"/>
        <v>-27150.182569569992</v>
      </c>
      <c r="AF47" s="10">
        <f t="shared" si="32"/>
        <v>-27477.013306200006</v>
      </c>
      <c r="AG47" s="10">
        <f t="shared" si="32"/>
        <v>-27646.570790320002</v>
      </c>
      <c r="AH47" s="10">
        <f t="shared" si="32"/>
        <v>-28012.574070039998</v>
      </c>
      <c r="AI47" s="10">
        <f t="shared" si="32"/>
        <v>-28268.526771150006</v>
      </c>
      <c r="AJ47" s="10">
        <f t="shared" si="32"/>
        <v>-28616.514721079991</v>
      </c>
      <c r="AK47" s="10">
        <f t="shared" si="32"/>
        <v>-28898.406637180004</v>
      </c>
      <c r="AL47" s="10">
        <f t="shared" si="32"/>
        <v>-29312.060392730004</v>
      </c>
      <c r="AM47" s="10">
        <f t="shared" si="32"/>
        <v>-29556.946121099998</v>
      </c>
      <c r="AN47" s="10">
        <f t="shared" si="32"/>
        <v>-29870.963467220001</v>
      </c>
      <c r="AO47" s="10">
        <f t="shared" si="32"/>
        <v>-30176.001139520002</v>
      </c>
      <c r="AP47" s="10">
        <f t="shared" si="32"/>
        <v>-30509.256742999991</v>
      </c>
      <c r="AQ47" s="10">
        <f t="shared" si="32"/>
        <v>-30672.95187579</v>
      </c>
      <c r="AR47" s="10">
        <f t="shared" si="32"/>
        <v>-31076.894568059986</v>
      </c>
      <c r="AS47" s="10">
        <f t="shared" si="32"/>
        <v>-31337.365962900007</v>
      </c>
      <c r="AT47" s="10">
        <f t="shared" si="32"/>
        <v>0</v>
      </c>
      <c r="AU47" s="10">
        <f t="shared" si="32"/>
        <v>0</v>
      </c>
      <c r="AV47" s="10">
        <f t="shared" si="32"/>
        <v>0</v>
      </c>
      <c r="AW47" s="10">
        <f t="shared" si="32"/>
        <v>0</v>
      </c>
      <c r="AX47" s="10">
        <f t="shared" si="32"/>
        <v>0</v>
      </c>
      <c r="AY47" s="10">
        <f t="shared" si="32"/>
        <v>0</v>
      </c>
      <c r="AZ47" s="10">
        <f t="shared" si="32"/>
        <v>-29800.329948152375</v>
      </c>
      <c r="BA47" s="10">
        <f t="shared" si="32"/>
        <v>-30070.568058119836</v>
      </c>
      <c r="BB47" s="10">
        <f t="shared" si="32"/>
        <v>-30315.672635847739</v>
      </c>
      <c r="BC47" s="10">
        <f t="shared" si="32"/>
        <v>-30582.133790926771</v>
      </c>
      <c r="BD47" s="10">
        <f t="shared" si="32"/>
        <v>-30857.281355385039</v>
      </c>
      <c r="BE47" s="10">
        <f t="shared" si="32"/>
        <v>-31151.811359164622</v>
      </c>
      <c r="BF47" s="10">
        <f t="shared" si="32"/>
        <v>-31403.507051894179</v>
      </c>
      <c r="BG47" s="10">
        <f t="shared" si="32"/>
        <v>-31729.565140035622</v>
      </c>
      <c r="BH47" s="10">
        <f t="shared" si="32"/>
        <v>-32046.166744446706</v>
      </c>
      <c r="BI47" s="10">
        <f t="shared" si="32"/>
        <v>-32419.264690757453</v>
      </c>
      <c r="BJ47" s="10">
        <f t="shared" si="32"/>
        <v>-32743.112343649816</v>
      </c>
      <c r="BK47" s="10">
        <f t="shared" si="32"/>
        <v>-33023.287177198057</v>
      </c>
      <c r="BO47" s="23">
        <f>SUM(BO44:BO46)</f>
        <v>-90556.221349740008</v>
      </c>
      <c r="BP47" s="23">
        <f t="shared" ref="BP47:BT47" si="33">SUM(BP44:BP46)</f>
        <v>-90186.570642119957</v>
      </c>
      <c r="BQ47" s="23">
        <f t="shared" si="33"/>
        <v>-60046.96460674001</v>
      </c>
      <c r="BR47" s="23">
        <f t="shared" si="33"/>
        <v>-79975.95849436002</v>
      </c>
      <c r="BS47" s="23">
        <f t="shared" si="33"/>
        <v>-73585.20350417</v>
      </c>
      <c r="BT47" s="23">
        <f t="shared" si="33"/>
        <v>-66884.631672169984</v>
      </c>
    </row>
    <row r="50" spans="1:72" hidden="1" outlineLevel="1" x14ac:dyDescent="0.25">
      <c r="A50" s="11"/>
      <c r="C50" s="2" t="s">
        <v>0</v>
      </c>
      <c r="D50" s="8">
        <f>D38+D44</f>
        <v>9932.0011745999946</v>
      </c>
      <c r="E50" s="8">
        <f t="shared" ref="E50:BK53" si="34">E38+E44</f>
        <v>7056.2429730299991</v>
      </c>
      <c r="F50" s="8">
        <f t="shared" si="34"/>
        <v>9920.1237883600043</v>
      </c>
      <c r="G50" s="8">
        <f t="shared" si="34"/>
        <v>9062.9920786799994</v>
      </c>
      <c r="H50" s="8">
        <f t="shared" si="34"/>
        <v>9963.6184354500074</v>
      </c>
      <c r="I50" s="8">
        <f t="shared" si="34"/>
        <v>8906.0776288300003</v>
      </c>
      <c r="J50" s="8">
        <f t="shared" si="34"/>
        <v>10061.49567661999</v>
      </c>
      <c r="K50" s="8">
        <f t="shared" si="34"/>
        <v>9787.9088907499972</v>
      </c>
      <c r="L50" s="8">
        <f t="shared" si="34"/>
        <v>8711.8350061000128</v>
      </c>
      <c r="M50" s="8">
        <f t="shared" si="34"/>
        <v>9707.132189579992</v>
      </c>
      <c r="N50" s="8">
        <f t="shared" si="34"/>
        <v>8857.7685575699979</v>
      </c>
      <c r="O50" s="8">
        <f t="shared" si="34"/>
        <v>10157.163492570009</v>
      </c>
      <c r="P50" s="8">
        <f t="shared" si="34"/>
        <v>9542.8592053499924</v>
      </c>
      <c r="Q50" s="8">
        <f t="shared" si="34"/>
        <v>7655.4208765099975</v>
      </c>
      <c r="R50" s="8">
        <f t="shared" si="34"/>
        <v>9857.056019540003</v>
      </c>
      <c r="S50" s="8">
        <f t="shared" si="34"/>
        <v>8353.6718546200063</v>
      </c>
      <c r="T50" s="8">
        <f t="shared" si="34"/>
        <v>9932.2533263399891</v>
      </c>
      <c r="U50" s="8">
        <f t="shared" si="34"/>
        <v>9009.2980616700042</v>
      </c>
      <c r="V50" s="8">
        <f t="shared" si="34"/>
        <v>10100.458687259994</v>
      </c>
      <c r="W50" s="8">
        <f t="shared" si="34"/>
        <v>9975.4183014099981</v>
      </c>
      <c r="X50" s="8">
        <f t="shared" si="34"/>
        <v>8695.5205136199984</v>
      </c>
      <c r="Y50" s="8">
        <f t="shared" si="34"/>
        <v>9850.8409771199949</v>
      </c>
      <c r="Z50" s="8">
        <f t="shared" si="34"/>
        <v>9083.405290679988</v>
      </c>
      <c r="AA50" s="8">
        <f t="shared" si="34"/>
        <v>10044.214469400005</v>
      </c>
      <c r="AB50" s="8">
        <f t="shared" si="34"/>
        <v>9655.9405033799922</v>
      </c>
      <c r="AC50" s="8">
        <f t="shared" si="34"/>
        <v>6496.1409222099974</v>
      </c>
      <c r="AD50" s="8">
        <f t="shared" si="34"/>
        <v>9496.668976539986</v>
      </c>
      <c r="AE50" s="8">
        <f t="shared" si="34"/>
        <v>8652.4663922700092</v>
      </c>
      <c r="AF50" s="8">
        <f t="shared" si="34"/>
        <v>10211.056645060005</v>
      </c>
      <c r="AG50" s="8">
        <f t="shared" si="34"/>
        <v>8617.3140890000032</v>
      </c>
      <c r="AH50" s="8">
        <f t="shared" si="34"/>
        <v>10209.887957320014</v>
      </c>
      <c r="AI50" s="8">
        <f t="shared" si="34"/>
        <v>10115.9279498</v>
      </c>
      <c r="AJ50" s="8">
        <f t="shared" si="34"/>
        <v>8607.152676360005</v>
      </c>
      <c r="AK50" s="8">
        <f t="shared" si="34"/>
        <v>10214.731652089991</v>
      </c>
      <c r="AL50" s="8">
        <f t="shared" si="34"/>
        <v>9426.8719491199809</v>
      </c>
      <c r="AM50" s="8">
        <f t="shared" si="34"/>
        <v>10726.000591069998</v>
      </c>
      <c r="AN50" s="8">
        <f t="shared" si="34"/>
        <v>10689.421686410005</v>
      </c>
      <c r="AO50" s="8">
        <f t="shared" si="34"/>
        <v>7319.8551858500068</v>
      </c>
      <c r="AP50" s="8">
        <f t="shared" si="34"/>
        <v>10904.127728240011</v>
      </c>
      <c r="AQ50" s="8">
        <f t="shared" si="34"/>
        <v>9705.8775071900054</v>
      </c>
      <c r="AR50" s="8">
        <f t="shared" si="34"/>
        <v>11329.474267060035</v>
      </c>
      <c r="AS50" s="8">
        <f t="shared" si="34"/>
        <v>9403.9145273700051</v>
      </c>
      <c r="AT50" s="8">
        <f t="shared" si="34"/>
        <v>0</v>
      </c>
      <c r="AU50" s="8">
        <f t="shared" si="34"/>
        <v>0</v>
      </c>
      <c r="AV50" s="8">
        <f t="shared" si="34"/>
        <v>0</v>
      </c>
      <c r="AW50" s="8">
        <f t="shared" si="34"/>
        <v>0</v>
      </c>
      <c r="AX50" s="8">
        <f t="shared" si="34"/>
        <v>0</v>
      </c>
      <c r="AY50" s="8">
        <f t="shared" si="34"/>
        <v>0</v>
      </c>
      <c r="AZ50" s="8">
        <f t="shared" si="34"/>
        <v>9714.1613960470459</v>
      </c>
      <c r="BA50" s="8">
        <f t="shared" si="34"/>
        <v>6397.9468717392956</v>
      </c>
      <c r="BB50" s="8">
        <f t="shared" si="34"/>
        <v>9692.7317505092069</v>
      </c>
      <c r="BC50" s="8">
        <f t="shared" si="34"/>
        <v>8897.7187524173169</v>
      </c>
      <c r="BD50" s="8">
        <f t="shared" si="34"/>
        <v>10491.749045528268</v>
      </c>
      <c r="BE50" s="8">
        <f t="shared" si="34"/>
        <v>8916.4724552359294</v>
      </c>
      <c r="BF50" s="8">
        <f t="shared" si="34"/>
        <v>10628.038223667158</v>
      </c>
      <c r="BG50" s="8">
        <f t="shared" si="34"/>
        <v>10754.636063567104</v>
      </c>
      <c r="BH50" s="8">
        <f t="shared" si="34"/>
        <v>8955.7050599701652</v>
      </c>
      <c r="BI50" s="8">
        <f t="shared" si="34"/>
        <v>10608.093002249127</v>
      </c>
      <c r="BJ50" s="8">
        <f t="shared" si="34"/>
        <v>9706.3225092979519</v>
      </c>
      <c r="BK50" s="8">
        <f t="shared" si="34"/>
        <v>10905.026546751062</v>
      </c>
      <c r="BO50" s="24">
        <f>BO38+BO44</f>
        <v>28913.404600500013</v>
      </c>
      <c r="BP50" s="24">
        <f t="shared" ref="BP50:BT50" si="35">BP38+BP44</f>
        <v>25804.840018295537</v>
      </c>
      <c r="BQ50" s="24">
        <f t="shared" si="35"/>
        <v>18009.276872260001</v>
      </c>
      <c r="BR50" s="24">
        <f t="shared" si="35"/>
        <v>25648.750402129968</v>
      </c>
      <c r="BS50" s="24">
        <f t="shared" si="35"/>
        <v>27055.336101399997</v>
      </c>
      <c r="BT50" s="24">
        <f t="shared" si="35"/>
        <v>26908.367935989998</v>
      </c>
    </row>
    <row r="51" spans="1:72" hidden="1" outlineLevel="1" x14ac:dyDescent="0.25">
      <c r="A51" s="11"/>
      <c r="C51" s="2" t="s">
        <v>1</v>
      </c>
      <c r="D51" s="8">
        <f t="shared" ref="D51:AY53" si="36">D39+D45</f>
        <v>-101.87126938999999</v>
      </c>
      <c r="E51" s="8">
        <f t="shared" si="36"/>
        <v>-99.349567539999995</v>
      </c>
      <c r="F51" s="8">
        <f t="shared" si="36"/>
        <v>-102.90518620000002</v>
      </c>
      <c r="G51" s="8">
        <f t="shared" si="36"/>
        <v>-103.18139240000001</v>
      </c>
      <c r="H51" s="8">
        <f t="shared" si="36"/>
        <v>-100.98982088</v>
      </c>
      <c r="I51" s="8">
        <f t="shared" si="36"/>
        <v>-100.194456</v>
      </c>
      <c r="J51" s="8">
        <f t="shared" si="36"/>
        <v>-101.08290188000001</v>
      </c>
      <c r="K51" s="8">
        <f t="shared" si="36"/>
        <v>-95.59542264000001</v>
      </c>
      <c r="L51" s="8">
        <f t="shared" si="36"/>
        <v>-90.285182309999996</v>
      </c>
      <c r="M51" s="8">
        <f t="shared" si="36"/>
        <v>-86.919949450000004</v>
      </c>
      <c r="N51" s="8">
        <f t="shared" si="36"/>
        <v>-89.359365520000011</v>
      </c>
      <c r="O51" s="8">
        <f t="shared" si="36"/>
        <v>-90.934182589999992</v>
      </c>
      <c r="P51" s="8">
        <f t="shared" si="36"/>
        <v>-90.193482639999999</v>
      </c>
      <c r="Q51" s="8">
        <f t="shared" si="36"/>
        <v>-88.224578879999996</v>
      </c>
      <c r="R51" s="8">
        <f t="shared" si="36"/>
        <v>-89.857254600000005</v>
      </c>
      <c r="S51" s="8">
        <f t="shared" si="36"/>
        <v>-87.599625279999998</v>
      </c>
      <c r="T51" s="8">
        <f t="shared" si="36"/>
        <v>-87.012972000000005</v>
      </c>
      <c r="U51" s="8">
        <f t="shared" si="36"/>
        <v>-85.885824649999989</v>
      </c>
      <c r="V51" s="8">
        <f t="shared" si="36"/>
        <v>-87.384510040000009</v>
      </c>
      <c r="W51" s="8">
        <f t="shared" si="36"/>
        <v>-85.839667340000005</v>
      </c>
      <c r="X51" s="8">
        <f t="shared" si="36"/>
        <v>-86.387144839999991</v>
      </c>
      <c r="Y51" s="8">
        <f t="shared" si="36"/>
        <v>-87.739896160000001</v>
      </c>
      <c r="Z51" s="8">
        <f t="shared" si="36"/>
        <v>-87.28198762000001</v>
      </c>
      <c r="AA51" s="8">
        <f t="shared" si="36"/>
        <v>-84.6935912</v>
      </c>
      <c r="AB51" s="8">
        <f t="shared" si="36"/>
        <v>-85.585367649999995</v>
      </c>
      <c r="AC51" s="8">
        <f t="shared" si="36"/>
        <v>-83.697036999999995</v>
      </c>
      <c r="AD51" s="8">
        <f t="shared" si="36"/>
        <v>-84.948306940000009</v>
      </c>
      <c r="AE51" s="8">
        <f t="shared" si="36"/>
        <v>-89.413958949999994</v>
      </c>
      <c r="AF51" s="8">
        <f t="shared" si="36"/>
        <v>-88.719783800000002</v>
      </c>
      <c r="AG51" s="8">
        <f t="shared" si="36"/>
        <v>-89.722929879999995</v>
      </c>
      <c r="AH51" s="8">
        <f t="shared" si="36"/>
        <v>-91.487918759999985</v>
      </c>
      <c r="AI51" s="8">
        <f t="shared" si="36"/>
        <v>-89.970287650000017</v>
      </c>
      <c r="AJ51" s="8">
        <f t="shared" si="36"/>
        <v>-91.883563780000003</v>
      </c>
      <c r="AK51" s="8">
        <f t="shared" si="36"/>
        <v>-93.923475280000005</v>
      </c>
      <c r="AL51" s="8">
        <f t="shared" si="36"/>
        <v>-94.670047989999986</v>
      </c>
      <c r="AM51" s="8">
        <f t="shared" si="36"/>
        <v>-96.186146800000017</v>
      </c>
      <c r="AN51" s="8">
        <f t="shared" si="36"/>
        <v>-102.87755396999999</v>
      </c>
      <c r="AO51" s="8">
        <f t="shared" si="36"/>
        <v>-103.84843551</v>
      </c>
      <c r="AP51" s="8">
        <f t="shared" si="36"/>
        <v>-110.526659</v>
      </c>
      <c r="AQ51" s="8">
        <f t="shared" si="36"/>
        <v>-108.49698450000001</v>
      </c>
      <c r="AR51" s="8">
        <f t="shared" si="36"/>
        <v>-111.19905853000002</v>
      </c>
      <c r="AS51" s="8">
        <f t="shared" si="36"/>
        <v>-110.38561035000001</v>
      </c>
      <c r="AT51" s="8">
        <f t="shared" si="36"/>
        <v>0</v>
      </c>
      <c r="AU51" s="8">
        <f t="shared" si="36"/>
        <v>0</v>
      </c>
      <c r="AV51" s="8">
        <f t="shared" si="36"/>
        <v>0</v>
      </c>
      <c r="AW51" s="8">
        <f t="shared" si="36"/>
        <v>0</v>
      </c>
      <c r="AX51" s="8">
        <f t="shared" si="36"/>
        <v>0</v>
      </c>
      <c r="AY51" s="8">
        <f t="shared" si="36"/>
        <v>0</v>
      </c>
      <c r="AZ51" s="8">
        <f t="shared" si="34"/>
        <v>-95.48441859397272</v>
      </c>
      <c r="BA51" s="8">
        <f t="shared" si="34"/>
        <v>-96.364117915007952</v>
      </c>
      <c r="BB51" s="8">
        <f t="shared" si="34"/>
        <v>-97.11750206826396</v>
      </c>
      <c r="BC51" s="8">
        <f t="shared" si="34"/>
        <v>-97.944944074485463</v>
      </c>
      <c r="BD51" s="8">
        <f t="shared" si="34"/>
        <v>-98.777973231474846</v>
      </c>
      <c r="BE51" s="8">
        <f t="shared" si="34"/>
        <v>-99.71602727282631</v>
      </c>
      <c r="BF51" s="8">
        <f t="shared" si="34"/>
        <v>-100.51055770198496</v>
      </c>
      <c r="BG51" s="8">
        <f t="shared" si="34"/>
        <v>-101.63227627104227</v>
      </c>
      <c r="BH51" s="8">
        <f t="shared" si="34"/>
        <v>-102.70649147837331</v>
      </c>
      <c r="BI51" s="8">
        <f t="shared" si="34"/>
        <v>-103.98980244402165</v>
      </c>
      <c r="BJ51" s="8">
        <f t="shared" si="34"/>
        <v>-105.05133875382801</v>
      </c>
      <c r="BK51" s="8">
        <f t="shared" si="34"/>
        <v>-105.93107396232259</v>
      </c>
      <c r="BO51" s="24">
        <f t="shared" ref="BO51:BT52" si="37">BO39+BO45</f>
        <v>-317.25264848</v>
      </c>
      <c r="BP51" s="24">
        <f t="shared" si="37"/>
        <v>-288.9660385772446</v>
      </c>
      <c r="BQ51" s="24">
        <f t="shared" si="37"/>
        <v>-206.72598948000001</v>
      </c>
      <c r="BR51" s="24">
        <f t="shared" si="37"/>
        <v>-254.23071159</v>
      </c>
      <c r="BS51" s="24">
        <f t="shared" si="37"/>
        <v>-268.27531611999996</v>
      </c>
      <c r="BT51" s="24">
        <f t="shared" si="37"/>
        <v>-304.12602313000002</v>
      </c>
    </row>
    <row r="52" spans="1:72" hidden="1" outlineLevel="1" x14ac:dyDescent="0.25">
      <c r="A52" s="11"/>
      <c r="C52" s="2" t="s">
        <v>45</v>
      </c>
      <c r="D52" s="8">
        <f t="shared" si="36"/>
        <v>636.97402863000002</v>
      </c>
      <c r="E52" s="8">
        <f t="shared" si="36"/>
        <v>346.58913280999946</v>
      </c>
      <c r="F52" s="8">
        <f t="shared" si="36"/>
        <v>983.34775852000018</v>
      </c>
      <c r="G52" s="8">
        <f t="shared" si="36"/>
        <v>497.77578887999994</v>
      </c>
      <c r="H52" s="8">
        <f t="shared" si="36"/>
        <v>889.32208965999996</v>
      </c>
      <c r="I52" s="8">
        <f t="shared" si="36"/>
        <v>914.66612326999984</v>
      </c>
      <c r="J52" s="8">
        <f t="shared" si="36"/>
        <v>971.73172279000005</v>
      </c>
      <c r="K52" s="8">
        <f t="shared" si="36"/>
        <v>827.46035401999995</v>
      </c>
      <c r="L52" s="8">
        <f t="shared" si="36"/>
        <v>721.00514791000046</v>
      </c>
      <c r="M52" s="8">
        <f t="shared" si="36"/>
        <v>1211.5795298099997</v>
      </c>
      <c r="N52" s="8">
        <f t="shared" si="36"/>
        <v>958.61086841000019</v>
      </c>
      <c r="O52" s="8">
        <f t="shared" si="36"/>
        <v>934.38250061000008</v>
      </c>
      <c r="P52" s="8">
        <f t="shared" si="36"/>
        <v>1155.3455737200004</v>
      </c>
      <c r="Q52" s="8">
        <f t="shared" si="36"/>
        <v>731.77602060999948</v>
      </c>
      <c r="R52" s="8">
        <f t="shared" si="36"/>
        <v>1132.3387315199998</v>
      </c>
      <c r="S52" s="8">
        <f t="shared" si="36"/>
        <v>1108.5244092800008</v>
      </c>
      <c r="T52" s="8">
        <f t="shared" si="36"/>
        <v>1206.1739640799999</v>
      </c>
      <c r="U52" s="8">
        <f t="shared" si="36"/>
        <v>1015.1199681699989</v>
      </c>
      <c r="V52" s="8">
        <f t="shared" si="36"/>
        <v>1619.8501794500005</v>
      </c>
      <c r="W52" s="8">
        <f t="shared" si="36"/>
        <v>1397.3108552500005</v>
      </c>
      <c r="X52" s="8">
        <f t="shared" si="36"/>
        <v>1036.94473055</v>
      </c>
      <c r="Y52" s="8">
        <f t="shared" si="36"/>
        <v>888.9532867800001</v>
      </c>
      <c r="Z52" s="8">
        <f t="shared" si="36"/>
        <v>917.58718750999992</v>
      </c>
      <c r="AA52" s="8">
        <f t="shared" si="36"/>
        <v>1442.0428370799998</v>
      </c>
      <c r="AB52" s="8">
        <f t="shared" si="36"/>
        <v>1183.7191421299999</v>
      </c>
      <c r="AC52" s="8">
        <f t="shared" si="36"/>
        <v>767.90147068999954</v>
      </c>
      <c r="AD52" s="8">
        <f t="shared" si="36"/>
        <v>1438.7104177000003</v>
      </c>
      <c r="AE52" s="8">
        <f t="shared" si="36"/>
        <v>1104.2899949599994</v>
      </c>
      <c r="AF52" s="8">
        <f t="shared" si="36"/>
        <v>1532.1651148899996</v>
      </c>
      <c r="AG52" s="8">
        <f t="shared" si="36"/>
        <v>1089.8990053799994</v>
      </c>
      <c r="AH52" s="8">
        <f t="shared" si="36"/>
        <v>1114.5423404499998</v>
      </c>
      <c r="AI52" s="8">
        <f t="shared" si="36"/>
        <v>807.48484672000018</v>
      </c>
      <c r="AJ52" s="8">
        <f t="shared" si="36"/>
        <v>1368.5605862900006</v>
      </c>
      <c r="AK52" s="8">
        <f t="shared" si="36"/>
        <v>987.62843185000065</v>
      </c>
      <c r="AL52" s="8">
        <f t="shared" si="36"/>
        <v>1224.7328539399998</v>
      </c>
      <c r="AM52" s="8">
        <f t="shared" si="36"/>
        <v>1534.3679223199995</v>
      </c>
      <c r="AN52" s="8">
        <f t="shared" si="36"/>
        <v>990.43497576000004</v>
      </c>
      <c r="AO52" s="8">
        <f t="shared" si="36"/>
        <v>1038.0126186300006</v>
      </c>
      <c r="AP52" s="8">
        <f t="shared" si="36"/>
        <v>1320.7849150399998</v>
      </c>
      <c r="AQ52" s="8">
        <f t="shared" si="36"/>
        <v>963.84498491000022</v>
      </c>
      <c r="AR52" s="8">
        <f t="shared" si="36"/>
        <v>1142.7552859500004</v>
      </c>
      <c r="AS52" s="8">
        <f t="shared" si="36"/>
        <v>923.76761220000026</v>
      </c>
      <c r="AT52" s="8">
        <f t="shared" si="36"/>
        <v>0</v>
      </c>
      <c r="AU52" s="8">
        <f t="shared" si="36"/>
        <v>0</v>
      </c>
      <c r="AV52" s="8">
        <f t="shared" si="36"/>
        <v>0</v>
      </c>
      <c r="AW52" s="8">
        <f t="shared" si="36"/>
        <v>0</v>
      </c>
      <c r="AX52" s="8">
        <f t="shared" si="36"/>
        <v>0</v>
      </c>
      <c r="AY52" s="8">
        <f t="shared" si="36"/>
        <v>0</v>
      </c>
      <c r="AZ52" s="8">
        <f t="shared" si="34"/>
        <v>1474.2655316382536</v>
      </c>
      <c r="BA52" s="8">
        <f t="shared" si="34"/>
        <v>1224.2248949665432</v>
      </c>
      <c r="BB52" s="8">
        <f t="shared" si="34"/>
        <v>1484.4519144737496</v>
      </c>
      <c r="BC52" s="8">
        <f t="shared" si="34"/>
        <v>1429.5946112693953</v>
      </c>
      <c r="BD52" s="8">
        <f t="shared" si="34"/>
        <v>1559.2137855358706</v>
      </c>
      <c r="BE52" s="8">
        <f t="shared" si="34"/>
        <v>1444.4070381438953</v>
      </c>
      <c r="BF52" s="8">
        <f t="shared" si="34"/>
        <v>1583.0936939627697</v>
      </c>
      <c r="BG52" s="8">
        <f t="shared" si="34"/>
        <v>1600.9205466306769</v>
      </c>
      <c r="BH52" s="8">
        <f t="shared" si="34"/>
        <v>1469.1933478847591</v>
      </c>
      <c r="BI52" s="8">
        <f t="shared" si="34"/>
        <v>1606.058628616222</v>
      </c>
      <c r="BJ52" s="8">
        <f t="shared" si="34"/>
        <v>1544.2593362670054</v>
      </c>
      <c r="BK52" s="8">
        <f t="shared" si="34"/>
        <v>1643.6958750149745</v>
      </c>
      <c r="BO52" s="24">
        <f t="shared" si="37"/>
        <v>3349.2325094300004</v>
      </c>
      <c r="BP52" s="24">
        <f t="shared" si="37"/>
        <v>4182.9423410785466</v>
      </c>
      <c r="BQ52" s="24">
        <f t="shared" si="37"/>
        <v>2028.4475943900011</v>
      </c>
      <c r="BR52" s="24">
        <f t="shared" si="37"/>
        <v>3390.3310305199993</v>
      </c>
      <c r="BS52" s="24">
        <f t="shared" si="37"/>
        <v>3019.4603258500006</v>
      </c>
      <c r="BT52" s="24">
        <f t="shared" si="37"/>
        <v>1966.9109199599993</v>
      </c>
    </row>
    <row r="53" spans="1:72" collapsed="1" x14ac:dyDescent="0.25">
      <c r="C53" s="3" t="s">
        <v>66</v>
      </c>
      <c r="D53" s="10">
        <f t="shared" si="36"/>
        <v>10467.103933839993</v>
      </c>
      <c r="E53" s="10">
        <f t="shared" si="36"/>
        <v>7303.4825382999989</v>
      </c>
      <c r="F53" s="10">
        <f t="shared" si="36"/>
        <v>10800.566360680008</v>
      </c>
      <c r="G53" s="10">
        <f t="shared" si="36"/>
        <v>9457.5864751599984</v>
      </c>
      <c r="H53" s="10">
        <f t="shared" si="36"/>
        <v>10751.950704230007</v>
      </c>
      <c r="I53" s="10">
        <f t="shared" si="36"/>
        <v>9720.5492961000018</v>
      </c>
      <c r="J53" s="10">
        <f t="shared" si="36"/>
        <v>10932.144497529989</v>
      </c>
      <c r="K53" s="10">
        <f t="shared" si="36"/>
        <v>10519.773822129999</v>
      </c>
      <c r="L53" s="10">
        <f t="shared" si="36"/>
        <v>9342.5549717000104</v>
      </c>
      <c r="M53" s="10">
        <f t="shared" si="36"/>
        <v>10831.791769939991</v>
      </c>
      <c r="N53" s="10">
        <f t="shared" si="36"/>
        <v>9727.0200604600032</v>
      </c>
      <c r="O53" s="10">
        <f t="shared" si="36"/>
        <v>11000.61181059001</v>
      </c>
      <c r="P53" s="10">
        <f t="shared" si="36"/>
        <v>10608.011296429995</v>
      </c>
      <c r="Q53" s="10">
        <f t="shared" si="36"/>
        <v>8298.9723182399975</v>
      </c>
      <c r="R53" s="10">
        <f t="shared" si="36"/>
        <v>10899.537496460005</v>
      </c>
      <c r="S53" s="10">
        <f t="shared" si="36"/>
        <v>9374.5966386200089</v>
      </c>
      <c r="T53" s="10">
        <f t="shared" si="36"/>
        <v>11051.414318419989</v>
      </c>
      <c r="U53" s="10">
        <f t="shared" si="36"/>
        <v>9938.5322051900075</v>
      </c>
      <c r="V53" s="10">
        <f t="shared" si="36"/>
        <v>11632.924356669995</v>
      </c>
      <c r="W53" s="10">
        <f t="shared" si="36"/>
        <v>11286.889489320001</v>
      </c>
      <c r="X53" s="10">
        <f t="shared" si="36"/>
        <v>9646.0780993299959</v>
      </c>
      <c r="Y53" s="10">
        <f t="shared" si="36"/>
        <v>10652.054367739991</v>
      </c>
      <c r="Z53" s="10">
        <f t="shared" si="36"/>
        <v>9913.7104905699853</v>
      </c>
      <c r="AA53" s="10">
        <f t="shared" si="36"/>
        <v>11401.563715280005</v>
      </c>
      <c r="AB53" s="10">
        <f t="shared" si="36"/>
        <v>10754.074277859992</v>
      </c>
      <c r="AC53" s="10">
        <f t="shared" si="36"/>
        <v>7180.3453558999972</v>
      </c>
      <c r="AD53" s="10">
        <f t="shared" si="36"/>
        <v>10850.431087299989</v>
      </c>
      <c r="AE53" s="10">
        <f t="shared" si="36"/>
        <v>9667.3424282800079</v>
      </c>
      <c r="AF53" s="10">
        <f t="shared" si="36"/>
        <v>11654.501976150004</v>
      </c>
      <c r="AG53" s="10">
        <f t="shared" si="36"/>
        <v>9617.4901644999991</v>
      </c>
      <c r="AH53" s="10">
        <f t="shared" si="36"/>
        <v>11232.942379010012</v>
      </c>
      <c r="AI53" s="10">
        <f t="shared" si="36"/>
        <v>10833.442508870001</v>
      </c>
      <c r="AJ53" s="10">
        <f t="shared" si="36"/>
        <v>9883.8296988700022</v>
      </c>
      <c r="AK53" s="10">
        <f t="shared" si="36"/>
        <v>11108.436608659988</v>
      </c>
      <c r="AL53" s="10">
        <f t="shared" si="36"/>
        <v>10556.934755069982</v>
      </c>
      <c r="AM53" s="10">
        <f t="shared" si="36"/>
        <v>12164.182366589997</v>
      </c>
      <c r="AN53" s="10">
        <f t="shared" si="36"/>
        <v>11576.979108200005</v>
      </c>
      <c r="AO53" s="10">
        <f t="shared" si="36"/>
        <v>8254.0193689700063</v>
      </c>
      <c r="AP53" s="10">
        <f t="shared" si="36"/>
        <v>12114.385984280016</v>
      </c>
      <c r="AQ53" s="10">
        <f t="shared" si="36"/>
        <v>10561.225507600007</v>
      </c>
      <c r="AR53" s="10">
        <f t="shared" si="36"/>
        <v>12361.030494480037</v>
      </c>
      <c r="AS53" s="10">
        <f t="shared" si="36"/>
        <v>10217.296529220006</v>
      </c>
      <c r="AT53" s="10">
        <f t="shared" si="36"/>
        <v>0</v>
      </c>
      <c r="AU53" s="10">
        <f t="shared" si="36"/>
        <v>0</v>
      </c>
      <c r="AV53" s="10">
        <f t="shared" si="36"/>
        <v>0</v>
      </c>
      <c r="AW53" s="10">
        <f t="shared" si="36"/>
        <v>0</v>
      </c>
      <c r="AX53" s="10">
        <f t="shared" si="36"/>
        <v>0</v>
      </c>
      <c r="AY53" s="10">
        <f t="shared" si="36"/>
        <v>0</v>
      </c>
      <c r="AZ53" s="10">
        <f t="shared" si="34"/>
        <v>11092.942509091325</v>
      </c>
      <c r="BA53" s="10">
        <f t="shared" si="34"/>
        <v>7525.8076487908293</v>
      </c>
      <c r="BB53" s="10">
        <f t="shared" si="34"/>
        <v>11080.066162914693</v>
      </c>
      <c r="BC53" s="10">
        <f t="shared" si="34"/>
        <v>10229.368419612223</v>
      </c>
      <c r="BD53" s="10">
        <f t="shared" si="34"/>
        <v>11952.184857832664</v>
      </c>
      <c r="BE53" s="10">
        <f t="shared" si="34"/>
        <v>10261.163466107002</v>
      </c>
      <c r="BF53" s="10">
        <f t="shared" si="34"/>
        <v>12110.621359927944</v>
      </c>
      <c r="BG53" s="10">
        <f t="shared" si="34"/>
        <v>12253.924333926741</v>
      </c>
      <c r="BH53" s="10">
        <f t="shared" si="34"/>
        <v>10322.191916376552</v>
      </c>
      <c r="BI53" s="10">
        <f t="shared" si="34"/>
        <v>12110.161828421325</v>
      </c>
      <c r="BJ53" s="10">
        <f t="shared" si="34"/>
        <v>11145.530506811134</v>
      </c>
      <c r="BK53" s="10">
        <f t="shared" si="34"/>
        <v>12442.791347803715</v>
      </c>
      <c r="BO53" s="23">
        <f t="shared" ref="BO53:BT53" si="38">SUM(BO50:BO52)</f>
        <v>31945.384461450012</v>
      </c>
      <c r="BP53" s="23">
        <f t="shared" si="38"/>
        <v>29698.816320796839</v>
      </c>
      <c r="BQ53" s="23">
        <f t="shared" si="38"/>
        <v>19830.99847717</v>
      </c>
      <c r="BR53" s="23">
        <f t="shared" si="38"/>
        <v>28784.850721059967</v>
      </c>
      <c r="BS53" s="23">
        <f t="shared" si="38"/>
        <v>29806.521111129994</v>
      </c>
      <c r="BT53" s="23">
        <f t="shared" si="38"/>
        <v>28571.152832819997</v>
      </c>
    </row>
    <row r="54" spans="1:72" x14ac:dyDescent="0.25"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O54" s="18"/>
      <c r="BP54" s="18"/>
      <c r="BQ54" s="18"/>
      <c r="BR54" s="18"/>
      <c r="BS54" s="18"/>
      <c r="BT54" s="18"/>
    </row>
    <row r="55" spans="1:72" x14ac:dyDescent="0.25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O55" s="18"/>
      <c r="BP55" s="18"/>
      <c r="BQ55" s="18"/>
      <c r="BR55" s="18"/>
      <c r="BS55" s="18"/>
      <c r="BT55" s="18"/>
    </row>
    <row r="56" spans="1:72" hidden="1" outlineLevel="1" x14ac:dyDescent="0.25">
      <c r="A56" s="11" t="s">
        <v>64</v>
      </c>
      <c r="C56" s="2" t="s">
        <v>67</v>
      </c>
      <c r="D56" s="8">
        <f>IFERROR(
GETPIVOTDATA(
"[Base].[Importe]",
TDinamica_R!$A$5,
"[Calendario].[AñoMes]",
"[Calendario].[AñoMes].&amp;[" &amp; TEXT(D$6,"yyyymm") &amp; "]",
"[Base].[Metrica]",
"[Base].[Metrica].&amp;[" &amp; $A56 &amp; "]",
"[Base].[SEGMENTO_DESCRIP]",
"[Base].[SEGMENTO_DESCRIP].&amp;[" &amp; $C$6 &amp; "]",
"[Base].[SITUACION]",
"[Base].[SITUACION].&amp;[" &amp; $C56 &amp; "]"
),0)/1000</f>
        <v>-2385.6696323006263</v>
      </c>
      <c r="E56" s="8">
        <f>IFERROR(
GETPIVOTDATA(
"[Base].[Importe]",
TDinamica_R!$A$5,
"[Calendario].[AñoMes]",
"[Calendario].[AñoMes].&amp;[" &amp; TEXT(E$6,"yyyymm") &amp; "]",
"[Base].[Metrica]",
"[Base].[Metrica].&amp;[" &amp; $A56 &amp; "]",
"[Base].[SEGMENTO_DESCRIP]",
"[Base].[SEGMENTO_DESCRIP].&amp;[" &amp; $C$6 &amp; "]",
"[Base].[SITUACION]",
"[Base].[SITUACION].&amp;[" &amp; $C56 &amp; "]"
),0)/1000</f>
        <v>-2729.1508173573166</v>
      </c>
      <c r="F56" s="8">
        <f>IFERROR(
GETPIVOTDATA(
"[Base].[Importe]",
TDinamica_R!$A$5,
"[Calendario].[AñoMes]",
"[Calendario].[AñoMes].&amp;[" &amp; TEXT(F$6,"yyyymm") &amp; "]",
"[Base].[Metrica]",
"[Base].[Metrica].&amp;[" &amp; $A56 &amp; "]",
"[Base].[SEGMENTO_DESCRIP]",
"[Base].[SEGMENTO_DESCRIP].&amp;[" &amp; $C$6 &amp; "]",
"[Base].[SITUACION]",
"[Base].[SITUACION].&amp;[" &amp; $C56 &amp; "]"
),0)/1000</f>
        <v>-789.84200060695605</v>
      </c>
      <c r="G56" s="8">
        <f>IFERROR(
GETPIVOTDATA(
"[Base].[Importe]",
TDinamica_R!$A$5,
"[Calendario].[AñoMes]",
"[Calendario].[AñoMes].&amp;[" &amp; TEXT(G$6,"yyyymm") &amp; "]",
"[Base].[Metrica]",
"[Base].[Metrica].&amp;[" &amp; $A56 &amp; "]",
"[Base].[SEGMENTO_DESCRIP]",
"[Base].[SEGMENTO_DESCRIP].&amp;[" &amp; $C$6 &amp; "]",
"[Base].[SITUACION]",
"[Base].[SITUACION].&amp;[" &amp; $C56 &amp; "]"
),0)/1000</f>
        <v>-1366.8618655633641</v>
      </c>
      <c r="H56" s="8">
        <f>IFERROR(
GETPIVOTDATA(
"[Base].[Importe]",
TDinamica_R!$A$5,
"[Calendario].[AñoMes]",
"[Calendario].[AñoMes].&amp;[" &amp; TEXT(H$6,"yyyymm") &amp; "]",
"[Base].[Metrica]",
"[Base].[Metrica].&amp;[" &amp; $A56 &amp; "]",
"[Base].[SEGMENTO_DESCRIP]",
"[Base].[SEGMENTO_DESCRIP].&amp;[" &amp; $C$6 &amp; "]",
"[Base].[SITUACION]",
"[Base].[SITUACION].&amp;[" &amp; $C56 &amp; "]"
),0)/1000</f>
        <v>-5167.1070162914475</v>
      </c>
      <c r="I56" s="8">
        <f>IFERROR(
GETPIVOTDATA(
"[Base].[Importe]",
TDinamica_R!$A$5,
"[Calendario].[AñoMes]",
"[Calendario].[AñoMes].&amp;[" &amp; TEXT(I$6,"yyyymm") &amp; "]",
"[Base].[Metrica]",
"[Base].[Metrica].&amp;[" &amp; $A56 &amp; "]",
"[Base].[SEGMENTO_DESCRIP]",
"[Base].[SEGMENTO_DESCRIP].&amp;[" &amp; $C$6 &amp; "]",
"[Base].[SITUACION]",
"[Base].[SITUACION].&amp;[" &amp; $C56 &amp; "]"
),0)/1000</f>
        <v>2961.8376607169212</v>
      </c>
      <c r="J56" s="8">
        <f>IFERROR(
GETPIVOTDATA(
"[Base].[Importe]",
TDinamica_R!$A$5,
"[Calendario].[AñoMes]",
"[Calendario].[AñoMes].&amp;[" &amp; TEXT(J$6,"yyyymm") &amp; "]",
"[Base].[Metrica]",
"[Base].[Metrica].&amp;[" &amp; $A56 &amp; "]",
"[Base].[SEGMENTO_DESCRIP]",
"[Base].[SEGMENTO_DESCRIP].&amp;[" &amp; $C$6 &amp; "]",
"[Base].[SITUACION]",
"[Base].[SITUACION].&amp;[" &amp; $C56 &amp; "]"
),0)/1000</f>
        <v>2866.2761058263291</v>
      </c>
      <c r="K56" s="8">
        <f>IFERROR(
GETPIVOTDATA(
"[Base].[Importe]",
TDinamica_R!$A$5,
"[Calendario].[AñoMes]",
"[Calendario].[AñoMes].&amp;[" &amp; TEXT(K$6,"yyyymm") &amp; "]",
"[Base].[Metrica]",
"[Base].[Metrica].&amp;[" &amp; $A56 &amp; "]",
"[Base].[SEGMENTO_DESCRIP]",
"[Base].[SEGMENTO_DESCRIP].&amp;[" &amp; $C$6 &amp; "]",
"[Base].[SITUACION]",
"[Base].[SITUACION].&amp;[" &amp; $C56 &amp; "]"
),0)/1000</f>
        <v>-2104.8267107906686</v>
      </c>
      <c r="L56" s="8">
        <f>IFERROR(
GETPIVOTDATA(
"[Base].[Importe]",
TDinamica_R!$A$5,
"[Calendario].[AñoMes]",
"[Calendario].[AñoMes].&amp;[" &amp; TEXT(L$6,"yyyymm") &amp; "]",
"[Base].[Metrica]",
"[Base].[Metrica].&amp;[" &amp; $A56 &amp; "]",
"[Base].[SEGMENTO_DESCRIP]",
"[Base].[SEGMENTO_DESCRIP].&amp;[" &amp; $C$6 &amp; "]",
"[Base].[SITUACION]",
"[Base].[SITUACION].&amp;[" &amp; $C56 &amp; "]"
),0)/1000</f>
        <v>-4298.7243710892581</v>
      </c>
      <c r="M56" s="8">
        <f>IFERROR(
GETPIVOTDATA(
"[Base].[Importe]",
TDinamica_R!$A$5,
"[Calendario].[AñoMes]",
"[Calendario].[AñoMes].&amp;[" &amp; TEXT(M$6,"yyyymm") &amp; "]",
"[Base].[Metrica]",
"[Base].[Metrica].&amp;[" &amp; $A56 &amp; "]",
"[Base].[SEGMENTO_DESCRIP]",
"[Base].[SEGMENTO_DESCRIP].&amp;[" &amp; $C$6 &amp; "]",
"[Base].[SITUACION]",
"[Base].[SITUACION].&amp;[" &amp; $C56 &amp; "]"
),0)/1000</f>
        <v>-6687.2348748846725</v>
      </c>
      <c r="N56" s="8">
        <f>IFERROR(
GETPIVOTDATA(
"[Base].[Importe]",
TDinamica_R!$A$5,
"[Calendario].[AñoMes]",
"[Calendario].[AñoMes].&amp;[" &amp; TEXT(N$6,"yyyymm") &amp; "]",
"[Base].[Metrica]",
"[Base].[Metrica].&amp;[" &amp; $A56 &amp; "]",
"[Base].[SEGMENTO_DESCRIP]",
"[Base].[SEGMENTO_DESCRIP].&amp;[" &amp; $C$6 &amp; "]",
"[Base].[SITUACION]",
"[Base].[SITUACION].&amp;[" &amp; $C56 &amp; "]"
),0)/1000</f>
        <v>-3634.4142039740896</v>
      </c>
      <c r="O56" s="8">
        <f>IFERROR(
GETPIVOTDATA(
"[Base].[Importe]",
TDinamica_R!$A$5,
"[Calendario].[AñoMes]",
"[Calendario].[AñoMes].&amp;[" &amp; TEXT(O$6,"yyyymm") &amp; "]",
"[Base].[Metrica]",
"[Base].[Metrica].&amp;[" &amp; $A56 &amp; "]",
"[Base].[SEGMENTO_DESCRIP]",
"[Base].[SEGMENTO_DESCRIP].&amp;[" &amp; $C$6 &amp; "]",
"[Base].[SITUACION]",
"[Base].[SITUACION].&amp;[" &amp; $C56 &amp; "]"
),0)/1000</f>
        <v>6697.4874321279804</v>
      </c>
      <c r="P56" s="8">
        <f>IFERROR(
GETPIVOTDATA(
"[Base].[Importe]",
TDinamica_R!$A$5,
"[Calendario].[AñoMes]",
"[Calendario].[AñoMes].&amp;[" &amp; TEXT(P$6,"yyyymm") &amp; "]",
"[Base].[Metrica]",
"[Base].[Metrica].&amp;[" &amp; $A56 &amp; "]",
"[Base].[SEGMENTO_DESCRIP]",
"[Base].[SEGMENTO_DESCRIP].&amp;[" &amp; $C$6 &amp; "]",
"[Base].[SITUACION]",
"[Base].[SITUACION].&amp;[" &amp; $C56 &amp; "]"
),0)/1000</f>
        <v>-8361.9377767385813</v>
      </c>
      <c r="Q56" s="8">
        <f>IFERROR(
GETPIVOTDATA(
"[Base].[Importe]",
TDinamica_R!$A$5,
"[Calendario].[AñoMes]",
"[Calendario].[AñoMes].&amp;[" &amp; TEXT(Q$6,"yyyymm") &amp; "]",
"[Base].[Metrica]",
"[Base].[Metrica].&amp;[" &amp; $A56 &amp; "]",
"[Base].[SEGMENTO_DESCRIP]",
"[Base].[SEGMENTO_DESCRIP].&amp;[" &amp; $C$6 &amp; "]",
"[Base].[SITUACION]",
"[Base].[SITUACION].&amp;[" &amp; $C56 &amp; "]"
),0)/1000</f>
        <v>-2407.9022427626005</v>
      </c>
      <c r="R56" s="8">
        <f>IFERROR(
GETPIVOTDATA(
"[Base].[Importe]",
TDinamica_R!$A$5,
"[Calendario].[AñoMes]",
"[Calendario].[AñoMes].&amp;[" &amp; TEXT(R$6,"yyyymm") &amp; "]",
"[Base].[Metrica]",
"[Base].[Metrica].&amp;[" &amp; $A56 &amp; "]",
"[Base].[SEGMENTO_DESCRIP]",
"[Base].[SEGMENTO_DESCRIP].&amp;[" &amp; $C$6 &amp; "]",
"[Base].[SITUACION]",
"[Base].[SITUACION].&amp;[" &amp; $C56 &amp; "]"
),0)/1000</f>
        <v>121.02509813797197</v>
      </c>
      <c r="S56" s="8">
        <f>IFERROR(
GETPIVOTDATA(
"[Base].[Importe]",
TDinamica_R!$A$5,
"[Calendario].[AñoMes]",
"[Calendario].[AñoMes].&amp;[" &amp; TEXT(S$6,"yyyymm") &amp; "]",
"[Base].[Metrica]",
"[Base].[Metrica].&amp;[" &amp; $A56 &amp; "]",
"[Base].[SEGMENTO_DESCRIP]",
"[Base].[SEGMENTO_DESCRIP].&amp;[" &amp; $C$6 &amp; "]",
"[Base].[SITUACION]",
"[Base].[SITUACION].&amp;[" &amp; $C56 &amp; "]"
),0)/1000</f>
        <v>-6002.9213952849723</v>
      </c>
      <c r="T56" s="8">
        <f>IFERROR(
GETPIVOTDATA(
"[Base].[Importe]",
TDinamica_R!$A$5,
"[Calendario].[AñoMes]",
"[Calendario].[AñoMes].&amp;[" &amp; TEXT(T$6,"yyyymm") &amp; "]",
"[Base].[Metrica]",
"[Base].[Metrica].&amp;[" &amp; $A56 &amp; "]",
"[Base].[SEGMENTO_DESCRIP]",
"[Base].[SEGMENTO_DESCRIP].&amp;[" &amp; $C$6 &amp; "]",
"[Base].[SITUACION]",
"[Base].[SITUACION].&amp;[" &amp; $C56 &amp; "]"
),0)/1000</f>
        <v>-334.75913961832305</v>
      </c>
      <c r="U56" s="8">
        <f>IFERROR(
GETPIVOTDATA(
"[Base].[Importe]",
TDinamica_R!$A$5,
"[Calendario].[AñoMes]",
"[Calendario].[AñoMes].&amp;[" &amp; TEXT(U$6,"yyyymm") &amp; "]",
"[Base].[Metrica]",
"[Base].[Metrica].&amp;[" &amp; $A56 &amp; "]",
"[Base].[SEGMENTO_DESCRIP]",
"[Base].[SEGMENTO_DESCRIP].&amp;[" &amp; $C$6 &amp; "]",
"[Base].[SITUACION]",
"[Base].[SITUACION].&amp;[" &amp; $C56 &amp; "]"
),0)/1000</f>
        <v>-391.51745334307299</v>
      </c>
      <c r="V56" s="8">
        <f>IFERROR(
GETPIVOTDATA(
"[Base].[Importe]",
TDinamica_R!$A$5,
"[Calendario].[AñoMes]",
"[Calendario].[AñoMes].&amp;[" &amp; TEXT(V$6,"yyyymm") &amp; "]",
"[Base].[Metrica]",
"[Base].[Metrica].&amp;[" &amp; $A56 &amp; "]",
"[Base].[SEGMENTO_DESCRIP]",
"[Base].[SEGMENTO_DESCRIP].&amp;[" &amp; $C$6 &amp; "]",
"[Base].[SITUACION]",
"[Base].[SITUACION].&amp;[" &amp; $C56 &amp; "]"
),0)/1000</f>
        <v>-1620.3113304807971</v>
      </c>
      <c r="W56" s="8">
        <f>IFERROR(
GETPIVOTDATA(
"[Base].[Importe]",
TDinamica_R!$A$5,
"[Calendario].[AñoMes]",
"[Calendario].[AñoMes].&amp;[" &amp; TEXT(W$6,"yyyymm") &amp; "]",
"[Base].[Metrica]",
"[Base].[Metrica].&amp;[" &amp; $A56 &amp; "]",
"[Base].[SEGMENTO_DESCRIP]",
"[Base].[SEGMENTO_DESCRIP].&amp;[" &amp; $C$6 &amp; "]",
"[Base].[SITUACION]",
"[Base].[SITUACION].&amp;[" &amp; $C56 &amp; "]"
),0)/1000</f>
        <v>1331.8504314076263</v>
      </c>
      <c r="X56" s="8">
        <f>IFERROR(
GETPIVOTDATA(
"[Base].[Importe]",
TDinamica_R!$A$5,
"[Calendario].[AñoMes]",
"[Calendario].[AñoMes].&amp;[" &amp; TEXT(X$6,"yyyymm") &amp; "]",
"[Base].[Metrica]",
"[Base].[Metrica].&amp;[" &amp; $A56 &amp; "]",
"[Base].[SEGMENTO_DESCRIP]",
"[Base].[SEGMENTO_DESCRIP].&amp;[" &amp; $C$6 &amp; "]",
"[Base].[SITUACION]",
"[Base].[SITUACION].&amp;[" &amp; $C56 &amp; "]"
),0)/1000</f>
        <v>-1393.173576515115</v>
      </c>
      <c r="Y56" s="8">
        <f>IFERROR(
GETPIVOTDATA(
"[Base].[Importe]",
TDinamica_R!$A$5,
"[Calendario].[AñoMes]",
"[Calendario].[AñoMes].&amp;[" &amp; TEXT(Y$6,"yyyymm") &amp; "]",
"[Base].[Metrica]",
"[Base].[Metrica].&amp;[" &amp; $A56 &amp; "]",
"[Base].[SEGMENTO_DESCRIP]",
"[Base].[SEGMENTO_DESCRIP].&amp;[" &amp; $C$6 &amp; "]",
"[Base].[SITUACION]",
"[Base].[SITUACION].&amp;[" &amp; $C56 &amp; "]"
),0)/1000</f>
        <v>-7646.0103949471104</v>
      </c>
      <c r="Z56" s="8">
        <f>IFERROR(
GETPIVOTDATA(
"[Base].[Importe]",
TDinamica_R!$A$5,
"[Calendario].[AñoMes]",
"[Calendario].[AñoMes].&amp;[" &amp; TEXT(Z$6,"yyyymm") &amp; "]",
"[Base].[Metrica]",
"[Base].[Metrica].&amp;[" &amp; $A56 &amp; "]",
"[Base].[SEGMENTO_DESCRIP]",
"[Base].[SEGMENTO_DESCRIP].&amp;[" &amp; $C$6 &amp; "]",
"[Base].[SITUACION]",
"[Base].[SITUACION].&amp;[" &amp; $C56 &amp; "]"
),0)/1000</f>
        <v>-561.82104190604571</v>
      </c>
      <c r="AA56" s="8">
        <f>IFERROR(
GETPIVOTDATA(
"[Base].[Importe]",
TDinamica_R!$A$5,
"[Calendario].[AñoMes]",
"[Calendario].[AñoMes].&amp;[" &amp; TEXT(AA$6,"yyyymm") &amp; "]",
"[Base].[Metrica]",
"[Base].[Metrica].&amp;[" &amp; $A56 &amp; "]",
"[Base].[SEGMENTO_DESCRIP]",
"[Base].[SEGMENTO_DESCRIP].&amp;[" &amp; $C$6 &amp; "]",
"[Base].[SITUACION]",
"[Base].[SITUACION].&amp;[" &amp; $C56 &amp; "]"
),0)/1000</f>
        <v>-732.60309536351167</v>
      </c>
      <c r="AB56" s="8">
        <f>IFERROR(
GETPIVOTDATA(
"[Base].[Importe]",
TDinamica_R!$A$5,
"[Calendario].[AñoMes]",
"[Calendario].[AñoMes].&amp;[" &amp; TEXT(AB$6,"yyyymm") &amp; "]",
"[Base].[Metrica]",
"[Base].[Metrica].&amp;[" &amp; $A56 &amp; "]",
"[Base].[SEGMENTO_DESCRIP]",
"[Base].[SEGMENTO_DESCRIP].&amp;[" &amp; $C$6 &amp; "]",
"[Base].[SITUACION]",
"[Base].[SITUACION].&amp;[" &amp; $C56 &amp; "]"
),0)/1000</f>
        <v>-1975.0346173183632</v>
      </c>
      <c r="AC56" s="8">
        <f>IFERROR(
GETPIVOTDATA(
"[Base].[Importe]",
TDinamica_R!$A$5,
"[Calendario].[AñoMes]",
"[Calendario].[AñoMes].&amp;[" &amp; TEXT(AC$6,"yyyymm") &amp; "]",
"[Base].[Metrica]",
"[Base].[Metrica].&amp;[" &amp; $A56 &amp; "]",
"[Base].[SEGMENTO_DESCRIP]",
"[Base].[SEGMENTO_DESCRIP].&amp;[" &amp; $C$6 &amp; "]",
"[Base].[SITUACION]",
"[Base].[SITUACION].&amp;[" &amp; $C56 &amp; "]"
),0)/1000</f>
        <v>-2713.0863158399211</v>
      </c>
      <c r="AD56" s="8">
        <f>IFERROR(
GETPIVOTDATA(
"[Base].[Importe]",
TDinamica_R!$A$5,
"[Calendario].[AñoMes]",
"[Calendario].[AñoMes].&amp;[" &amp; TEXT(AD$6,"yyyymm") &amp; "]",
"[Base].[Metrica]",
"[Base].[Metrica].&amp;[" &amp; $A56 &amp; "]",
"[Base].[SEGMENTO_DESCRIP]",
"[Base].[SEGMENTO_DESCRIP].&amp;[" &amp; $C$6 &amp; "]",
"[Base].[SITUACION]",
"[Base].[SITUACION].&amp;[" &amp; $C56 &amp; "]"
),0)/1000</f>
        <v>-1121.4973230411947</v>
      </c>
      <c r="AE56" s="8">
        <f>IFERROR(
GETPIVOTDATA(
"[Base].[Importe]",
TDinamica_R!$A$5,
"[Calendario].[AñoMes]",
"[Calendario].[AñoMes].&amp;[" &amp; TEXT(AE$6,"yyyymm") &amp; "]",
"[Base].[Metrica]",
"[Base].[Metrica].&amp;[" &amp; $A56 &amp; "]",
"[Base].[SEGMENTO_DESCRIP]",
"[Base].[SEGMENTO_DESCRIP].&amp;[" &amp; $C$6 &amp; "]",
"[Base].[SITUACION]",
"[Base].[SITUACION].&amp;[" &amp; $C56 &amp; "]"
),0)/1000</f>
        <v>-4090.9992764025351</v>
      </c>
      <c r="AF56" s="8">
        <f>IFERROR(
GETPIVOTDATA(
"[Base].[Importe]",
TDinamica_R!$A$5,
"[Calendario].[AñoMes]",
"[Calendario].[AñoMes].&amp;[" &amp; TEXT(AF$6,"yyyymm") &amp; "]",
"[Base].[Metrica]",
"[Base].[Metrica].&amp;[" &amp; $A56 &amp; "]",
"[Base].[SEGMENTO_DESCRIP]",
"[Base].[SEGMENTO_DESCRIP].&amp;[" &amp; $C$6 &amp; "]",
"[Base].[SITUACION]",
"[Base].[SITUACION].&amp;[" &amp; $C56 &amp; "]"
),0)/1000</f>
        <v>3568.6323939319905</v>
      </c>
      <c r="AG56" s="8">
        <f>IFERROR(
GETPIVOTDATA(
"[Base].[Importe]",
TDinamica_R!$A$5,
"[Calendario].[AñoMes]",
"[Calendario].[AñoMes].&amp;[" &amp; TEXT(AG$6,"yyyymm") &amp; "]",
"[Base].[Metrica]",
"[Base].[Metrica].&amp;[" &amp; $A56 &amp; "]",
"[Base].[SEGMENTO_DESCRIP]",
"[Base].[SEGMENTO_DESCRIP].&amp;[" &amp; $C$6 &amp; "]",
"[Base].[SITUACION]",
"[Base].[SITUACION].&amp;[" &amp; $C56 &amp; "]"
),0)/1000</f>
        <v>-4042.2343995091969</v>
      </c>
      <c r="AH56" s="8">
        <f>IFERROR(
GETPIVOTDATA(
"[Base].[Importe]",
TDinamica_R!$A$5,
"[Calendario].[AñoMes]",
"[Calendario].[AñoMes].&amp;[" &amp; TEXT(AH$6,"yyyymm") &amp; "]",
"[Base].[Metrica]",
"[Base].[Metrica].&amp;[" &amp; $A56 &amp; "]",
"[Base].[SEGMENTO_DESCRIP]",
"[Base].[SEGMENTO_DESCRIP].&amp;[" &amp; $C$6 &amp; "]",
"[Base].[SITUACION]",
"[Base].[SITUACION].&amp;[" &amp; $C56 &amp; "]"
),0)/1000</f>
        <v>-2481.7018682800804</v>
      </c>
      <c r="AI56" s="8">
        <f>IFERROR(
GETPIVOTDATA(
"[Base].[Importe]",
TDinamica_R!$A$5,
"[Calendario].[AñoMes]",
"[Calendario].[AñoMes].&amp;[" &amp; TEXT(AI$6,"yyyymm") &amp; "]",
"[Base].[Metrica]",
"[Base].[Metrica].&amp;[" &amp; $A56 &amp; "]",
"[Base].[SEGMENTO_DESCRIP]",
"[Base].[SEGMENTO_DESCRIP].&amp;[" &amp; $C$6 &amp; "]",
"[Base].[SITUACION]",
"[Base].[SITUACION].&amp;[" &amp; $C56 &amp; "]"
),0)/1000</f>
        <v>-3144.8941350649197</v>
      </c>
      <c r="AJ56" s="8">
        <f>IFERROR(
GETPIVOTDATA(
"[Base].[Importe]",
TDinamica_R!$A$5,
"[Calendario].[AñoMes]",
"[Calendario].[AñoMes].&amp;[" &amp; TEXT(AJ$6,"yyyymm") &amp; "]",
"[Base].[Metrica]",
"[Base].[Metrica].&amp;[" &amp; $A56 &amp; "]",
"[Base].[SEGMENTO_DESCRIP]",
"[Base].[SEGMENTO_DESCRIP].&amp;[" &amp; $C$6 &amp; "]",
"[Base].[SITUACION]",
"[Base].[SITUACION].&amp;[" &amp; $C56 &amp; "]"
),0)/1000</f>
        <v>-4317.3676841487995</v>
      </c>
      <c r="AK56" s="8">
        <f>IFERROR(
GETPIVOTDATA(
"[Base].[Importe]",
TDinamica_R!$A$5,
"[Calendario].[AñoMes]",
"[Calendario].[AñoMes].&amp;[" &amp; TEXT(AK$6,"yyyymm") &amp; "]",
"[Base].[Metrica]",
"[Base].[Metrica].&amp;[" &amp; $A56 &amp; "]",
"[Base].[SEGMENTO_DESCRIP]",
"[Base].[SEGMENTO_DESCRIP].&amp;[" &amp; $C$6 &amp; "]",
"[Base].[SITUACION]",
"[Base].[SITUACION].&amp;[" &amp; $C56 &amp; "]"
),0)/1000</f>
        <v>-7640.7785801729196</v>
      </c>
      <c r="AL56" s="8">
        <f>IFERROR(
GETPIVOTDATA(
"[Base].[Importe]",
TDinamica_R!$A$5,
"[Calendario].[AñoMes]",
"[Calendario].[AñoMes].&amp;[" &amp; TEXT(AL$6,"yyyymm") &amp; "]",
"[Base].[Metrica]",
"[Base].[Metrica].&amp;[" &amp; $A56 &amp; "]",
"[Base].[SEGMENTO_DESCRIP]",
"[Base].[SEGMENTO_DESCRIP].&amp;[" &amp; $C$6 &amp; "]",
"[Base].[SITUACION]",
"[Base].[SITUACION].&amp;[" &amp; $C56 &amp; "]"
),0)/1000</f>
        <v>2993.3434292296197</v>
      </c>
      <c r="AM56" s="8">
        <f>IFERROR(
GETPIVOTDATA(
"[Base].[Importe]",
TDinamica_R!$A$5,
"[Calendario].[AñoMes]",
"[Calendario].[AñoMes].&amp;[" &amp; TEXT(AM$6,"yyyymm") &amp; "]",
"[Base].[Metrica]",
"[Base].[Metrica].&amp;[" &amp; $A56 &amp; "]",
"[Base].[SEGMENTO_DESCRIP]",
"[Base].[SEGMENTO_DESCRIP].&amp;[" &amp; $C$6 &amp; "]",
"[Base].[SITUACION]",
"[Base].[SITUACION].&amp;[" &amp; $C56 &amp; "]"
),0)/1000</f>
        <v>12689.0039289408</v>
      </c>
      <c r="AN56" s="8">
        <f>IFERROR(
GETPIVOTDATA(
"[Base].[Importe]",
TDinamica_R!$A$5,
"[Calendario].[AñoMes]",
"[Calendario].[AñoMes].&amp;[" &amp; TEXT(AN$6,"yyyymm") &amp; "]",
"[Base].[Metrica]",
"[Base].[Metrica].&amp;[" &amp; $A56 &amp; "]",
"[Base].[SEGMENTO_DESCRIP]",
"[Base].[SEGMENTO_DESCRIP].&amp;[" &amp; $C$6 &amp; "]",
"[Base].[SITUACION]",
"[Base].[SITUACION].&amp;[" &amp; $C56 &amp; "]"
),0)/1000</f>
        <v>2254.5004882234548</v>
      </c>
      <c r="AO56" s="8">
        <f>IFERROR(
GETPIVOTDATA(
"[Base].[Importe]",
TDinamica_R!$A$5,
"[Calendario].[AñoMes]",
"[Calendario].[AñoMes].&amp;[" &amp; TEXT(AO$6,"yyyymm") &amp; "]",
"[Base].[Metrica]",
"[Base].[Metrica].&amp;[" &amp; $A56 &amp; "]",
"[Base].[SEGMENTO_DESCRIP]",
"[Base].[SEGMENTO_DESCRIP].&amp;[" &amp; $C$6 &amp; "]",
"[Base].[SITUACION]",
"[Base].[SITUACION].&amp;[" &amp; $C56 &amp; "]"
),0)/1000</f>
        <v>1359.3162133843121</v>
      </c>
      <c r="AP56" s="8">
        <f>IFERROR(
GETPIVOTDATA(
"[Base].[Importe]",
TDinamica_R!$A$5,
"[Calendario].[AñoMes]",
"[Calendario].[AñoMes].&amp;[" &amp; TEXT(AP$6,"yyyymm") &amp; "]",
"[Base].[Metrica]",
"[Base].[Metrica].&amp;[" &amp; $A56 &amp; "]",
"[Base].[SEGMENTO_DESCRIP]",
"[Base].[SEGMENTO_DESCRIP].&amp;[" &amp; $C$6 &amp; "]",
"[Base].[SITUACION]",
"[Base].[SITUACION].&amp;[" &amp; $C56 &amp; "]"
),0)/1000</f>
        <v>-574.27840000000003</v>
      </c>
      <c r="AQ56" s="8">
        <f>IFERROR(
GETPIVOTDATA(
"[Base].[Importe]",
TDinamica_R!$A$5,
"[Calendario].[AñoMes]",
"[Calendario].[AñoMes].&amp;[" &amp; TEXT(AQ$6,"yyyymm") &amp; "]",
"[Base].[Metrica]",
"[Base].[Metrica].&amp;[" &amp; $A56 &amp; "]",
"[Base].[SEGMENTO_DESCRIP]",
"[Base].[SEGMENTO_DESCRIP].&amp;[" &amp; $C$6 &amp; "]",
"[Base].[SITUACION]",
"[Base].[SITUACION].&amp;[" &amp; $C56 &amp; "]"
),0)/1000</f>
        <v>-133.38478512479506</v>
      </c>
      <c r="AR56" s="8">
        <f>IFERROR(
GETPIVOTDATA(
"[Base].[Importe]",
TDinamica_R!$A$5,
"[Calendario].[AñoMes]",
"[Calendario].[AñoMes].&amp;[" &amp; TEXT(AR$6,"yyyymm") &amp; "]",
"[Base].[Metrica]",
"[Base].[Metrica].&amp;[" &amp; $A56 &amp; "]",
"[Base].[SEGMENTO_DESCRIP]",
"[Base].[SEGMENTO_DESCRIP].&amp;[" &amp; $C$6 &amp; "]",
"[Base].[SITUACION]",
"[Base].[SITUACION].&amp;[" &amp; $C56 &amp; "]"
),0)/1000</f>
        <v>3687.8408318999991</v>
      </c>
      <c r="AS56" s="8">
        <f>IFERROR(
GETPIVOTDATA(
"[Base].[Importe]",
TDinamica_R!$A$5,
"[Calendario].[AñoMes]",
"[Calendario].[AñoMes].&amp;[" &amp; TEXT(AS$6,"yyyymm") &amp; "]",
"[Base].[Metrica]",
"[Base].[Metrica].&amp;[" &amp; $A56 &amp; "]",
"[Base].[SEGMENTO_DESCRIP]",
"[Base].[SEGMENTO_DESCRIP].&amp;[" &amp; $C$6 &amp; "]",
"[Base].[SITUACION]",
"[Base].[SITUACION].&amp;[" &amp; $C56 &amp; "]"
),0)/1000</f>
        <v>-2420.3439699999803</v>
      </c>
      <c r="AT56" s="8">
        <f>IFERROR(
GETPIVOTDATA(
"[Base].[Importe]",
TDinamica_R!$A$5,
"[Calendario].[AñoMes]",
"[Calendario].[AñoMes].&amp;[" &amp; TEXT(AT$6,"yyyymm")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U56" s="8">
        <f>IFERROR(
GETPIVOTDATA(
"[Base].[Importe]",
TDinamica_R!$A$5,
"[Calendario].[AñoMes]",
"[Calendario].[AñoMes].&amp;[" &amp; TEXT(AU$6,"yyyymm")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V56" s="8">
        <f>IFERROR(
GETPIVOTDATA(
"[Base].[Importe]",
TDinamica_R!$A$5,
"[Calendario].[AñoMes]",
"[Calendario].[AñoMes].&amp;[" &amp; TEXT(AV$6,"yyyymm")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W56" s="8">
        <f>IFERROR(
GETPIVOTDATA(
"[Base].[Importe]",
TDinamica_R!$A$5,
"[Calendario].[AñoMes]",
"[Calendario].[AñoMes].&amp;[" &amp; TEXT(AW$6,"yyyymm")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X56" s="8">
        <f>IFERROR(
GETPIVOTDATA(
"[Base].[Importe]",
TDinamica_R!$A$5,
"[Calendario].[AñoMes]",
"[Calendario].[AñoMes].&amp;[" &amp; TEXT(AX$6,"yyyymm")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Y56" s="8">
        <f>IFERROR(
GETPIVOTDATA(
"[Base].[Importe]",
TDinamica_R!$A$5,
"[Calendario].[AñoMes]",
"[Calendario].[AñoMes].&amp;[" &amp; TEXT(AY$6,"yyyymm")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Z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"[BASE_HIPO_PPTO].[Periodo]","[BASE_HIPO_PPTO].[Periodo].&amp;["&amp;TEXT(AZ$6,"yyyymm")&amp;"]"),
0)/1000</f>
        <v>-1382.3426135923173</v>
      </c>
      <c r="BA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"[BASE_HIPO_PPTO].[Periodo]","[BASE_HIPO_PPTO].[Periodo].&amp;["&amp;TEXT(BA$6,"yyyymm")&amp;"]"),
0)/1000</f>
        <v>-1812.358772477239</v>
      </c>
      <c r="BB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"[BASE_HIPO_PPTO].[Periodo]","[BASE_HIPO_PPTO].[Periodo].&amp;["&amp;TEXT(BB$6,"yyyymm")&amp;"]"),
0)/1000</f>
        <v>-2902.8932017556258</v>
      </c>
      <c r="BC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"[BASE_HIPO_PPTO].[Periodo]","[BASE_HIPO_PPTO].[Periodo].&amp;["&amp;TEXT(BC$6,"yyyymm")&amp;"]"),
0)/1000</f>
        <v>-4193.2889671195517</v>
      </c>
      <c r="BD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"[BASE_HIPO_PPTO].[Periodo]","[BASE_HIPO_PPTO].[Periodo].&amp;["&amp;TEXT(BD$6,"yyyymm")&amp;"]"),
0)/1000</f>
        <v>-1542.9859661050798</v>
      </c>
      <c r="BE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"[BASE_HIPO_PPTO].[Periodo]","[BASE_HIPO_PPTO].[Periodo].&amp;["&amp;TEXT(BE$6,"yyyymm")&amp;"]"),
0)/1000</f>
        <v>-4093.7682872071032</v>
      </c>
      <c r="BF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"[BASE_HIPO_PPTO].[Periodo]","[BASE_HIPO_PPTO].[Periodo].&amp;["&amp;TEXT(BF$6,"yyyymm")&amp;"]"),
0)/1000</f>
        <v>-1180.14849700182</v>
      </c>
      <c r="BG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"[BASE_HIPO_PPTO].[Periodo]","[BASE_HIPO_PPTO].[Periodo].&amp;["&amp;TEXT(BG$6,"yyyymm")&amp;"]"),
0)/1000</f>
        <v>-2675.0933486018043</v>
      </c>
      <c r="BH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"[BASE_HIPO_PPTO].[Periodo]","[BASE_HIPO_PPTO].[Periodo].&amp;["&amp;TEXT(BH$6,"yyyymm")&amp;"]"),
0)/1000</f>
        <v>-1511.1432357305382</v>
      </c>
      <c r="BI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"[BASE_HIPO_PPTO].[Periodo]","[BASE_HIPO_PPTO].[Periodo].&amp;["&amp;TEXT(BI$6,"yyyymm")&amp;"]"),
0)/1000</f>
        <v>-1993.2243317358243</v>
      </c>
      <c r="BJ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"[BASE_HIPO_PPTO].[Periodo]","[BASE_HIPO_PPTO].[Periodo].&amp;["&amp;TEXT(BJ$6,"yyyymm")&amp;"]"),
0)/1000</f>
        <v>-1577.9923048961525</v>
      </c>
      <c r="BK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"[BASE_HIPO_PPTO].[Periodo]","[BASE_HIPO_PPTO].[Periodo].&amp;["&amp;TEXT(BK$6,"yyyymm")&amp;"]"),
0)/1000</f>
        <v>283.71489569738139</v>
      </c>
      <c r="BO56" s="24">
        <f t="shared" ref="BO56:BT57" si="39">SUMIFS($D56:$BM56,$D$6:$BM$6,"&gt;="&amp;BO$2,$D$6:$BM$6,"&lt;="&amp;BO$6,$D$5:$BM$5,BO$5)</f>
        <v>3039.5383016077667</v>
      </c>
      <c r="BP56" s="24">
        <f t="shared" si="39"/>
        <v>-6097.5945878251823</v>
      </c>
      <c r="BQ56" s="24">
        <f t="shared" si="39"/>
        <v>3613.8167016077668</v>
      </c>
      <c r="BR56" s="24">
        <f t="shared" si="39"/>
        <v>-5809.6182561994792</v>
      </c>
      <c r="BS56" s="24">
        <f t="shared" si="39"/>
        <v>-10648.81492136321</v>
      </c>
      <c r="BT56" s="24">
        <f t="shared" si="39"/>
        <v>-5904.6624502648992</v>
      </c>
    </row>
    <row r="57" spans="1:72" hidden="1" outlineLevel="1" x14ac:dyDescent="0.25">
      <c r="A57" s="11" t="s">
        <v>65</v>
      </c>
      <c r="C57" s="2" t="s">
        <v>69</v>
      </c>
      <c r="D57" s="8">
        <f>IFERROR(
GETPIVOTDATA(
"[Base].[Importe]",
TDinamica_R!$A$5,
"[Calendario].[AñoMes]",
"[Calendario].[AñoMes].&amp;[" &amp; TEXT(D$6,"yyyymm") &amp; "]",
"[Base].[Metrica]",
"[Base].[Metrica].&amp;[" &amp; $A57 &amp; "]",
"[Base].[SEGMENTO_DESCRIP]",
"[Base].[SEGMENTO_DESCRIP].&amp;[" &amp; $C$6 &amp; "]",
"[Base].[SITUACION]",
"[Base].[SITUACION].&amp;[" &amp; $C57 &amp; "]"
),0)/1000</f>
        <v>0.7</v>
      </c>
      <c r="E57" s="8">
        <f>IFERROR(
GETPIVOTDATA(
"[Base].[Importe]",
TDinamica_R!$A$5,
"[Calendario].[AñoMes]",
"[Calendario].[AñoMes].&amp;[" &amp; TEXT(E$6,"yyyymm")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F57" s="8">
        <f>IFERROR(
GETPIVOTDATA(
"[Base].[Importe]",
TDinamica_R!$A$5,
"[Calendario].[AñoMes]",
"[Calendario].[AñoMes].&amp;[" &amp; TEXT(F$6,"yyyymm") &amp; "]",
"[Base].[Metrica]",
"[Base].[Metrica].&amp;[" &amp; $A57 &amp; "]",
"[Base].[SEGMENTO_DESCRIP]",
"[Base].[SEGMENTO_DESCRIP].&amp;[" &amp; $C$6 &amp; "]",
"[Base].[SITUACION]",
"[Base].[SITUACION].&amp;[" &amp; $C57 &amp; "]"
),0)/1000</f>
        <v>44.159119999999994</v>
      </c>
      <c r="G57" s="8">
        <f>IFERROR(
GETPIVOTDATA(
"[Base].[Importe]",
TDinamica_R!$A$5,
"[Calendario].[AñoMes]",
"[Calendario].[AñoMes].&amp;[" &amp; TEXT(G$6,"yyyymm") &amp; "]",
"[Base].[Metrica]",
"[Base].[Metrica].&amp;[" &amp; $A57 &amp; "]",
"[Base].[SEGMENTO_DESCRIP]",
"[Base].[SEGMENTO_DESCRIP].&amp;[" &amp; $C$6 &amp; "]",
"[Base].[SITUACION]",
"[Base].[SITUACION].&amp;[" &amp; $C57 &amp; "]"
),0)/1000</f>
        <v>83.923322741096243</v>
      </c>
      <c r="H57" s="8">
        <f>IFERROR(
GETPIVOTDATA(
"[Base].[Importe]",
TDinamica_R!$A$5,
"[Calendario].[AñoMes]",
"[Calendario].[AñoMes].&amp;[" &amp; TEXT(H$6,"yyyymm") &amp; "]",
"[Base].[Metrica]",
"[Base].[Metrica].&amp;[" &amp; $A57 &amp; "]",
"[Base].[SEGMENTO_DESCRIP]",
"[Base].[SEGMENTO_DESCRIP].&amp;[" &amp; $C$6 &amp; "]",
"[Base].[SITUACION]",
"[Base].[SITUACION].&amp;[" &amp; $C57 &amp; "]"
),0)/1000</f>
        <v>16.87885</v>
      </c>
      <c r="I57" s="8">
        <f>IFERROR(
GETPIVOTDATA(
"[Base].[Importe]",
TDinamica_R!$A$5,
"[Calendario].[AñoMes]",
"[Calendario].[AñoMes].&amp;[" &amp; TEXT(I$6,"yyyymm") &amp; "]",
"[Base].[Metrica]",
"[Base].[Metrica].&amp;[" &amp; $A57 &amp; "]",
"[Base].[SEGMENTO_DESCRIP]",
"[Base].[SEGMENTO_DESCRIP].&amp;[" &amp; $C$6 &amp; "]",
"[Base].[SITUACION]",
"[Base].[SITUACION].&amp;[" &amp; $C57 &amp; "]"
),0)/1000</f>
        <v>65.143630000000002</v>
      </c>
      <c r="J57" s="8">
        <f>IFERROR(
GETPIVOTDATA(
"[Base].[Importe]",
TDinamica_R!$A$5,
"[Calendario].[AñoMes]",
"[Calendario].[AñoMes].&amp;[" &amp; TEXT(J$6,"yyyymm") &amp; "]",
"[Base].[Metrica]",
"[Base].[Metrica].&amp;[" &amp; $A57 &amp; "]",
"[Base].[SEGMENTO_DESCRIP]",
"[Base].[SEGMENTO_DESCRIP].&amp;[" &amp; $C$6 &amp; "]",
"[Base].[SITUACION]",
"[Base].[SITUACION].&amp;[" &amp; $C57 &amp; "]"
),0)/1000</f>
        <v>74.584999999999994</v>
      </c>
      <c r="K57" s="8">
        <f>IFERROR(
GETPIVOTDATA(
"[Base].[Importe]",
TDinamica_R!$A$5,
"[Calendario].[AñoMes]",
"[Calendario].[AñoMes].&amp;[" &amp; TEXT(K$6,"yyyymm") &amp; "]",
"[Base].[Metrica]",
"[Base].[Metrica].&amp;[" &amp; $A57 &amp; "]",
"[Base].[SEGMENTO_DESCRIP]",
"[Base].[SEGMENTO_DESCRIP].&amp;[" &amp; $C$6 &amp; "]",
"[Base].[SITUACION]",
"[Base].[SITUACION].&amp;[" &amp; $C57 &amp; "]"
),0)/1000</f>
        <v>66.297759999999997</v>
      </c>
      <c r="L57" s="8">
        <f>IFERROR(
GETPIVOTDATA(
"[Base].[Importe]",
TDinamica_R!$A$5,
"[Calendario].[AñoMes]",
"[Calendario].[AñoMes].&amp;[" &amp; TEXT(L$6,"yyyymm") &amp; "]",
"[Base].[Metrica]",
"[Base].[Metrica].&amp;[" &amp; $A57 &amp; "]",
"[Base].[SEGMENTO_DESCRIP]",
"[Base].[SEGMENTO_DESCRIP].&amp;[" &amp; $C$6 &amp; "]",
"[Base].[SITUACION]",
"[Base].[SITUACION].&amp;[" &amp; $C57 &amp; "]"
),0)/1000</f>
        <v>72.245820000000009</v>
      </c>
      <c r="M57" s="8">
        <f>IFERROR(
GETPIVOTDATA(
"[Base].[Importe]",
TDinamica_R!$A$5,
"[Calendario].[AñoMes]",
"[Calendario].[AñoMes].&amp;[" &amp; TEXT(M$6,"yyyymm") &amp; "]",
"[Base].[Metrica]",
"[Base].[Metrica].&amp;[" &amp; $A57 &amp; "]",
"[Base].[SEGMENTO_DESCRIP]",
"[Base].[SEGMENTO_DESCRIP].&amp;[" &amp; $C$6 &amp; "]",
"[Base].[SITUACION]",
"[Base].[SITUACION].&amp;[" &amp; $C57 &amp; "]"
),0)/1000</f>
        <v>103.73636999999999</v>
      </c>
      <c r="N57" s="8">
        <f>IFERROR(
GETPIVOTDATA(
"[Base].[Importe]",
TDinamica_R!$A$5,
"[Calendario].[AñoMes]",
"[Calendario].[AñoMes].&amp;[" &amp; TEXT(N$6,"yyyymm")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O57" s="8">
        <f>IFERROR(
GETPIVOTDATA(
"[Base].[Importe]",
TDinamica_R!$A$5,
"[Calendario].[AñoMes]",
"[Calendario].[AñoMes].&amp;[" &amp; TEXT(O$6,"yyyymm")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P57" s="8">
        <f>IFERROR(
GETPIVOTDATA(
"[Base].[Importe]",
TDinamica_R!$A$5,
"[Calendario].[AñoMes]",
"[Calendario].[AñoMes].&amp;[" &amp; TEXT(P$6,"yyyymm")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Q57" s="8">
        <f>IFERROR(
GETPIVOTDATA(
"[Base].[Importe]",
TDinamica_R!$A$5,
"[Calendario].[AñoMes]",
"[Calendario].[AñoMes].&amp;[" &amp; TEXT(Q$6,"yyyymm") &amp; "]",
"[Base].[Metrica]",
"[Base].[Metrica].&amp;[" &amp; $A57 &amp; "]",
"[Base].[SEGMENTO_DESCRIP]",
"[Base].[SEGMENTO_DESCRIP].&amp;[" &amp; $C$6 &amp; "]",
"[Base].[SITUACION]",
"[Base].[SITUACION].&amp;[" &amp; $C57 &amp; "]"
),0)/1000</f>
        <v>3.37</v>
      </c>
      <c r="R57" s="8">
        <f>IFERROR(
GETPIVOTDATA(
"[Base].[Importe]",
TDinamica_R!$A$5,
"[Calendario].[AñoMes]",
"[Calendario].[AñoMes].&amp;[" &amp; TEXT(R$6,"yyyymm")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S57" s="8">
        <f>IFERROR(
GETPIVOTDATA(
"[Base].[Importe]",
TDinamica_R!$A$5,
"[Calendario].[AñoMes]",
"[Calendario].[AñoMes].&amp;[" &amp; TEXT(S$6,"yyyymm")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T57" s="8">
        <f>IFERROR(
GETPIVOTDATA(
"[Base].[Importe]",
TDinamica_R!$A$5,
"[Calendario].[AñoMes]",
"[Calendario].[AñoMes].&amp;[" &amp; TEXT(T$6,"yyyymm") &amp; "]",
"[Base].[Metrica]",
"[Base].[Metrica].&amp;[" &amp; $A57 &amp; "]",
"[Base].[SEGMENTO_DESCRIP]",
"[Base].[SEGMENTO_DESCRIP].&amp;[" &amp; $C$6 &amp; "]",
"[Base].[SITUACION]",
"[Base].[SITUACION].&amp;[" &amp; $C57 &amp; "]"
),0)/1000</f>
        <v>1.7344300000000001</v>
      </c>
      <c r="U57" s="8">
        <f>IFERROR(
GETPIVOTDATA(
"[Base].[Importe]",
TDinamica_R!$A$5,
"[Calendario].[AñoMes]",
"[Calendario].[AñoMes].&amp;[" &amp; TEXT(U$6,"yyyymm") &amp; "]",
"[Base].[Metrica]",
"[Base].[Metrica].&amp;[" &amp; $A57 &amp; "]",
"[Base].[SEGMENTO_DESCRIP]",
"[Base].[SEGMENTO_DESCRIP].&amp;[" &amp; $C$6 &amp; "]",
"[Base].[SITUACION]",
"[Base].[SITUACION].&amp;[" &amp; $C57 &amp; "]"
),0)/1000</f>
        <v>36.611959999999996</v>
      </c>
      <c r="V57" s="8">
        <f>IFERROR(
GETPIVOTDATA(
"[Base].[Importe]",
TDinamica_R!$A$5,
"[Calendario].[AñoMes]",
"[Calendario].[AñoMes].&amp;[" &amp; TEXT(V$6,"yyyymm") &amp; "]",
"[Base].[Metrica]",
"[Base].[Metrica].&amp;[" &amp; $A57 &amp; "]",
"[Base].[SEGMENTO_DESCRIP]",
"[Base].[SEGMENTO_DESCRIP].&amp;[" &amp; $C$6 &amp; "]",
"[Base].[SITUACION]",
"[Base].[SITUACION].&amp;[" &amp; $C57 &amp; "]"
),0)/1000</f>
        <v>70.667529999999999</v>
      </c>
      <c r="W57" s="8">
        <f>IFERROR(
GETPIVOTDATA(
"[Base].[Importe]",
TDinamica_R!$A$5,
"[Calendario].[AñoMes]",
"[Calendario].[AñoMes].&amp;[" &amp; TEXT(W$6,"yyyymm") &amp; "]",
"[Base].[Metrica]",
"[Base].[Metrica].&amp;[" &amp; $A57 &amp; "]",
"[Base].[SEGMENTO_DESCRIP]",
"[Base].[SEGMENTO_DESCRIP].&amp;[" &amp; $C$6 &amp; "]",
"[Base].[SITUACION]",
"[Base].[SITUACION].&amp;[" &amp; $C57 &amp; "]"
),0)/1000</f>
        <v>0.64890999999999999</v>
      </c>
      <c r="X57" s="8">
        <f>IFERROR(
GETPIVOTDATA(
"[Base].[Importe]",
TDinamica_R!$A$5,
"[Calendario].[AñoMes]",
"[Calendario].[AñoMes].&amp;[" &amp; TEXT(X$6,"yyyymm")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Y57" s="8">
        <f>IFERROR(
GETPIVOTDATA(
"[Base].[Importe]",
TDinamica_R!$A$5,
"[Calendario].[AñoMes]",
"[Calendario].[AñoMes].&amp;[" &amp; TEXT(Y$6,"yyyymm") &amp; "]",
"[Base].[Metrica]",
"[Base].[Metrica].&amp;[" &amp; $A57 &amp; "]",
"[Base].[SEGMENTO_DESCRIP]",
"[Base].[SEGMENTO_DESCRIP].&amp;[" &amp; $C$6 &amp; "]",
"[Base].[SITUACION]",
"[Base].[SITUACION].&amp;[" &amp; $C57 &amp; "]"
),0)/1000</f>
        <v>3.37486</v>
      </c>
      <c r="Z57" s="8">
        <f>IFERROR(
GETPIVOTDATA(
"[Base].[Importe]",
TDinamica_R!$A$5,
"[Calendario].[AñoMes]",
"[Calendario].[AñoMes].&amp;[" &amp; TEXT(Z$6,"yyyymm")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A57" s="8">
        <f>IFERROR(
GETPIVOTDATA(
"[Base].[Importe]",
TDinamica_R!$A$5,
"[Calendario].[AñoMes]",
"[Calendario].[AñoMes].&amp;[" &amp; TEXT(AA$6,"yyyymm") &amp; "]",
"[Base].[Metrica]",
"[Base].[Metrica].&amp;[" &amp; $A57 &amp; "]",
"[Base].[SEGMENTO_DESCRIP]",
"[Base].[SEGMENTO_DESCRIP].&amp;[" &amp; $C$6 &amp; "]",
"[Base].[SITUACION]",
"[Base].[SITUACION].&amp;[" &amp; $C57 &amp; "]"
),0)/1000</f>
        <v>0.18109999999999998</v>
      </c>
      <c r="AB57" s="8">
        <f>IFERROR(
GETPIVOTDATA(
"[Base].[Importe]",
TDinamica_R!$A$5,
"[Calendario].[AñoMes]",
"[Calendario].[AñoMes].&amp;[" &amp; TEXT(AB$6,"yyyymm") &amp; "]",
"[Base].[Metrica]",
"[Base].[Metrica].&amp;[" &amp; $A57 &amp; "]",
"[Base].[SEGMENTO_DESCRIP]",
"[Base].[SEGMENTO_DESCRIP].&amp;[" &amp; $C$6 &amp; "]",
"[Base].[SITUACION]",
"[Base].[SITUACION].&amp;[" &amp; $C57 &amp; "]"
),0)/1000</f>
        <v>3.18323</v>
      </c>
      <c r="AC57" s="8">
        <f>IFERROR(
GETPIVOTDATA(
"[Base].[Importe]",
TDinamica_R!$A$5,
"[Calendario].[AñoMes]",
"[Calendario].[AñoMes].&amp;[" &amp; TEXT(AC$6,"yyyymm") &amp; "]",
"[Base].[Metrica]",
"[Base].[Metrica].&amp;[" &amp; $A57 &amp; "]",
"[Base].[SEGMENTO_DESCRIP]",
"[Base].[SEGMENTO_DESCRIP].&amp;[" &amp; $C$6 &amp; "]",
"[Base].[SITUACION]",
"[Base].[SITUACION].&amp;[" &amp; $C57 &amp; "]"
),0)/1000</f>
        <v>3.6240000000000001E-2</v>
      </c>
      <c r="AD57" s="8">
        <f>IFERROR(
GETPIVOTDATA(
"[Base].[Importe]",
TDinamica_R!$A$5,
"[Calendario].[AñoMes]",
"[Calendario].[AñoMes].&amp;[" &amp; TEXT(AD$6,"yyyymm") &amp; "]",
"[Base].[Metrica]",
"[Base].[Metrica].&amp;[" &amp; $A57 &amp; "]",
"[Base].[SEGMENTO_DESCRIP]",
"[Base].[SEGMENTO_DESCRIP].&amp;[" &amp; $C$6 &amp; "]",
"[Base].[SITUACION]",
"[Base].[SITUACION].&amp;[" &amp; $C57 &amp; "]"
),0)/1000</f>
        <v>60.702779999999997</v>
      </c>
      <c r="AE57" s="8">
        <f>IFERROR(
GETPIVOTDATA(
"[Base].[Importe]",
TDinamica_R!$A$5,
"[Calendario].[AñoMes]",
"[Calendario].[AñoMes].&amp;[" &amp; TEXT(AE$6,"yyyymm") &amp; "]",
"[Base].[Metrica]",
"[Base].[Metrica].&amp;[" &amp; $A57 &amp; "]",
"[Base].[SEGMENTO_DESCRIP]",
"[Base].[SEGMENTO_DESCRIP].&amp;[" &amp; $C$6 &amp; "]",
"[Base].[SITUACION]",
"[Base].[SITUACION].&amp;[" &amp; $C57 &amp; "]"
),0)/1000</f>
        <v>47.775230000000001</v>
      </c>
      <c r="AF57" s="8">
        <f>IFERROR(
GETPIVOTDATA(
"[Base].[Importe]",
TDinamica_R!$A$5,
"[Calendario].[AñoMes]",
"[Calendario].[AñoMes].&amp;[" &amp; TEXT(AF$6,"yyyymm") &amp; "]",
"[Base].[Metrica]",
"[Base].[Metrica].&amp;[" &amp; $A57 &amp; "]",
"[Base].[SEGMENTO_DESCRIP]",
"[Base].[SEGMENTO_DESCRIP].&amp;[" &amp; $C$6 &amp; "]",
"[Base].[SITUACION]",
"[Base].[SITUACION].&amp;[" &amp; $C57 &amp; "]"
),0)/1000</f>
        <v>3.9546400000000004</v>
      </c>
      <c r="AG57" s="8">
        <f>IFERROR(
GETPIVOTDATA(
"[Base].[Importe]",
TDinamica_R!$A$5,
"[Calendario].[AñoMes]",
"[Calendario].[AñoMes].&amp;[" &amp; TEXT(AG$6,"yyyymm") &amp; "]",
"[Base].[Metrica]",
"[Base].[Metrica].&amp;[" &amp; $A57 &amp; "]",
"[Base].[SEGMENTO_DESCRIP]",
"[Base].[SEGMENTO_DESCRIP].&amp;[" &amp; $C$6 &amp; "]",
"[Base].[SITUACION]",
"[Base].[SITUACION].&amp;[" &amp; $C57 &amp; "]"
),0)/1000</f>
        <v>2.3919999999999999</v>
      </c>
      <c r="AH57" s="8">
        <f>IFERROR(
GETPIVOTDATA(
"[Base].[Importe]",
TDinamica_R!$A$5,
"[Calendario].[AñoMes]",
"[Calendario].[AñoMes].&amp;[" &amp; TEXT(AH$6,"yyyymm")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I57" s="8">
        <f>IFERROR(
GETPIVOTDATA(
"[Base].[Importe]",
TDinamica_R!$A$5,
"[Calendario].[AñoMes]",
"[Calendario].[AñoMes].&amp;[" &amp; TEXT(AI$6,"yyyymm") &amp; "]",
"[Base].[Metrica]",
"[Base].[Metrica].&amp;[" &amp; $A57 &amp; "]",
"[Base].[SEGMENTO_DESCRIP]",
"[Base].[SEGMENTO_DESCRIP].&amp;[" &amp; $C$6 &amp; "]",
"[Base].[SITUACION]",
"[Base].[SITUACION].&amp;[" &amp; $C57 &amp; "]"
),0)/1000</f>
        <v>10.9628</v>
      </c>
      <c r="AJ57" s="8">
        <f>IFERROR(
GETPIVOTDATA(
"[Base].[Importe]",
TDinamica_R!$A$5,
"[Calendario].[AñoMes]",
"[Calendario].[AñoMes].&amp;[" &amp; TEXT(AJ$6,"yyyymm")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K57" s="8">
        <f>IFERROR(
GETPIVOTDATA(
"[Base].[Importe]",
TDinamica_R!$A$5,
"[Calendario].[AñoMes]",
"[Calendario].[AñoMes].&amp;[" &amp; TEXT(AK$6,"yyyymm")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L57" s="8">
        <f>IFERROR(
GETPIVOTDATA(
"[Base].[Importe]",
TDinamica_R!$A$5,
"[Calendario].[AñoMes]",
"[Calendario].[AñoMes].&amp;[" &amp; TEXT(AL$6,"yyyymm") &amp; "]",
"[Base].[Metrica]",
"[Base].[Metrica].&amp;[" &amp; $A57 &amp; "]",
"[Base].[SEGMENTO_DESCRIP]",
"[Base].[SEGMENTO_DESCRIP].&amp;[" &amp; $C$6 &amp; "]",
"[Base].[SITUACION]",
"[Base].[SITUACION].&amp;[" &amp; $C57 &amp; "]"
),0)/1000</f>
        <v>2</v>
      </c>
      <c r="AM57" s="8">
        <f>IFERROR(
GETPIVOTDATA(
"[Base].[Importe]",
TDinamica_R!$A$5,
"[Calendario].[AñoMes]",
"[Calendario].[AñoMes].&amp;[" &amp; TEXT(AM$6,"yyyymm")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N57" s="8">
        <f>IFERROR(
GETPIVOTDATA(
"[Base].[Importe]",
TDinamica_R!$A$5,
"[Calendario].[AñoMes]",
"[Calendario].[AñoMes].&amp;[" &amp; TEXT(AN$6,"yyyymm")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O57" s="8">
        <f>IFERROR(
GETPIVOTDATA(
"[Base].[Importe]",
TDinamica_R!$A$5,
"[Calendario].[AñoMes]",
"[Calendario].[AñoMes].&amp;[" &amp; TEXT(AO$6,"yyyymm") &amp; "]",
"[Base].[Metrica]",
"[Base].[Metrica].&amp;[" &amp; $A57 &amp; "]",
"[Base].[SEGMENTO_DESCRIP]",
"[Base].[SEGMENTO_DESCRIP].&amp;[" &amp; $C$6 &amp; "]",
"[Base].[SITUACION]",
"[Base].[SITUACION].&amp;[" &amp; $C57 &amp; "]"
),0)/1000</f>
        <v>20.094999999999999</v>
      </c>
      <c r="AP57" s="8">
        <f>IFERROR(
GETPIVOTDATA(
"[Base].[Importe]",
TDinamica_R!$A$5,
"[Calendario].[AñoMes]",
"[Calendario].[AñoMes].&amp;[" &amp; TEXT(AP$6,"yyyymm")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Q57" s="8">
        <f>IFERROR(
GETPIVOTDATA(
"[Base].[Importe]",
TDinamica_R!$A$5,
"[Calendario].[AñoMes]",
"[Calendario].[AñoMes].&amp;[" &amp; TEXT(AQ$6,"yyyymm")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R57" s="8">
        <f>IFERROR(
GETPIVOTDATA(
"[Base].[Importe]",
TDinamica_R!$A$5,
"[Calendario].[AñoMes]",
"[Calendario].[AñoMes].&amp;[" &amp; TEXT(AR$6,"yyyymm") &amp; "]",
"[Base].[Metrica]",
"[Base].[Metrica].&amp;[" &amp; $A57 &amp; "]",
"[Base].[SEGMENTO_DESCRIP]",
"[Base].[SEGMENTO_DESCRIP].&amp;[" &amp; $C$6 &amp; "]",
"[Base].[SITUACION]",
"[Base].[SITUACION].&amp;[" &amp; $C57 &amp; "]"
),0)/1000</f>
        <v>46.878839999999997</v>
      </c>
      <c r="AS57" s="8">
        <f>IFERROR(
GETPIVOTDATA(
"[Base].[Importe]",
TDinamica_R!$A$5,
"[Calendario].[AñoMes]",
"[Calendario].[AñoMes].&amp;[" &amp; TEXT(AS$6,"yyyymm")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T57" s="8">
        <f>IFERROR(
GETPIVOTDATA(
"[Base].[Importe]",
TDinamica_R!$A$5,
"[Calendario].[AñoMes]",
"[Calendario].[AñoMes].&amp;[" &amp; TEXT(AT$6,"yyyymm")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U57" s="8">
        <f>IFERROR(
GETPIVOTDATA(
"[Base].[Importe]",
TDinamica_R!$A$5,
"[Calendario].[AñoMes]",
"[Calendario].[AñoMes].&amp;[" &amp; TEXT(AU$6,"yyyymm")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V57" s="8">
        <f>IFERROR(
GETPIVOTDATA(
"[Base].[Importe]",
TDinamica_R!$A$5,
"[Calendario].[AñoMes]",
"[Calendario].[AñoMes].&amp;[" &amp; TEXT(AV$6,"yyyymm")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W57" s="8">
        <f>IFERROR(
GETPIVOTDATA(
"[Base].[Importe]",
TDinamica_R!$A$5,
"[Calendario].[AñoMes]",
"[Calendario].[AñoMes].&amp;[" &amp; TEXT(AW$6,"yyyymm")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X57" s="8">
        <f>IFERROR(
GETPIVOTDATA(
"[Base].[Importe]",
TDinamica_R!$A$5,
"[Calendario].[AñoMes]",
"[Calendario].[AñoMes].&amp;[" &amp; TEXT(AX$6,"yyyymm")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Y57" s="8">
        <f>IFERROR(
GETPIVOTDATA(
"[Base].[Importe]",
TDinamica_R!$A$5,
"[Calendario].[AñoMes]",
"[Calendario].[AñoMes].&amp;[" &amp; TEXT(AY$6,"yyyymm")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Z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"[BASE_HIPO_PPTO].[Periodo]","[BASE_HIPO_PPTO].[Periodo].&amp;["&amp;TEXT(AZ$6,"yyyymm")&amp;"]"),
0)/1000</f>
        <v>0</v>
      </c>
      <c r="BA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"[BASE_HIPO_PPTO].[Periodo]","[BASE_HIPO_PPTO].[Periodo].&amp;["&amp;TEXT(BA$6,"yyyymm")&amp;"]"),
0)/1000</f>
        <v>0</v>
      </c>
      <c r="BB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"[BASE_HIPO_PPTO].[Periodo]","[BASE_HIPO_PPTO].[Periodo].&amp;["&amp;TEXT(BB$6,"yyyymm")&amp;"]"),
0)/1000</f>
        <v>0</v>
      </c>
      <c r="BC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"[BASE_HIPO_PPTO].[Periodo]","[BASE_HIPO_PPTO].[Periodo].&amp;["&amp;TEXT(BC$6,"yyyymm")&amp;"]"),
0)/1000</f>
        <v>0</v>
      </c>
      <c r="BD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"[BASE_HIPO_PPTO].[Periodo]","[BASE_HIPO_PPTO].[Periodo].&amp;["&amp;TEXT(BD$6,"yyyymm")&amp;"]"),
0)/1000</f>
        <v>0</v>
      </c>
      <c r="BE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"[BASE_HIPO_PPTO].[Periodo]","[BASE_HIPO_PPTO].[Periodo].&amp;["&amp;TEXT(BE$6,"yyyymm")&amp;"]"),
0)/1000</f>
        <v>0</v>
      </c>
      <c r="BF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"[BASE_HIPO_PPTO].[Periodo]","[BASE_HIPO_PPTO].[Periodo].&amp;["&amp;TEXT(BF$6,"yyyymm")&amp;"]"),
0)/1000</f>
        <v>0</v>
      </c>
      <c r="BG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"[BASE_HIPO_PPTO].[Periodo]","[BASE_HIPO_PPTO].[Periodo].&amp;["&amp;TEXT(BG$6,"yyyymm")&amp;"]"),
0)/1000</f>
        <v>0</v>
      </c>
      <c r="BH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"[BASE_HIPO_PPTO].[Periodo]","[BASE_HIPO_PPTO].[Periodo].&amp;["&amp;TEXT(BH$6,"yyyymm")&amp;"]"),
0)/1000</f>
        <v>0</v>
      </c>
      <c r="BI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"[BASE_HIPO_PPTO].[Periodo]","[BASE_HIPO_PPTO].[Periodo].&amp;["&amp;TEXT(BI$6,"yyyymm")&amp;"]"),
0)/1000</f>
        <v>0</v>
      </c>
      <c r="BJ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"[BASE_HIPO_PPTO].[Periodo]","[BASE_HIPO_PPTO].[Periodo].&amp;["&amp;TEXT(BJ$6,"yyyymm")&amp;"]"),
0)/1000</f>
        <v>0</v>
      </c>
      <c r="BK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"[BASE_HIPO_PPTO].[Periodo]","[BASE_HIPO_PPTO].[Periodo].&amp;["&amp;TEXT(BK$6,"yyyymm")&amp;"]"),
0)/1000</f>
        <v>0</v>
      </c>
      <c r="BO57" s="24">
        <f t="shared" si="39"/>
        <v>20.094999999999999</v>
      </c>
      <c r="BP57" s="24">
        <f t="shared" si="39"/>
        <v>0</v>
      </c>
      <c r="BQ57" s="24">
        <f t="shared" si="39"/>
        <v>20.094999999999999</v>
      </c>
      <c r="BR57" s="24">
        <f t="shared" si="39"/>
        <v>63.922249999999998</v>
      </c>
      <c r="BS57" s="24">
        <f t="shared" si="39"/>
        <v>3.37</v>
      </c>
      <c r="BT57" s="24">
        <f t="shared" si="39"/>
        <v>44.859119999999997</v>
      </c>
    </row>
    <row r="58" spans="1:72" collapsed="1" x14ac:dyDescent="0.25">
      <c r="C58" s="3" t="s">
        <v>68</v>
      </c>
      <c r="D58" s="10">
        <f t="shared" ref="D58:BK58" si="40">SUM(D56:D57)</f>
        <v>-2384.9696323006265</v>
      </c>
      <c r="E58" s="10">
        <f t="shared" si="40"/>
        <v>-2729.1508173573166</v>
      </c>
      <c r="F58" s="10">
        <f t="shared" si="40"/>
        <v>-745.68288060695602</v>
      </c>
      <c r="G58" s="10">
        <f t="shared" si="40"/>
        <v>-1282.9385428222679</v>
      </c>
      <c r="H58" s="10">
        <f t="shared" si="40"/>
        <v>-5150.2281662914475</v>
      </c>
      <c r="I58" s="10">
        <f t="shared" si="40"/>
        <v>3026.9812907169212</v>
      </c>
      <c r="J58" s="10">
        <f t="shared" si="40"/>
        <v>2940.8611058263291</v>
      </c>
      <c r="K58" s="10">
        <f t="shared" si="40"/>
        <v>-2038.5289507906687</v>
      </c>
      <c r="L58" s="10">
        <f t="shared" si="40"/>
        <v>-4226.478551089258</v>
      </c>
      <c r="M58" s="10">
        <f t="shared" si="40"/>
        <v>-6583.4985048846729</v>
      </c>
      <c r="N58" s="10">
        <f t="shared" si="40"/>
        <v>-3634.4142039740896</v>
      </c>
      <c r="O58" s="10">
        <f t="shared" si="40"/>
        <v>6697.4874321279804</v>
      </c>
      <c r="P58" s="10">
        <f t="shared" si="40"/>
        <v>-8361.9377767385813</v>
      </c>
      <c r="Q58" s="10">
        <f t="shared" si="40"/>
        <v>-2404.5322427626006</v>
      </c>
      <c r="R58" s="10">
        <f t="shared" si="40"/>
        <v>121.02509813797197</v>
      </c>
      <c r="S58" s="10">
        <f t="shared" si="40"/>
        <v>-6002.9213952849723</v>
      </c>
      <c r="T58" s="10">
        <f t="shared" si="40"/>
        <v>-333.02470961832307</v>
      </c>
      <c r="U58" s="10">
        <f t="shared" si="40"/>
        <v>-354.90549334307298</v>
      </c>
      <c r="V58" s="10">
        <f t="shared" si="40"/>
        <v>-1549.6438004807972</v>
      </c>
      <c r="W58" s="10">
        <f t="shared" si="40"/>
        <v>1332.4993414076262</v>
      </c>
      <c r="X58" s="10">
        <f t="shared" si="40"/>
        <v>-1393.173576515115</v>
      </c>
      <c r="Y58" s="10">
        <f t="shared" si="40"/>
        <v>-7642.6355349471105</v>
      </c>
      <c r="Z58" s="10">
        <f t="shared" si="40"/>
        <v>-561.82104190604571</v>
      </c>
      <c r="AA58" s="10">
        <f t="shared" si="40"/>
        <v>-732.42199536351166</v>
      </c>
      <c r="AB58" s="10">
        <f t="shared" si="40"/>
        <v>-1971.8513873183631</v>
      </c>
      <c r="AC58" s="10">
        <f t="shared" si="40"/>
        <v>-2713.0500758399212</v>
      </c>
      <c r="AD58" s="10">
        <f t="shared" si="40"/>
        <v>-1060.7945430411946</v>
      </c>
      <c r="AE58" s="10">
        <f t="shared" si="40"/>
        <v>-4043.2240464025349</v>
      </c>
      <c r="AF58" s="10">
        <f t="shared" si="40"/>
        <v>3572.5870339319904</v>
      </c>
      <c r="AG58" s="10">
        <f t="shared" si="40"/>
        <v>-4039.8423995091971</v>
      </c>
      <c r="AH58" s="10">
        <f t="shared" si="40"/>
        <v>-2481.7018682800804</v>
      </c>
      <c r="AI58" s="10">
        <f t="shared" si="40"/>
        <v>-3133.9313350649199</v>
      </c>
      <c r="AJ58" s="10">
        <f t="shared" si="40"/>
        <v>-4317.3676841487995</v>
      </c>
      <c r="AK58" s="10">
        <f t="shared" si="40"/>
        <v>-7640.7785801729196</v>
      </c>
      <c r="AL58" s="10">
        <f t="shared" si="40"/>
        <v>2995.3434292296197</v>
      </c>
      <c r="AM58" s="10">
        <f t="shared" si="40"/>
        <v>12689.0039289408</v>
      </c>
      <c r="AN58" s="10">
        <f t="shared" si="40"/>
        <v>2254.5004882234548</v>
      </c>
      <c r="AO58" s="10">
        <f t="shared" si="40"/>
        <v>1379.4112133843121</v>
      </c>
      <c r="AP58" s="10">
        <f t="shared" si="40"/>
        <v>-574.27840000000003</v>
      </c>
      <c r="AQ58" s="10">
        <f t="shared" si="40"/>
        <v>-133.38478512479506</v>
      </c>
      <c r="AR58" s="10">
        <f t="shared" si="40"/>
        <v>3734.719671899999</v>
      </c>
      <c r="AS58" s="10">
        <f t="shared" si="40"/>
        <v>-2420.3439699999803</v>
      </c>
      <c r="AT58" s="10">
        <f t="shared" si="40"/>
        <v>0</v>
      </c>
      <c r="AU58" s="10">
        <f t="shared" si="40"/>
        <v>0</v>
      </c>
      <c r="AV58" s="10">
        <f t="shared" si="40"/>
        <v>0</v>
      </c>
      <c r="AW58" s="10">
        <f t="shared" si="40"/>
        <v>0</v>
      </c>
      <c r="AX58" s="10">
        <f t="shared" si="40"/>
        <v>0</v>
      </c>
      <c r="AY58" s="10">
        <f t="shared" si="40"/>
        <v>0</v>
      </c>
      <c r="AZ58" s="10">
        <f t="shared" si="40"/>
        <v>-1382.3426135923173</v>
      </c>
      <c r="BA58" s="10">
        <f t="shared" si="40"/>
        <v>-1812.358772477239</v>
      </c>
      <c r="BB58" s="10">
        <f t="shared" si="40"/>
        <v>-2902.8932017556258</v>
      </c>
      <c r="BC58" s="10">
        <f t="shared" si="40"/>
        <v>-4193.2889671195517</v>
      </c>
      <c r="BD58" s="10">
        <f t="shared" si="40"/>
        <v>-1542.9859661050798</v>
      </c>
      <c r="BE58" s="10">
        <f t="shared" si="40"/>
        <v>-4093.7682872071032</v>
      </c>
      <c r="BF58" s="10">
        <f t="shared" si="40"/>
        <v>-1180.14849700182</v>
      </c>
      <c r="BG58" s="10">
        <f t="shared" si="40"/>
        <v>-2675.0933486018043</v>
      </c>
      <c r="BH58" s="10">
        <f t="shared" si="40"/>
        <v>-1511.1432357305382</v>
      </c>
      <c r="BI58" s="10">
        <f t="shared" si="40"/>
        <v>-1993.2243317358243</v>
      </c>
      <c r="BJ58" s="10">
        <f t="shared" si="40"/>
        <v>-1577.9923048961525</v>
      </c>
      <c r="BK58" s="10">
        <f t="shared" si="40"/>
        <v>283.71489569738139</v>
      </c>
      <c r="BO58" s="23">
        <f>SUM(BO56:BO57)</f>
        <v>3059.6333016077665</v>
      </c>
      <c r="BP58" s="23">
        <f t="shared" ref="BP58:BT58" si="41">SUM(BP56:BP57)</f>
        <v>-6097.5945878251823</v>
      </c>
      <c r="BQ58" s="23">
        <f t="shared" si="41"/>
        <v>3633.9117016077666</v>
      </c>
      <c r="BR58" s="23">
        <f t="shared" si="41"/>
        <v>-5745.6960061994796</v>
      </c>
      <c r="BS58" s="23">
        <f t="shared" si="41"/>
        <v>-10645.444921363209</v>
      </c>
      <c r="BT58" s="23">
        <f t="shared" si="41"/>
        <v>-5859.8033302648992</v>
      </c>
    </row>
    <row r="60" spans="1:72" x14ac:dyDescent="0.25">
      <c r="C60" s="3" t="s">
        <v>70</v>
      </c>
      <c r="D60" s="10">
        <f>D53+D58</f>
        <v>8082.1343015393668</v>
      </c>
      <c r="E60" s="10">
        <f t="shared" ref="E60:BK60" si="42">E53+E58</f>
        <v>4574.3317209426823</v>
      </c>
      <c r="F60" s="10">
        <f t="shared" si="42"/>
        <v>10054.883480073053</v>
      </c>
      <c r="G60" s="10">
        <f t="shared" si="42"/>
        <v>8174.6479323377307</v>
      </c>
      <c r="H60" s="10">
        <f t="shared" si="42"/>
        <v>5601.7225379385591</v>
      </c>
      <c r="I60" s="10">
        <f t="shared" si="42"/>
        <v>12747.530586816923</v>
      </c>
      <c r="J60" s="10">
        <f t="shared" si="42"/>
        <v>13873.005603356318</v>
      </c>
      <c r="K60" s="10">
        <f t="shared" si="42"/>
        <v>8481.2448713393296</v>
      </c>
      <c r="L60" s="10">
        <f t="shared" si="42"/>
        <v>5116.0764206107524</v>
      </c>
      <c r="M60" s="10">
        <f t="shared" si="42"/>
        <v>4248.2932650553184</v>
      </c>
      <c r="N60" s="10">
        <f t="shared" si="42"/>
        <v>6092.605856485914</v>
      </c>
      <c r="O60" s="10">
        <f t="shared" si="42"/>
        <v>17698.099242717988</v>
      </c>
      <c r="P60" s="10">
        <f t="shared" si="42"/>
        <v>2246.0735196914138</v>
      </c>
      <c r="Q60" s="10">
        <f t="shared" si="42"/>
        <v>5894.4400754773969</v>
      </c>
      <c r="R60" s="10">
        <f t="shared" si="42"/>
        <v>11020.562594597977</v>
      </c>
      <c r="S60" s="10">
        <f t="shared" si="42"/>
        <v>3371.6752433350366</v>
      </c>
      <c r="T60" s="10">
        <f t="shared" si="42"/>
        <v>10718.389608801666</v>
      </c>
      <c r="U60" s="10">
        <f t="shared" si="42"/>
        <v>9583.626711846935</v>
      </c>
      <c r="V60" s="10">
        <f t="shared" si="42"/>
        <v>10083.280556189198</v>
      </c>
      <c r="W60" s="10">
        <f t="shared" si="42"/>
        <v>12619.388830727628</v>
      </c>
      <c r="X60" s="10">
        <f t="shared" si="42"/>
        <v>8252.9045228148807</v>
      </c>
      <c r="Y60" s="10">
        <f t="shared" si="42"/>
        <v>3009.4188327928805</v>
      </c>
      <c r="Z60" s="10">
        <f t="shared" si="42"/>
        <v>9351.8894486639401</v>
      </c>
      <c r="AA60" s="10">
        <f t="shared" si="42"/>
        <v>10669.141719916493</v>
      </c>
      <c r="AB60" s="10">
        <f t="shared" si="42"/>
        <v>8782.2228905416287</v>
      </c>
      <c r="AC60" s="10">
        <f t="shared" si="42"/>
        <v>4467.295280060076</v>
      </c>
      <c r="AD60" s="10">
        <f t="shared" si="42"/>
        <v>9789.6365442587939</v>
      </c>
      <c r="AE60" s="10">
        <f t="shared" si="42"/>
        <v>5624.1183818774734</v>
      </c>
      <c r="AF60" s="10">
        <f t="shared" si="42"/>
        <v>15227.089010081994</v>
      </c>
      <c r="AG60" s="10">
        <f t="shared" si="42"/>
        <v>5577.647764990802</v>
      </c>
      <c r="AH60" s="10">
        <f t="shared" si="42"/>
        <v>8751.240510729931</v>
      </c>
      <c r="AI60" s="10">
        <f t="shared" si="42"/>
        <v>7699.5111738050809</v>
      </c>
      <c r="AJ60" s="10">
        <f t="shared" si="42"/>
        <v>5566.4620147212026</v>
      </c>
      <c r="AK60" s="10">
        <f t="shared" si="42"/>
        <v>3467.6580284870679</v>
      </c>
      <c r="AL60" s="10">
        <f t="shared" si="42"/>
        <v>13552.278184299601</v>
      </c>
      <c r="AM60" s="10">
        <f t="shared" si="42"/>
        <v>24853.186295530795</v>
      </c>
      <c r="AN60" s="10">
        <f t="shared" si="42"/>
        <v>13831.47959642346</v>
      </c>
      <c r="AO60" s="10">
        <f t="shared" si="42"/>
        <v>9633.4305823543182</v>
      </c>
      <c r="AP60" s="10">
        <f t="shared" si="42"/>
        <v>11540.107584280016</v>
      </c>
      <c r="AQ60" s="10">
        <f t="shared" si="42"/>
        <v>10427.840722475212</v>
      </c>
      <c r="AR60" s="10">
        <f t="shared" si="42"/>
        <v>16095.750166380036</v>
      </c>
      <c r="AS60" s="10">
        <f t="shared" si="42"/>
        <v>7796.9525592200262</v>
      </c>
      <c r="AT60" s="10">
        <f t="shared" si="42"/>
        <v>0</v>
      </c>
      <c r="AU60" s="10">
        <f t="shared" si="42"/>
        <v>0</v>
      </c>
      <c r="AV60" s="10">
        <f t="shared" si="42"/>
        <v>0</v>
      </c>
      <c r="AW60" s="10">
        <f t="shared" si="42"/>
        <v>0</v>
      </c>
      <c r="AX60" s="10">
        <f t="shared" si="42"/>
        <v>0</v>
      </c>
      <c r="AY60" s="10">
        <f t="shared" si="42"/>
        <v>0</v>
      </c>
      <c r="AZ60" s="10">
        <f t="shared" si="42"/>
        <v>9710.5998954990064</v>
      </c>
      <c r="BA60" s="10">
        <f t="shared" si="42"/>
        <v>5713.4488763135905</v>
      </c>
      <c r="BB60" s="10">
        <f t="shared" si="42"/>
        <v>8177.1729611590672</v>
      </c>
      <c r="BC60" s="10">
        <f t="shared" si="42"/>
        <v>6036.0794524926714</v>
      </c>
      <c r="BD60" s="10">
        <f t="shared" si="42"/>
        <v>10409.198891727585</v>
      </c>
      <c r="BE60" s="10">
        <f t="shared" si="42"/>
        <v>6167.3951788998984</v>
      </c>
      <c r="BF60" s="10">
        <f t="shared" si="42"/>
        <v>10930.472862926123</v>
      </c>
      <c r="BG60" s="10">
        <f t="shared" si="42"/>
        <v>9578.8309853249375</v>
      </c>
      <c r="BH60" s="10">
        <f t="shared" si="42"/>
        <v>8811.048680646014</v>
      </c>
      <c r="BI60" s="10">
        <f t="shared" si="42"/>
        <v>10116.937496685501</v>
      </c>
      <c r="BJ60" s="10">
        <f t="shared" si="42"/>
        <v>9567.538201914982</v>
      </c>
      <c r="BK60" s="10">
        <f t="shared" si="42"/>
        <v>12726.506243501097</v>
      </c>
      <c r="BO60" s="23">
        <f>BO53+BO58</f>
        <v>35005.017763057782</v>
      </c>
      <c r="BP60" s="23">
        <f t="shared" ref="BP60:BT60" si="43">BP53+BP58</f>
        <v>23601.221732971659</v>
      </c>
      <c r="BQ60" s="23">
        <f t="shared" si="43"/>
        <v>23464.910178777765</v>
      </c>
      <c r="BR60" s="23">
        <f t="shared" si="43"/>
        <v>23039.154714860488</v>
      </c>
      <c r="BS60" s="23">
        <f t="shared" si="43"/>
        <v>19161.076189766784</v>
      </c>
      <c r="BT60" s="23">
        <f t="shared" si="43"/>
        <v>22711.349502555098</v>
      </c>
    </row>
    <row r="63" spans="1:72" hidden="1" outlineLevel="1" x14ac:dyDescent="0.25">
      <c r="A63" s="11" t="s">
        <v>71</v>
      </c>
      <c r="C63" s="2" t="s">
        <v>127</v>
      </c>
      <c r="D63" s="8">
        <f>IFERROR(
GETPIVOTDATA(
"[Base].[Importe]",
TDinamica_R!$A$5,
"[Calendario].[AñoMes]",
"[Calendario].[AñoMes].&amp;[" &amp; TEXT(D$6,"yyyymm") &amp; "]",
"[Base].[Metrica]",
"[Base].[Metrica].&amp;[" &amp; $A63 &amp; "]",
"[Base].[SEGMENTO_DESCRIP]",
"[Base].[SEGMENTO_DESCRIP].&amp;[" &amp; $C$6 &amp; "]",
"[Base].[SITUACION]",
"[Base].[SITUACION].&amp;[" &amp; $C63 &amp; "]"
),0)/1000</f>
        <v>371.66943028337721</v>
      </c>
      <c r="E63" s="8">
        <f>IFERROR(
GETPIVOTDATA(
"[Base].[Importe]",
TDinamica_R!$A$5,
"[Calendario].[AñoMes]",
"[Calendario].[AñoMes].&amp;[" &amp; TEXT(E$6,"yyyymm") &amp; "]",
"[Base].[Metrica]",
"[Base].[Metrica].&amp;[" &amp; $A63 &amp; "]",
"[Base].[SEGMENTO_DESCRIP]",
"[Base].[SEGMENTO_DESCRIP].&amp;[" &amp; $C$6 &amp; "]",
"[Base].[SITUACION]",
"[Base].[SITUACION].&amp;[" &amp; $C63 &amp; "]"
),0)/1000</f>
        <v>321.15256527770799</v>
      </c>
      <c r="F63" s="8">
        <f>IFERROR(
GETPIVOTDATA(
"[Base].[Importe]",
TDinamica_R!$A$5,
"[Calendario].[AñoMes]",
"[Calendario].[AñoMes].&amp;[" &amp; TEXT(F$6,"yyyymm") &amp; "]",
"[Base].[Metrica]",
"[Base].[Metrica].&amp;[" &amp; $A63 &amp; "]",
"[Base].[SEGMENTO_DESCRIP]",
"[Base].[SEGMENTO_DESCRIP].&amp;[" &amp; $C$6 &amp; "]",
"[Base].[SITUACION]",
"[Base].[SITUACION].&amp;[" &amp; $C63 &amp; "]"
),0)/1000</f>
        <v>432.65491770613664</v>
      </c>
      <c r="G63" s="8">
        <f>IFERROR(
GETPIVOTDATA(
"[Base].[Importe]",
TDinamica_R!$A$5,
"[Calendario].[AñoMes]",
"[Calendario].[AñoMes].&amp;[" &amp; TEXT(G$6,"yyyymm") &amp; "]",
"[Base].[Metrica]",
"[Base].[Metrica].&amp;[" &amp; $A63 &amp; "]",
"[Base].[SEGMENTO_DESCRIP]",
"[Base].[SEGMENTO_DESCRIP].&amp;[" &amp; $C$6 &amp; "]",
"[Base].[SITUACION]",
"[Base].[SITUACION].&amp;[" &amp; $C63 &amp; "]"
),0)/1000</f>
        <v>352.74609046987877</v>
      </c>
      <c r="H63" s="8">
        <f>IFERROR(
GETPIVOTDATA(
"[Base].[Importe]",
TDinamica_R!$A$5,
"[Calendario].[AñoMes]",
"[Calendario].[AñoMes].&amp;[" &amp; TEXT(H$6,"yyyymm") &amp; "]",
"[Base].[Metrica]",
"[Base].[Metrica].&amp;[" &amp; $A63 &amp; "]",
"[Base].[SEGMENTO_DESCRIP]",
"[Base].[SEGMENTO_DESCRIP].&amp;[" &amp; $C$6 &amp; "]",
"[Base].[SITUACION]",
"[Base].[SITUACION].&amp;[" &amp; $C63 &amp; "]"
),0)/1000</f>
        <v>384.60546684712392</v>
      </c>
      <c r="I63" s="8">
        <f>IFERROR(
GETPIVOTDATA(
"[Base].[Importe]",
TDinamica_R!$A$5,
"[Calendario].[AñoMes]",
"[Calendario].[AñoMes].&amp;[" &amp; TEXT(I$6,"yyyymm") &amp; "]",
"[Base].[Metrica]",
"[Base].[Metrica].&amp;[" &amp; $A63 &amp; "]",
"[Base].[SEGMENTO_DESCRIP]",
"[Base].[SEGMENTO_DESCRIP].&amp;[" &amp; $C$6 &amp; "]",
"[Base].[SITUACION]",
"[Base].[SITUACION].&amp;[" &amp; $C63 &amp; "]"
),0)/1000</f>
        <v>331.89539401765751</v>
      </c>
      <c r="J63" s="8">
        <f>IFERROR(
GETPIVOTDATA(
"[Base].[Importe]",
TDinamica_R!$A$5,
"[Calendario].[AñoMes]",
"[Calendario].[AñoMes].&amp;[" &amp; TEXT(J$6,"yyyymm") &amp; "]",
"[Base].[Metrica]",
"[Base].[Metrica].&amp;[" &amp; $A63 &amp; "]",
"[Base].[SEGMENTO_DESCRIP]",
"[Base].[SEGMENTO_DESCRIP].&amp;[" &amp; $C$6 &amp; "]",
"[Base].[SITUACION]",
"[Base].[SITUACION].&amp;[" &amp; $C63 &amp; "]"
),0)/1000</f>
        <v>376.61755409187049</v>
      </c>
      <c r="K63" s="8">
        <f>IFERROR(
GETPIVOTDATA(
"[Base].[Importe]",
TDinamica_R!$A$5,
"[Calendario].[AñoMes]",
"[Calendario].[AñoMes].&amp;[" &amp; TEXT(K$6,"yyyymm") &amp; "]",
"[Base].[Metrica]",
"[Base].[Metrica].&amp;[" &amp; $A63 &amp; "]",
"[Base].[SEGMENTO_DESCRIP]",
"[Base].[SEGMENTO_DESCRIP].&amp;[" &amp; $C$6 &amp; "]",
"[Base].[SITUACION]",
"[Base].[SITUACION].&amp;[" &amp; $C63 &amp; "]"
),0)/1000</f>
        <v>337.29369937629332</v>
      </c>
      <c r="L63" s="8">
        <f>IFERROR(
GETPIVOTDATA(
"[Base].[Importe]",
TDinamica_R!$A$5,
"[Calendario].[AñoMes]",
"[Calendario].[AñoMes].&amp;[" &amp; TEXT(L$6,"yyyymm") &amp; "]",
"[Base].[Metrica]",
"[Base].[Metrica].&amp;[" &amp; $A63 &amp; "]",
"[Base].[SEGMENTO_DESCRIP]",
"[Base].[SEGMENTO_DESCRIP].&amp;[" &amp; $C$6 &amp; "]",
"[Base].[SITUACION]",
"[Base].[SITUACION].&amp;[" &amp; $C63 &amp; "]"
),0)/1000</f>
        <v>344.99134056685898</v>
      </c>
      <c r="M63" s="8">
        <f>IFERROR(
GETPIVOTDATA(
"[Base].[Importe]",
TDinamica_R!$A$5,
"[Calendario].[AñoMes]",
"[Calendario].[AñoMes].&amp;[" &amp; TEXT(M$6,"yyyymm") &amp; "]",
"[Base].[Metrica]",
"[Base].[Metrica].&amp;[" &amp; $A63 &amp; "]",
"[Base].[SEGMENTO_DESCRIP]",
"[Base].[SEGMENTO_DESCRIP].&amp;[" &amp; $C$6 &amp; "]",
"[Base].[SITUACION]",
"[Base].[SITUACION].&amp;[" &amp; $C63 &amp; "]"
),0)/1000</f>
        <v>402.73982848359543</v>
      </c>
      <c r="N63" s="8">
        <f>IFERROR(
GETPIVOTDATA(
"[Base].[Importe]",
TDinamica_R!$A$5,
"[Calendario].[AñoMes]",
"[Calendario].[AñoMes].&amp;[" &amp; TEXT(N$6,"yyyymm") &amp; "]",
"[Base].[Metrica]",
"[Base].[Metrica].&amp;[" &amp; $A63 &amp; "]",
"[Base].[SEGMENTO_DESCRIP]",
"[Base].[SEGMENTO_DESCRIP].&amp;[" &amp; $C$6 &amp; "]",
"[Base].[SITUACION]",
"[Base].[SITUACION].&amp;[" &amp; $C63 &amp; "]"
),0)/1000</f>
        <v>187.48993668703974</v>
      </c>
      <c r="O63" s="8">
        <f>IFERROR(
GETPIVOTDATA(
"[Base].[Importe]",
TDinamica_R!$A$5,
"[Calendario].[AñoMes]",
"[Calendario].[AñoMes].&amp;[" &amp; TEXT(O$6,"yyyymm") &amp; "]",
"[Base].[Metrica]",
"[Base].[Metrica].&amp;[" &amp; $A63 &amp; "]",
"[Base].[SEGMENTO_DESCRIP]",
"[Base].[SEGMENTO_DESCRIP].&amp;[" &amp; $C$6 &amp; "]",
"[Base].[SITUACION]",
"[Base].[SITUACION].&amp;[" &amp; $C63 &amp; "]"
),0)/1000</f>
        <v>265.13577726830357</v>
      </c>
      <c r="P63" s="8">
        <f>IFERROR(
GETPIVOTDATA(
"[Base].[Importe]",
TDinamica_R!$A$5,
"[Calendario].[AñoMes]",
"[Calendario].[AñoMes].&amp;[" &amp; TEXT(P$6,"yyyymm") &amp; "]",
"[Base].[Metrica]",
"[Base].[Metrica].&amp;[" &amp; $A63 &amp; "]",
"[Base].[SEGMENTO_DESCRIP]",
"[Base].[SEGMENTO_DESCRIP].&amp;[" &amp; $C$6 &amp; "]",
"[Base].[SITUACION]",
"[Base].[SITUACION].&amp;[" &amp; $C63 &amp; "]"
),0)/1000</f>
        <v>240.60487760010309</v>
      </c>
      <c r="Q63" s="8">
        <f>IFERROR(
GETPIVOTDATA(
"[Base].[Importe]",
TDinamica_R!$A$5,
"[Calendario].[AñoMes]",
"[Calendario].[AñoMes].&amp;[" &amp; TEXT(Q$6,"yyyymm") &amp; "]",
"[Base].[Metrica]",
"[Base].[Metrica].&amp;[" &amp; $A63 &amp; "]",
"[Base].[SEGMENTO_DESCRIP]",
"[Base].[SEGMENTO_DESCRIP].&amp;[" &amp; $C$6 &amp; "]",
"[Base].[SITUACION]",
"[Base].[SITUACION].&amp;[" &amp; $C63 &amp; "]"
),0)/1000</f>
        <v>187.66225489322525</v>
      </c>
      <c r="R63" s="8">
        <f>IFERROR(
GETPIVOTDATA(
"[Base].[Importe]",
TDinamica_R!$A$5,
"[Calendario].[AñoMes]",
"[Calendario].[AñoMes].&amp;[" &amp; TEXT(R$6,"yyyymm") &amp; "]",
"[Base].[Metrica]",
"[Base].[Metrica].&amp;[" &amp; $A63 &amp; "]",
"[Base].[SEGMENTO_DESCRIP]",
"[Base].[SEGMENTO_DESCRIP].&amp;[" &amp; $C$6 &amp; "]",
"[Base].[SITUACION]",
"[Base].[SITUACION].&amp;[" &amp; $C63 &amp; "]"
),0)/1000</f>
        <v>285.23967023167864</v>
      </c>
      <c r="S63" s="8">
        <f>IFERROR(
GETPIVOTDATA(
"[Base].[Importe]",
TDinamica_R!$A$5,
"[Calendario].[AñoMes]",
"[Calendario].[AñoMes].&amp;[" &amp; TEXT(S$6,"yyyymm") &amp; "]",
"[Base].[Metrica]",
"[Base].[Metrica].&amp;[" &amp; $A63 &amp; "]",
"[Base].[SEGMENTO_DESCRIP]",
"[Base].[SEGMENTO_DESCRIP].&amp;[" &amp; $C$6 &amp; "]",
"[Base].[SITUACION]",
"[Base].[SITUACION].&amp;[" &amp; $C63 &amp; "]"
),0)/1000</f>
        <v>231.52893719735823</v>
      </c>
      <c r="T63" s="8">
        <f>IFERROR(
GETPIVOTDATA(
"[Base].[Importe]",
TDinamica_R!$A$5,
"[Calendario].[AñoMes]",
"[Calendario].[AñoMes].&amp;[" &amp; TEXT(T$6,"yyyymm") &amp; "]",
"[Base].[Metrica]",
"[Base].[Metrica].&amp;[" &amp; $A63 &amp; "]",
"[Base].[SEGMENTO_DESCRIP]",
"[Base].[SEGMENTO_DESCRIP].&amp;[" &amp; $C$6 &amp; "]",
"[Base].[SITUACION]",
"[Base].[SITUACION].&amp;[" &amp; $C63 &amp; "]"
),0)/1000</f>
        <v>297.18606134504836</v>
      </c>
      <c r="U63" s="8">
        <f>IFERROR(
GETPIVOTDATA(
"[Base].[Importe]",
TDinamica_R!$A$5,
"[Calendario].[AñoMes]",
"[Calendario].[AñoMes].&amp;[" &amp; TEXT(U$6,"yyyymm") &amp; "]",
"[Base].[Metrica]",
"[Base].[Metrica].&amp;[" &amp; $A63 &amp; "]",
"[Base].[SEGMENTO_DESCRIP]",
"[Base].[SEGMENTO_DESCRIP].&amp;[" &amp; $C$6 &amp; "]",
"[Base].[SITUACION]",
"[Base].[SITUACION].&amp;[" &amp; $C63 &amp; "]"
),0)/1000</f>
        <v>262.43654823196113</v>
      </c>
      <c r="V63" s="8">
        <f>IFERROR(
GETPIVOTDATA(
"[Base].[Importe]",
TDinamica_R!$A$5,
"[Calendario].[AñoMes]",
"[Calendario].[AñoMes].&amp;[" &amp; TEXT(V$6,"yyyymm") &amp; "]",
"[Base].[Metrica]",
"[Base].[Metrica].&amp;[" &amp; $A63 &amp; "]",
"[Base].[SEGMENTO_DESCRIP]",
"[Base].[SEGMENTO_DESCRIP].&amp;[" &amp; $C$6 &amp; "]",
"[Base].[SITUACION]",
"[Base].[SITUACION].&amp;[" &amp; $C63 &amp; "]"
),0)/1000</f>
        <v>319.40367706184912</v>
      </c>
      <c r="W63" s="8">
        <f>IFERROR(
GETPIVOTDATA(
"[Base].[Importe]",
TDinamica_R!$A$5,
"[Calendario].[AñoMes]",
"[Calendario].[AñoMes].&amp;[" &amp; TEXT(W$6,"yyyymm") &amp; "]",
"[Base].[Metrica]",
"[Base].[Metrica].&amp;[" &amp; $A63 &amp; "]",
"[Base].[SEGMENTO_DESCRIP]",
"[Base].[SEGMENTO_DESCRIP].&amp;[" &amp; $C$6 &amp; "]",
"[Base].[SITUACION]",
"[Base].[SITUACION].&amp;[" &amp; $C63 &amp; "]"
),0)/1000</f>
        <v>264.98815491528268</v>
      </c>
      <c r="X63" s="8">
        <f>IFERROR(
GETPIVOTDATA(
"[Base].[Importe]",
TDinamica_R!$A$5,
"[Calendario].[AñoMes]",
"[Calendario].[AñoMes].&amp;[" &amp; TEXT(X$6,"yyyymm") &amp; "]",
"[Base].[Metrica]",
"[Base].[Metrica].&amp;[" &amp; $A63 &amp; "]",
"[Base].[SEGMENTO_DESCRIP]",
"[Base].[SEGMENTO_DESCRIP].&amp;[" &amp; $C$6 &amp; "]",
"[Base].[SITUACION]",
"[Base].[SITUACION].&amp;[" &amp; $C63 &amp; "]"
),0)/1000</f>
        <v>196.10485748443782</v>
      </c>
      <c r="Y63" s="8">
        <f>IFERROR(
GETPIVOTDATA(
"[Base].[Importe]",
TDinamica_R!$A$5,
"[Calendario].[AñoMes]",
"[Calendario].[AñoMes].&amp;[" &amp; TEXT(Y$6,"yyyymm") &amp; "]",
"[Base].[Metrica]",
"[Base].[Metrica].&amp;[" &amp; $A63 &amp; "]",
"[Base].[SEGMENTO_DESCRIP]",
"[Base].[SEGMENTO_DESCRIP].&amp;[" &amp; $C$6 &amp; "]",
"[Base].[SITUACION]",
"[Base].[SITUACION].&amp;[" &amp; $C63 &amp; "]"
),0)/1000</f>
        <v>238.74093203676711</v>
      </c>
      <c r="Z63" s="8">
        <f>IFERROR(
GETPIVOTDATA(
"[Base].[Importe]",
TDinamica_R!$A$5,
"[Calendario].[AñoMes]",
"[Calendario].[AñoMes].&amp;[" &amp; TEXT(Z$6,"yyyymm") &amp; "]",
"[Base].[Metrica]",
"[Base].[Metrica].&amp;[" &amp; $A63 &amp; "]",
"[Base].[SEGMENTO_DESCRIP]",
"[Base].[SEGMENTO_DESCRIP].&amp;[" &amp; $C$6 &amp; "]",
"[Base].[SITUACION]",
"[Base].[SITUACION].&amp;[" &amp; $C63 &amp; "]"
),0)/1000</f>
        <v>63.248907301595835</v>
      </c>
      <c r="AA63" s="8">
        <f>IFERROR(
GETPIVOTDATA(
"[Base].[Importe]",
TDinamica_R!$A$5,
"[Calendario].[AñoMes]",
"[Calendario].[AñoMes].&amp;[" &amp; TEXT(AA$6,"yyyymm") &amp; "]",
"[Base].[Metrica]",
"[Base].[Metrica].&amp;[" &amp; $A63 &amp; "]",
"[Base].[SEGMENTO_DESCRIP]",
"[Base].[SEGMENTO_DESCRIP].&amp;[" &amp; $C$6 &amp; "]",
"[Base].[SITUACION]",
"[Base].[SITUACION].&amp;[" &amp; $C63 &amp; "]"
),0)/1000</f>
        <v>263.94268364122729</v>
      </c>
      <c r="AB63" s="8">
        <f>IFERROR(
GETPIVOTDATA(
"[Base].[Importe]",
TDinamica_R!$A$5,
"[Calendario].[AñoMes]",
"[Calendario].[AñoMes].&amp;[" &amp; TEXT(AB$6,"yyyymm") &amp; "]",
"[Base].[Metrica]",
"[Base].[Metrica].&amp;[" &amp; $A63 &amp; "]",
"[Base].[SEGMENTO_DESCRIP]",
"[Base].[SEGMENTO_DESCRIP].&amp;[" &amp; $C$6 &amp; "]",
"[Base].[SITUACION]",
"[Base].[SITUACION].&amp;[" &amp; $C63 &amp; "]"
),0)/1000</f>
        <v>355.66765045273479</v>
      </c>
      <c r="AC63" s="8">
        <f>IFERROR(
GETPIVOTDATA(
"[Base].[Importe]",
TDinamica_R!$A$5,
"[Calendario].[AñoMes]",
"[Calendario].[AñoMes].&amp;[" &amp; TEXT(AC$6,"yyyymm") &amp; "]",
"[Base].[Metrica]",
"[Base].[Metrica].&amp;[" &amp; $A63 &amp; "]",
"[Base].[SEGMENTO_DESCRIP]",
"[Base].[SEGMENTO_DESCRIP].&amp;[" &amp; $C$6 &amp; "]",
"[Base].[SITUACION]",
"[Base].[SITUACION].&amp;[" &amp; $C63 &amp; "]"
),0)/1000</f>
        <v>222.24261689827941</v>
      </c>
      <c r="AD63" s="8">
        <f>IFERROR(
GETPIVOTDATA(
"[Base].[Importe]",
TDinamica_R!$A$5,
"[Calendario].[AñoMes]",
"[Calendario].[AñoMes].&amp;[" &amp; TEXT(AD$6,"yyyymm") &amp; "]",
"[Base].[Metrica]",
"[Base].[Metrica].&amp;[" &amp; $A63 &amp; "]",
"[Base].[SEGMENTO_DESCRIP]",
"[Base].[SEGMENTO_DESCRIP].&amp;[" &amp; $C$6 &amp; "]",
"[Base].[SITUACION]",
"[Base].[SITUACION].&amp;[" &amp; $C63 &amp; "]"
),0)/1000</f>
        <v>433.37073744454716</v>
      </c>
      <c r="AE63" s="8">
        <f>IFERROR(
GETPIVOTDATA(
"[Base].[Importe]",
TDinamica_R!$A$5,
"[Calendario].[AñoMes]",
"[Calendario].[AñoMes].&amp;[" &amp; TEXT(AE$6,"yyyymm") &amp; "]",
"[Base].[Metrica]",
"[Base].[Metrica].&amp;[" &amp; $A63 &amp; "]",
"[Base].[SEGMENTO_DESCRIP]",
"[Base].[SEGMENTO_DESCRIP].&amp;[" &amp; $C$6 &amp; "]",
"[Base].[SITUACION]",
"[Base].[SITUACION].&amp;[" &amp; $C63 &amp; "]"
),0)/1000</f>
        <v>313.68236408389345</v>
      </c>
      <c r="AF63" s="8">
        <f>IFERROR(
GETPIVOTDATA(
"[Base].[Importe]",
TDinamica_R!$A$5,
"[Calendario].[AñoMes]",
"[Calendario].[AñoMes].&amp;[" &amp; TEXT(AF$6,"yyyymm") &amp; "]",
"[Base].[Metrica]",
"[Base].[Metrica].&amp;[" &amp; $A63 &amp; "]",
"[Base].[SEGMENTO_DESCRIP]",
"[Base].[SEGMENTO_DESCRIP].&amp;[" &amp; $C$6 &amp; "]",
"[Base].[SITUACION]",
"[Base].[SITUACION].&amp;[" &amp; $C63 &amp; "]"
),0)/1000</f>
        <v>393.00192173409346</v>
      </c>
      <c r="AG63" s="8">
        <f>IFERROR(
GETPIVOTDATA(
"[Base].[Importe]",
TDinamica_R!$A$5,
"[Calendario].[AñoMes]",
"[Calendario].[AñoMes].&amp;[" &amp; TEXT(AG$6,"yyyymm") &amp; "]",
"[Base].[Metrica]",
"[Base].[Metrica].&amp;[" &amp; $A63 &amp; "]",
"[Base].[SEGMENTO_DESCRIP]",
"[Base].[SEGMENTO_DESCRIP].&amp;[" &amp; $C$6 &amp; "]",
"[Base].[SITUACION]",
"[Base].[SITUACION].&amp;[" &amp; $C63 &amp; "]"
),0)/1000</f>
        <v>328.14039115032347</v>
      </c>
      <c r="AH63" s="8">
        <f>IFERROR(
GETPIVOTDATA(
"[Base].[Importe]",
TDinamica_R!$A$5,
"[Calendario].[AñoMes]",
"[Calendario].[AñoMes].&amp;[" &amp; TEXT(AH$6,"yyyymm") &amp; "]",
"[Base].[Metrica]",
"[Base].[Metrica].&amp;[" &amp; $A63 &amp; "]",
"[Base].[SEGMENTO_DESCRIP]",
"[Base].[SEGMENTO_DESCRIP].&amp;[" &amp; $C$6 &amp; "]",
"[Base].[SITUACION]",
"[Base].[SITUACION].&amp;[" &amp; $C63 &amp; "]"
),0)/1000</f>
        <v>296.78046927998673</v>
      </c>
      <c r="AI63" s="8">
        <f>IFERROR(
GETPIVOTDATA(
"[Base].[Importe]",
TDinamica_R!$A$5,
"[Calendario].[AñoMes]",
"[Calendario].[AñoMes].&amp;[" &amp; TEXT(AI$6,"yyyymm") &amp; "]",
"[Base].[Metrica]",
"[Base].[Metrica].&amp;[" &amp; $A63 &amp; "]",
"[Base].[SEGMENTO_DESCRIP]",
"[Base].[SEGMENTO_DESCRIP].&amp;[" &amp; $C$6 &amp; "]",
"[Base].[SITUACION]",
"[Base].[SITUACION].&amp;[" &amp; $C63 &amp; "]"
),0)/1000</f>
        <v>341.15756823241645</v>
      </c>
      <c r="AJ63" s="8">
        <f>IFERROR(
GETPIVOTDATA(
"[Base].[Importe]",
TDinamica_R!$A$5,
"[Calendario].[AñoMes]",
"[Calendario].[AñoMes].&amp;[" &amp; TEXT(AJ$6,"yyyymm") &amp; "]",
"[Base].[Metrica]",
"[Base].[Metrica].&amp;[" &amp; $A63 &amp; "]",
"[Base].[SEGMENTO_DESCRIP]",
"[Base].[SEGMENTO_DESCRIP].&amp;[" &amp; $C$6 &amp; "]",
"[Base].[SITUACION]",
"[Base].[SITUACION].&amp;[" &amp; $C63 &amp; "]"
),0)/1000</f>
        <v>174.20269977941982</v>
      </c>
      <c r="AK63" s="8">
        <f>IFERROR(
GETPIVOTDATA(
"[Base].[Importe]",
TDinamica_R!$A$5,
"[Calendario].[AñoMes]",
"[Calendario].[AñoMes].&amp;[" &amp; TEXT(AK$6,"yyyymm") &amp; "]",
"[Base].[Metrica]",
"[Base].[Metrica].&amp;[" &amp; $A63 &amp; "]",
"[Base].[SEGMENTO_DESCRIP]",
"[Base].[SEGMENTO_DESCRIP].&amp;[" &amp; $C$6 &amp; "]",
"[Base].[SITUACION]",
"[Base].[SITUACION].&amp;[" &amp; $C63 &amp; "]"
),0)/1000</f>
        <v>394.03162022571166</v>
      </c>
      <c r="AL63" s="8">
        <f>IFERROR(
GETPIVOTDATA(
"[Base].[Importe]",
TDinamica_R!$A$5,
"[Calendario].[AñoMes]",
"[Calendario].[AñoMes].&amp;[" &amp; TEXT(AL$6,"yyyymm") &amp; "]",
"[Base].[Metrica]",
"[Base].[Metrica].&amp;[" &amp; $A63 &amp; "]",
"[Base].[SEGMENTO_DESCRIP]",
"[Base].[SEGMENTO_DESCRIP].&amp;[" &amp; $C$6 &amp; "]",
"[Base].[SITUACION]",
"[Base].[SITUACION].&amp;[" &amp; $C63 &amp; "]"
),0)/1000</f>
        <v>483.13036822258016</v>
      </c>
      <c r="AM63" s="8">
        <f>IFERROR(
GETPIVOTDATA(
"[Base].[Importe]",
TDinamica_R!$A$5,
"[Calendario].[AñoMes]",
"[Calendario].[AñoMes].&amp;[" &amp; TEXT(AM$6,"yyyymm") &amp; "]",
"[Base].[Metrica]",
"[Base].[Metrica].&amp;[" &amp; $A63 &amp; "]",
"[Base].[SEGMENTO_DESCRIP]",
"[Base].[SEGMENTO_DESCRIP].&amp;[" &amp; $C$6 &amp; "]",
"[Base].[SITUACION]",
"[Base].[SITUACION].&amp;[" &amp; $C63 &amp; "]"
),0)/1000</f>
        <v>496.80081401591832</v>
      </c>
      <c r="AN63" s="8">
        <f>IFERROR(
GETPIVOTDATA(
"[Base].[Importe]",
TDinamica_R!$A$5,
"[Calendario].[AñoMes]",
"[Calendario].[AñoMes].&amp;[" &amp; TEXT(AN$6,"yyyymm") &amp; "]",
"[Base].[Metrica]",
"[Base].[Metrica].&amp;[" &amp; $A63 &amp; "]",
"[Base].[SEGMENTO_DESCRIP]",
"[Base].[SEGMENTO_DESCRIP].&amp;[" &amp; $C$6 &amp; "]",
"[Base].[SITUACION]",
"[Base].[SITUACION].&amp;[" &amp; $C63 &amp; "]"
),0)/1000</f>
        <v>454.70451159410482</v>
      </c>
      <c r="AO63" s="8">
        <f>IFERROR(
GETPIVOTDATA(
"[Base].[Importe]",
TDinamica_R!$A$5,
"[Calendario].[AñoMes]",
"[Calendario].[AñoMes].&amp;[" &amp; TEXT(AO$6,"yyyymm") &amp; "]",
"[Base].[Metrica]",
"[Base].[Metrica].&amp;[" &amp; $A63 &amp; "]",
"[Base].[SEGMENTO_DESCRIP]",
"[Base].[SEGMENTO_DESCRIP].&amp;[" &amp; $C$6 &amp; "]",
"[Base].[SITUACION]",
"[Base].[SITUACION].&amp;[" &amp; $C63 &amp; "]"
),0)/1000</f>
        <v>140.96064426922112</v>
      </c>
      <c r="AP63" s="8">
        <f>IFERROR(
GETPIVOTDATA(
"[Base].[Importe]",
TDinamica_R!$A$5,
"[Calendario].[AñoMes]",
"[Calendario].[AñoMes].&amp;[" &amp; TEXT(AP$6,"yyyymm") &amp; "]",
"[Base].[Metrica]",
"[Base].[Metrica].&amp;[" &amp; $A63 &amp; "]",
"[Base].[SEGMENTO_DESCRIP]",
"[Base].[SEGMENTO_DESCRIP].&amp;[" &amp; $C$6 &amp; "]",
"[Base].[SITUACION]",
"[Base].[SITUACION].&amp;[" &amp; $C63 &amp; "]"
),0)/1000</f>
        <v>554.85569000570956</v>
      </c>
      <c r="AQ63" s="8">
        <f>IFERROR(
GETPIVOTDATA(
"[Base].[Importe]",
TDinamica_R!$A$5,
"[Calendario].[AñoMes]",
"[Calendario].[AñoMes].&amp;[" &amp; TEXT(AQ$6,"yyyymm") &amp; "]",
"[Base].[Metrica]",
"[Base].[Metrica].&amp;[" &amp; $A63 &amp; "]",
"[Base].[SEGMENTO_DESCRIP]",
"[Base].[SEGMENTO_DESCRIP].&amp;[" &amp; $C$6 &amp; "]",
"[Base].[SITUACION]",
"[Base].[SITUACION].&amp;[" &amp; $C63 &amp; "]"
),0)/1000</f>
        <v>435.46026973313877</v>
      </c>
      <c r="AR63" s="8">
        <f>IFERROR(
GETPIVOTDATA(
"[Base].[Importe]",
TDinamica_R!$A$5,
"[Calendario].[AñoMes]",
"[Calendario].[AñoMes].&amp;[" &amp; TEXT(AR$6,"yyyymm") &amp; "]",
"[Base].[Metrica]",
"[Base].[Metrica].&amp;[" &amp; $A63 &amp; "]",
"[Base].[SEGMENTO_DESCRIP]",
"[Base].[SEGMENTO_DESCRIP].&amp;[" &amp; $C$6 &amp; "]",
"[Base].[SITUACION]",
"[Base].[SITUACION].&amp;[" &amp; $C63 &amp; "]"
),0)/1000</f>
        <v>604.11037462714478</v>
      </c>
      <c r="AS63" s="8">
        <f>IFERROR(
GETPIVOTDATA(
"[Base].[Importe]",
TDinamica_R!$A$5,
"[Calendario].[AñoMes]",
"[Calendario].[AñoMes].&amp;[" &amp; TEXT(AS$6,"yyyymm") &amp; "]",
"[Base].[Metrica]",
"[Base].[Metrica].&amp;[" &amp; $A63 &amp; "]",
"[Base].[SEGMENTO_DESCRIP]",
"[Base].[SEGMENTO_DESCRIP].&amp;[" &amp; $C$6 &amp; "]",
"[Base].[SITUACION]",
"[Base].[SITUACION].&amp;[" &amp; $C63 &amp; "]"
),0)/1000</f>
        <v>456.01503849168199</v>
      </c>
      <c r="AT63" s="8">
        <f>IFERROR(
GETPIVOTDATA(
"[Base].[Importe]",
TDinamica_R!$A$5,
"[Calendario].[AñoMes]",
"[Calendario].[AñoMes].&amp;[" &amp; TEXT(AT$6,"yyyymm")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U63" s="8">
        <f>IFERROR(
GETPIVOTDATA(
"[Base].[Importe]",
TDinamica_R!$A$5,
"[Calendario].[AñoMes]",
"[Calendario].[AñoMes].&amp;[" &amp; TEXT(AU$6,"yyyymm")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V63" s="8">
        <f>IFERROR(
GETPIVOTDATA(
"[Base].[Importe]",
TDinamica_R!$A$5,
"[Calendario].[AñoMes]",
"[Calendario].[AñoMes].&amp;[" &amp; TEXT(AV$6,"yyyymm")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W63" s="8">
        <f>IFERROR(
GETPIVOTDATA(
"[Base].[Importe]",
TDinamica_R!$A$5,
"[Calendario].[AñoMes]",
"[Calendario].[AñoMes].&amp;[" &amp; TEXT(AW$6,"yyyymm")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X63" s="8">
        <f>IFERROR(
GETPIVOTDATA(
"[Base].[Importe]",
TDinamica_R!$A$5,
"[Calendario].[AñoMes]",
"[Calendario].[AñoMes].&amp;[" &amp; TEXT(AX$6,"yyyymm")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Y63" s="8">
        <f>IFERROR(
GETPIVOTDATA(
"[Base].[Importe]",
TDinamica_R!$A$5,
"[Calendario].[AñoMes]",
"[Calendario].[AñoMes].&amp;[" &amp; TEXT(AY$6,"yyyymm")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Z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"[BASE_HIPO_PPTO].[Periodo]","[BASE_HIPO_PPTO].[Periodo].&amp;["&amp;TEXT(AZ$6,"yyyymm")&amp;"]"),
0)/1000</f>
        <v>349.57544973239283</v>
      </c>
      <c r="BA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"[BASE_HIPO_PPTO].[Periodo]","[BASE_HIPO_PPTO].[Periodo].&amp;["&amp;TEXT(BA$6,"yyyymm")&amp;"]"),
0)/1000</f>
        <v>349.57544973239283</v>
      </c>
      <c r="BB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"[BASE_HIPO_PPTO].[Periodo]","[BASE_HIPO_PPTO].[Periodo].&amp;["&amp;TEXT(BB$6,"yyyymm")&amp;"]"),
0)/1000</f>
        <v>349.57544973239283</v>
      </c>
      <c r="BC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"[BASE_HIPO_PPTO].[Periodo]","[BASE_HIPO_PPTO].[Periodo].&amp;["&amp;TEXT(BC$6,"yyyymm")&amp;"]"),
0)/1000</f>
        <v>349.57544973239283</v>
      </c>
      <c r="BD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"[BASE_HIPO_PPTO].[Periodo]","[BASE_HIPO_PPTO].[Periodo].&amp;["&amp;TEXT(BD$6,"yyyymm")&amp;"]"),
0)/1000</f>
        <v>349.57544973239283</v>
      </c>
      <c r="BE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"[BASE_HIPO_PPTO].[Periodo]","[BASE_HIPO_PPTO].[Periodo].&amp;["&amp;TEXT(BE$6,"yyyymm")&amp;"]"),
0)/1000</f>
        <v>349.57544973239283</v>
      </c>
      <c r="BF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"[BASE_HIPO_PPTO].[Periodo]","[BASE_HIPO_PPTO].[Periodo].&amp;["&amp;TEXT(BF$6,"yyyymm")&amp;"]"),
0)/1000</f>
        <v>349.57544973239283</v>
      </c>
      <c r="BG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"[BASE_HIPO_PPTO].[Periodo]","[BASE_HIPO_PPTO].[Periodo].&amp;["&amp;TEXT(BG$6,"yyyymm")&amp;"]"),
0)/1000</f>
        <v>349.57544973239283</v>
      </c>
      <c r="BH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"[BASE_HIPO_PPTO].[Periodo]","[BASE_HIPO_PPTO].[Periodo].&amp;["&amp;TEXT(BH$6,"yyyymm")&amp;"]"),
0)/1000</f>
        <v>349.57544973239283</v>
      </c>
      <c r="BI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"[BASE_HIPO_PPTO].[Periodo]","[BASE_HIPO_PPTO].[Periodo].&amp;["&amp;TEXT(BI$6,"yyyymm")&amp;"]"),
0)/1000</f>
        <v>349.57544973239283</v>
      </c>
      <c r="BJ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"[BASE_HIPO_PPTO].[Periodo]","[BASE_HIPO_PPTO].[Periodo].&amp;["&amp;TEXT(BJ$6,"yyyymm")&amp;"]"),
0)/1000</f>
        <v>349.57544973239283</v>
      </c>
      <c r="BK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"[BASE_HIPO_PPTO].[Periodo]","[BASE_HIPO_PPTO].[Periodo].&amp;["&amp;TEXT(BK$6,"yyyymm")&amp;"]"),
0)/1000</f>
        <v>349.57544973239283</v>
      </c>
      <c r="BO63" s="24">
        <f t="shared" ref="BO63:BT72" si="44">SUMIFS($D63:$BM63,$D$6:$BM$6,"&gt;="&amp;BO$2,$D$6:$BM$6,"&lt;="&amp;BO$6,$D$5:$BM$5,BO$5)</f>
        <v>1150.5208458690354</v>
      </c>
      <c r="BP63" s="24">
        <f t="shared" si="44"/>
        <v>1048.7263491971785</v>
      </c>
      <c r="BQ63" s="24">
        <f t="shared" si="44"/>
        <v>595.66515586332594</v>
      </c>
      <c r="BR63" s="24">
        <f t="shared" si="44"/>
        <v>1011.2810047955613</v>
      </c>
      <c r="BS63" s="24">
        <f t="shared" si="44"/>
        <v>713.50680272500699</v>
      </c>
      <c r="BT63" s="24">
        <f t="shared" si="44"/>
        <v>1125.4769132672218</v>
      </c>
    </row>
    <row r="64" spans="1:72" hidden="1" outlineLevel="1" x14ac:dyDescent="0.25">
      <c r="A64" s="11" t="s">
        <v>71</v>
      </c>
      <c r="C64" s="2" t="s">
        <v>75</v>
      </c>
      <c r="D64" s="8">
        <f>IFERROR(
GETPIVOTDATA(
"[Base].[Importe]",
TDinamica_R!$A$5,
"[Calendario].[AñoMes]",
"[Calendario].[AñoMes].&amp;[" &amp; TEXT(D$6,"yyyymm") &amp; "]",
"[Base].[Metrica]",
"[Base].[Metrica].&amp;[" &amp; $A64 &amp; "]",
"[Base].[SEGMENTO_DESCRIP]",
"[Base].[SEGMENTO_DESCRIP].&amp;[" &amp; $C$6 &amp; "]",
"[Base].[SITUACION]",
"[Base].[SITUACION].&amp;[" &amp; $C64 &amp; "]"
),0)/1000</f>
        <v>230.07119377000001</v>
      </c>
      <c r="E64" s="8">
        <f>IFERROR(
GETPIVOTDATA(
"[Base].[Importe]",
TDinamica_R!$A$5,
"[Calendario].[AñoMes]",
"[Calendario].[AñoMes].&amp;[" &amp; TEXT(E$6,"yyyymm") &amp; "]",
"[Base].[Metrica]",
"[Base].[Metrica].&amp;[" &amp; $A64 &amp; "]",
"[Base].[SEGMENTO_DESCRIP]",
"[Base].[SEGMENTO_DESCRIP].&amp;[" &amp; $C$6 &amp; "]",
"[Base].[SITUACION]",
"[Base].[SITUACION].&amp;[" &amp; $C64 &amp; "]"
),0)/1000</f>
        <v>214.42076072999998</v>
      </c>
      <c r="F64" s="8">
        <f>IFERROR(
GETPIVOTDATA(
"[Base].[Importe]",
TDinamica_R!$A$5,
"[Calendario].[AñoMes]",
"[Calendario].[AñoMes].&amp;[" &amp; TEXT(F$6,"yyyymm") &amp; "]",
"[Base].[Metrica]",
"[Base].[Metrica].&amp;[" &amp; $A64 &amp; "]",
"[Base].[SEGMENTO_DESCRIP]",
"[Base].[SEGMENTO_DESCRIP].&amp;[" &amp; $C$6 &amp; "]",
"[Base].[SITUACION]",
"[Base].[SITUACION].&amp;[" &amp; $C64 &amp; "]"
),0)/1000</f>
        <v>174.77353245</v>
      </c>
      <c r="G64" s="8">
        <f>IFERROR(
GETPIVOTDATA(
"[Base].[Importe]",
TDinamica_R!$A$5,
"[Calendario].[AñoMes]",
"[Calendario].[AñoMes].&amp;[" &amp; TEXT(G$6,"yyyymm") &amp; "]",
"[Base].[Metrica]",
"[Base].[Metrica].&amp;[" &amp; $A64 &amp; "]",
"[Base].[SEGMENTO_DESCRIP]",
"[Base].[SEGMENTO_DESCRIP].&amp;[" &amp; $C$6 &amp; "]",
"[Base].[SITUACION]",
"[Base].[SITUACION].&amp;[" &amp; $C64 &amp; "]"
),0)/1000</f>
        <v>243.74444325000002</v>
      </c>
      <c r="H64" s="8">
        <f>IFERROR(
GETPIVOTDATA(
"[Base].[Importe]",
TDinamica_R!$A$5,
"[Calendario].[AñoMes]",
"[Calendario].[AñoMes].&amp;[" &amp; TEXT(H$6,"yyyymm") &amp; "]",
"[Base].[Metrica]",
"[Base].[Metrica].&amp;[" &amp; $A64 &amp; "]",
"[Base].[SEGMENTO_DESCRIP]",
"[Base].[SEGMENTO_DESCRIP].&amp;[" &amp; $C$6 &amp; "]",
"[Base].[SITUACION]",
"[Base].[SITUACION].&amp;[" &amp; $C64 &amp; "]"
),0)/1000</f>
        <v>197.29210269000001</v>
      </c>
      <c r="I64" s="8">
        <f>IFERROR(
GETPIVOTDATA(
"[Base].[Importe]",
TDinamica_R!$A$5,
"[Calendario].[AñoMes]",
"[Calendario].[AñoMes].&amp;[" &amp; TEXT(I$6,"yyyymm") &amp; "]",
"[Base].[Metrica]",
"[Base].[Metrica].&amp;[" &amp; $A64 &amp; "]",
"[Base].[SEGMENTO_DESCRIP]",
"[Base].[SEGMENTO_DESCRIP].&amp;[" &amp; $C$6 &amp; "]",
"[Base].[SITUACION]",
"[Base].[SITUACION].&amp;[" &amp; $C64 &amp; "]"
),0)/1000</f>
        <v>227.76214050000002</v>
      </c>
      <c r="J64" s="8">
        <f>IFERROR(
GETPIVOTDATA(
"[Base].[Importe]",
TDinamica_R!$A$5,
"[Calendario].[AñoMes]",
"[Calendario].[AñoMes].&amp;[" &amp; TEXT(J$6,"yyyymm") &amp; "]",
"[Base].[Metrica]",
"[Base].[Metrica].&amp;[" &amp; $A64 &amp; "]",
"[Base].[SEGMENTO_DESCRIP]",
"[Base].[SEGMENTO_DESCRIP].&amp;[" &amp; $C$6 &amp; "]",
"[Base].[SITUACION]",
"[Base].[SITUACION].&amp;[" &amp; $C64 &amp; "]"
),0)/1000</f>
        <v>201.62742209000001</v>
      </c>
      <c r="K64" s="8">
        <f>IFERROR(
GETPIVOTDATA(
"[Base].[Importe]",
TDinamica_R!$A$5,
"[Calendario].[AñoMes]",
"[Calendario].[AñoMes].&amp;[" &amp; TEXT(K$6,"yyyymm") &amp; "]",
"[Base].[Metrica]",
"[Base].[Metrica].&amp;[" &amp; $A64 &amp; "]",
"[Base].[SEGMENTO_DESCRIP]",
"[Base].[SEGMENTO_DESCRIP].&amp;[" &amp; $C$6 &amp; "]",
"[Base].[SITUACION]",
"[Base].[SITUACION].&amp;[" &amp; $C64 &amp; "]"
),0)/1000</f>
        <v>222.27751805</v>
      </c>
      <c r="L64" s="8">
        <f>IFERROR(
GETPIVOTDATA(
"[Base].[Importe]",
TDinamica_R!$A$5,
"[Calendario].[AñoMes]",
"[Calendario].[AñoMes].&amp;[" &amp; TEXT(L$6,"yyyymm") &amp; "]",
"[Base].[Metrica]",
"[Base].[Metrica].&amp;[" &amp; $A64 &amp; "]",
"[Base].[SEGMENTO_DESCRIP]",
"[Base].[SEGMENTO_DESCRIP].&amp;[" &amp; $C$6 &amp; "]",
"[Base].[SITUACION]",
"[Base].[SITUACION].&amp;[" &amp; $C64 &amp; "]"
),0)/1000</f>
        <v>215.47104611999998</v>
      </c>
      <c r="M64" s="8">
        <f>IFERROR(
GETPIVOTDATA(
"[Base].[Importe]",
TDinamica_R!$A$5,
"[Calendario].[AñoMes]",
"[Calendario].[AñoMes].&amp;[" &amp; TEXT(M$6,"yyyymm") &amp; "]",
"[Base].[Metrica]",
"[Base].[Metrica].&amp;[" &amp; $A64 &amp; "]",
"[Base].[SEGMENTO_DESCRIP]",
"[Base].[SEGMENTO_DESCRIP].&amp;[" &amp; $C$6 &amp; "]",
"[Base].[SITUACION]",
"[Base].[SITUACION].&amp;[" &amp; $C64 &amp; "]"
),0)/1000</f>
        <v>199.08791524</v>
      </c>
      <c r="N64" s="8">
        <f>IFERROR(
GETPIVOTDATA(
"[Base].[Importe]",
TDinamica_R!$A$5,
"[Calendario].[AñoMes]",
"[Calendario].[AñoMes].&amp;[" &amp; TEXT(N$6,"yyyymm") &amp; "]",
"[Base].[Metrica]",
"[Base].[Metrica].&amp;[" &amp; $A64 &amp; "]",
"[Base].[SEGMENTO_DESCRIP]",
"[Base].[SEGMENTO_DESCRIP].&amp;[" &amp; $C$6 &amp; "]",
"[Base].[SITUACION]",
"[Base].[SITUACION].&amp;[" &amp; $C64 &amp; "]"
),0)/1000</f>
        <v>222.98676569</v>
      </c>
      <c r="O64" s="8">
        <f>IFERROR(
GETPIVOTDATA(
"[Base].[Importe]",
TDinamica_R!$A$5,
"[Calendario].[AñoMes]",
"[Calendario].[AñoMes].&amp;[" &amp; TEXT(O$6,"yyyymm") &amp; "]",
"[Base].[Metrica]",
"[Base].[Metrica].&amp;[" &amp; $A64 &amp; "]",
"[Base].[SEGMENTO_DESCRIP]",
"[Base].[SEGMENTO_DESCRIP].&amp;[" &amp; $C$6 &amp; "]",
"[Base].[SITUACION]",
"[Base].[SITUACION].&amp;[" &amp; $C64 &amp; "]"
),0)/1000</f>
        <v>196.74227015999998</v>
      </c>
      <c r="P64" s="8">
        <f>IFERROR(
GETPIVOTDATA(
"[Base].[Importe]",
TDinamica_R!$A$5,
"[Calendario].[AñoMes]",
"[Calendario].[AñoMes].&amp;[" &amp; TEXT(P$6,"yyyymm") &amp; "]",
"[Base].[Metrica]",
"[Base].[Metrica].&amp;[" &amp; $A64 &amp; "]",
"[Base].[SEGMENTO_DESCRIP]",
"[Base].[SEGMENTO_DESCRIP].&amp;[" &amp; $C$6 &amp; "]",
"[Base].[SITUACION]",
"[Base].[SITUACION].&amp;[" &amp; $C64 &amp; "]"
),0)/1000</f>
        <v>219.00430746999999</v>
      </c>
      <c r="Q64" s="8">
        <f>IFERROR(
GETPIVOTDATA(
"[Base].[Importe]",
TDinamica_R!$A$5,
"[Calendario].[AñoMes]",
"[Calendario].[AñoMes].&amp;[" &amp; TEXT(Q$6,"yyyymm") &amp; "]",
"[Base].[Metrica]",
"[Base].[Metrica].&amp;[" &amp; $A64 &amp; "]",
"[Base].[SEGMENTO_DESCRIP]",
"[Base].[SEGMENTO_DESCRIP].&amp;[" &amp; $C$6 &amp; "]",
"[Base].[SITUACION]",
"[Base].[SITUACION].&amp;[" &amp; $C64 &amp; "]"
),0)/1000</f>
        <v>206.77189788999999</v>
      </c>
      <c r="R64" s="8">
        <f>IFERROR(
GETPIVOTDATA(
"[Base].[Importe]",
TDinamica_R!$A$5,
"[Calendario].[AñoMes]",
"[Calendario].[AñoMes].&amp;[" &amp; TEXT(R$6,"yyyymm") &amp; "]",
"[Base].[Metrica]",
"[Base].[Metrica].&amp;[" &amp; $A64 &amp; "]",
"[Base].[SEGMENTO_DESCRIP]",
"[Base].[SEGMENTO_DESCRIP].&amp;[" &amp; $C$6 &amp; "]",
"[Base].[SITUACION]",
"[Base].[SITUACION].&amp;[" &amp; $C64 &amp; "]"
),0)/1000</f>
        <v>175.30177116999999</v>
      </c>
      <c r="S64" s="8">
        <f>IFERROR(
GETPIVOTDATA(
"[Base].[Importe]",
TDinamica_R!$A$5,
"[Calendario].[AñoMes]",
"[Calendario].[AñoMes].&amp;[" &amp; TEXT(S$6,"yyyymm") &amp; "]",
"[Base].[Metrica]",
"[Base].[Metrica].&amp;[" &amp; $A64 &amp; "]",
"[Base].[SEGMENTO_DESCRIP]",
"[Base].[SEGMENTO_DESCRIP].&amp;[" &amp; $C$6 &amp; "]",
"[Base].[SITUACION]",
"[Base].[SITUACION].&amp;[" &amp; $C64 &amp; "]"
),0)/1000</f>
        <v>232.43282631</v>
      </c>
      <c r="T64" s="8">
        <f>IFERROR(
GETPIVOTDATA(
"[Base].[Importe]",
TDinamica_R!$A$5,
"[Calendario].[AñoMes]",
"[Calendario].[AñoMes].&amp;[" &amp; TEXT(T$6,"yyyymm") &amp; "]",
"[Base].[Metrica]",
"[Base].[Metrica].&amp;[" &amp; $A64 &amp; "]",
"[Base].[SEGMENTO_DESCRIP]",
"[Base].[SEGMENTO_DESCRIP].&amp;[" &amp; $C$6 &amp; "]",
"[Base].[SITUACION]",
"[Base].[SITUACION].&amp;[" &amp; $C64 &amp; "]"
),0)/1000</f>
        <v>196.11834315999999</v>
      </c>
      <c r="U64" s="8">
        <f>IFERROR(
GETPIVOTDATA(
"[Base].[Importe]",
TDinamica_R!$A$5,
"[Calendario].[AñoMes]",
"[Calendario].[AñoMes].&amp;[" &amp; TEXT(U$6,"yyyymm") &amp; "]",
"[Base].[Metrica]",
"[Base].[Metrica].&amp;[" &amp; $A64 &amp; "]",
"[Base].[SEGMENTO_DESCRIP]",
"[Base].[SEGMENTO_DESCRIP].&amp;[" &amp; $C$6 &amp; "]",
"[Base].[SITUACION]",
"[Base].[SITUACION].&amp;[" &amp; $C64 &amp; "]"
),0)/1000</f>
        <v>202.50943468</v>
      </c>
      <c r="V64" s="8">
        <f>IFERROR(
GETPIVOTDATA(
"[Base].[Importe]",
TDinamica_R!$A$5,
"[Calendario].[AñoMes]",
"[Calendario].[AñoMes].&amp;[" &amp; TEXT(V$6,"yyyymm") &amp; "]",
"[Base].[Metrica]",
"[Base].[Metrica].&amp;[" &amp; $A64 &amp; "]",
"[Base].[SEGMENTO_DESCRIP]",
"[Base].[SEGMENTO_DESCRIP].&amp;[" &amp; $C$6 &amp; "]",
"[Base].[SITUACION]",
"[Base].[SITUACION].&amp;[" &amp; $C64 &amp; "]"
),0)/1000</f>
        <v>191.00386745</v>
      </c>
      <c r="W64" s="8">
        <f>IFERROR(
GETPIVOTDATA(
"[Base].[Importe]",
TDinamica_R!$A$5,
"[Calendario].[AñoMes]",
"[Calendario].[AñoMes].&amp;[" &amp; TEXT(W$6,"yyyymm") &amp; "]",
"[Base].[Metrica]",
"[Base].[Metrica].&amp;[" &amp; $A64 &amp; "]",
"[Base].[SEGMENTO_DESCRIP]",
"[Base].[SEGMENTO_DESCRIP].&amp;[" &amp; $C$6 &amp; "]",
"[Base].[SITUACION]",
"[Base].[SITUACION].&amp;[" &amp; $C64 &amp; "]"
),0)/1000</f>
        <v>204.95623732999999</v>
      </c>
      <c r="X64" s="8">
        <f>IFERROR(
GETPIVOTDATA(
"[Base].[Importe]",
TDinamica_R!$A$5,
"[Calendario].[AñoMes]",
"[Calendario].[AñoMes].&amp;[" &amp; TEXT(X$6,"yyyymm") &amp; "]",
"[Base].[Metrica]",
"[Base].[Metrica].&amp;[" &amp; $A64 &amp; "]",
"[Base].[SEGMENTO_DESCRIP]",
"[Base].[SEGMENTO_DESCRIP].&amp;[" &amp; $C$6 &amp; "]",
"[Base].[SITUACION]",
"[Base].[SITUACION].&amp;[" &amp; $C64 &amp; "]"
),0)/1000</f>
        <v>431.95304492000002</v>
      </c>
      <c r="Y64" s="8">
        <f>IFERROR(
GETPIVOTDATA(
"[Base].[Importe]",
TDinamica_R!$A$5,
"[Calendario].[AñoMes]",
"[Calendario].[AñoMes].&amp;[" &amp; TEXT(Y$6,"yyyymm") &amp; "]",
"[Base].[Metrica]",
"[Base].[Metrica].&amp;[" &amp; $A64 &amp; "]",
"[Base].[SEGMENTO_DESCRIP]",
"[Base].[SEGMENTO_DESCRIP].&amp;[" &amp; $C$6 &amp; "]",
"[Base].[SITUACION]",
"[Base].[SITUACION].&amp;[" &amp; $C64 &amp; "]"
),0)/1000</f>
        <v>-41.313011030200002</v>
      </c>
      <c r="Z64" s="8">
        <f>IFERROR(
GETPIVOTDATA(
"[Base].[Importe]",
TDinamica_R!$A$5,
"[Calendario].[AñoMes]",
"[Calendario].[AñoMes].&amp;[" &amp; TEXT(Z$6,"yyyymm") &amp; "]",
"[Base].[Metrica]",
"[Base].[Metrica].&amp;[" &amp; $A64 &amp; "]",
"[Base].[SEGMENTO_DESCRIP]",
"[Base].[SEGMENTO_DESCRIP].&amp;[" &amp; $C$6 &amp; "]",
"[Base].[SITUACION]",
"[Base].[SITUACION].&amp;[" &amp; $C64 &amp; "]"
),0)/1000</f>
        <v>210.70790054</v>
      </c>
      <c r="AA64" s="8">
        <f>IFERROR(
GETPIVOTDATA(
"[Base].[Importe]",
TDinamica_R!$A$5,
"[Calendario].[AñoMes]",
"[Calendario].[AñoMes].&amp;[" &amp; TEXT(AA$6,"yyyymm") &amp; "]",
"[Base].[Metrica]",
"[Base].[Metrica].&amp;[" &amp; $A64 &amp; "]",
"[Base].[SEGMENTO_DESCRIP]",
"[Base].[SEGMENTO_DESCRIP].&amp;[" &amp; $C$6 &amp; "]",
"[Base].[SITUACION]",
"[Base].[SITUACION].&amp;[" &amp; $C64 &amp; "]"
),0)/1000</f>
        <v>183.39960786000003</v>
      </c>
      <c r="AB64" s="8">
        <f>IFERROR(
GETPIVOTDATA(
"[Base].[Importe]",
TDinamica_R!$A$5,
"[Calendario].[AñoMes]",
"[Calendario].[AñoMes].&amp;[" &amp; TEXT(AB$6,"yyyymm") &amp; "]",
"[Base].[Metrica]",
"[Base].[Metrica].&amp;[" &amp; $A64 &amp; "]",
"[Base].[SEGMENTO_DESCRIP]",
"[Base].[SEGMENTO_DESCRIP].&amp;[" &amp; $C$6 &amp; "]",
"[Base].[SITUACION]",
"[Base].[SITUACION].&amp;[" &amp; $C64 &amp; "]"
),0)/1000</f>
        <v>234.89819141999999</v>
      </c>
      <c r="AC64" s="8">
        <f>IFERROR(
GETPIVOTDATA(
"[Base].[Importe]",
TDinamica_R!$A$5,
"[Calendario].[AñoMes]",
"[Calendario].[AñoMes].&amp;[" &amp; TEXT(AC$6,"yyyymm") &amp; "]",
"[Base].[Metrica]",
"[Base].[Metrica].&amp;[" &amp; $A64 &amp; "]",
"[Base].[SEGMENTO_DESCRIP]",
"[Base].[SEGMENTO_DESCRIP].&amp;[" &amp; $C$6 &amp; "]",
"[Base].[SITUACION]",
"[Base].[SITUACION].&amp;[" &amp; $C64 &amp; "]"
),0)/1000</f>
        <v>178.58878197999999</v>
      </c>
      <c r="AD64" s="8">
        <f>IFERROR(
GETPIVOTDATA(
"[Base].[Importe]",
TDinamica_R!$A$5,
"[Calendario].[AñoMes]",
"[Calendario].[AñoMes].&amp;[" &amp; TEXT(AD$6,"yyyymm") &amp; "]",
"[Base].[Metrica]",
"[Base].[Metrica].&amp;[" &amp; $A64 &amp; "]",
"[Base].[SEGMENTO_DESCRIP]",
"[Base].[SEGMENTO_DESCRIP].&amp;[" &amp; $C$6 &amp; "]",
"[Base].[SITUACION]",
"[Base].[SITUACION].&amp;[" &amp; $C64 &amp; "]"
),0)/1000</f>
        <v>142.28829724500002</v>
      </c>
      <c r="AE64" s="8">
        <f>IFERROR(
GETPIVOTDATA(
"[Base].[Importe]",
TDinamica_R!$A$5,
"[Calendario].[AñoMes]",
"[Calendario].[AñoMes].&amp;[" &amp; TEXT(AE$6,"yyyymm") &amp; "]",
"[Base].[Metrica]",
"[Base].[Metrica].&amp;[" &amp; $A64 &amp; "]",
"[Base].[SEGMENTO_DESCRIP]",
"[Base].[SEGMENTO_DESCRIP].&amp;[" &amp; $C$6 &amp; "]",
"[Base].[SITUACION]",
"[Base].[SITUACION].&amp;[" &amp; $C64 &amp; "]"
),0)/1000</f>
        <v>191.20738829000001</v>
      </c>
      <c r="AF64" s="8">
        <f>IFERROR(
GETPIVOTDATA(
"[Base].[Importe]",
TDinamica_R!$A$5,
"[Calendario].[AñoMes]",
"[Calendario].[AñoMes].&amp;[" &amp; TEXT(AF$6,"yyyymm") &amp; "]",
"[Base].[Metrica]",
"[Base].[Metrica].&amp;[" &amp; $A64 &amp; "]",
"[Base].[SEGMENTO_DESCRIP]",
"[Base].[SEGMENTO_DESCRIP].&amp;[" &amp; $C$6 &amp; "]",
"[Base].[SITUACION]",
"[Base].[SITUACION].&amp;[" &amp; $C64 &amp; "]"
),0)/1000</f>
        <v>182.33126859000001</v>
      </c>
      <c r="AG64" s="8">
        <f>IFERROR(
GETPIVOTDATA(
"[Base].[Importe]",
TDinamica_R!$A$5,
"[Calendario].[AñoMes]",
"[Calendario].[AñoMes].&amp;[" &amp; TEXT(AG$6,"yyyymm") &amp; "]",
"[Base].[Metrica]",
"[Base].[Metrica].&amp;[" &amp; $A64 &amp; "]",
"[Base].[SEGMENTO_DESCRIP]",
"[Base].[SEGMENTO_DESCRIP].&amp;[" &amp; $C$6 &amp; "]",
"[Base].[SITUACION]",
"[Base].[SITUACION].&amp;[" &amp; $C64 &amp; "]"
),0)/1000</f>
        <v>219.21448817000001</v>
      </c>
      <c r="AH64" s="8">
        <f>IFERROR(
GETPIVOTDATA(
"[Base].[Importe]",
TDinamica_R!$A$5,
"[Calendario].[AñoMes]",
"[Calendario].[AñoMes].&amp;[" &amp; TEXT(AH$6,"yyyymm") &amp; "]",
"[Base].[Metrica]",
"[Base].[Metrica].&amp;[" &amp; $A64 &amp; "]",
"[Base].[SEGMENTO_DESCRIP]",
"[Base].[SEGMENTO_DESCRIP].&amp;[" &amp; $C$6 &amp; "]",
"[Base].[SITUACION]",
"[Base].[SITUACION].&amp;[" &amp; $C64 &amp; "]"
),0)/1000</f>
        <v>188.77009114000001</v>
      </c>
      <c r="AI64" s="8">
        <f>IFERROR(
GETPIVOTDATA(
"[Base].[Importe]",
TDinamica_R!$A$5,
"[Calendario].[AñoMes]",
"[Calendario].[AñoMes].&amp;[" &amp; TEXT(AI$6,"yyyymm") &amp; "]",
"[Base].[Metrica]",
"[Base].[Metrica].&amp;[" &amp; $A64 &amp; "]",
"[Base].[SEGMENTO_DESCRIP]",
"[Base].[SEGMENTO_DESCRIP].&amp;[" &amp; $C$6 &amp; "]",
"[Base].[SITUACION]",
"[Base].[SITUACION].&amp;[" &amp; $C64 &amp; "]"
),0)/1000</f>
        <v>222.81817627000001</v>
      </c>
      <c r="AJ64" s="8">
        <f>IFERROR(
GETPIVOTDATA(
"[Base].[Importe]",
TDinamica_R!$A$5,
"[Calendario].[AñoMes]",
"[Calendario].[AñoMes].&amp;[" &amp; TEXT(AJ$6,"yyyymm") &amp; "]",
"[Base].[Metrica]",
"[Base].[Metrica].&amp;[" &amp; $A64 &amp; "]",
"[Base].[SEGMENTO_DESCRIP]",
"[Base].[SEGMENTO_DESCRIP].&amp;[" &amp; $C$6 &amp; "]",
"[Base].[SITUACION]",
"[Base].[SITUACION].&amp;[" &amp; $C64 &amp; "]"
),0)/1000</f>
        <v>202.18537882900003</v>
      </c>
      <c r="AK64" s="8">
        <f>IFERROR(
GETPIVOTDATA(
"[Base].[Importe]",
TDinamica_R!$A$5,
"[Calendario].[AñoMes]",
"[Calendario].[AñoMes].&amp;[" &amp; TEXT(AK$6,"yyyymm") &amp; "]",
"[Base].[Metrica]",
"[Base].[Metrica].&amp;[" &amp; $A64 &amp; "]",
"[Base].[SEGMENTO_DESCRIP]",
"[Base].[SEGMENTO_DESCRIP].&amp;[" &amp; $C$6 &amp; "]",
"[Base].[SITUACION]",
"[Base].[SITUACION].&amp;[" &amp; $C64 &amp; "]"
),0)/1000</f>
        <v>192.74213988299999</v>
      </c>
      <c r="AL64" s="8">
        <f>IFERROR(
GETPIVOTDATA(
"[Base].[Importe]",
TDinamica_R!$A$5,
"[Calendario].[AñoMes]",
"[Calendario].[AñoMes].&amp;[" &amp; TEXT(AL$6,"yyyymm") &amp; "]",
"[Base].[Metrica]",
"[Base].[Metrica].&amp;[" &amp; $A64 &amp; "]",
"[Base].[SEGMENTO_DESCRIP]",
"[Base].[SEGMENTO_DESCRIP].&amp;[" &amp; $C$6 &amp; "]",
"[Base].[SITUACION]",
"[Base].[SITUACION].&amp;[" &amp; $C64 &amp; "]"
),0)/1000</f>
        <v>245.85587221</v>
      </c>
      <c r="AM64" s="8">
        <f>IFERROR(
GETPIVOTDATA(
"[Base].[Importe]",
TDinamica_R!$A$5,
"[Calendario].[AñoMes]",
"[Calendario].[AñoMes].&amp;[" &amp; TEXT(AM$6,"yyyymm") &amp; "]",
"[Base].[Metrica]",
"[Base].[Metrica].&amp;[" &amp; $A64 &amp; "]",
"[Base].[SEGMENTO_DESCRIP]",
"[Base].[SEGMENTO_DESCRIP].&amp;[" &amp; $C$6 &amp; "]",
"[Base].[SITUACION]",
"[Base].[SITUACION].&amp;[" &amp; $C64 &amp; "]"
),0)/1000</f>
        <v>194.79247304799998</v>
      </c>
      <c r="AN64" s="8">
        <f>IFERROR(
GETPIVOTDATA(
"[Base].[Importe]",
TDinamica_R!$A$5,
"[Calendario].[AñoMes]",
"[Calendario].[AñoMes].&amp;[" &amp; TEXT(AN$6,"yyyymm") &amp; "]",
"[Base].[Metrica]",
"[Base].[Metrica].&amp;[" &amp; $A64 &amp; "]",
"[Base].[SEGMENTO_DESCRIP]",
"[Base].[SEGMENTO_DESCRIP].&amp;[" &amp; $C$6 &amp; "]",
"[Base].[SITUACION]",
"[Base].[SITUACION].&amp;[" &amp; $C64 &amp; "]"
),0)/1000</f>
        <v>225.90783494464011</v>
      </c>
      <c r="AO64" s="8">
        <f>IFERROR(
GETPIVOTDATA(
"[Base].[Importe]",
TDinamica_R!$A$5,
"[Calendario].[AñoMes]",
"[Calendario].[AñoMes].&amp;[" &amp; TEXT(AO$6,"yyyymm") &amp; "]",
"[Base].[Metrica]",
"[Base].[Metrica].&amp;[" &amp; $A64 &amp; "]",
"[Base].[SEGMENTO_DESCRIP]",
"[Base].[SEGMENTO_DESCRIP].&amp;[" &amp; $C$6 &amp; "]",
"[Base].[SITUACION]",
"[Base].[SITUACION].&amp;[" &amp; $C64 &amp; "]"
),0)/1000</f>
        <v>210.10367985817871</v>
      </c>
      <c r="AP64" s="8">
        <f>IFERROR(
GETPIVOTDATA(
"[Base].[Importe]",
TDinamica_R!$A$5,
"[Calendario].[AñoMes]",
"[Calendario].[AñoMes].&amp;[" &amp; TEXT(AP$6,"yyyymm") &amp; "]",
"[Base].[Metrica]",
"[Base].[Metrica].&amp;[" &amp; $A64 &amp; "]",
"[Base].[SEGMENTO_DESCRIP]",
"[Base].[SEGMENTO_DESCRIP].&amp;[" &amp; $C$6 &amp; "]",
"[Base].[SITUACION]",
"[Base].[SITUACION].&amp;[" &amp; $C64 &amp; "]"
),0)/1000</f>
        <v>177.05992057309032</v>
      </c>
      <c r="AQ64" s="8">
        <f>IFERROR(
GETPIVOTDATA(
"[Base].[Importe]",
TDinamica_R!$A$5,
"[Calendario].[AñoMes]",
"[Calendario].[AñoMes].&amp;[" &amp; TEXT(AQ$6,"yyyymm") &amp; "]",
"[Base].[Metrica]",
"[Base].[Metrica].&amp;[" &amp; $A64 &amp; "]",
"[Base].[SEGMENTO_DESCRIP]",
"[Base].[SEGMENTO_DESCRIP].&amp;[" &amp; $C$6 &amp; "]",
"[Base].[SITUACION]",
"[Base].[SITUACION].&amp;[" &amp; $C64 &amp; "]"
),0)/1000</f>
        <v>245.86074619407506</v>
      </c>
      <c r="AR64" s="8">
        <f>IFERROR(
GETPIVOTDATA(
"[Base].[Importe]",
TDinamica_R!$A$5,
"[Calendario].[AñoMes]",
"[Calendario].[AñoMes].&amp;[" &amp; TEXT(AR$6,"yyyymm") &amp; "]",
"[Base].[Metrica]",
"[Base].[Metrica].&amp;[" &amp; $A64 &amp; "]",
"[Base].[SEGMENTO_DESCRIP]",
"[Base].[SEGMENTO_DESCRIP].&amp;[" &amp; $C$6 &amp; "]",
"[Base].[SITUACION]",
"[Base].[SITUACION].&amp;[" &amp; $C64 &amp; "]"
),0)/1000</f>
        <v>205.03189881229875</v>
      </c>
      <c r="AS64" s="8">
        <f>IFERROR(
GETPIVOTDATA(
"[Base].[Importe]",
TDinamica_R!$A$5,
"[Calendario].[AñoMes]",
"[Calendario].[AñoMes].&amp;[" &amp; TEXT(AS$6,"yyyymm") &amp; "]",
"[Base].[Metrica]",
"[Base].[Metrica].&amp;[" &amp; $A64 &amp; "]",
"[Base].[SEGMENTO_DESCRIP]",
"[Base].[SEGMENTO_DESCRIP].&amp;[" &amp; $C$6 &amp; "]",
"[Base].[SITUACION]",
"[Base].[SITUACION].&amp;[" &amp; $C64 &amp; "]"
),0)/1000</f>
        <v>227.94515961005499</v>
      </c>
      <c r="AT64" s="8">
        <f>IFERROR(
GETPIVOTDATA(
"[Base].[Importe]",
TDinamica_R!$A$5,
"[Calendario].[AñoMes]",
"[Calendario].[AñoMes].&amp;[" &amp; TEXT(AT$6,"yyyymm")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U64" s="8">
        <f>IFERROR(
GETPIVOTDATA(
"[Base].[Importe]",
TDinamica_R!$A$5,
"[Calendario].[AñoMes]",
"[Calendario].[AñoMes].&amp;[" &amp; TEXT(AU$6,"yyyymm")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V64" s="8">
        <f>IFERROR(
GETPIVOTDATA(
"[Base].[Importe]",
TDinamica_R!$A$5,
"[Calendario].[AñoMes]",
"[Calendario].[AñoMes].&amp;[" &amp; TEXT(AV$6,"yyyymm")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W64" s="8">
        <f>IFERROR(
GETPIVOTDATA(
"[Base].[Importe]",
TDinamica_R!$A$5,
"[Calendario].[AñoMes]",
"[Calendario].[AñoMes].&amp;[" &amp; TEXT(AW$6,"yyyymm")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X64" s="8">
        <f>IFERROR(
GETPIVOTDATA(
"[Base].[Importe]",
TDinamica_R!$A$5,
"[Calendario].[AñoMes]",
"[Calendario].[AñoMes].&amp;[" &amp; TEXT(AX$6,"yyyymm")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Y64" s="8">
        <f>IFERROR(
GETPIVOTDATA(
"[Base].[Importe]",
TDinamica_R!$A$5,
"[Calendario].[AñoMes]",
"[Calendario].[AñoMes].&amp;[" &amp; TEXT(AY$6,"yyyymm")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Z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"[BASE_HIPO_PPTO].[Periodo]","[BASE_HIPO_PPTO].[Periodo].&amp;["&amp;TEXT(AZ$6,"yyyymm")&amp;"]"),
0)/1000</f>
        <v>183.65803919568629</v>
      </c>
      <c r="BA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"[BASE_HIPO_PPTO].[Periodo]","[BASE_HIPO_PPTO].[Periodo].&amp;["&amp;TEXT(BA$6,"yyyymm")&amp;"]"),
0)/1000</f>
        <v>184.61655471812662</v>
      </c>
      <c r="BB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"[BASE_HIPO_PPTO].[Periodo]","[BASE_HIPO_PPTO].[Periodo].&amp;["&amp;TEXT(BB$6,"yyyymm")&amp;"]"),
0)/1000</f>
        <v>185.3618831597858</v>
      </c>
      <c r="BC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"[BASE_HIPO_PPTO].[Periodo]","[BASE_HIPO_PPTO].[Periodo].&amp;["&amp;TEXT(BC$6,"yyyymm")&amp;"]"),
0)/1000</f>
        <v>186.246562347392</v>
      </c>
      <c r="BD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"[BASE_HIPO_PPTO].[Periodo]","[BASE_HIPO_PPTO].[Periodo].&amp;["&amp;TEXT(BD$6,"yyyymm")&amp;"]"),
0)/1000</f>
        <v>187.33527136795831</v>
      </c>
      <c r="BE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"[BASE_HIPO_PPTO].[Periodo]","[BASE_HIPO_PPTO].[Periodo].&amp;["&amp;TEXT(BE$6,"yyyymm")&amp;"]"),
0)/1000</f>
        <v>188.58446559082864</v>
      </c>
      <c r="BF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"[BASE_HIPO_PPTO].[Periodo]","[BASE_HIPO_PPTO].[Periodo].&amp;["&amp;TEXT(BF$6,"yyyymm")&amp;"]"),
0)/1000</f>
        <v>189.67409032647262</v>
      </c>
      <c r="BG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"[BASE_HIPO_PPTO].[Periodo]","[BASE_HIPO_PPTO].[Periodo].&amp;["&amp;TEXT(BG$6,"yyyymm")&amp;"]"),
0)/1000</f>
        <v>191.21748371638114</v>
      </c>
      <c r="BH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"[BASE_HIPO_PPTO].[Periodo]","[BASE_HIPO_PPTO].[Periodo].&amp;["&amp;TEXT(BH$6,"yyyymm")&amp;"]"),
0)/1000</f>
        <v>192.70098308525397</v>
      </c>
      <c r="BI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"[BASE_HIPO_PPTO].[Periodo]","[BASE_HIPO_PPTO].[Periodo].&amp;["&amp;TEXT(BI$6,"yyyymm")&amp;"]"),
0)/1000</f>
        <v>194.55441285505762</v>
      </c>
      <c r="BJ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"[BASE_HIPO_PPTO].[Periodo]","[BASE_HIPO_PPTO].[Periodo].&amp;["&amp;TEXT(BJ$6,"yyyymm")&amp;"]"),
0)/1000</f>
        <v>196.0708152783015</v>
      </c>
      <c r="BK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"[BASE_HIPO_PPTO].[Periodo]","[BASE_HIPO_PPTO].[Periodo].&amp;["&amp;TEXT(BK$6,"yyyymm")&amp;"]"),
0)/1000</f>
        <v>197.36625082883293</v>
      </c>
      <c r="BO64" s="24">
        <f t="shared" si="44"/>
        <v>613.07143537590923</v>
      </c>
      <c r="BP64" s="24">
        <f t="shared" si="44"/>
        <v>553.63647707359871</v>
      </c>
      <c r="BQ64" s="24">
        <f t="shared" si="44"/>
        <v>436.01151480281885</v>
      </c>
      <c r="BR64" s="24">
        <f t="shared" si="44"/>
        <v>555.77527064500009</v>
      </c>
      <c r="BS64" s="24">
        <f t="shared" si="44"/>
        <v>601.07797652999989</v>
      </c>
      <c r="BT64" s="24">
        <f t="shared" si="44"/>
        <v>619.26548694999997</v>
      </c>
    </row>
    <row r="65" spans="1:72" hidden="1" outlineLevel="1" x14ac:dyDescent="0.25">
      <c r="A65" s="11" t="s">
        <v>71</v>
      </c>
      <c r="C65" s="2" t="s">
        <v>128</v>
      </c>
      <c r="D65" s="8">
        <f>IFERROR(
GETPIVOTDATA(
"[Base].[Importe]",
TDinamica_R!$A$5,
"[Calendario].[AñoMes]",
"[Calendario].[AñoMes].&amp;[" &amp; TEXT(D$6,"yyyymm") &amp; "]",
"[Base].[Metrica]",
"[Base].[Metrica].&amp;[" &amp; $A65 &amp; "]",
"[Base].[SEGMENTO_DESCRIP]",
"[Base].[SEGMENTO_DESCRIP].&amp;[" &amp; $C$6 &amp; "]",
"[Base].[SITUACION]",
"[Base].[SITUACION].&amp;[" &amp; $C65 &amp; "]"
),0)/1000</f>
        <v>34.740171482999997</v>
      </c>
      <c r="E65" s="8">
        <f>IFERROR(
GETPIVOTDATA(
"[Base].[Importe]",
TDinamica_R!$A$5,
"[Calendario].[AñoMes]",
"[Calendario].[AñoMes].&amp;[" &amp; TEXT(E$6,"yyyymm") &amp; "]",
"[Base].[Metrica]",
"[Base].[Metrica].&amp;[" &amp; $A65 &amp; "]",
"[Base].[SEGMENTO_DESCRIP]",
"[Base].[SEGMENTO_DESCRIP].&amp;[" &amp; $C$6 &amp; "]",
"[Base].[SITUACION]",
"[Base].[SITUACION].&amp;[" &amp; $C65 &amp; "]"
),0)/1000</f>
        <v>9.263987747000014</v>
      </c>
      <c r="F65" s="8">
        <f>IFERROR(
GETPIVOTDATA(
"[Base].[Importe]",
TDinamica_R!$A$5,
"[Calendario].[AñoMes]",
"[Calendario].[AñoMes].&amp;[" &amp; TEXT(F$6,"yyyymm") &amp; "]",
"[Base].[Metrica]",
"[Base].[Metrica].&amp;[" &amp; $A65 &amp; "]",
"[Base].[SEGMENTO_DESCRIP]",
"[Base].[SEGMENTO_DESCRIP].&amp;[" &amp; $C$6 &amp; "]",
"[Base].[SITUACION]",
"[Base].[SITUACION].&amp;[" &amp; $C65 &amp; "]"
),0)/1000</f>
        <v>1.0843932710000117</v>
      </c>
      <c r="G65" s="8">
        <f>IFERROR(
GETPIVOTDATA(
"[Base].[Importe]",
TDinamica_R!$A$5,
"[Calendario].[AñoMes]",
"[Calendario].[AñoMes].&amp;[" &amp; TEXT(G$6,"yyyymm") &amp; "]",
"[Base].[Metrica]",
"[Base].[Metrica].&amp;[" &amp; $A65 &amp; "]",
"[Base].[SEGMENTO_DESCRIP]",
"[Base].[SEGMENTO_DESCRIP].&amp;[" &amp; $C$6 &amp; "]",
"[Base].[SITUACION]",
"[Base].[SITUACION].&amp;[" &amp; $C65 &amp; "]"
),0)/1000</f>
        <v>14.750983810000029</v>
      </c>
      <c r="H65" s="8">
        <f>IFERROR(
GETPIVOTDATA(
"[Base].[Importe]",
TDinamica_R!$A$5,
"[Calendario].[AñoMes]",
"[Calendario].[AñoMes].&amp;[" &amp; TEXT(H$6,"yyyymm") &amp; "]",
"[Base].[Metrica]",
"[Base].[Metrica].&amp;[" &amp; $A65 &amp; "]",
"[Base].[SEGMENTO_DESCRIP]",
"[Base].[SEGMENTO_DESCRIP].&amp;[" &amp; $C$6 &amp; "]",
"[Base].[SITUACION]",
"[Base].[SITUACION].&amp;[" &amp; $C65 &amp; "]"
),0)/1000</f>
        <v>-68.648558104999992</v>
      </c>
      <c r="I65" s="8">
        <f>IFERROR(
GETPIVOTDATA(
"[Base].[Importe]",
TDinamica_R!$A$5,
"[Calendario].[AñoMes]",
"[Calendario].[AñoMes].&amp;[" &amp; TEXT(I$6,"yyyymm") &amp; "]",
"[Base].[Metrica]",
"[Base].[Metrica].&amp;[" &amp; $A65 &amp; "]",
"[Base].[SEGMENTO_DESCRIP]",
"[Base].[SEGMENTO_DESCRIP].&amp;[" &amp; $C$6 &amp; "]",
"[Base].[SITUACION]",
"[Base].[SITUACION].&amp;[" &amp; $C65 &amp; "]"
),0)/1000</f>
        <v>-163.56346521399999</v>
      </c>
      <c r="J65" s="8">
        <f>IFERROR(
GETPIVOTDATA(
"[Base].[Importe]",
TDinamica_R!$A$5,
"[Calendario].[AñoMes]",
"[Calendario].[AñoMes].&amp;[" &amp; TEXT(J$6,"yyyymm") &amp; "]",
"[Base].[Metrica]",
"[Base].[Metrica].&amp;[" &amp; $A65 &amp; "]",
"[Base].[SEGMENTO_DESCRIP]",
"[Base].[SEGMENTO_DESCRIP].&amp;[" &amp; $C$6 &amp; "]",
"[Base].[SITUACION]",
"[Base].[SITUACION].&amp;[" &amp; $C65 &amp; "]"
),0)/1000</f>
        <v>-176.73401556400003</v>
      </c>
      <c r="K65" s="8">
        <f>IFERROR(
GETPIVOTDATA(
"[Base].[Importe]",
TDinamica_R!$A$5,
"[Calendario].[AñoMes]",
"[Calendario].[AñoMes].&amp;[" &amp; TEXT(K$6,"yyyymm") &amp; "]",
"[Base].[Metrica]",
"[Base].[Metrica].&amp;[" &amp; $A65 &amp; "]",
"[Base].[SEGMENTO_DESCRIP]",
"[Base].[SEGMENTO_DESCRIP].&amp;[" &amp; $C$6 &amp; "]",
"[Base].[SITUACION]",
"[Base].[SITUACION].&amp;[" &amp; $C65 &amp; "]"
),0)/1000</f>
        <v>-156.58498018200001</v>
      </c>
      <c r="L65" s="8">
        <f>IFERROR(
GETPIVOTDATA(
"[Base].[Importe]",
TDinamica_R!$A$5,
"[Calendario].[AñoMes]",
"[Calendario].[AñoMes].&amp;[" &amp; TEXT(L$6,"yyyymm") &amp; "]",
"[Base].[Metrica]",
"[Base].[Metrica].&amp;[" &amp; $A65 &amp; "]",
"[Base].[SEGMENTO_DESCRIP]",
"[Base].[SEGMENTO_DESCRIP].&amp;[" &amp; $C$6 &amp; "]",
"[Base].[SITUACION]",
"[Base].[SITUACION].&amp;[" &amp; $C65 &amp; "]"
),0)/1000</f>
        <v>-300.72366799500003</v>
      </c>
      <c r="M65" s="8">
        <f>IFERROR(
GETPIVOTDATA(
"[Base].[Importe]",
TDinamica_R!$A$5,
"[Calendario].[AñoMes]",
"[Calendario].[AñoMes].&amp;[" &amp; TEXT(M$6,"yyyymm") &amp; "]",
"[Base].[Metrica]",
"[Base].[Metrica].&amp;[" &amp; $A65 &amp; "]",
"[Base].[SEGMENTO_DESCRIP]",
"[Base].[SEGMENTO_DESCRIP].&amp;[" &amp; $C$6 &amp; "]",
"[Base].[SITUACION]",
"[Base].[SITUACION].&amp;[" &amp; $C65 &amp; "]"
),0)/1000</f>
        <v>-138.10842040762498</v>
      </c>
      <c r="N65" s="8">
        <f>IFERROR(
GETPIVOTDATA(
"[Base].[Importe]",
TDinamica_R!$A$5,
"[Calendario].[AñoMes]",
"[Calendario].[AñoMes].&amp;[" &amp; TEXT(N$6,"yyyymm") &amp; "]",
"[Base].[Metrica]",
"[Base].[Metrica].&amp;[" &amp; $A65 &amp; "]",
"[Base].[SEGMENTO_DESCRIP]",
"[Base].[SEGMENTO_DESCRIP].&amp;[" &amp; $C$6 &amp; "]",
"[Base].[SITUACION]",
"[Base].[SITUACION].&amp;[" &amp; $C65 &amp; "]"
),0)/1000</f>
        <v>-147.06993418800005</v>
      </c>
      <c r="O65" s="8">
        <f>IFERROR(
GETPIVOTDATA(
"[Base].[Importe]",
TDinamica_R!$A$5,
"[Calendario].[AñoMes]",
"[Calendario].[AñoMes].&amp;[" &amp; TEXT(O$6,"yyyymm") &amp; "]",
"[Base].[Metrica]",
"[Base].[Metrica].&amp;[" &amp; $A65 &amp; "]",
"[Base].[SEGMENTO_DESCRIP]",
"[Base].[SEGMENTO_DESCRIP].&amp;[" &amp; $C$6 &amp; "]",
"[Base].[SITUACION]",
"[Base].[SITUACION].&amp;[" &amp; $C65 &amp; "]"
),0)/1000</f>
        <v>-33.139160591999982</v>
      </c>
      <c r="P65" s="8">
        <f>IFERROR(
GETPIVOTDATA(
"[Base].[Importe]",
TDinamica_R!$A$5,
"[Calendario].[AñoMes]",
"[Calendario].[AñoMes].&amp;[" &amp; TEXT(P$6,"yyyymm") &amp; "]",
"[Base].[Metrica]",
"[Base].[Metrica].&amp;[" &amp; $A65 &amp; "]",
"[Base].[SEGMENTO_DESCRIP]",
"[Base].[SEGMENTO_DESCRIP].&amp;[" &amp; $C$6 &amp; "]",
"[Base].[SITUACION]",
"[Base].[SITUACION].&amp;[" &amp; $C65 &amp; "]"
),0)/1000</f>
        <v>-131.2770933173</v>
      </c>
      <c r="Q65" s="8">
        <f>IFERROR(
GETPIVOTDATA(
"[Base].[Importe]",
TDinamica_R!$A$5,
"[Calendario].[AñoMes]",
"[Calendario].[AñoMes].&amp;[" &amp; TEXT(Q$6,"yyyymm") &amp; "]",
"[Base].[Metrica]",
"[Base].[Metrica].&amp;[" &amp; $A65 &amp; "]",
"[Base].[SEGMENTO_DESCRIP]",
"[Base].[SEGMENTO_DESCRIP].&amp;[" &amp; $C$6 &amp; "]",
"[Base].[SITUACION]",
"[Base].[SITUACION].&amp;[" &amp; $C65 &amp; "]"
),0)/1000</f>
        <v>-107.73227863000002</v>
      </c>
      <c r="R65" s="8">
        <f>IFERROR(
GETPIVOTDATA(
"[Base].[Importe]",
TDinamica_R!$A$5,
"[Calendario].[AñoMes]",
"[Calendario].[AñoMes].&amp;[" &amp; TEXT(R$6,"yyyymm") &amp; "]",
"[Base].[Metrica]",
"[Base].[Metrica].&amp;[" &amp; $A65 &amp; "]",
"[Base].[SEGMENTO_DESCRIP]",
"[Base].[SEGMENTO_DESCRIP].&amp;[" &amp; $C$6 &amp; "]",
"[Base].[SITUACION]",
"[Base].[SITUACION].&amp;[" &amp; $C65 &amp; "]"
),0)/1000</f>
        <v>-125.22575356600001</v>
      </c>
      <c r="S65" s="8">
        <f>IFERROR(
GETPIVOTDATA(
"[Base].[Importe]",
TDinamica_R!$A$5,
"[Calendario].[AñoMes]",
"[Calendario].[AñoMes].&amp;[" &amp; TEXT(S$6,"yyyymm") &amp; "]",
"[Base].[Metrica]",
"[Base].[Metrica].&amp;[" &amp; $A65 &amp; "]",
"[Base].[SEGMENTO_DESCRIP]",
"[Base].[SEGMENTO_DESCRIP].&amp;[" &amp; $C$6 &amp; "]",
"[Base].[SITUACION]",
"[Base].[SITUACION].&amp;[" &amp; $C65 &amp; "]"
),0)/1000</f>
        <v>-108.37870611899999</v>
      </c>
      <c r="T65" s="8">
        <f>IFERROR(
GETPIVOTDATA(
"[Base].[Importe]",
TDinamica_R!$A$5,
"[Calendario].[AñoMes]",
"[Calendario].[AñoMes].&amp;[" &amp; TEXT(T$6,"yyyymm") &amp; "]",
"[Base].[Metrica]",
"[Base].[Metrica].&amp;[" &amp; $A65 &amp; "]",
"[Base].[SEGMENTO_DESCRIP]",
"[Base].[SEGMENTO_DESCRIP].&amp;[" &amp; $C$6 &amp; "]",
"[Base].[SITUACION]",
"[Base].[SITUACION].&amp;[" &amp; $C65 &amp; "]"
),0)/1000</f>
        <v>-129.56783564299997</v>
      </c>
      <c r="U65" s="8">
        <f>IFERROR(
GETPIVOTDATA(
"[Base].[Importe]",
TDinamica_R!$A$5,
"[Calendario].[AñoMes]",
"[Calendario].[AñoMes].&amp;[" &amp; TEXT(U$6,"yyyymm") &amp; "]",
"[Base].[Metrica]",
"[Base].[Metrica].&amp;[" &amp; $A65 &amp; "]",
"[Base].[SEGMENTO_DESCRIP]",
"[Base].[SEGMENTO_DESCRIP].&amp;[" &amp; $C$6 &amp; "]",
"[Base].[SITUACION]",
"[Base].[SITUACION].&amp;[" &amp; $C65 &amp; "]"
),0)/1000</f>
        <v>-86.99800141499999</v>
      </c>
      <c r="V65" s="8">
        <f>IFERROR(
GETPIVOTDATA(
"[Base].[Importe]",
TDinamica_R!$A$5,
"[Calendario].[AñoMes]",
"[Calendario].[AñoMes].&amp;[" &amp; TEXT(V$6,"yyyymm") &amp; "]",
"[Base].[Metrica]",
"[Base].[Metrica].&amp;[" &amp; $A65 &amp; "]",
"[Base].[SEGMENTO_DESCRIP]",
"[Base].[SEGMENTO_DESCRIP].&amp;[" &amp; $C$6 &amp; "]",
"[Base].[SITUACION]",
"[Base].[SITUACION].&amp;[" &amp; $C65 &amp; "]"
),0)/1000</f>
        <v>-47.204470249000046</v>
      </c>
      <c r="W65" s="8">
        <f>IFERROR(
GETPIVOTDATA(
"[Base].[Importe]",
TDinamica_R!$A$5,
"[Calendario].[AñoMes]",
"[Calendario].[AñoMes].&amp;[" &amp; TEXT(W$6,"yyyymm") &amp; "]",
"[Base].[Metrica]",
"[Base].[Metrica].&amp;[" &amp; $A65 &amp; "]",
"[Base].[SEGMENTO_DESCRIP]",
"[Base].[SEGMENTO_DESCRIP].&amp;[" &amp; $C$6 &amp; "]",
"[Base].[SITUACION]",
"[Base].[SITUACION].&amp;[" &amp; $C65 &amp; "]"
),0)/1000</f>
        <v>-15.101791990699999</v>
      </c>
      <c r="X65" s="8">
        <f>IFERROR(
GETPIVOTDATA(
"[Base].[Importe]",
TDinamica_R!$A$5,
"[Calendario].[AñoMes]",
"[Calendario].[AñoMes].&amp;[" &amp; TEXT(X$6,"yyyymm") &amp; "]",
"[Base].[Metrica]",
"[Base].[Metrica].&amp;[" &amp; $A65 &amp; "]",
"[Base].[SEGMENTO_DESCRIP]",
"[Base].[SEGMENTO_DESCRIP].&amp;[" &amp; $C$6 &amp; "]",
"[Base].[SITUACION]",
"[Base].[SITUACION].&amp;[" &amp; $C65 &amp; "]"
),0)/1000</f>
        <v>-72.534262816999998</v>
      </c>
      <c r="Y65" s="8">
        <f>IFERROR(
GETPIVOTDATA(
"[Base].[Importe]",
TDinamica_R!$A$5,
"[Calendario].[AñoMes]",
"[Calendario].[AñoMes].&amp;[" &amp; TEXT(Y$6,"yyyymm") &amp; "]",
"[Base].[Metrica]",
"[Base].[Metrica].&amp;[" &amp; $A65 &amp; "]",
"[Base].[SEGMENTO_DESCRIP]",
"[Base].[SEGMENTO_DESCRIP].&amp;[" &amp; $C$6 &amp; "]",
"[Base].[SITUACION]",
"[Base].[SITUACION].&amp;[" &amp; $C65 &amp; "]"
),0)/1000</f>
        <v>-154.57870230780003</v>
      </c>
      <c r="Z65" s="8">
        <f>IFERROR(
GETPIVOTDATA(
"[Base].[Importe]",
TDinamica_R!$A$5,
"[Calendario].[AñoMes]",
"[Calendario].[AñoMes].&amp;[" &amp; TEXT(Z$6,"yyyymm") &amp; "]",
"[Base].[Metrica]",
"[Base].[Metrica].&amp;[" &amp; $A65 &amp; "]",
"[Base].[SEGMENTO_DESCRIP]",
"[Base].[SEGMENTO_DESCRIP].&amp;[" &amp; $C$6 &amp; "]",
"[Base].[SITUACION]",
"[Base].[SITUACION].&amp;[" &amp; $C65 &amp; "]"
),0)/1000</f>
        <v>-56.709698677000034</v>
      </c>
      <c r="AA65" s="8">
        <f>IFERROR(
GETPIVOTDATA(
"[Base].[Importe]",
TDinamica_R!$A$5,
"[Calendario].[AñoMes]",
"[Calendario].[AñoMes].&amp;[" &amp; TEXT(AA$6,"yyyymm") &amp; "]",
"[Base].[Metrica]",
"[Base].[Metrica].&amp;[" &amp; $A65 &amp; "]",
"[Base].[SEGMENTO_DESCRIP]",
"[Base].[SEGMENTO_DESCRIP].&amp;[" &amp; $C$6 &amp; "]",
"[Base].[SITUACION]",
"[Base].[SITUACION].&amp;[" &amp; $C65 &amp; "]"
),0)/1000</f>
        <v>51.882861013000031</v>
      </c>
      <c r="AB65" s="8">
        <f>IFERROR(
GETPIVOTDATA(
"[Base].[Importe]",
TDinamica_R!$A$5,
"[Calendario].[AñoMes]",
"[Calendario].[AñoMes].&amp;[" &amp; TEXT(AB$6,"yyyymm") &amp; "]",
"[Base].[Metrica]",
"[Base].[Metrica].&amp;[" &amp; $A65 &amp; "]",
"[Base].[SEGMENTO_DESCRIP]",
"[Base].[SEGMENTO_DESCRIP].&amp;[" &amp; $C$6 &amp; "]",
"[Base].[SITUACION]",
"[Base].[SITUACION].&amp;[" &amp; $C65 &amp; "]"
),0)/1000</f>
        <v>-72.76534412200003</v>
      </c>
      <c r="AC65" s="8">
        <f>IFERROR(
GETPIVOTDATA(
"[Base].[Importe]",
TDinamica_R!$A$5,
"[Calendario].[AñoMes]",
"[Calendario].[AñoMes].&amp;[" &amp; TEXT(AC$6,"yyyymm") &amp; "]",
"[Base].[Metrica]",
"[Base].[Metrica].&amp;[" &amp; $A65 &amp; "]",
"[Base].[SEGMENTO_DESCRIP]",
"[Base].[SEGMENTO_DESCRIP].&amp;[" &amp; $C$6 &amp; "]",
"[Base].[SITUACION]",
"[Base].[SITUACION].&amp;[" &amp; $C65 &amp; "]"
),0)/1000</f>
        <v>68.75826058899996</v>
      </c>
      <c r="AD65" s="8">
        <f>IFERROR(
GETPIVOTDATA(
"[Base].[Importe]",
TDinamica_R!$A$5,
"[Calendario].[AñoMes]",
"[Calendario].[AñoMes].&amp;[" &amp; TEXT(AD$6,"yyyymm") &amp; "]",
"[Base].[Metrica]",
"[Base].[Metrica].&amp;[" &amp; $A65 &amp; "]",
"[Base].[SEGMENTO_DESCRIP]",
"[Base].[SEGMENTO_DESCRIP].&amp;[" &amp; $C$6 &amp; "]",
"[Base].[SITUACION]",
"[Base].[SITUACION].&amp;[" &amp; $C65 &amp; "]"
),0)/1000</f>
        <v>-35.035690862000074</v>
      </c>
      <c r="AE65" s="8">
        <f>IFERROR(
GETPIVOTDATA(
"[Base].[Importe]",
TDinamica_R!$A$5,
"[Calendario].[AñoMes]",
"[Calendario].[AñoMes].&amp;[" &amp; TEXT(AE$6,"yyyymm") &amp; "]",
"[Base].[Metrica]",
"[Base].[Metrica].&amp;[" &amp; $A65 &amp; "]",
"[Base].[SEGMENTO_DESCRIP]",
"[Base].[SEGMENTO_DESCRIP].&amp;[" &amp; $C$6 &amp; "]",
"[Base].[SITUACION]",
"[Base].[SITUACION].&amp;[" &amp; $C65 &amp; "]"
),0)/1000</f>
        <v>81.344103111999971</v>
      </c>
      <c r="AF65" s="8">
        <f>IFERROR(
GETPIVOTDATA(
"[Base].[Importe]",
TDinamica_R!$A$5,
"[Calendario].[AñoMes]",
"[Calendario].[AñoMes].&amp;[" &amp; TEXT(AF$6,"yyyymm") &amp; "]",
"[Base].[Metrica]",
"[Base].[Metrica].&amp;[" &amp; $A65 &amp; "]",
"[Base].[SEGMENTO_DESCRIP]",
"[Base].[SEGMENTO_DESCRIP].&amp;[" &amp; $C$6 &amp; "]",
"[Base].[SITUACION]",
"[Base].[SITUACION].&amp;[" &amp; $C65 &amp; "]"
),0)/1000</f>
        <v>-92.54301926399998</v>
      </c>
      <c r="AG65" s="8">
        <f>IFERROR(
GETPIVOTDATA(
"[Base].[Importe]",
TDinamica_R!$A$5,
"[Calendario].[AñoMes]",
"[Calendario].[AñoMes].&amp;[" &amp; TEXT(AG$6,"yyyymm") &amp; "]",
"[Base].[Metrica]",
"[Base].[Metrica].&amp;[" &amp; $A65 &amp; "]",
"[Base].[SEGMENTO_DESCRIP]",
"[Base].[SEGMENTO_DESCRIP].&amp;[" &amp; $C$6 &amp; "]",
"[Base].[SITUACION]",
"[Base].[SITUACION].&amp;[" &amp; $C65 &amp; "]"
),0)/1000</f>
        <v>22.362924810999978</v>
      </c>
      <c r="AH65" s="8">
        <f>IFERROR(
GETPIVOTDATA(
"[Base].[Importe]",
TDinamica_R!$A$5,
"[Calendario].[AñoMes]",
"[Calendario].[AñoMes].&amp;[" &amp; TEXT(AH$6,"yyyymm") &amp; "]",
"[Base].[Metrica]",
"[Base].[Metrica].&amp;[" &amp; $A65 &amp; "]",
"[Base].[SEGMENTO_DESCRIP]",
"[Base].[SEGMENTO_DESCRIP].&amp;[" &amp; $C$6 &amp; "]",
"[Base].[SITUACION]",
"[Base].[SITUACION].&amp;[" &amp; $C65 &amp; "]"
),0)/1000</f>
        <v>1.3802179629999682</v>
      </c>
      <c r="AI65" s="8">
        <f>IFERROR(
GETPIVOTDATA(
"[Base].[Importe]",
TDinamica_R!$A$5,
"[Calendario].[AñoMes]",
"[Calendario].[AñoMes].&amp;[" &amp; TEXT(AI$6,"yyyymm") &amp; "]",
"[Base].[Metrica]",
"[Base].[Metrica].&amp;[" &amp; $A65 &amp; "]",
"[Base].[SEGMENTO_DESCRIP]",
"[Base].[SEGMENTO_DESCRIP].&amp;[" &amp; $C$6 &amp; "]",
"[Base].[SITUACION]",
"[Base].[SITUACION].&amp;[" &amp; $C65 &amp; "]"
),0)/1000</f>
        <v>-38.777384261299957</v>
      </c>
      <c r="AJ65" s="8">
        <f>IFERROR(
GETPIVOTDATA(
"[Base].[Importe]",
TDinamica_R!$A$5,
"[Calendario].[AñoMes]",
"[Calendario].[AñoMes].&amp;[" &amp; TEXT(AJ$6,"yyyymm") &amp; "]",
"[Base].[Metrica]",
"[Base].[Metrica].&amp;[" &amp; $A65 &amp; "]",
"[Base].[SEGMENTO_DESCRIP]",
"[Base].[SEGMENTO_DESCRIP].&amp;[" &amp; $C$6 &amp; "]",
"[Base].[SITUACION]",
"[Base].[SITUACION].&amp;[" &amp; $C65 &amp; "]"
),0)/1000</f>
        <v>35.723962930999981</v>
      </c>
      <c r="AK65" s="8">
        <f>IFERROR(
GETPIVOTDATA(
"[Base].[Importe]",
TDinamica_R!$A$5,
"[Calendario].[AñoMes]",
"[Calendario].[AñoMes].&amp;[" &amp; TEXT(AK$6,"yyyymm") &amp; "]",
"[Base].[Metrica]",
"[Base].[Metrica].&amp;[" &amp; $A65 &amp; "]",
"[Base].[SEGMENTO_DESCRIP]",
"[Base].[SEGMENTO_DESCRIP].&amp;[" &amp; $C$6 &amp; "]",
"[Base].[SITUACION]",
"[Base].[SITUACION].&amp;[" &amp; $C65 &amp; "]"
),0)/1000</f>
        <v>42.970588183000025</v>
      </c>
      <c r="AL65" s="8">
        <f>IFERROR(
GETPIVOTDATA(
"[Base].[Importe]",
TDinamica_R!$A$5,
"[Calendario].[AñoMes]",
"[Calendario].[AñoMes].&amp;[" &amp; TEXT(AL$6,"yyyymm") &amp; "]",
"[Base].[Metrica]",
"[Base].[Metrica].&amp;[" &amp; $A65 &amp; "]",
"[Base].[SEGMENTO_DESCRIP]",
"[Base].[SEGMENTO_DESCRIP].&amp;[" &amp; $C$6 &amp; "]",
"[Base].[SITUACION]",
"[Base].[SITUACION].&amp;[" &amp; $C65 &amp; "]"
),0)/1000</f>
        <v>-28.882628497999988</v>
      </c>
      <c r="AM65" s="8">
        <f>IFERROR(
GETPIVOTDATA(
"[Base].[Importe]",
TDinamica_R!$A$5,
"[Calendario].[AñoMes]",
"[Calendario].[AñoMes].&amp;[" &amp; TEXT(AM$6,"yyyymm") &amp; "]",
"[Base].[Metrica]",
"[Base].[Metrica].&amp;[" &amp; $A65 &amp; "]",
"[Base].[SEGMENTO_DESCRIP]",
"[Base].[SEGMENTO_DESCRIP].&amp;[" &amp; $C$6 &amp; "]",
"[Base].[SITUACION]",
"[Base].[SITUACION].&amp;[" &amp; $C65 &amp; "]"
),0)/1000</f>
        <v>91.845543289999995</v>
      </c>
      <c r="AN65" s="8">
        <f>IFERROR(
GETPIVOTDATA(
"[Base].[Importe]",
TDinamica_R!$A$5,
"[Calendario].[AñoMes]",
"[Calendario].[AñoMes].&amp;[" &amp; TEXT(AN$6,"yyyymm") &amp; "]",
"[Base].[Metrica]",
"[Base].[Metrica].&amp;[" &amp; $A65 &amp; "]",
"[Base].[SEGMENTO_DESCRIP]",
"[Base].[SEGMENTO_DESCRIP].&amp;[" &amp; $C$6 &amp; "]",
"[Base].[SITUACION]",
"[Base].[SITUACION].&amp;[" &amp; $C65 &amp; "]"
),0)/1000</f>
        <v>-38.014600219339499</v>
      </c>
      <c r="AO65" s="8">
        <f>IFERROR(
GETPIVOTDATA(
"[Base].[Importe]",
TDinamica_R!$A$5,
"[Calendario].[AñoMes]",
"[Calendario].[AñoMes].&amp;[" &amp; TEXT(AO$6,"yyyymm") &amp; "]",
"[Base].[Metrica]",
"[Base].[Metrica].&amp;[" &amp; $A65 &amp; "]",
"[Base].[SEGMENTO_DESCRIP]",
"[Base].[SEGMENTO_DESCRIP].&amp;[" &amp; $C$6 &amp; "]",
"[Base].[SITUACION]",
"[Base].[SITUACION].&amp;[" &amp; $C65 &amp; "]"
),0)/1000</f>
        <v>144.99551191976795</v>
      </c>
      <c r="AP65" s="8">
        <f>IFERROR(
GETPIVOTDATA(
"[Base].[Importe]",
TDinamica_R!$A$5,
"[Calendario].[AñoMes]",
"[Calendario].[AñoMes].&amp;[" &amp; TEXT(AP$6,"yyyymm") &amp; "]",
"[Base].[Metrica]",
"[Base].[Metrica].&amp;[" &amp; $A65 &amp; "]",
"[Base].[SEGMENTO_DESCRIP]",
"[Base].[SEGMENTO_DESCRIP].&amp;[" &amp; $C$6 &amp; "]",
"[Base].[SITUACION]",
"[Base].[SITUACION].&amp;[" &amp; $C65 &amp; "]"
),0)/1000</f>
        <v>44.91765129646982</v>
      </c>
      <c r="AQ65" s="8">
        <f>IFERROR(
GETPIVOTDATA(
"[Base].[Importe]",
TDinamica_R!$A$5,
"[Calendario].[AñoMes]",
"[Calendario].[AñoMes].&amp;[" &amp; TEXT(AQ$6,"yyyymm") &amp; "]",
"[Base].[Metrica]",
"[Base].[Metrica].&amp;[" &amp; $A65 &amp; "]",
"[Base].[SEGMENTO_DESCRIP]",
"[Base].[SEGMENTO_DESCRIP].&amp;[" &amp; $C$6 &amp; "]",
"[Base].[SITUACION]",
"[Base].[SITUACION].&amp;[" &amp; $C65 &amp; "]"
),0)/1000</f>
        <v>-65.011117932898031</v>
      </c>
      <c r="AR65" s="8">
        <f>IFERROR(
GETPIVOTDATA(
"[Base].[Importe]",
TDinamica_R!$A$5,
"[Calendario].[AñoMes]",
"[Calendario].[AñoMes].&amp;[" &amp; TEXT(AR$6,"yyyymm") &amp; "]",
"[Base].[Metrica]",
"[Base].[Metrica].&amp;[" &amp; $A65 &amp; "]",
"[Base].[SEGMENTO_DESCRIP]",
"[Base].[SEGMENTO_DESCRIP].&amp;[" &amp; $C$6 &amp; "]",
"[Base].[SITUACION]",
"[Base].[SITUACION].&amp;[" &amp; $C65 &amp; "]"
),0)/1000</f>
        <v>85.961618705594276</v>
      </c>
      <c r="AS65" s="8">
        <f>IFERROR(
GETPIVOTDATA(
"[Base].[Importe]",
TDinamica_R!$A$5,
"[Calendario].[AñoMes]",
"[Calendario].[AñoMes].&amp;[" &amp; TEXT(AS$6,"yyyymm") &amp; "]",
"[Base].[Metrica]",
"[Base].[Metrica].&amp;[" &amp; $A65 &amp; "]",
"[Base].[SEGMENTO_DESCRIP]",
"[Base].[SEGMENTO_DESCRIP].&amp;[" &amp; $C$6 &amp; "]",
"[Base].[SITUACION]",
"[Base].[SITUACION].&amp;[" &amp; $C65 &amp; "]"
),0)/1000</f>
        <v>-88.450728067538677</v>
      </c>
      <c r="AT65" s="8">
        <f>IFERROR(
GETPIVOTDATA(
"[Base].[Importe]",
TDinamica_R!$A$5,
"[Calendario].[AñoMes]",
"[Calendario].[AñoMes].&amp;[" &amp; TEXT(AT$6,"yyyymm")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U65" s="8">
        <f>IFERROR(
GETPIVOTDATA(
"[Base].[Importe]",
TDinamica_R!$A$5,
"[Calendario].[AñoMes]",
"[Calendario].[AñoMes].&amp;[" &amp; TEXT(AU$6,"yyyymm")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V65" s="8">
        <f>IFERROR(
GETPIVOTDATA(
"[Base].[Importe]",
TDinamica_R!$A$5,
"[Calendario].[AñoMes]",
"[Calendario].[AñoMes].&amp;[" &amp; TEXT(AV$6,"yyyymm")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W65" s="8">
        <f>IFERROR(
GETPIVOTDATA(
"[Base].[Importe]",
TDinamica_R!$A$5,
"[Calendario].[AñoMes]",
"[Calendario].[AñoMes].&amp;[" &amp; TEXT(AW$6,"yyyymm")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X65" s="8">
        <f>IFERROR(
GETPIVOTDATA(
"[Base].[Importe]",
TDinamica_R!$A$5,
"[Calendario].[AñoMes]",
"[Calendario].[AñoMes].&amp;[" &amp; TEXT(AX$6,"yyyymm")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Y65" s="8">
        <f>IFERROR(
GETPIVOTDATA(
"[Base].[Importe]",
TDinamica_R!$A$5,
"[Calendario].[AñoMes]",
"[Calendario].[AñoMes].&amp;[" &amp; TEXT(AY$6,"yyyymm")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Z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"[BASE_HIPO_PPTO].[Periodo]","[BASE_HIPO_PPTO].[Periodo].&amp;["&amp;TEXT(AZ$6,"yyyymm")&amp;"]"),
0)/1000</f>
        <v>23.921082361314316</v>
      </c>
      <c r="BA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"[BASE_HIPO_PPTO].[Periodo]","[BASE_HIPO_PPTO].[Periodo].&amp;["&amp;TEXT(BA$6,"yyyymm")&amp;"]"),
0)/1000</f>
        <v>23.921082361314316</v>
      </c>
      <c r="BB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"[BASE_HIPO_PPTO].[Periodo]","[BASE_HIPO_PPTO].[Periodo].&amp;["&amp;TEXT(BB$6,"yyyymm")&amp;"]"),
0)/1000</f>
        <v>23.921082361314316</v>
      </c>
      <c r="BC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"[BASE_HIPO_PPTO].[Periodo]","[BASE_HIPO_PPTO].[Periodo].&amp;["&amp;TEXT(BC$6,"yyyymm")&amp;"]"),
0)/1000</f>
        <v>23.921082361314316</v>
      </c>
      <c r="BD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"[BASE_HIPO_PPTO].[Periodo]","[BASE_HIPO_PPTO].[Periodo].&amp;["&amp;TEXT(BD$6,"yyyymm")&amp;"]"),
0)/1000</f>
        <v>23.921082361314316</v>
      </c>
      <c r="BE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"[BASE_HIPO_PPTO].[Periodo]","[BASE_HIPO_PPTO].[Periodo].&amp;["&amp;TEXT(BE$6,"yyyymm")&amp;"]"),
0)/1000</f>
        <v>23.921082361314316</v>
      </c>
      <c r="BF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"[BASE_HIPO_PPTO].[Periodo]","[BASE_HIPO_PPTO].[Periodo].&amp;["&amp;TEXT(BF$6,"yyyymm")&amp;"]"),
0)/1000</f>
        <v>23.921082361314316</v>
      </c>
      <c r="BG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"[BASE_HIPO_PPTO].[Periodo]","[BASE_HIPO_PPTO].[Periodo].&amp;["&amp;TEXT(BG$6,"yyyymm")&amp;"]"),
0)/1000</f>
        <v>23.921082361314316</v>
      </c>
      <c r="BH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"[BASE_HIPO_PPTO].[Periodo]","[BASE_HIPO_PPTO].[Periodo].&amp;["&amp;TEXT(BH$6,"yyyymm")&amp;"]"),
0)/1000</f>
        <v>23.921082361314316</v>
      </c>
      <c r="BI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"[BASE_HIPO_PPTO].[Periodo]","[BASE_HIPO_PPTO].[Periodo].&amp;["&amp;TEXT(BI$6,"yyyymm")&amp;"]"),
0)/1000</f>
        <v>23.921082361314316</v>
      </c>
      <c r="BJ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"[BASE_HIPO_PPTO].[Periodo]","[BASE_HIPO_PPTO].[Periodo].&amp;["&amp;TEXT(BJ$6,"yyyymm")&amp;"]"),
0)/1000</f>
        <v>23.921082361314316</v>
      </c>
      <c r="BK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"[BASE_HIPO_PPTO].[Periodo]","[BASE_HIPO_PPTO].[Periodo].&amp;["&amp;TEXT(BK$6,"yyyymm")&amp;"]"),
0)/1000</f>
        <v>23.921082361314316</v>
      </c>
      <c r="BO65" s="24">
        <f t="shared" si="44"/>
        <v>151.89856299689828</v>
      </c>
      <c r="BP65" s="24">
        <f t="shared" si="44"/>
        <v>71.763247083942943</v>
      </c>
      <c r="BQ65" s="24">
        <f t="shared" si="44"/>
        <v>106.98091170042845</v>
      </c>
      <c r="BR65" s="24">
        <f t="shared" si="44"/>
        <v>-39.042774395000144</v>
      </c>
      <c r="BS65" s="24">
        <f t="shared" si="44"/>
        <v>-364.23512551330003</v>
      </c>
      <c r="BT65" s="24">
        <f t="shared" si="44"/>
        <v>45.088552501000024</v>
      </c>
    </row>
    <row r="66" spans="1:72" hidden="1" outlineLevel="1" x14ac:dyDescent="0.25">
      <c r="A66" s="11" t="s">
        <v>71</v>
      </c>
      <c r="C66" s="2" t="s">
        <v>129</v>
      </c>
      <c r="D66" s="8">
        <f>IFERROR(
GETPIVOTDATA(
"[Base].[Importe]",
TDinamica_R!$A$5,
"[Calendario].[AñoMes]",
"[Calendario].[AñoMes].&amp;[" &amp; TEXT(D$6,"yyyymm") &amp; "]",
"[Base].[Metrica]",
"[Base].[Metrica].&amp;[" &amp; $A66 &amp; "]",
"[Base].[SEGMENTO_DESCRIP]",
"[Base].[SEGMENTO_DESCRIP].&amp;[" &amp; $C$6 &amp; "]",
"[Base].[SITUACION]",
"[Base].[SITUACION].&amp;[" &amp; $C66 &amp; "]"
),0)/1000</f>
        <v>1.9232169400200001</v>
      </c>
      <c r="E66" s="8">
        <f>IFERROR(
GETPIVOTDATA(
"[Base].[Importe]",
TDinamica_R!$A$5,
"[Calendario].[AñoMes]",
"[Calendario].[AñoMes].&amp;[" &amp; TEXT(E$6,"yyyymm") &amp; "]",
"[Base].[Metrica]",
"[Base].[Metrica].&amp;[" &amp; $A66 &amp; "]",
"[Base].[SEGMENTO_DESCRIP]",
"[Base].[SEGMENTO_DESCRIP].&amp;[" &amp; $C$6 &amp; "]",
"[Base].[SITUACION]",
"[Base].[SITUACION].&amp;[" &amp; $C66 &amp; "]"
),0)/1000</f>
        <v>-1.2763622398999999</v>
      </c>
      <c r="F66" s="8">
        <f>IFERROR(
GETPIVOTDATA(
"[Base].[Importe]",
TDinamica_R!$A$5,
"[Calendario].[AñoMes]",
"[Calendario].[AñoMes].&amp;[" &amp; TEXT(F$6,"yyyymm") &amp; "]",
"[Base].[Metrica]",
"[Base].[Metrica].&amp;[" &amp; $A66 &amp; "]",
"[Base].[SEGMENTO_DESCRIP]",
"[Base].[SEGMENTO_DESCRIP].&amp;[" &amp; $C$6 &amp; "]",
"[Base].[SITUACION]",
"[Base].[SITUACION].&amp;[" &amp; $C66 &amp; "]"
),0)/1000</f>
        <v>-1.9472452000000002</v>
      </c>
      <c r="G66" s="8">
        <f>IFERROR(
GETPIVOTDATA(
"[Base].[Importe]",
TDinamica_R!$A$5,
"[Calendario].[AñoMes]",
"[Calendario].[AñoMes].&amp;[" &amp; TEXT(G$6,"yyyymm") &amp; "]",
"[Base].[Metrica]",
"[Base].[Metrica].&amp;[" &amp; $A66 &amp; "]",
"[Base].[SEGMENTO_DESCRIP]",
"[Base].[SEGMENTO_DESCRIP].&amp;[" &amp; $C$6 &amp; "]",
"[Base].[SITUACION]",
"[Base].[SITUACION].&amp;[" &amp; $C66 &amp; "]"
),0)/1000</f>
        <v>0.82426108001999998</v>
      </c>
      <c r="H66" s="8">
        <f>IFERROR(
GETPIVOTDATA(
"[Base].[Importe]",
TDinamica_R!$A$5,
"[Calendario].[AñoMes]",
"[Calendario].[AñoMes].&amp;[" &amp; TEXT(H$6,"yyyymm") &amp; "]",
"[Base].[Metrica]",
"[Base].[Metrica].&amp;[" &amp; $A66 &amp; "]",
"[Base].[SEGMENTO_DESCRIP]",
"[Base].[SEGMENTO_DESCRIP].&amp;[" &amp; $C$6 &amp; "]",
"[Base].[SITUACION]",
"[Base].[SITUACION].&amp;[" &amp; $C66 &amp; "]"
),0)/1000</f>
        <v>-1.7879525600999999</v>
      </c>
      <c r="I66" s="8">
        <f>IFERROR(
GETPIVOTDATA(
"[Base].[Importe]",
TDinamica_R!$A$5,
"[Calendario].[AñoMes]",
"[Calendario].[AñoMes].&amp;[" &amp; TEXT(I$6,"yyyymm") &amp; "]",
"[Base].[Metrica]",
"[Base].[Metrica].&amp;[" &amp; $A66 &amp; "]",
"[Base].[SEGMENTO_DESCRIP]",
"[Base].[SEGMENTO_DESCRIP].&amp;[" &amp; $C$6 &amp; "]",
"[Base].[SITUACION]",
"[Base].[SITUACION].&amp;[" &amp; $C66 &amp; "]"
),0)/1000</f>
        <v>0.73089850005000001</v>
      </c>
      <c r="J66" s="8">
        <f>IFERROR(
GETPIVOTDATA(
"[Base].[Importe]",
TDinamica_R!$A$5,
"[Calendario].[AñoMes]",
"[Calendario].[AñoMes].&amp;[" &amp; TEXT(J$6,"yyyymm") &amp; "]",
"[Base].[Metrica]",
"[Base].[Metrica].&amp;[" &amp; $A66 &amp; "]",
"[Base].[SEGMENTO_DESCRIP]",
"[Base].[SEGMENTO_DESCRIP].&amp;[" &amp; $C$6 &amp; "]",
"[Base].[SITUACION]",
"[Base].[SITUACION].&amp;[" &amp; $C66 &amp; "]"
),0)/1000</f>
        <v>-2.0115164896</v>
      </c>
      <c r="K66" s="8">
        <f>IFERROR(
GETPIVOTDATA(
"[Base].[Importe]",
TDinamica_R!$A$5,
"[Calendario].[AñoMes]",
"[Calendario].[AñoMes].&amp;[" &amp; TEXT(K$6,"yyyymm") &amp; "]",
"[Base].[Metrica]",
"[Base].[Metrica].&amp;[" &amp; $A66 &amp; "]",
"[Base].[SEGMENTO_DESCRIP]",
"[Base].[SEGMENTO_DESCRIP].&amp;[" &amp; $C$6 &amp; "]",
"[Base].[SITUACION]",
"[Base].[SITUACION].&amp;[" &amp; $C66 &amp; "]"
),0)/1000</f>
        <v>-12.485058721110001</v>
      </c>
      <c r="L66" s="8">
        <f>IFERROR(
GETPIVOTDATA(
"[Base].[Importe]",
TDinamica_R!$A$5,
"[Calendario].[AñoMes]",
"[Calendario].[AñoMes].&amp;[" &amp; TEXT(L$6,"yyyymm") &amp; "]",
"[Base].[Metrica]",
"[Base].[Metrica].&amp;[" &amp; $A66 &amp; "]",
"[Base].[SEGMENTO_DESCRIP]",
"[Base].[SEGMENTO_DESCRIP].&amp;[" &amp; $C$6 &amp; "]",
"[Base].[SITUACION]",
"[Base].[SITUACION].&amp;[" &amp; $C66 &amp; "]"
),0)/1000</f>
        <v>-1.68621950022</v>
      </c>
      <c r="M66" s="8">
        <f>IFERROR(
GETPIVOTDATA(
"[Base].[Importe]",
TDinamica_R!$A$5,
"[Calendario].[AñoMes]",
"[Calendario].[AñoMes].&amp;[" &amp; TEXT(M$6,"yyyymm") &amp; "]",
"[Base].[Metrica]",
"[Base].[Metrica].&amp;[" &amp; $A66 &amp; "]",
"[Base].[SEGMENTO_DESCRIP]",
"[Base].[SEGMENTO_DESCRIP].&amp;[" &amp; $C$6 &amp; "]",
"[Base].[SITUACION]",
"[Base].[SITUACION].&amp;[" &amp; $C66 &amp; "]"
),0)/1000</f>
        <v>0.10501975</v>
      </c>
      <c r="N66" s="8">
        <f>IFERROR(
GETPIVOTDATA(
"[Base].[Importe]",
TDinamica_R!$A$5,
"[Calendario].[AñoMes]",
"[Calendario].[AñoMes].&amp;[" &amp; TEXT(N$6,"yyyymm") &amp; "]",
"[Base].[Metrica]",
"[Base].[Metrica].&amp;[" &amp; $A66 &amp; "]",
"[Base].[SEGMENTO_DESCRIP]",
"[Base].[SEGMENTO_DESCRIP].&amp;[" &amp; $C$6 &amp; "]",
"[Base].[SITUACION]",
"[Base].[SITUACION].&amp;[" &amp; $C66 &amp; "]"
),0)/1000</f>
        <v>-0.14721582001000003</v>
      </c>
      <c r="O66" s="8">
        <f>IFERROR(
GETPIVOTDATA(
"[Base].[Importe]",
TDinamica_R!$A$5,
"[Calendario].[AñoMes]",
"[Calendario].[AñoMes].&amp;[" &amp; TEXT(O$6,"yyyymm") &amp; "]",
"[Base].[Metrica]",
"[Base].[Metrica].&amp;[" &amp; $A66 &amp; "]",
"[Base].[SEGMENTO_DESCRIP]",
"[Base].[SEGMENTO_DESCRIP].&amp;[" &amp; $C$6 &amp; "]",
"[Base].[SITUACION]",
"[Base].[SITUACION].&amp;[" &amp; $C66 &amp; "]"
),0)/1000</f>
        <v>-3.6795531702900002</v>
      </c>
      <c r="P66" s="8">
        <f>IFERROR(
GETPIVOTDATA(
"[Base].[Importe]",
TDinamica_R!$A$5,
"[Calendario].[AñoMes]",
"[Calendario].[AñoMes].&amp;[" &amp; TEXT(P$6,"yyyymm") &amp; "]",
"[Base].[Metrica]",
"[Base].[Metrica].&amp;[" &amp; $A66 &amp; "]",
"[Base].[SEGMENTO_DESCRIP]",
"[Base].[SEGMENTO_DESCRIP].&amp;[" &amp; $C$6 &amp; "]",
"[Base].[SITUACION]",
"[Base].[SITUACION].&amp;[" &amp; $C66 &amp; "]"
),0)/1000</f>
        <v>0.68597552002900009</v>
      </c>
      <c r="Q66" s="8">
        <f>IFERROR(
GETPIVOTDATA(
"[Base].[Importe]",
TDinamica_R!$A$5,
"[Calendario].[AñoMes]",
"[Calendario].[AñoMes].&amp;[" &amp; TEXT(Q$6,"yyyymm") &amp; "]",
"[Base].[Metrica]",
"[Base].[Metrica].&amp;[" &amp; $A66 &amp; "]",
"[Base].[SEGMENTO_DESCRIP]",
"[Base].[SEGMENTO_DESCRIP].&amp;[" &amp; $C$6 &amp; "]",
"[Base].[SITUACION]",
"[Base].[SITUACION].&amp;[" &amp; $C66 &amp; "]"
),0)/1000</f>
        <v>-1.4399897196000002</v>
      </c>
      <c r="R66" s="8">
        <f>IFERROR(
GETPIVOTDATA(
"[Base].[Importe]",
TDinamica_R!$A$5,
"[Calendario].[AñoMes]",
"[Calendario].[AñoMes].&amp;[" &amp; TEXT(R$6,"yyyymm") &amp; "]",
"[Base].[Metrica]",
"[Base].[Metrica].&amp;[" &amp; $A66 &amp; "]",
"[Base].[SEGMENTO_DESCRIP]",
"[Base].[SEGMENTO_DESCRIP].&amp;[" &amp; $C$6 &amp; "]",
"[Base].[SITUACION]",
"[Base].[SITUACION].&amp;[" &amp; $C66 &amp; "]"
),0)/1000</f>
        <v>0.83781950004999994</v>
      </c>
      <c r="S66" s="8">
        <f>IFERROR(
GETPIVOTDATA(
"[Base].[Importe]",
TDinamica_R!$A$5,
"[Calendario].[AñoMes]",
"[Calendario].[AñoMes].&amp;[" &amp; TEXT(S$6,"yyyymm") &amp; "]",
"[Base].[Metrica]",
"[Base].[Metrica].&amp;[" &amp; $A66 &amp; "]",
"[Base].[SEGMENTO_DESCRIP]",
"[Base].[SEGMENTO_DESCRIP].&amp;[" &amp; $C$6 &amp; "]",
"[Base].[SITUACION]",
"[Base].[SITUACION].&amp;[" &amp; $C66 &amp; "]"
),0)/1000</f>
        <v>-2.8500764002299999</v>
      </c>
      <c r="T66" s="8">
        <f>IFERROR(
GETPIVOTDATA(
"[Base].[Importe]",
TDinamica_R!$A$5,
"[Calendario].[AñoMes]",
"[Calendario].[AñoMes].&amp;[" &amp; TEXT(T$6,"yyyymm") &amp; "]",
"[Base].[Metrica]",
"[Base].[Metrica].&amp;[" &amp; $A66 &amp; "]",
"[Base].[SEGMENTO_DESCRIP]",
"[Base].[SEGMENTO_DESCRIP].&amp;[" &amp; $C$6 &amp; "]",
"[Base].[SITUACION]",
"[Base].[SITUACION].&amp;[" &amp; $C66 &amp; "]"
),0)/1000</f>
        <v>-2.8643402999399998</v>
      </c>
      <c r="U66" s="8">
        <f>IFERROR(
GETPIVOTDATA(
"[Base].[Importe]",
TDinamica_R!$A$5,
"[Calendario].[AñoMes]",
"[Calendario].[AñoMes].&amp;[" &amp; TEXT(U$6,"yyyymm") &amp; "]",
"[Base].[Metrica]",
"[Base].[Metrica].&amp;[" &amp; $A66 &amp; "]",
"[Base].[SEGMENTO_DESCRIP]",
"[Base].[SEGMENTO_DESCRIP].&amp;[" &amp; $C$6 &amp; "]",
"[Base].[SITUACION]",
"[Base].[SITUACION].&amp;[" &amp; $C66 &amp; "]"
),0)/1000</f>
        <v>-0.96026824003</v>
      </c>
      <c r="V66" s="8">
        <f>IFERROR(
GETPIVOTDATA(
"[Base].[Importe]",
TDinamica_R!$A$5,
"[Calendario].[AñoMes]",
"[Calendario].[AñoMes].&amp;[" &amp; TEXT(V$6,"yyyymm") &amp; "]",
"[Base].[Metrica]",
"[Base].[Metrica].&amp;[" &amp; $A66 &amp; "]",
"[Base].[SEGMENTO_DESCRIP]",
"[Base].[SEGMENTO_DESCRIP].&amp;[" &amp; $C$6 &amp; "]",
"[Base].[SITUACION]",
"[Base].[SITUACION].&amp;[" &amp; $C66 &amp; "]"
),0)/1000</f>
        <v>-0.26617600000000002</v>
      </c>
      <c r="W66" s="8">
        <f>IFERROR(
GETPIVOTDATA(
"[Base].[Importe]",
TDinamica_R!$A$5,
"[Calendario].[AñoMes]",
"[Calendario].[AñoMes].&amp;[" &amp; TEXT(W$6,"yyyymm") &amp; "]",
"[Base].[Metrica]",
"[Base].[Metrica].&amp;[" &amp; $A66 &amp; "]",
"[Base].[SEGMENTO_DESCRIP]",
"[Base].[SEGMENTO_DESCRIP].&amp;[" &amp; $C$6 &amp; "]",
"[Base].[SITUACION]",
"[Base].[SITUACION].&amp;[" &amp; $C66 &amp; "]"
),0)/1000</f>
        <v>-3.8418060895100004</v>
      </c>
      <c r="X66" s="8">
        <f>IFERROR(
GETPIVOTDATA(
"[Base].[Importe]",
TDinamica_R!$A$5,
"[Calendario].[AñoMes]",
"[Calendario].[AñoMes].&amp;[" &amp; TEXT(X$6,"yyyymm") &amp; "]",
"[Base].[Metrica]",
"[Base].[Metrica].&amp;[" &amp; $A66 &amp; "]",
"[Base].[SEGMENTO_DESCRIP]",
"[Base].[SEGMENTO_DESCRIP].&amp;[" &amp; $C$6 &amp; "]",
"[Base].[SITUACION]",
"[Base].[SITUACION].&amp;[" &amp; $C66 &amp; "]"
),0)/1000</f>
        <v>-4.8844424397799999</v>
      </c>
      <c r="Y66" s="8">
        <f>IFERROR(
GETPIVOTDATA(
"[Base].[Importe]",
TDinamica_R!$A$5,
"[Calendario].[AñoMes]",
"[Calendario].[AñoMes].&amp;[" &amp; TEXT(Y$6,"yyyymm") &amp; "]",
"[Base].[Metrica]",
"[Base].[Metrica].&amp;[" &amp; $A66 &amp; "]",
"[Base].[SEGMENTO_DESCRIP]",
"[Base].[SEGMENTO_DESCRIP].&amp;[" &amp; $C$6 &amp; "]",
"[Base].[SITUACION]",
"[Base].[SITUACION].&amp;[" &amp; $C66 &amp; "]"
),0)/1000</f>
        <v>2.2578479997000002E-2</v>
      </c>
      <c r="Z66" s="8">
        <f>IFERROR(
GETPIVOTDATA(
"[Base].[Importe]",
TDinamica_R!$A$5,
"[Calendario].[AñoMes]",
"[Calendario].[AñoMes].&amp;[" &amp; TEXT(Z$6,"yyyymm") &amp; "]",
"[Base].[Metrica]",
"[Base].[Metrica].&amp;[" &amp; $A66 &amp; "]",
"[Base].[SEGMENTO_DESCRIP]",
"[Base].[SEGMENTO_DESCRIP].&amp;[" &amp; $C$6 &amp; "]",
"[Base].[SITUACION]",
"[Base].[SITUACION].&amp;[" &amp; $C66 &amp; "]"
),0)/1000</f>
        <v>-0.67323833970000013</v>
      </c>
      <c r="AA66" s="8">
        <f>IFERROR(
GETPIVOTDATA(
"[Base].[Importe]",
TDinamica_R!$A$5,
"[Calendario].[AñoMes]",
"[Calendario].[AñoMes].&amp;[" &amp; TEXT(AA$6,"yyyymm") &amp; "]",
"[Base].[Metrica]",
"[Base].[Metrica].&amp;[" &amp; $A66 &amp; "]",
"[Base].[SEGMENTO_DESCRIP]",
"[Base].[SEGMENTO_DESCRIP].&amp;[" &amp; $C$6 &amp; "]",
"[Base].[SITUACION]",
"[Base].[SITUACION].&amp;[" &amp; $C66 &amp; "]"
),0)/1000</f>
        <v>1.2624534003599999</v>
      </c>
      <c r="AB66" s="8">
        <f>IFERROR(
GETPIVOTDATA(
"[Base].[Importe]",
TDinamica_R!$A$5,
"[Calendario].[AñoMes]",
"[Calendario].[AñoMes].&amp;[" &amp; TEXT(AB$6,"yyyymm") &amp; "]",
"[Base].[Metrica]",
"[Base].[Metrica].&amp;[" &amp; $A66 &amp; "]",
"[Base].[SEGMENTO_DESCRIP]",
"[Base].[SEGMENTO_DESCRIP].&amp;[" &amp; $C$6 &amp; "]",
"[Base].[SITUACION]",
"[Base].[SITUACION].&amp;[" &amp; $C66 &amp; "]"
),0)/1000</f>
        <v>1.0971347497999999</v>
      </c>
      <c r="AC66" s="8">
        <f>IFERROR(
GETPIVOTDATA(
"[Base].[Importe]",
TDinamica_R!$A$5,
"[Calendario].[AñoMes]",
"[Calendario].[AñoMes].&amp;[" &amp; TEXT(AC$6,"yyyymm") &amp; "]",
"[Base].[Metrica]",
"[Base].[Metrica].&amp;[" &amp; $A66 &amp; "]",
"[Base].[SEGMENTO_DESCRIP]",
"[Base].[SEGMENTO_DESCRIP].&amp;[" &amp; $C$6 &amp; "]",
"[Base].[SITUACION]",
"[Base].[SITUACION].&amp;[" &amp; $C66 &amp; "]"
),0)/1000</f>
        <v>-3.4649999998999995E-2</v>
      </c>
      <c r="AD66" s="8">
        <f>IFERROR(
GETPIVOTDATA(
"[Base].[Importe]",
TDinamica_R!$A$5,
"[Calendario].[AñoMes]",
"[Calendario].[AñoMes].&amp;[" &amp; TEXT(AD$6,"yyyymm") &amp; "]",
"[Base].[Metrica]",
"[Base].[Metrica].&amp;[" &amp; $A66 &amp; "]",
"[Base].[SEGMENTO_DESCRIP]",
"[Base].[SEGMENTO_DESCRIP].&amp;[" &amp; $C$6 &amp; "]",
"[Base].[SITUACION]",
"[Base].[SITUACION].&amp;[" &amp; $C66 &amp; "]"
),0)/1000</f>
        <v>1.97634335999</v>
      </c>
      <c r="AE66" s="8">
        <f>IFERROR(
GETPIVOTDATA(
"[Base].[Importe]",
TDinamica_R!$A$5,
"[Calendario].[AñoMes]",
"[Calendario].[AñoMes].&amp;[" &amp; TEXT(AE$6,"yyyymm") &amp; "]",
"[Base].[Metrica]",
"[Base].[Metrica].&amp;[" &amp; $A66 &amp; "]",
"[Base].[SEGMENTO_DESCRIP]",
"[Base].[SEGMENTO_DESCRIP].&amp;[" &amp; $C$6 &amp; "]",
"[Base].[SITUACION]",
"[Base].[SITUACION].&amp;[" &amp; $C66 &amp; "]"
),0)/1000</f>
        <v>-0.65077741</v>
      </c>
      <c r="AF66" s="8">
        <f>IFERROR(
GETPIVOTDATA(
"[Base].[Importe]",
TDinamica_R!$A$5,
"[Calendario].[AñoMes]",
"[Calendario].[AñoMes].&amp;[" &amp; TEXT(AF$6,"yyyymm") &amp; "]",
"[Base].[Metrica]",
"[Base].[Metrica].&amp;[" &amp; $A66 &amp; "]",
"[Base].[SEGMENTO_DESCRIP]",
"[Base].[SEGMENTO_DESCRIP].&amp;[" &amp; $C$6 &amp; "]",
"[Base].[SITUACION]",
"[Base].[SITUACION].&amp;[" &amp; $C66 &amp; "]"
),0)/1000</f>
        <v>1.1801889994999999</v>
      </c>
      <c r="AG66" s="8">
        <f>IFERROR(
GETPIVOTDATA(
"[Base].[Importe]",
TDinamica_R!$A$5,
"[Calendario].[AñoMes]",
"[Calendario].[AñoMes].&amp;[" &amp; TEXT(AG$6,"yyyymm") &amp; "]",
"[Base].[Metrica]",
"[Base].[Metrica].&amp;[" &amp; $A66 &amp; "]",
"[Base].[SEGMENTO_DESCRIP]",
"[Base].[SEGMENTO_DESCRIP].&amp;[" &amp; $C$6 &amp; "]",
"[Base].[SITUACION]",
"[Base].[SITUACION].&amp;[" &amp; $C66 &amp; "]"
),0)/1000</f>
        <v>1.20234495978</v>
      </c>
      <c r="AH66" s="8">
        <f>IFERROR(
GETPIVOTDATA(
"[Base].[Importe]",
TDinamica_R!$A$5,
"[Calendario].[AñoMes]",
"[Calendario].[AñoMes].&amp;[" &amp; TEXT(AH$6,"yyyymm") &amp; "]",
"[Base].[Metrica]",
"[Base].[Metrica].&amp;[" &amp; $A66 &amp; "]",
"[Base].[SEGMENTO_DESCRIP]",
"[Base].[SEGMENTO_DESCRIP].&amp;[" &amp; $C$6 &amp; "]",
"[Base].[SITUACION]",
"[Base].[SITUACION].&amp;[" &amp; $C66 &amp; "]"
),0)/1000</f>
        <v>2.9646070202800003</v>
      </c>
      <c r="AI66" s="8">
        <f>IFERROR(
GETPIVOTDATA(
"[Base].[Importe]",
TDinamica_R!$A$5,
"[Calendario].[AñoMes]",
"[Calendario].[AñoMes].&amp;[" &amp; TEXT(AI$6,"yyyymm") &amp; "]",
"[Base].[Metrica]",
"[Base].[Metrica].&amp;[" &amp; $A66 &amp; "]",
"[Base].[SEGMENTO_DESCRIP]",
"[Base].[SEGMENTO_DESCRIP].&amp;[" &amp; $C$6 &amp; "]",
"[Base].[SITUACION]",
"[Base].[SITUACION].&amp;[" &amp; $C66 &amp; "]"
),0)/1000</f>
        <v>0.82540294994999996</v>
      </c>
      <c r="AJ66" s="8">
        <f>IFERROR(
GETPIVOTDATA(
"[Base].[Importe]",
TDinamica_R!$A$5,
"[Calendario].[AñoMes]",
"[Calendario].[AñoMes].&amp;[" &amp; TEXT(AJ$6,"yyyymm") &amp; "]",
"[Base].[Metrica]",
"[Base].[Metrica].&amp;[" &amp; $A66 &amp; "]",
"[Base].[SEGMENTO_DESCRIP]",
"[Base].[SEGMENTO_DESCRIP].&amp;[" &amp; $C$6 &amp; "]",
"[Base].[SITUACION]",
"[Base].[SITUACION].&amp;[" &amp; $C66 &amp; "]"
),0)/1000</f>
        <v>0.73511168003000005</v>
      </c>
      <c r="AK66" s="8">
        <f>IFERROR(
GETPIVOTDATA(
"[Base].[Importe]",
TDinamica_R!$A$5,
"[Calendario].[AñoMes]",
"[Calendario].[AñoMes].&amp;[" &amp; TEXT(AK$6,"yyyymm") &amp; "]",
"[Base].[Metrica]",
"[Base].[Metrica].&amp;[" &amp; $A66 &amp; "]",
"[Base].[SEGMENTO_DESCRIP]",
"[Base].[SEGMENTO_DESCRIP].&amp;[" &amp; $C$6 &amp; "]",
"[Base].[SITUACION]",
"[Base].[SITUACION].&amp;[" &amp; $C66 &amp; "]"
),0)/1000</f>
        <v>0.95881823997000004</v>
      </c>
      <c r="AL66" s="8">
        <f>IFERROR(
GETPIVOTDATA(
"[Base].[Importe]",
TDinamica_R!$A$5,
"[Calendario].[AñoMes]",
"[Calendario].[AñoMes].&amp;[" &amp; TEXT(AL$6,"yyyymm") &amp; "]",
"[Base].[Metrica]",
"[Base].[Metrica].&amp;[" &amp; $A66 &amp; "]",
"[Base].[SEGMENTO_DESCRIP]",
"[Base].[SEGMENTO_DESCRIP].&amp;[" &amp; $C$6 &amp; "]",
"[Base].[SITUACION]",
"[Base].[SITUACION].&amp;[" &amp; $C66 &amp; "]"
),0)/1000</f>
        <v>2.2711025995899998</v>
      </c>
      <c r="AM66" s="8">
        <f>IFERROR(
GETPIVOTDATA(
"[Base].[Importe]",
TDinamica_R!$A$5,
"[Calendario].[AñoMes]",
"[Calendario].[AñoMes].&amp;[" &amp; TEXT(AM$6,"yyyymm") &amp; "]",
"[Base].[Metrica]",
"[Base].[Metrica].&amp;[" &amp; $A66 &amp; "]",
"[Base].[SEGMENTO_DESCRIP]",
"[Base].[SEGMENTO_DESCRIP].&amp;[" &amp; $C$6 &amp; "]",
"[Base].[SITUACION]",
"[Base].[SITUACION].&amp;[" &amp; $C66 &amp; "]"
),0)/1000</f>
        <v>1.4361541995300002</v>
      </c>
      <c r="AN66" s="8">
        <f>IFERROR(
GETPIVOTDATA(
"[Base].[Importe]",
TDinamica_R!$A$5,
"[Calendario].[AñoMes]",
"[Calendario].[AñoMes].&amp;[" &amp; TEXT(AN$6,"yyyymm") &amp; "]",
"[Base].[Metrica]",
"[Base].[Metrica].&amp;[" &amp; $A66 &amp; "]",
"[Base].[SEGMENTO_DESCRIP]",
"[Base].[SEGMENTO_DESCRIP].&amp;[" &amp; $C$6 &amp; "]",
"[Base].[SITUACION]",
"[Base].[SITUACION].&amp;[" &amp; $C66 &amp; "]"
),0)/1000</f>
        <v>1.5036192899999998</v>
      </c>
      <c r="AO66" s="8">
        <f>IFERROR(
GETPIVOTDATA(
"[Base].[Importe]",
TDinamica_R!$A$5,
"[Calendario].[AñoMes]",
"[Calendario].[AñoMes].&amp;[" &amp; TEXT(AO$6,"yyyymm") &amp; "]",
"[Base].[Metrica]",
"[Base].[Metrica].&amp;[" &amp; $A66 &amp; "]",
"[Base].[SEGMENTO_DESCRIP]",
"[Base].[SEGMENTO_DESCRIP].&amp;[" &amp; $C$6 &amp; "]",
"[Base].[SITUACION]",
"[Base].[SITUACION].&amp;[" &amp; $C66 &amp; "]"
),0)/1000</f>
        <v>1.58850644</v>
      </c>
      <c r="AP66" s="8">
        <f>IFERROR(
GETPIVOTDATA(
"[Base].[Importe]",
TDinamica_R!$A$5,
"[Calendario].[AñoMes]",
"[Calendario].[AñoMes].&amp;[" &amp; TEXT(AP$6,"yyyymm") &amp; "]",
"[Base].[Metrica]",
"[Base].[Metrica].&amp;[" &amp; $A66 &amp; "]",
"[Base].[SEGMENTO_DESCRIP]",
"[Base].[SEGMENTO_DESCRIP].&amp;[" &amp; $C$6 &amp; "]",
"[Base].[SITUACION]",
"[Base].[SITUACION].&amp;[" &amp; $C66 &amp; "]"
),0)/1000</f>
        <v>0.64520450000000007</v>
      </c>
      <c r="AQ66" s="8">
        <f>IFERROR(
GETPIVOTDATA(
"[Base].[Importe]",
TDinamica_R!$A$5,
"[Calendario].[AñoMes]",
"[Calendario].[AñoMes].&amp;[" &amp; TEXT(AQ$6,"yyyymm") &amp; "]",
"[Base].[Metrica]",
"[Base].[Metrica].&amp;[" &amp; $A66 &amp; "]",
"[Base].[SEGMENTO_DESCRIP]",
"[Base].[SEGMENTO_DESCRIP].&amp;[" &amp; $C$6 &amp; "]",
"[Base].[SITUACION]",
"[Base].[SITUACION].&amp;[" &amp; $C66 &amp; "]"
),0)/1000</f>
        <v>0.87484952000000005</v>
      </c>
      <c r="AR66" s="8">
        <f>IFERROR(
GETPIVOTDATA(
"[Base].[Importe]",
TDinamica_R!$A$5,
"[Calendario].[AñoMes]",
"[Calendario].[AñoMes].&amp;[" &amp; TEXT(AR$6,"yyyymm") &amp; "]",
"[Base].[Metrica]",
"[Base].[Metrica].&amp;[" &amp; $A66 &amp; "]",
"[Base].[SEGMENTO_DESCRIP]",
"[Base].[SEGMENTO_DESCRIP].&amp;[" &amp; $C$6 &amp; "]",
"[Base].[SITUACION]",
"[Base].[SITUACION].&amp;[" &amp; $C66 &amp; "]"
),0)/1000</f>
        <v>-1.3366567199999997</v>
      </c>
      <c r="AS66" s="8">
        <f>IFERROR(
GETPIVOTDATA(
"[Base].[Importe]",
TDinamica_R!$A$5,
"[Calendario].[AñoMes]",
"[Calendario].[AñoMes].&amp;[" &amp; TEXT(AS$6,"yyyymm") &amp; "]",
"[Base].[Metrica]",
"[Base].[Metrica].&amp;[" &amp; $A66 &amp; "]",
"[Base].[SEGMENTO_DESCRIP]",
"[Base].[SEGMENTO_DESCRIP].&amp;[" &amp; $C$6 &amp; "]",
"[Base].[SITUACION]",
"[Base].[SITUACION].&amp;[" &amp; $C66 &amp; "]"
),0)/1000</f>
        <v>-0.48982989999999982</v>
      </c>
      <c r="AT66" s="8">
        <f>IFERROR(
GETPIVOTDATA(
"[Base].[Importe]",
TDinamica_R!$A$5,
"[Calendario].[AñoMes]",
"[Calendario].[AñoMes].&amp;[" &amp; TEXT(AT$6,"yyyymm")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U66" s="8">
        <f>IFERROR(
GETPIVOTDATA(
"[Base].[Importe]",
TDinamica_R!$A$5,
"[Calendario].[AñoMes]",
"[Calendario].[AñoMes].&amp;[" &amp; TEXT(AU$6,"yyyymm")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V66" s="8">
        <f>IFERROR(
GETPIVOTDATA(
"[Base].[Importe]",
TDinamica_R!$A$5,
"[Calendario].[AñoMes]",
"[Calendario].[AñoMes].&amp;[" &amp; TEXT(AV$6,"yyyymm")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W66" s="8">
        <f>IFERROR(
GETPIVOTDATA(
"[Base].[Importe]",
TDinamica_R!$A$5,
"[Calendario].[AñoMes]",
"[Calendario].[AñoMes].&amp;[" &amp; TEXT(AW$6,"yyyymm")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X66" s="8">
        <f>IFERROR(
GETPIVOTDATA(
"[Base].[Importe]",
TDinamica_R!$A$5,
"[Calendario].[AñoMes]",
"[Calendario].[AñoMes].&amp;[" &amp; TEXT(AX$6,"yyyymm")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Y66" s="8">
        <f>IFERROR(
GETPIVOTDATA(
"[Base].[Importe]",
TDinamica_R!$A$5,
"[Calendario].[AñoMes]",
"[Calendario].[AñoMes].&amp;[" &amp; TEXT(AY$6,"yyyymm")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Z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"[BASE_HIPO_PPTO].[Periodo]","[BASE_HIPO_PPTO].[Periodo].&amp;["&amp;TEXT(AZ$6,"yyyymm")&amp;"]"),
0)/1000</f>
        <v>0.84838344584823899</v>
      </c>
      <c r="BA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"[BASE_HIPO_PPTO].[Periodo]","[BASE_HIPO_PPTO].[Periodo].&amp;["&amp;TEXT(BA$6,"yyyymm")&amp;"]"),
0)/1000</f>
        <v>0.85281632409526231</v>
      </c>
      <c r="BB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"[BASE_HIPO_PPTO].[Periodo]","[BASE_HIPO_PPTO].[Periodo].&amp;["&amp;TEXT(BB$6,"yyyymm")&amp;"]"),
0)/1000</f>
        <v>0.85626050280179722</v>
      </c>
      <c r="BC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"[BASE_HIPO_PPTO].[Periodo]","[BASE_HIPO_PPTO].[Periodo].&amp;["&amp;TEXT(BC$6,"yyyymm")&amp;"]"),
0)/1000</f>
        <v>0.86034239224327025</v>
      </c>
      <c r="BD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"[BASE_HIPO_PPTO].[Periodo]","[BASE_HIPO_PPTO].[Periodo].&amp;["&amp;TEXT(BD$6,"yyyymm")&amp;"]"),
0)/1000</f>
        <v>0.86537420621917494</v>
      </c>
      <c r="BE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"[BASE_HIPO_PPTO].[Periodo]","[BASE_HIPO_PPTO].[Periodo].&amp;["&amp;TEXT(BE$6,"yyyymm")&amp;"]"),
0)/1000</f>
        <v>0.87113782687662822</v>
      </c>
      <c r="BF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"[BASE_HIPO_PPTO].[Periodo]","[BASE_HIPO_PPTO].[Periodo].&amp;["&amp;TEXT(BF$6,"yyyymm")&amp;"]"),
0)/1000</f>
        <v>0.87617844747566564</v>
      </c>
      <c r="BG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"[BASE_HIPO_PPTO].[Periodo]","[BASE_HIPO_PPTO].[Periodo].&amp;["&amp;TEXT(BG$6,"yyyymm")&amp;"]"),
0)/1000</f>
        <v>0.88330632033958478</v>
      </c>
      <c r="BH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"[BASE_HIPO_PPTO].[Periodo]","[BASE_HIPO_PPTO].[Periodo].&amp;["&amp;TEXT(BH$6,"yyyymm")&amp;"]"),
0)/1000</f>
        <v>0.89016226302323032</v>
      </c>
      <c r="BI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"[BASE_HIPO_PPTO].[Periodo]","[BASE_HIPO_PPTO].[Periodo].&amp;["&amp;TEXT(BI$6,"yyyymm")&amp;"]"),
0)/1000</f>
        <v>0.89872149597412065</v>
      </c>
      <c r="BJ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"[BASE_HIPO_PPTO].[Periodo]","[BASE_HIPO_PPTO].[Periodo].&amp;["&amp;TEXT(BJ$6,"yyyymm")&amp;"]"),
0)/1000</f>
        <v>0.90572939358803295</v>
      </c>
      <c r="BK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"[BASE_HIPO_PPTO].[Periodo]","[BASE_HIPO_PPTO].[Periodo].&amp;["&amp;TEXT(BK$6,"yyyymm")&amp;"]"),
0)/1000</f>
        <v>0.9117115508005067</v>
      </c>
      <c r="BO66" s="24">
        <f t="shared" si="44"/>
        <v>3.73733023</v>
      </c>
      <c r="BP66" s="24">
        <f t="shared" si="44"/>
        <v>2.5574602727452986</v>
      </c>
      <c r="BQ66" s="24">
        <f t="shared" si="44"/>
        <v>3.0921257299999998</v>
      </c>
      <c r="BR66" s="24">
        <f t="shared" si="44"/>
        <v>3.0388281097909999</v>
      </c>
      <c r="BS66" s="24">
        <f t="shared" si="44"/>
        <v>8.3805300478999811E-2</v>
      </c>
      <c r="BT66" s="24">
        <f t="shared" si="44"/>
        <v>-1.30039049988</v>
      </c>
    </row>
    <row r="67" spans="1:72" hidden="1" outlineLevel="1" x14ac:dyDescent="0.25">
      <c r="A67" s="11" t="s">
        <v>71</v>
      </c>
      <c r="C67" s="2"/>
      <c r="D67" s="8">
        <f>IFERROR(
GETPIVOTDATA(
"[Base].[Importe]",
TDinamica_R!$A$5,
"[Calendario].[AñoMes]",
"[Calendario].[AñoMes].&amp;[" &amp; TEXT(D$6,"yyyymm")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E67" s="8">
        <f>IFERROR(
GETPIVOTDATA(
"[Base].[Importe]",
TDinamica_R!$A$5,
"[Calendario].[AñoMes]",
"[Calendario].[AñoMes].&amp;[" &amp; TEXT(E$6,"yyyymm")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F67" s="8">
        <f>IFERROR(
GETPIVOTDATA(
"[Base].[Importe]",
TDinamica_R!$A$5,
"[Calendario].[AñoMes]",
"[Calendario].[AñoMes].&amp;[" &amp; TEXT(F$6,"yyyymm")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G67" s="8">
        <f>IFERROR(
GETPIVOTDATA(
"[Base].[Importe]",
TDinamica_R!$A$5,
"[Calendario].[AñoMes]",
"[Calendario].[AñoMes].&amp;[" &amp; TEXT(G$6,"yyyymm")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H67" s="8">
        <f>IFERROR(
GETPIVOTDATA(
"[Base].[Importe]",
TDinamica_R!$A$5,
"[Calendario].[AñoMes]",
"[Calendario].[AñoMes].&amp;[" &amp; TEXT(H$6,"yyyymm")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I67" s="8">
        <f>IFERROR(
GETPIVOTDATA(
"[Base].[Importe]",
TDinamica_R!$A$5,
"[Calendario].[AñoMes]",
"[Calendario].[AñoMes].&amp;[" &amp; TEXT(I$6,"yyyymm")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J67" s="8">
        <f>IFERROR(
GETPIVOTDATA(
"[Base].[Importe]",
TDinamica_R!$A$5,
"[Calendario].[AñoMes]",
"[Calendario].[AñoMes].&amp;[" &amp; TEXT(J$6,"yyyymm")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K67" s="8">
        <f>IFERROR(
GETPIVOTDATA(
"[Base].[Importe]",
TDinamica_R!$A$5,
"[Calendario].[AñoMes]",
"[Calendario].[AñoMes].&amp;[" &amp; TEXT(K$6,"yyyymm")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L67" s="8">
        <f>IFERROR(
GETPIVOTDATA(
"[Base].[Importe]",
TDinamica_R!$A$5,
"[Calendario].[AñoMes]",
"[Calendario].[AñoMes].&amp;[" &amp; TEXT(L$6,"yyyymm")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M67" s="8">
        <f>IFERROR(
GETPIVOTDATA(
"[Base].[Importe]",
TDinamica_R!$A$5,
"[Calendario].[AñoMes]",
"[Calendario].[AñoMes].&amp;[" &amp; TEXT(M$6,"yyyymm")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N67" s="8">
        <f>IFERROR(
GETPIVOTDATA(
"[Base].[Importe]",
TDinamica_R!$A$5,
"[Calendario].[AñoMes]",
"[Calendario].[AñoMes].&amp;[" &amp; TEXT(N$6,"yyyymm")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O67" s="8">
        <f>IFERROR(
GETPIVOTDATA(
"[Base].[Importe]",
TDinamica_R!$A$5,
"[Calendario].[AñoMes]",
"[Calendario].[AñoMes].&amp;[" &amp; TEXT(O$6,"yyyymm")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P67" s="8">
        <f>IFERROR(
GETPIVOTDATA(
"[Base].[Importe]",
TDinamica_R!$A$5,
"[Calendario].[AñoMes]",
"[Calendario].[AñoMes].&amp;[" &amp; TEXT(P$6,"yyyymm")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Q67" s="8">
        <f>IFERROR(
GETPIVOTDATA(
"[Base].[Importe]",
TDinamica_R!$A$5,
"[Calendario].[AñoMes]",
"[Calendario].[AñoMes].&amp;[" &amp; TEXT(Q$6,"yyyymm")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R67" s="8">
        <f>IFERROR(
GETPIVOTDATA(
"[Base].[Importe]",
TDinamica_R!$A$5,
"[Calendario].[AñoMes]",
"[Calendario].[AñoMes].&amp;[" &amp; TEXT(R$6,"yyyymm")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S67" s="8">
        <f>IFERROR(
GETPIVOTDATA(
"[Base].[Importe]",
TDinamica_R!$A$5,
"[Calendario].[AñoMes]",
"[Calendario].[AñoMes].&amp;[" &amp; TEXT(S$6,"yyyymm")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T67" s="8">
        <f>IFERROR(
GETPIVOTDATA(
"[Base].[Importe]",
TDinamica_R!$A$5,
"[Calendario].[AñoMes]",
"[Calendario].[AñoMes].&amp;[" &amp; TEXT(T$6,"yyyymm")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U67" s="8">
        <f>IFERROR(
GETPIVOTDATA(
"[Base].[Importe]",
TDinamica_R!$A$5,
"[Calendario].[AñoMes]",
"[Calendario].[AñoMes].&amp;[" &amp; TEXT(U$6,"yyyymm")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V67" s="8">
        <f>IFERROR(
GETPIVOTDATA(
"[Base].[Importe]",
TDinamica_R!$A$5,
"[Calendario].[AñoMes]",
"[Calendario].[AñoMes].&amp;[" &amp; TEXT(V$6,"yyyymm")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W67" s="8">
        <f>IFERROR(
GETPIVOTDATA(
"[Base].[Importe]",
TDinamica_R!$A$5,
"[Calendario].[AñoMes]",
"[Calendario].[AñoMes].&amp;[" &amp; TEXT(W$6,"yyyymm")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X67" s="8">
        <f>IFERROR(
GETPIVOTDATA(
"[Base].[Importe]",
TDinamica_R!$A$5,
"[Calendario].[AñoMes]",
"[Calendario].[AñoMes].&amp;[" &amp; TEXT(X$6,"yyyymm")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Y67" s="8">
        <f>IFERROR(
GETPIVOTDATA(
"[Base].[Importe]",
TDinamica_R!$A$5,
"[Calendario].[AñoMes]",
"[Calendario].[AñoMes].&amp;[" &amp; TEXT(Y$6,"yyyymm")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Z67" s="8">
        <f>IFERROR(
GETPIVOTDATA(
"[Base].[Importe]",
TDinamica_R!$A$5,
"[Calendario].[AñoMes]",
"[Calendario].[AñoMes].&amp;[" &amp; TEXT(Z$6,"yyyymm")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A67" s="8">
        <f>IFERROR(
GETPIVOTDATA(
"[Base].[Importe]",
TDinamica_R!$A$5,
"[Calendario].[AñoMes]",
"[Calendario].[AñoMes].&amp;[" &amp; TEXT(AA$6,"yyyymm")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B67" s="8">
        <f>IFERROR(
GETPIVOTDATA(
"[Base].[Importe]",
TDinamica_R!$A$5,
"[Calendario].[AñoMes]",
"[Calendario].[AñoMes].&amp;[" &amp; TEXT(AB$6,"yyyymm")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C67" s="8">
        <f>IFERROR(
GETPIVOTDATA(
"[Base].[Importe]",
TDinamica_R!$A$5,
"[Calendario].[AñoMes]",
"[Calendario].[AñoMes].&amp;[" &amp; TEXT(AC$6,"yyyymm")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D67" s="8">
        <f>IFERROR(
GETPIVOTDATA(
"[Base].[Importe]",
TDinamica_R!$A$5,
"[Calendario].[AñoMes]",
"[Calendario].[AñoMes].&amp;[" &amp; TEXT(AD$6,"yyyymm")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E67" s="8">
        <f>IFERROR(
GETPIVOTDATA(
"[Base].[Importe]",
TDinamica_R!$A$5,
"[Calendario].[AñoMes]",
"[Calendario].[AñoMes].&amp;[" &amp; TEXT(AE$6,"yyyymm")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F67" s="8">
        <f>IFERROR(
GETPIVOTDATA(
"[Base].[Importe]",
TDinamica_R!$A$5,
"[Calendario].[AñoMes]",
"[Calendario].[AñoMes].&amp;[" &amp; TEXT(AF$6,"yyyymm")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G67" s="8">
        <f>IFERROR(
GETPIVOTDATA(
"[Base].[Importe]",
TDinamica_R!$A$5,
"[Calendario].[AñoMes]",
"[Calendario].[AñoMes].&amp;[" &amp; TEXT(AG$6,"yyyymm")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H67" s="8">
        <f>IFERROR(
GETPIVOTDATA(
"[Base].[Importe]",
TDinamica_R!$A$5,
"[Calendario].[AñoMes]",
"[Calendario].[AñoMes].&amp;[" &amp; TEXT(AH$6,"yyyymm")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I67" s="8">
        <f>IFERROR(
GETPIVOTDATA(
"[Base].[Importe]",
TDinamica_R!$A$5,
"[Calendario].[AñoMes]",
"[Calendario].[AñoMes].&amp;[" &amp; TEXT(AI$6,"yyyymm")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J67" s="8">
        <f>IFERROR(
GETPIVOTDATA(
"[Base].[Importe]",
TDinamica_R!$A$5,
"[Calendario].[AñoMes]",
"[Calendario].[AñoMes].&amp;[" &amp; TEXT(AJ$6,"yyyymm")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K67" s="8">
        <f>IFERROR(
GETPIVOTDATA(
"[Base].[Importe]",
TDinamica_R!$A$5,
"[Calendario].[AñoMes]",
"[Calendario].[AñoMes].&amp;[" &amp; TEXT(AK$6,"yyyymm")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L67" s="8">
        <f>IFERROR(
GETPIVOTDATA(
"[Base].[Importe]",
TDinamica_R!$A$5,
"[Calendario].[AñoMes]",
"[Calendario].[AñoMes].&amp;[" &amp; TEXT(AL$6,"yyyymm")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M67" s="8">
        <f>IFERROR(
GETPIVOTDATA(
"[Base].[Importe]",
TDinamica_R!$A$5,
"[Calendario].[AñoMes]",
"[Calendario].[AñoMes].&amp;[" &amp; TEXT(AM$6,"yyyymm")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N67" s="8">
        <f>IFERROR(
GETPIVOTDATA(
"[Base].[Importe]",
TDinamica_R!$A$5,
"[Calendario].[AñoMes]",
"[Calendario].[AñoMes].&amp;[" &amp; TEXT(AN$6,"yyyymm")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O67" s="8">
        <f>IFERROR(
GETPIVOTDATA(
"[Base].[Importe]",
TDinamica_R!$A$5,
"[Calendario].[AñoMes]",
"[Calendario].[AñoMes].&amp;[" &amp; TEXT(AO$6,"yyyymm")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P67" s="8">
        <f>IFERROR(
GETPIVOTDATA(
"[Base].[Importe]",
TDinamica_R!$A$5,
"[Calendario].[AñoMes]",
"[Calendario].[AñoMes].&amp;[" &amp; TEXT(AP$6,"yyyymm")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Q67" s="8">
        <f>IFERROR(
GETPIVOTDATA(
"[Base].[Importe]",
TDinamica_R!$A$5,
"[Calendario].[AñoMes]",
"[Calendario].[AñoMes].&amp;[" &amp; TEXT(AQ$6,"yyyymm")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R67" s="8">
        <f>IFERROR(
GETPIVOTDATA(
"[Base].[Importe]",
TDinamica_R!$A$5,
"[Calendario].[AñoMes]",
"[Calendario].[AñoMes].&amp;[" &amp; TEXT(AR$6,"yyyymm")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S67" s="8">
        <f>IFERROR(
GETPIVOTDATA(
"[Base].[Importe]",
TDinamica_R!$A$5,
"[Calendario].[AñoMes]",
"[Calendario].[AñoMes].&amp;[" &amp; TEXT(AS$6,"yyyymm")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T67" s="8">
        <f>IFERROR(
GETPIVOTDATA(
"[Base].[Importe]",
TDinamica_R!$A$5,
"[Calendario].[AñoMes]",
"[Calendario].[AñoMes].&amp;[" &amp; TEXT(AT$6,"yyyymm")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U67" s="8">
        <f>IFERROR(
GETPIVOTDATA(
"[Base].[Importe]",
TDinamica_R!$A$5,
"[Calendario].[AñoMes]",
"[Calendario].[AñoMes].&amp;[" &amp; TEXT(AU$6,"yyyymm")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V67" s="8">
        <f>IFERROR(
GETPIVOTDATA(
"[Base].[Importe]",
TDinamica_R!$A$5,
"[Calendario].[AñoMes]",
"[Calendario].[AñoMes].&amp;[" &amp; TEXT(AV$6,"yyyymm")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W67" s="8">
        <f>IFERROR(
GETPIVOTDATA(
"[Base].[Importe]",
TDinamica_R!$A$5,
"[Calendario].[AñoMes]",
"[Calendario].[AñoMes].&amp;[" &amp; TEXT(AW$6,"yyyymm")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X67" s="8">
        <f>IFERROR(
GETPIVOTDATA(
"[Base].[Importe]",
TDinamica_R!$A$5,
"[Calendario].[AñoMes]",
"[Calendario].[AñoMes].&amp;[" &amp; TEXT(AX$6,"yyyymm")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Y67" s="8">
        <f>IFERROR(
GETPIVOTDATA(
"[Base].[Importe]",
TDinamica_R!$A$5,
"[Calendario].[AñoMes]",
"[Calendario].[AñoMes].&amp;[" &amp; TEXT(AY$6,"yyyymm")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Z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"[BASE_HIPO_PPTO].[Periodo]","[BASE_HIPO_PPTO].[Periodo].&amp;["&amp;TEXT(AZ$6,"yyyymm")&amp;"]"),
0)/1000</f>
        <v>0</v>
      </c>
      <c r="BA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"[BASE_HIPO_PPTO].[Periodo]","[BASE_HIPO_PPTO].[Periodo].&amp;["&amp;TEXT(BA$6,"yyyymm")&amp;"]"),
0)/1000</f>
        <v>0</v>
      </c>
      <c r="BB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"[BASE_HIPO_PPTO].[Periodo]","[BASE_HIPO_PPTO].[Periodo].&amp;["&amp;TEXT(BB$6,"yyyymm")&amp;"]"),
0)/1000</f>
        <v>0</v>
      </c>
      <c r="BC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"[BASE_HIPO_PPTO].[Periodo]","[BASE_HIPO_PPTO].[Periodo].&amp;["&amp;TEXT(BC$6,"yyyymm")&amp;"]"),
0)/1000</f>
        <v>0</v>
      </c>
      <c r="BD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"[BASE_HIPO_PPTO].[Periodo]","[BASE_HIPO_PPTO].[Periodo].&amp;["&amp;TEXT(BD$6,"yyyymm")&amp;"]"),
0)/1000</f>
        <v>0</v>
      </c>
      <c r="BE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"[BASE_HIPO_PPTO].[Periodo]","[BASE_HIPO_PPTO].[Periodo].&amp;["&amp;TEXT(BE$6,"yyyymm")&amp;"]"),
0)/1000</f>
        <v>0</v>
      </c>
      <c r="BF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"[BASE_HIPO_PPTO].[Periodo]","[BASE_HIPO_PPTO].[Periodo].&amp;["&amp;TEXT(BF$6,"yyyymm")&amp;"]"),
0)/1000</f>
        <v>0</v>
      </c>
      <c r="BG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"[BASE_HIPO_PPTO].[Periodo]","[BASE_HIPO_PPTO].[Periodo].&amp;["&amp;TEXT(BG$6,"yyyymm")&amp;"]"),
0)/1000</f>
        <v>0</v>
      </c>
      <c r="BH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"[BASE_HIPO_PPTO].[Periodo]","[BASE_HIPO_PPTO].[Periodo].&amp;["&amp;TEXT(BH$6,"yyyymm")&amp;"]"),
0)/1000</f>
        <v>0</v>
      </c>
      <c r="BI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"[BASE_HIPO_PPTO].[Periodo]","[BASE_HIPO_PPTO].[Periodo].&amp;["&amp;TEXT(BI$6,"yyyymm")&amp;"]"),
0)/1000</f>
        <v>0</v>
      </c>
      <c r="BJ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"[BASE_HIPO_PPTO].[Periodo]","[BASE_HIPO_PPTO].[Periodo].&amp;["&amp;TEXT(BJ$6,"yyyymm")&amp;"]"),
0)/1000</f>
        <v>0</v>
      </c>
      <c r="BK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"[BASE_HIPO_PPTO].[Periodo]","[BASE_HIPO_PPTO].[Periodo].&amp;["&amp;TEXT(BK$6,"yyyymm")&amp;"]"),
0)/1000</f>
        <v>0</v>
      </c>
      <c r="BO67" s="24">
        <f t="shared" si="44"/>
        <v>0</v>
      </c>
      <c r="BP67" s="24">
        <f t="shared" si="44"/>
        <v>0</v>
      </c>
      <c r="BQ67" s="24">
        <f t="shared" si="44"/>
        <v>0</v>
      </c>
      <c r="BR67" s="24">
        <f t="shared" si="44"/>
        <v>0</v>
      </c>
      <c r="BS67" s="24">
        <f t="shared" si="44"/>
        <v>0</v>
      </c>
      <c r="BT67" s="24">
        <f t="shared" si="44"/>
        <v>0</v>
      </c>
    </row>
    <row r="68" spans="1:72" hidden="1" outlineLevel="1" x14ac:dyDescent="0.25">
      <c r="A68" s="11" t="s">
        <v>71</v>
      </c>
      <c r="C68" s="2"/>
      <c r="D68" s="8">
        <f>IFERROR(
GETPIVOTDATA(
"[Base].[Importe]",
TDinamica_R!$A$5,
"[Calendario].[AñoMes]",
"[Calendario].[AñoMes].&amp;[" &amp; TEXT(D$6,"yyyymm")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E68" s="8">
        <f>IFERROR(
GETPIVOTDATA(
"[Base].[Importe]",
TDinamica_R!$A$5,
"[Calendario].[AñoMes]",
"[Calendario].[AñoMes].&amp;[" &amp; TEXT(E$6,"yyyymm")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F68" s="8">
        <f>IFERROR(
GETPIVOTDATA(
"[Base].[Importe]",
TDinamica_R!$A$5,
"[Calendario].[AñoMes]",
"[Calendario].[AñoMes].&amp;[" &amp; TEXT(F$6,"yyyymm")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G68" s="8">
        <f>IFERROR(
GETPIVOTDATA(
"[Base].[Importe]",
TDinamica_R!$A$5,
"[Calendario].[AñoMes]",
"[Calendario].[AñoMes].&amp;[" &amp; TEXT(G$6,"yyyymm")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H68" s="8">
        <f>IFERROR(
GETPIVOTDATA(
"[Base].[Importe]",
TDinamica_R!$A$5,
"[Calendario].[AñoMes]",
"[Calendario].[AñoMes].&amp;[" &amp; TEXT(H$6,"yyyymm")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I68" s="8">
        <f>IFERROR(
GETPIVOTDATA(
"[Base].[Importe]",
TDinamica_R!$A$5,
"[Calendario].[AñoMes]",
"[Calendario].[AñoMes].&amp;[" &amp; TEXT(I$6,"yyyymm")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J68" s="8">
        <f>IFERROR(
GETPIVOTDATA(
"[Base].[Importe]",
TDinamica_R!$A$5,
"[Calendario].[AñoMes]",
"[Calendario].[AñoMes].&amp;[" &amp; TEXT(J$6,"yyyymm")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K68" s="8">
        <f>IFERROR(
GETPIVOTDATA(
"[Base].[Importe]",
TDinamica_R!$A$5,
"[Calendario].[AñoMes]",
"[Calendario].[AñoMes].&amp;[" &amp; TEXT(K$6,"yyyymm")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L68" s="8">
        <f>IFERROR(
GETPIVOTDATA(
"[Base].[Importe]",
TDinamica_R!$A$5,
"[Calendario].[AñoMes]",
"[Calendario].[AñoMes].&amp;[" &amp; TEXT(L$6,"yyyymm")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M68" s="8">
        <f>IFERROR(
GETPIVOTDATA(
"[Base].[Importe]",
TDinamica_R!$A$5,
"[Calendario].[AñoMes]",
"[Calendario].[AñoMes].&amp;[" &amp; TEXT(M$6,"yyyymm")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N68" s="8">
        <f>IFERROR(
GETPIVOTDATA(
"[Base].[Importe]",
TDinamica_R!$A$5,
"[Calendario].[AñoMes]",
"[Calendario].[AñoMes].&amp;[" &amp; TEXT(N$6,"yyyymm")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O68" s="8">
        <f>IFERROR(
GETPIVOTDATA(
"[Base].[Importe]",
TDinamica_R!$A$5,
"[Calendario].[AñoMes]",
"[Calendario].[AñoMes].&amp;[" &amp; TEXT(O$6,"yyyymm")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P68" s="8">
        <f>IFERROR(
GETPIVOTDATA(
"[Base].[Importe]",
TDinamica_R!$A$5,
"[Calendario].[AñoMes]",
"[Calendario].[AñoMes].&amp;[" &amp; TEXT(P$6,"yyyymm")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Q68" s="8">
        <f>IFERROR(
GETPIVOTDATA(
"[Base].[Importe]",
TDinamica_R!$A$5,
"[Calendario].[AñoMes]",
"[Calendario].[AñoMes].&amp;[" &amp; TEXT(Q$6,"yyyymm")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R68" s="8">
        <f>IFERROR(
GETPIVOTDATA(
"[Base].[Importe]",
TDinamica_R!$A$5,
"[Calendario].[AñoMes]",
"[Calendario].[AñoMes].&amp;[" &amp; TEXT(R$6,"yyyymm")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S68" s="8">
        <f>IFERROR(
GETPIVOTDATA(
"[Base].[Importe]",
TDinamica_R!$A$5,
"[Calendario].[AñoMes]",
"[Calendario].[AñoMes].&amp;[" &amp; TEXT(S$6,"yyyymm")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T68" s="8">
        <f>IFERROR(
GETPIVOTDATA(
"[Base].[Importe]",
TDinamica_R!$A$5,
"[Calendario].[AñoMes]",
"[Calendario].[AñoMes].&amp;[" &amp; TEXT(T$6,"yyyymm")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U68" s="8">
        <f>IFERROR(
GETPIVOTDATA(
"[Base].[Importe]",
TDinamica_R!$A$5,
"[Calendario].[AñoMes]",
"[Calendario].[AñoMes].&amp;[" &amp; TEXT(U$6,"yyyymm")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V68" s="8">
        <f>IFERROR(
GETPIVOTDATA(
"[Base].[Importe]",
TDinamica_R!$A$5,
"[Calendario].[AñoMes]",
"[Calendario].[AñoMes].&amp;[" &amp; TEXT(V$6,"yyyymm")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W68" s="8">
        <f>IFERROR(
GETPIVOTDATA(
"[Base].[Importe]",
TDinamica_R!$A$5,
"[Calendario].[AñoMes]",
"[Calendario].[AñoMes].&amp;[" &amp; TEXT(W$6,"yyyymm")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X68" s="8">
        <f>IFERROR(
GETPIVOTDATA(
"[Base].[Importe]",
TDinamica_R!$A$5,
"[Calendario].[AñoMes]",
"[Calendario].[AñoMes].&amp;[" &amp; TEXT(X$6,"yyyymm")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Y68" s="8">
        <f>IFERROR(
GETPIVOTDATA(
"[Base].[Importe]",
TDinamica_R!$A$5,
"[Calendario].[AñoMes]",
"[Calendario].[AñoMes].&amp;[" &amp; TEXT(Y$6,"yyyymm")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Z68" s="8">
        <f>IFERROR(
GETPIVOTDATA(
"[Base].[Importe]",
TDinamica_R!$A$5,
"[Calendario].[AñoMes]",
"[Calendario].[AñoMes].&amp;[" &amp; TEXT(Z$6,"yyyymm")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A68" s="8">
        <f>IFERROR(
GETPIVOTDATA(
"[Base].[Importe]",
TDinamica_R!$A$5,
"[Calendario].[AñoMes]",
"[Calendario].[AñoMes].&amp;[" &amp; TEXT(AA$6,"yyyymm")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B68" s="8">
        <f>IFERROR(
GETPIVOTDATA(
"[Base].[Importe]",
TDinamica_R!$A$5,
"[Calendario].[AñoMes]",
"[Calendario].[AñoMes].&amp;[" &amp; TEXT(AB$6,"yyyymm")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C68" s="8">
        <f>IFERROR(
GETPIVOTDATA(
"[Base].[Importe]",
TDinamica_R!$A$5,
"[Calendario].[AñoMes]",
"[Calendario].[AñoMes].&amp;[" &amp; TEXT(AC$6,"yyyymm")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D68" s="8">
        <f>IFERROR(
GETPIVOTDATA(
"[Base].[Importe]",
TDinamica_R!$A$5,
"[Calendario].[AñoMes]",
"[Calendario].[AñoMes].&amp;[" &amp; TEXT(AD$6,"yyyymm")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E68" s="8">
        <f>IFERROR(
GETPIVOTDATA(
"[Base].[Importe]",
TDinamica_R!$A$5,
"[Calendario].[AñoMes]",
"[Calendario].[AñoMes].&amp;[" &amp; TEXT(AE$6,"yyyymm")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F68" s="8">
        <f>IFERROR(
GETPIVOTDATA(
"[Base].[Importe]",
TDinamica_R!$A$5,
"[Calendario].[AñoMes]",
"[Calendario].[AñoMes].&amp;[" &amp; TEXT(AF$6,"yyyymm")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G68" s="8">
        <f>IFERROR(
GETPIVOTDATA(
"[Base].[Importe]",
TDinamica_R!$A$5,
"[Calendario].[AñoMes]",
"[Calendario].[AñoMes].&amp;[" &amp; TEXT(AG$6,"yyyymm")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H68" s="8">
        <f>IFERROR(
GETPIVOTDATA(
"[Base].[Importe]",
TDinamica_R!$A$5,
"[Calendario].[AñoMes]",
"[Calendario].[AñoMes].&amp;[" &amp; TEXT(AH$6,"yyyymm")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I68" s="8">
        <f>IFERROR(
GETPIVOTDATA(
"[Base].[Importe]",
TDinamica_R!$A$5,
"[Calendario].[AñoMes]",
"[Calendario].[AñoMes].&amp;[" &amp; TEXT(AI$6,"yyyymm")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J68" s="8">
        <f>IFERROR(
GETPIVOTDATA(
"[Base].[Importe]",
TDinamica_R!$A$5,
"[Calendario].[AñoMes]",
"[Calendario].[AñoMes].&amp;[" &amp; TEXT(AJ$6,"yyyymm")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K68" s="8">
        <f>IFERROR(
GETPIVOTDATA(
"[Base].[Importe]",
TDinamica_R!$A$5,
"[Calendario].[AñoMes]",
"[Calendario].[AñoMes].&amp;[" &amp; TEXT(AK$6,"yyyymm")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L68" s="8">
        <f>IFERROR(
GETPIVOTDATA(
"[Base].[Importe]",
TDinamica_R!$A$5,
"[Calendario].[AñoMes]",
"[Calendario].[AñoMes].&amp;[" &amp; TEXT(AL$6,"yyyymm")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M68" s="8">
        <f>IFERROR(
GETPIVOTDATA(
"[Base].[Importe]",
TDinamica_R!$A$5,
"[Calendario].[AñoMes]",
"[Calendario].[AñoMes].&amp;[" &amp; TEXT(AM$6,"yyyymm")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N68" s="8">
        <f>IFERROR(
GETPIVOTDATA(
"[Base].[Importe]",
TDinamica_R!$A$5,
"[Calendario].[AñoMes]",
"[Calendario].[AñoMes].&amp;[" &amp; TEXT(AN$6,"yyyymm")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O68" s="8">
        <f>IFERROR(
GETPIVOTDATA(
"[Base].[Importe]",
TDinamica_R!$A$5,
"[Calendario].[AñoMes]",
"[Calendario].[AñoMes].&amp;[" &amp; TEXT(AO$6,"yyyymm")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P68" s="8">
        <f>IFERROR(
GETPIVOTDATA(
"[Base].[Importe]",
TDinamica_R!$A$5,
"[Calendario].[AñoMes]",
"[Calendario].[AñoMes].&amp;[" &amp; TEXT(AP$6,"yyyymm")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Q68" s="8">
        <f>IFERROR(
GETPIVOTDATA(
"[Base].[Importe]",
TDinamica_R!$A$5,
"[Calendario].[AñoMes]",
"[Calendario].[AñoMes].&amp;[" &amp; TEXT(AQ$6,"yyyymm")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R68" s="8">
        <f>IFERROR(
GETPIVOTDATA(
"[Base].[Importe]",
TDinamica_R!$A$5,
"[Calendario].[AñoMes]",
"[Calendario].[AñoMes].&amp;[" &amp; TEXT(AR$6,"yyyymm")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S68" s="8">
        <f>IFERROR(
GETPIVOTDATA(
"[Base].[Importe]",
TDinamica_R!$A$5,
"[Calendario].[AñoMes]",
"[Calendario].[AñoMes].&amp;[" &amp; TEXT(AS$6,"yyyymm")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T68" s="8">
        <f>IFERROR(
GETPIVOTDATA(
"[Base].[Importe]",
TDinamica_R!$A$5,
"[Calendario].[AñoMes]",
"[Calendario].[AñoMes].&amp;[" &amp; TEXT(AT$6,"yyyymm")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U68" s="8">
        <f>IFERROR(
GETPIVOTDATA(
"[Base].[Importe]",
TDinamica_R!$A$5,
"[Calendario].[AñoMes]",
"[Calendario].[AñoMes].&amp;[" &amp; TEXT(AU$6,"yyyymm")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V68" s="8">
        <f>IFERROR(
GETPIVOTDATA(
"[Base].[Importe]",
TDinamica_R!$A$5,
"[Calendario].[AñoMes]",
"[Calendario].[AñoMes].&amp;[" &amp; TEXT(AV$6,"yyyymm")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W68" s="8">
        <f>IFERROR(
GETPIVOTDATA(
"[Base].[Importe]",
TDinamica_R!$A$5,
"[Calendario].[AñoMes]",
"[Calendario].[AñoMes].&amp;[" &amp; TEXT(AW$6,"yyyymm")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X68" s="8">
        <f>IFERROR(
GETPIVOTDATA(
"[Base].[Importe]",
TDinamica_R!$A$5,
"[Calendario].[AñoMes]",
"[Calendario].[AñoMes].&amp;[" &amp; TEXT(AX$6,"yyyymm")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Y68" s="8">
        <f>IFERROR(
GETPIVOTDATA(
"[Base].[Importe]",
TDinamica_R!$A$5,
"[Calendario].[AñoMes]",
"[Calendario].[AñoMes].&amp;[" &amp; TEXT(AY$6,"yyyymm")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Z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"[BASE_HIPO_PPTO].[Periodo]","[BASE_HIPO_PPTO].[Periodo].&amp;["&amp;TEXT(AZ$6,"yyyymm")&amp;"]"),
0)/1000</f>
        <v>0</v>
      </c>
      <c r="BA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"[BASE_HIPO_PPTO].[Periodo]","[BASE_HIPO_PPTO].[Periodo].&amp;["&amp;TEXT(BA$6,"yyyymm")&amp;"]"),
0)/1000</f>
        <v>0</v>
      </c>
      <c r="BB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"[BASE_HIPO_PPTO].[Periodo]","[BASE_HIPO_PPTO].[Periodo].&amp;["&amp;TEXT(BB$6,"yyyymm")&amp;"]"),
0)/1000</f>
        <v>0</v>
      </c>
      <c r="BC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"[BASE_HIPO_PPTO].[Periodo]","[BASE_HIPO_PPTO].[Periodo].&amp;["&amp;TEXT(BC$6,"yyyymm")&amp;"]"),
0)/1000</f>
        <v>0</v>
      </c>
      <c r="BD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"[BASE_HIPO_PPTO].[Periodo]","[BASE_HIPO_PPTO].[Periodo].&amp;["&amp;TEXT(BD$6,"yyyymm")&amp;"]"),
0)/1000</f>
        <v>0</v>
      </c>
      <c r="BE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"[BASE_HIPO_PPTO].[Periodo]","[BASE_HIPO_PPTO].[Periodo].&amp;["&amp;TEXT(BE$6,"yyyymm")&amp;"]"),
0)/1000</f>
        <v>0</v>
      </c>
      <c r="BF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"[BASE_HIPO_PPTO].[Periodo]","[BASE_HIPO_PPTO].[Periodo].&amp;["&amp;TEXT(BF$6,"yyyymm")&amp;"]"),
0)/1000</f>
        <v>0</v>
      </c>
      <c r="BG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"[BASE_HIPO_PPTO].[Periodo]","[BASE_HIPO_PPTO].[Periodo].&amp;["&amp;TEXT(BG$6,"yyyymm")&amp;"]"),
0)/1000</f>
        <v>0</v>
      </c>
      <c r="BH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"[BASE_HIPO_PPTO].[Periodo]","[BASE_HIPO_PPTO].[Periodo].&amp;["&amp;TEXT(BH$6,"yyyymm")&amp;"]"),
0)/1000</f>
        <v>0</v>
      </c>
      <c r="BI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"[BASE_HIPO_PPTO].[Periodo]","[BASE_HIPO_PPTO].[Periodo].&amp;["&amp;TEXT(BI$6,"yyyymm")&amp;"]"),
0)/1000</f>
        <v>0</v>
      </c>
      <c r="BJ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"[BASE_HIPO_PPTO].[Periodo]","[BASE_HIPO_PPTO].[Periodo].&amp;["&amp;TEXT(BJ$6,"yyyymm")&amp;"]"),
0)/1000</f>
        <v>0</v>
      </c>
      <c r="BK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"[BASE_HIPO_PPTO].[Periodo]","[BASE_HIPO_PPTO].[Periodo].&amp;["&amp;TEXT(BK$6,"yyyymm")&amp;"]"),
0)/1000</f>
        <v>0</v>
      </c>
      <c r="BO68" s="24">
        <f t="shared" si="44"/>
        <v>0</v>
      </c>
      <c r="BP68" s="24">
        <f t="shared" si="44"/>
        <v>0</v>
      </c>
      <c r="BQ68" s="24">
        <f t="shared" si="44"/>
        <v>0</v>
      </c>
      <c r="BR68" s="24">
        <f t="shared" si="44"/>
        <v>0</v>
      </c>
      <c r="BS68" s="24">
        <f t="shared" si="44"/>
        <v>0</v>
      </c>
      <c r="BT68" s="24">
        <f t="shared" si="44"/>
        <v>0</v>
      </c>
    </row>
    <row r="69" spans="1:72" hidden="1" outlineLevel="1" x14ac:dyDescent="0.25">
      <c r="A69" s="11" t="s">
        <v>71</v>
      </c>
      <c r="C69" s="2"/>
      <c r="D69" s="8">
        <f>IFERROR(
GETPIVOTDATA(
"[Base].[Importe]",
TDinamica_R!$A$5,
"[Calendario].[AñoMes]",
"[Calendario].[AñoMes].&amp;[" &amp; TEXT(D$6,"yyyymm")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E69" s="8">
        <f>IFERROR(
GETPIVOTDATA(
"[Base].[Importe]",
TDinamica_R!$A$5,
"[Calendario].[AñoMes]",
"[Calendario].[AñoMes].&amp;[" &amp; TEXT(E$6,"yyyymm")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F69" s="8">
        <f>IFERROR(
GETPIVOTDATA(
"[Base].[Importe]",
TDinamica_R!$A$5,
"[Calendario].[AñoMes]",
"[Calendario].[AñoMes].&amp;[" &amp; TEXT(F$6,"yyyymm")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G69" s="8">
        <f>IFERROR(
GETPIVOTDATA(
"[Base].[Importe]",
TDinamica_R!$A$5,
"[Calendario].[AñoMes]",
"[Calendario].[AñoMes].&amp;[" &amp; TEXT(G$6,"yyyymm")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H69" s="8">
        <f>IFERROR(
GETPIVOTDATA(
"[Base].[Importe]",
TDinamica_R!$A$5,
"[Calendario].[AñoMes]",
"[Calendario].[AñoMes].&amp;[" &amp; TEXT(H$6,"yyyymm")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I69" s="8">
        <f>IFERROR(
GETPIVOTDATA(
"[Base].[Importe]",
TDinamica_R!$A$5,
"[Calendario].[AñoMes]",
"[Calendario].[AñoMes].&amp;[" &amp; TEXT(I$6,"yyyymm")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J69" s="8">
        <f>IFERROR(
GETPIVOTDATA(
"[Base].[Importe]",
TDinamica_R!$A$5,
"[Calendario].[AñoMes]",
"[Calendario].[AñoMes].&amp;[" &amp; TEXT(J$6,"yyyymm")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K69" s="8">
        <f>IFERROR(
GETPIVOTDATA(
"[Base].[Importe]",
TDinamica_R!$A$5,
"[Calendario].[AñoMes]",
"[Calendario].[AñoMes].&amp;[" &amp; TEXT(K$6,"yyyymm")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L69" s="8">
        <f>IFERROR(
GETPIVOTDATA(
"[Base].[Importe]",
TDinamica_R!$A$5,
"[Calendario].[AñoMes]",
"[Calendario].[AñoMes].&amp;[" &amp; TEXT(L$6,"yyyymm")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M69" s="8">
        <f>IFERROR(
GETPIVOTDATA(
"[Base].[Importe]",
TDinamica_R!$A$5,
"[Calendario].[AñoMes]",
"[Calendario].[AñoMes].&amp;[" &amp; TEXT(M$6,"yyyymm")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N69" s="8">
        <f>IFERROR(
GETPIVOTDATA(
"[Base].[Importe]",
TDinamica_R!$A$5,
"[Calendario].[AñoMes]",
"[Calendario].[AñoMes].&amp;[" &amp; TEXT(N$6,"yyyymm")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O69" s="8">
        <f>IFERROR(
GETPIVOTDATA(
"[Base].[Importe]",
TDinamica_R!$A$5,
"[Calendario].[AñoMes]",
"[Calendario].[AñoMes].&amp;[" &amp; TEXT(O$6,"yyyymm")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P69" s="8">
        <f>IFERROR(
GETPIVOTDATA(
"[Base].[Importe]",
TDinamica_R!$A$5,
"[Calendario].[AñoMes]",
"[Calendario].[AñoMes].&amp;[" &amp; TEXT(P$6,"yyyymm")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Q69" s="8">
        <f>IFERROR(
GETPIVOTDATA(
"[Base].[Importe]",
TDinamica_R!$A$5,
"[Calendario].[AñoMes]",
"[Calendario].[AñoMes].&amp;[" &amp; TEXT(Q$6,"yyyymm")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R69" s="8">
        <f>IFERROR(
GETPIVOTDATA(
"[Base].[Importe]",
TDinamica_R!$A$5,
"[Calendario].[AñoMes]",
"[Calendario].[AñoMes].&amp;[" &amp; TEXT(R$6,"yyyymm")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S69" s="8">
        <f>IFERROR(
GETPIVOTDATA(
"[Base].[Importe]",
TDinamica_R!$A$5,
"[Calendario].[AñoMes]",
"[Calendario].[AñoMes].&amp;[" &amp; TEXT(S$6,"yyyymm")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T69" s="8">
        <f>IFERROR(
GETPIVOTDATA(
"[Base].[Importe]",
TDinamica_R!$A$5,
"[Calendario].[AñoMes]",
"[Calendario].[AñoMes].&amp;[" &amp; TEXT(T$6,"yyyymm")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U69" s="8">
        <f>IFERROR(
GETPIVOTDATA(
"[Base].[Importe]",
TDinamica_R!$A$5,
"[Calendario].[AñoMes]",
"[Calendario].[AñoMes].&amp;[" &amp; TEXT(U$6,"yyyymm")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V69" s="8">
        <f>IFERROR(
GETPIVOTDATA(
"[Base].[Importe]",
TDinamica_R!$A$5,
"[Calendario].[AñoMes]",
"[Calendario].[AñoMes].&amp;[" &amp; TEXT(V$6,"yyyymm")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W69" s="8">
        <f>IFERROR(
GETPIVOTDATA(
"[Base].[Importe]",
TDinamica_R!$A$5,
"[Calendario].[AñoMes]",
"[Calendario].[AñoMes].&amp;[" &amp; TEXT(W$6,"yyyymm")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X69" s="8">
        <f>IFERROR(
GETPIVOTDATA(
"[Base].[Importe]",
TDinamica_R!$A$5,
"[Calendario].[AñoMes]",
"[Calendario].[AñoMes].&amp;[" &amp; TEXT(X$6,"yyyymm")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Y69" s="8">
        <f>IFERROR(
GETPIVOTDATA(
"[Base].[Importe]",
TDinamica_R!$A$5,
"[Calendario].[AñoMes]",
"[Calendario].[AñoMes].&amp;[" &amp; TEXT(Y$6,"yyyymm")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Z69" s="8">
        <f>IFERROR(
GETPIVOTDATA(
"[Base].[Importe]",
TDinamica_R!$A$5,
"[Calendario].[AñoMes]",
"[Calendario].[AñoMes].&amp;[" &amp; TEXT(Z$6,"yyyymm")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A69" s="8">
        <f>IFERROR(
GETPIVOTDATA(
"[Base].[Importe]",
TDinamica_R!$A$5,
"[Calendario].[AñoMes]",
"[Calendario].[AñoMes].&amp;[" &amp; TEXT(AA$6,"yyyymm")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B69" s="8">
        <f>IFERROR(
GETPIVOTDATA(
"[Base].[Importe]",
TDinamica_R!$A$5,
"[Calendario].[AñoMes]",
"[Calendario].[AñoMes].&amp;[" &amp; TEXT(AB$6,"yyyymm")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C69" s="8">
        <f>IFERROR(
GETPIVOTDATA(
"[Base].[Importe]",
TDinamica_R!$A$5,
"[Calendario].[AñoMes]",
"[Calendario].[AñoMes].&amp;[" &amp; TEXT(AC$6,"yyyymm")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D69" s="8">
        <f>IFERROR(
GETPIVOTDATA(
"[Base].[Importe]",
TDinamica_R!$A$5,
"[Calendario].[AñoMes]",
"[Calendario].[AñoMes].&amp;[" &amp; TEXT(AD$6,"yyyymm")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E69" s="8">
        <f>IFERROR(
GETPIVOTDATA(
"[Base].[Importe]",
TDinamica_R!$A$5,
"[Calendario].[AñoMes]",
"[Calendario].[AñoMes].&amp;[" &amp; TEXT(AE$6,"yyyymm")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F69" s="8">
        <f>IFERROR(
GETPIVOTDATA(
"[Base].[Importe]",
TDinamica_R!$A$5,
"[Calendario].[AñoMes]",
"[Calendario].[AñoMes].&amp;[" &amp; TEXT(AF$6,"yyyymm")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G69" s="8">
        <f>IFERROR(
GETPIVOTDATA(
"[Base].[Importe]",
TDinamica_R!$A$5,
"[Calendario].[AñoMes]",
"[Calendario].[AñoMes].&amp;[" &amp; TEXT(AG$6,"yyyymm")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H69" s="8">
        <f>IFERROR(
GETPIVOTDATA(
"[Base].[Importe]",
TDinamica_R!$A$5,
"[Calendario].[AñoMes]",
"[Calendario].[AñoMes].&amp;[" &amp; TEXT(AH$6,"yyyymm")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I69" s="8">
        <f>IFERROR(
GETPIVOTDATA(
"[Base].[Importe]",
TDinamica_R!$A$5,
"[Calendario].[AñoMes]",
"[Calendario].[AñoMes].&amp;[" &amp; TEXT(AI$6,"yyyymm")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J69" s="8">
        <f>IFERROR(
GETPIVOTDATA(
"[Base].[Importe]",
TDinamica_R!$A$5,
"[Calendario].[AñoMes]",
"[Calendario].[AñoMes].&amp;[" &amp; TEXT(AJ$6,"yyyymm")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K69" s="8">
        <f>IFERROR(
GETPIVOTDATA(
"[Base].[Importe]",
TDinamica_R!$A$5,
"[Calendario].[AñoMes]",
"[Calendario].[AñoMes].&amp;[" &amp; TEXT(AK$6,"yyyymm")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L69" s="8">
        <f>IFERROR(
GETPIVOTDATA(
"[Base].[Importe]",
TDinamica_R!$A$5,
"[Calendario].[AñoMes]",
"[Calendario].[AñoMes].&amp;[" &amp; TEXT(AL$6,"yyyymm")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M69" s="8">
        <f>IFERROR(
GETPIVOTDATA(
"[Base].[Importe]",
TDinamica_R!$A$5,
"[Calendario].[AñoMes]",
"[Calendario].[AñoMes].&amp;[" &amp; TEXT(AM$6,"yyyymm")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N69" s="8">
        <f>IFERROR(
GETPIVOTDATA(
"[Base].[Importe]",
TDinamica_R!$A$5,
"[Calendario].[AñoMes]",
"[Calendario].[AñoMes].&amp;[" &amp; TEXT(AN$6,"yyyymm")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O69" s="8">
        <f>IFERROR(
GETPIVOTDATA(
"[Base].[Importe]",
TDinamica_R!$A$5,
"[Calendario].[AñoMes]",
"[Calendario].[AñoMes].&amp;[" &amp; TEXT(AO$6,"yyyymm")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P69" s="8">
        <f>IFERROR(
GETPIVOTDATA(
"[Base].[Importe]",
TDinamica_R!$A$5,
"[Calendario].[AñoMes]",
"[Calendario].[AñoMes].&amp;[" &amp; TEXT(AP$6,"yyyymm")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Q69" s="8">
        <f>IFERROR(
GETPIVOTDATA(
"[Base].[Importe]",
TDinamica_R!$A$5,
"[Calendario].[AñoMes]",
"[Calendario].[AñoMes].&amp;[" &amp; TEXT(AQ$6,"yyyymm")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R69" s="8">
        <f>IFERROR(
GETPIVOTDATA(
"[Base].[Importe]",
TDinamica_R!$A$5,
"[Calendario].[AñoMes]",
"[Calendario].[AñoMes].&amp;[" &amp; TEXT(AR$6,"yyyymm")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S69" s="8">
        <f>IFERROR(
GETPIVOTDATA(
"[Base].[Importe]",
TDinamica_R!$A$5,
"[Calendario].[AñoMes]",
"[Calendario].[AñoMes].&amp;[" &amp; TEXT(AS$6,"yyyymm")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T69" s="8">
        <f>IFERROR(
GETPIVOTDATA(
"[Base].[Importe]",
TDinamica_R!$A$5,
"[Calendario].[AñoMes]",
"[Calendario].[AñoMes].&amp;[" &amp; TEXT(AT$6,"yyyymm")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U69" s="8">
        <f>IFERROR(
GETPIVOTDATA(
"[Base].[Importe]",
TDinamica_R!$A$5,
"[Calendario].[AñoMes]",
"[Calendario].[AñoMes].&amp;[" &amp; TEXT(AU$6,"yyyymm")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V69" s="8">
        <f>IFERROR(
GETPIVOTDATA(
"[Base].[Importe]",
TDinamica_R!$A$5,
"[Calendario].[AñoMes]",
"[Calendario].[AñoMes].&amp;[" &amp; TEXT(AV$6,"yyyymm")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W69" s="8">
        <f>IFERROR(
GETPIVOTDATA(
"[Base].[Importe]",
TDinamica_R!$A$5,
"[Calendario].[AñoMes]",
"[Calendario].[AñoMes].&amp;[" &amp; TEXT(AW$6,"yyyymm")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X69" s="8">
        <f>IFERROR(
GETPIVOTDATA(
"[Base].[Importe]",
TDinamica_R!$A$5,
"[Calendario].[AñoMes]",
"[Calendario].[AñoMes].&amp;[" &amp; TEXT(AX$6,"yyyymm")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Y69" s="8">
        <f>IFERROR(
GETPIVOTDATA(
"[Base].[Importe]",
TDinamica_R!$A$5,
"[Calendario].[AñoMes]",
"[Calendario].[AñoMes].&amp;[" &amp; TEXT(AY$6,"yyyymm")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Z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"[BASE_HIPO_PPTO].[Periodo]","[BASE_HIPO_PPTO].[Periodo].&amp;["&amp;TEXT(AZ$6,"yyyymm")&amp;"]"),
0)/1000</f>
        <v>0</v>
      </c>
      <c r="BA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"[BASE_HIPO_PPTO].[Periodo]","[BASE_HIPO_PPTO].[Periodo].&amp;["&amp;TEXT(BA$6,"yyyymm")&amp;"]"),
0)/1000</f>
        <v>0</v>
      </c>
      <c r="BB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"[BASE_HIPO_PPTO].[Periodo]","[BASE_HIPO_PPTO].[Periodo].&amp;["&amp;TEXT(BB$6,"yyyymm")&amp;"]"),
0)/1000</f>
        <v>0</v>
      </c>
      <c r="BC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"[BASE_HIPO_PPTO].[Periodo]","[BASE_HIPO_PPTO].[Periodo].&amp;["&amp;TEXT(BC$6,"yyyymm")&amp;"]"),
0)/1000</f>
        <v>0</v>
      </c>
      <c r="BD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"[BASE_HIPO_PPTO].[Periodo]","[BASE_HIPO_PPTO].[Periodo].&amp;["&amp;TEXT(BD$6,"yyyymm")&amp;"]"),
0)/1000</f>
        <v>0</v>
      </c>
      <c r="BE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"[BASE_HIPO_PPTO].[Periodo]","[BASE_HIPO_PPTO].[Periodo].&amp;["&amp;TEXT(BE$6,"yyyymm")&amp;"]"),
0)/1000</f>
        <v>0</v>
      </c>
      <c r="BF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"[BASE_HIPO_PPTO].[Periodo]","[BASE_HIPO_PPTO].[Periodo].&amp;["&amp;TEXT(BF$6,"yyyymm")&amp;"]"),
0)/1000</f>
        <v>0</v>
      </c>
      <c r="BG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"[BASE_HIPO_PPTO].[Periodo]","[BASE_HIPO_PPTO].[Periodo].&amp;["&amp;TEXT(BG$6,"yyyymm")&amp;"]"),
0)/1000</f>
        <v>0</v>
      </c>
      <c r="BH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"[BASE_HIPO_PPTO].[Periodo]","[BASE_HIPO_PPTO].[Periodo].&amp;["&amp;TEXT(BH$6,"yyyymm")&amp;"]"),
0)/1000</f>
        <v>0</v>
      </c>
      <c r="BI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"[BASE_HIPO_PPTO].[Periodo]","[BASE_HIPO_PPTO].[Periodo].&amp;["&amp;TEXT(BI$6,"yyyymm")&amp;"]"),
0)/1000</f>
        <v>0</v>
      </c>
      <c r="BJ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"[BASE_HIPO_PPTO].[Periodo]","[BASE_HIPO_PPTO].[Periodo].&amp;["&amp;TEXT(BJ$6,"yyyymm")&amp;"]"),
0)/1000</f>
        <v>0</v>
      </c>
      <c r="BK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"[BASE_HIPO_PPTO].[Periodo]","[BASE_HIPO_PPTO].[Periodo].&amp;["&amp;TEXT(BK$6,"yyyymm")&amp;"]"),
0)/1000</f>
        <v>0</v>
      </c>
      <c r="BO69" s="24">
        <f t="shared" si="44"/>
        <v>0</v>
      </c>
      <c r="BP69" s="24">
        <f t="shared" si="44"/>
        <v>0</v>
      </c>
      <c r="BQ69" s="24">
        <f t="shared" si="44"/>
        <v>0</v>
      </c>
      <c r="BR69" s="24">
        <f t="shared" si="44"/>
        <v>0</v>
      </c>
      <c r="BS69" s="24">
        <f t="shared" si="44"/>
        <v>0</v>
      </c>
      <c r="BT69" s="24">
        <f t="shared" si="44"/>
        <v>0</v>
      </c>
    </row>
    <row r="70" spans="1:72" hidden="1" outlineLevel="1" x14ac:dyDescent="0.25">
      <c r="A70" s="11" t="s">
        <v>71</v>
      </c>
      <c r="C70" s="2"/>
      <c r="D70" s="8">
        <f>IFERROR(
GETPIVOTDATA(
"[Base].[Importe]",
TDinamica_R!$A$5,
"[Calendario].[AñoMes]",
"[Calendario].[AñoMes].&amp;[" &amp; TEXT(D$6,"yyyymm")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E70" s="8">
        <f>IFERROR(
GETPIVOTDATA(
"[Base].[Importe]",
TDinamica_R!$A$5,
"[Calendario].[AñoMes]",
"[Calendario].[AñoMes].&amp;[" &amp; TEXT(E$6,"yyyymm")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F70" s="8">
        <f>IFERROR(
GETPIVOTDATA(
"[Base].[Importe]",
TDinamica_R!$A$5,
"[Calendario].[AñoMes]",
"[Calendario].[AñoMes].&amp;[" &amp; TEXT(F$6,"yyyymm")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G70" s="8">
        <f>IFERROR(
GETPIVOTDATA(
"[Base].[Importe]",
TDinamica_R!$A$5,
"[Calendario].[AñoMes]",
"[Calendario].[AñoMes].&amp;[" &amp; TEXT(G$6,"yyyymm")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H70" s="8">
        <f>IFERROR(
GETPIVOTDATA(
"[Base].[Importe]",
TDinamica_R!$A$5,
"[Calendario].[AñoMes]",
"[Calendario].[AñoMes].&amp;[" &amp; TEXT(H$6,"yyyymm")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I70" s="8">
        <f>IFERROR(
GETPIVOTDATA(
"[Base].[Importe]",
TDinamica_R!$A$5,
"[Calendario].[AñoMes]",
"[Calendario].[AñoMes].&amp;[" &amp; TEXT(I$6,"yyyymm")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J70" s="8">
        <f>IFERROR(
GETPIVOTDATA(
"[Base].[Importe]",
TDinamica_R!$A$5,
"[Calendario].[AñoMes]",
"[Calendario].[AñoMes].&amp;[" &amp; TEXT(J$6,"yyyymm")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K70" s="8">
        <f>IFERROR(
GETPIVOTDATA(
"[Base].[Importe]",
TDinamica_R!$A$5,
"[Calendario].[AñoMes]",
"[Calendario].[AñoMes].&amp;[" &amp; TEXT(K$6,"yyyymm")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L70" s="8">
        <f>IFERROR(
GETPIVOTDATA(
"[Base].[Importe]",
TDinamica_R!$A$5,
"[Calendario].[AñoMes]",
"[Calendario].[AñoMes].&amp;[" &amp; TEXT(L$6,"yyyymm")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M70" s="8">
        <f>IFERROR(
GETPIVOTDATA(
"[Base].[Importe]",
TDinamica_R!$A$5,
"[Calendario].[AñoMes]",
"[Calendario].[AñoMes].&amp;[" &amp; TEXT(M$6,"yyyymm")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N70" s="8">
        <f>IFERROR(
GETPIVOTDATA(
"[Base].[Importe]",
TDinamica_R!$A$5,
"[Calendario].[AñoMes]",
"[Calendario].[AñoMes].&amp;[" &amp; TEXT(N$6,"yyyymm")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O70" s="8">
        <f>IFERROR(
GETPIVOTDATA(
"[Base].[Importe]",
TDinamica_R!$A$5,
"[Calendario].[AñoMes]",
"[Calendario].[AñoMes].&amp;[" &amp; TEXT(O$6,"yyyymm")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P70" s="8">
        <f>IFERROR(
GETPIVOTDATA(
"[Base].[Importe]",
TDinamica_R!$A$5,
"[Calendario].[AñoMes]",
"[Calendario].[AñoMes].&amp;[" &amp; TEXT(P$6,"yyyymm")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Q70" s="8">
        <f>IFERROR(
GETPIVOTDATA(
"[Base].[Importe]",
TDinamica_R!$A$5,
"[Calendario].[AñoMes]",
"[Calendario].[AñoMes].&amp;[" &amp; TEXT(Q$6,"yyyymm")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R70" s="8">
        <f>IFERROR(
GETPIVOTDATA(
"[Base].[Importe]",
TDinamica_R!$A$5,
"[Calendario].[AñoMes]",
"[Calendario].[AñoMes].&amp;[" &amp; TEXT(R$6,"yyyymm")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S70" s="8">
        <f>IFERROR(
GETPIVOTDATA(
"[Base].[Importe]",
TDinamica_R!$A$5,
"[Calendario].[AñoMes]",
"[Calendario].[AñoMes].&amp;[" &amp; TEXT(S$6,"yyyymm")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T70" s="8">
        <f>IFERROR(
GETPIVOTDATA(
"[Base].[Importe]",
TDinamica_R!$A$5,
"[Calendario].[AñoMes]",
"[Calendario].[AñoMes].&amp;[" &amp; TEXT(T$6,"yyyymm")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U70" s="8">
        <f>IFERROR(
GETPIVOTDATA(
"[Base].[Importe]",
TDinamica_R!$A$5,
"[Calendario].[AñoMes]",
"[Calendario].[AñoMes].&amp;[" &amp; TEXT(U$6,"yyyymm")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V70" s="8">
        <f>IFERROR(
GETPIVOTDATA(
"[Base].[Importe]",
TDinamica_R!$A$5,
"[Calendario].[AñoMes]",
"[Calendario].[AñoMes].&amp;[" &amp; TEXT(V$6,"yyyymm")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W70" s="8">
        <f>IFERROR(
GETPIVOTDATA(
"[Base].[Importe]",
TDinamica_R!$A$5,
"[Calendario].[AñoMes]",
"[Calendario].[AñoMes].&amp;[" &amp; TEXT(W$6,"yyyymm")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X70" s="8">
        <f>IFERROR(
GETPIVOTDATA(
"[Base].[Importe]",
TDinamica_R!$A$5,
"[Calendario].[AñoMes]",
"[Calendario].[AñoMes].&amp;[" &amp; TEXT(X$6,"yyyymm")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Y70" s="8">
        <f>IFERROR(
GETPIVOTDATA(
"[Base].[Importe]",
TDinamica_R!$A$5,
"[Calendario].[AñoMes]",
"[Calendario].[AñoMes].&amp;[" &amp; TEXT(Y$6,"yyyymm")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Z70" s="8">
        <f>IFERROR(
GETPIVOTDATA(
"[Base].[Importe]",
TDinamica_R!$A$5,
"[Calendario].[AñoMes]",
"[Calendario].[AñoMes].&amp;[" &amp; TEXT(Z$6,"yyyymm")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A70" s="8">
        <f>IFERROR(
GETPIVOTDATA(
"[Base].[Importe]",
TDinamica_R!$A$5,
"[Calendario].[AñoMes]",
"[Calendario].[AñoMes].&amp;[" &amp; TEXT(AA$6,"yyyymm")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B70" s="8">
        <f>IFERROR(
GETPIVOTDATA(
"[Base].[Importe]",
TDinamica_R!$A$5,
"[Calendario].[AñoMes]",
"[Calendario].[AñoMes].&amp;[" &amp; TEXT(AB$6,"yyyymm")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C70" s="8">
        <f>IFERROR(
GETPIVOTDATA(
"[Base].[Importe]",
TDinamica_R!$A$5,
"[Calendario].[AñoMes]",
"[Calendario].[AñoMes].&amp;[" &amp; TEXT(AC$6,"yyyymm")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D70" s="8">
        <f>IFERROR(
GETPIVOTDATA(
"[Base].[Importe]",
TDinamica_R!$A$5,
"[Calendario].[AñoMes]",
"[Calendario].[AñoMes].&amp;[" &amp; TEXT(AD$6,"yyyymm")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E70" s="8">
        <f>IFERROR(
GETPIVOTDATA(
"[Base].[Importe]",
TDinamica_R!$A$5,
"[Calendario].[AñoMes]",
"[Calendario].[AñoMes].&amp;[" &amp; TEXT(AE$6,"yyyymm")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F70" s="8">
        <f>IFERROR(
GETPIVOTDATA(
"[Base].[Importe]",
TDinamica_R!$A$5,
"[Calendario].[AñoMes]",
"[Calendario].[AñoMes].&amp;[" &amp; TEXT(AF$6,"yyyymm")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G70" s="8">
        <f>IFERROR(
GETPIVOTDATA(
"[Base].[Importe]",
TDinamica_R!$A$5,
"[Calendario].[AñoMes]",
"[Calendario].[AñoMes].&amp;[" &amp; TEXT(AG$6,"yyyymm")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H70" s="8">
        <f>IFERROR(
GETPIVOTDATA(
"[Base].[Importe]",
TDinamica_R!$A$5,
"[Calendario].[AñoMes]",
"[Calendario].[AñoMes].&amp;[" &amp; TEXT(AH$6,"yyyymm")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I70" s="8">
        <f>IFERROR(
GETPIVOTDATA(
"[Base].[Importe]",
TDinamica_R!$A$5,
"[Calendario].[AñoMes]",
"[Calendario].[AñoMes].&amp;[" &amp; TEXT(AI$6,"yyyymm")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J70" s="8">
        <f>IFERROR(
GETPIVOTDATA(
"[Base].[Importe]",
TDinamica_R!$A$5,
"[Calendario].[AñoMes]",
"[Calendario].[AñoMes].&amp;[" &amp; TEXT(AJ$6,"yyyymm")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K70" s="8">
        <f>IFERROR(
GETPIVOTDATA(
"[Base].[Importe]",
TDinamica_R!$A$5,
"[Calendario].[AñoMes]",
"[Calendario].[AñoMes].&amp;[" &amp; TEXT(AK$6,"yyyymm")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L70" s="8">
        <f>IFERROR(
GETPIVOTDATA(
"[Base].[Importe]",
TDinamica_R!$A$5,
"[Calendario].[AñoMes]",
"[Calendario].[AñoMes].&amp;[" &amp; TEXT(AL$6,"yyyymm")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M70" s="8">
        <f>IFERROR(
GETPIVOTDATA(
"[Base].[Importe]",
TDinamica_R!$A$5,
"[Calendario].[AñoMes]",
"[Calendario].[AñoMes].&amp;[" &amp; TEXT(AM$6,"yyyymm")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N70" s="8">
        <f>IFERROR(
GETPIVOTDATA(
"[Base].[Importe]",
TDinamica_R!$A$5,
"[Calendario].[AñoMes]",
"[Calendario].[AñoMes].&amp;[" &amp; TEXT(AN$6,"yyyymm")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O70" s="8">
        <f>IFERROR(
GETPIVOTDATA(
"[Base].[Importe]",
TDinamica_R!$A$5,
"[Calendario].[AñoMes]",
"[Calendario].[AñoMes].&amp;[" &amp; TEXT(AO$6,"yyyymm")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P70" s="8">
        <f>IFERROR(
GETPIVOTDATA(
"[Base].[Importe]",
TDinamica_R!$A$5,
"[Calendario].[AñoMes]",
"[Calendario].[AñoMes].&amp;[" &amp; TEXT(AP$6,"yyyymm")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Q70" s="8">
        <f>IFERROR(
GETPIVOTDATA(
"[Base].[Importe]",
TDinamica_R!$A$5,
"[Calendario].[AñoMes]",
"[Calendario].[AñoMes].&amp;[" &amp; TEXT(AQ$6,"yyyymm")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R70" s="8">
        <f>IFERROR(
GETPIVOTDATA(
"[Base].[Importe]",
TDinamica_R!$A$5,
"[Calendario].[AñoMes]",
"[Calendario].[AñoMes].&amp;[" &amp; TEXT(AR$6,"yyyymm")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S70" s="8">
        <f>IFERROR(
GETPIVOTDATA(
"[Base].[Importe]",
TDinamica_R!$A$5,
"[Calendario].[AñoMes]",
"[Calendario].[AñoMes].&amp;[" &amp; TEXT(AS$6,"yyyymm")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T70" s="8">
        <f>IFERROR(
GETPIVOTDATA(
"[Base].[Importe]",
TDinamica_R!$A$5,
"[Calendario].[AñoMes]",
"[Calendario].[AñoMes].&amp;[" &amp; TEXT(AT$6,"yyyymm")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U70" s="8">
        <f>IFERROR(
GETPIVOTDATA(
"[Base].[Importe]",
TDinamica_R!$A$5,
"[Calendario].[AñoMes]",
"[Calendario].[AñoMes].&amp;[" &amp; TEXT(AU$6,"yyyymm")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V70" s="8">
        <f>IFERROR(
GETPIVOTDATA(
"[Base].[Importe]",
TDinamica_R!$A$5,
"[Calendario].[AñoMes]",
"[Calendario].[AñoMes].&amp;[" &amp; TEXT(AV$6,"yyyymm")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W70" s="8">
        <f>IFERROR(
GETPIVOTDATA(
"[Base].[Importe]",
TDinamica_R!$A$5,
"[Calendario].[AñoMes]",
"[Calendario].[AñoMes].&amp;[" &amp; TEXT(AW$6,"yyyymm")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X70" s="8">
        <f>IFERROR(
GETPIVOTDATA(
"[Base].[Importe]",
TDinamica_R!$A$5,
"[Calendario].[AñoMes]",
"[Calendario].[AñoMes].&amp;[" &amp; TEXT(AX$6,"yyyymm")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Y70" s="8">
        <f>IFERROR(
GETPIVOTDATA(
"[Base].[Importe]",
TDinamica_R!$A$5,
"[Calendario].[AñoMes]",
"[Calendario].[AñoMes].&amp;[" &amp; TEXT(AY$6,"yyyymm")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Z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"[BASE_HIPO_PPTO].[Periodo]","[BASE_HIPO_PPTO].[Periodo].&amp;["&amp;TEXT(AZ$6,"yyyymm")&amp;"]"),
0)/1000</f>
        <v>0</v>
      </c>
      <c r="BA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"[BASE_HIPO_PPTO].[Periodo]","[BASE_HIPO_PPTO].[Periodo].&amp;["&amp;TEXT(BA$6,"yyyymm")&amp;"]"),
0)/1000</f>
        <v>0</v>
      </c>
      <c r="BB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"[BASE_HIPO_PPTO].[Periodo]","[BASE_HIPO_PPTO].[Periodo].&amp;["&amp;TEXT(BB$6,"yyyymm")&amp;"]"),
0)/1000</f>
        <v>0</v>
      </c>
      <c r="BC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"[BASE_HIPO_PPTO].[Periodo]","[BASE_HIPO_PPTO].[Periodo].&amp;["&amp;TEXT(BC$6,"yyyymm")&amp;"]"),
0)/1000</f>
        <v>0</v>
      </c>
      <c r="BD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"[BASE_HIPO_PPTO].[Periodo]","[BASE_HIPO_PPTO].[Periodo].&amp;["&amp;TEXT(BD$6,"yyyymm")&amp;"]"),
0)/1000</f>
        <v>0</v>
      </c>
      <c r="BE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"[BASE_HIPO_PPTO].[Periodo]","[BASE_HIPO_PPTO].[Periodo].&amp;["&amp;TEXT(BE$6,"yyyymm")&amp;"]"),
0)/1000</f>
        <v>0</v>
      </c>
      <c r="BF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"[BASE_HIPO_PPTO].[Periodo]","[BASE_HIPO_PPTO].[Periodo].&amp;["&amp;TEXT(BF$6,"yyyymm")&amp;"]"),
0)/1000</f>
        <v>0</v>
      </c>
      <c r="BG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"[BASE_HIPO_PPTO].[Periodo]","[BASE_HIPO_PPTO].[Periodo].&amp;["&amp;TEXT(BG$6,"yyyymm")&amp;"]"),
0)/1000</f>
        <v>0</v>
      </c>
      <c r="BH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"[BASE_HIPO_PPTO].[Periodo]","[BASE_HIPO_PPTO].[Periodo].&amp;["&amp;TEXT(BH$6,"yyyymm")&amp;"]"),
0)/1000</f>
        <v>0</v>
      </c>
      <c r="BI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"[BASE_HIPO_PPTO].[Periodo]","[BASE_HIPO_PPTO].[Periodo].&amp;["&amp;TEXT(BI$6,"yyyymm")&amp;"]"),
0)/1000</f>
        <v>0</v>
      </c>
      <c r="BJ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"[BASE_HIPO_PPTO].[Periodo]","[BASE_HIPO_PPTO].[Periodo].&amp;["&amp;TEXT(BJ$6,"yyyymm")&amp;"]"),
0)/1000</f>
        <v>0</v>
      </c>
      <c r="BK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"[BASE_HIPO_PPTO].[Periodo]","[BASE_HIPO_PPTO].[Periodo].&amp;["&amp;TEXT(BK$6,"yyyymm")&amp;"]"),
0)/1000</f>
        <v>0</v>
      </c>
      <c r="BO70" s="24">
        <f t="shared" si="44"/>
        <v>0</v>
      </c>
      <c r="BP70" s="24">
        <f t="shared" si="44"/>
        <v>0</v>
      </c>
      <c r="BQ70" s="24">
        <f t="shared" si="44"/>
        <v>0</v>
      </c>
      <c r="BR70" s="24">
        <f t="shared" si="44"/>
        <v>0</v>
      </c>
      <c r="BS70" s="24">
        <f t="shared" si="44"/>
        <v>0</v>
      </c>
      <c r="BT70" s="24">
        <f t="shared" si="44"/>
        <v>0</v>
      </c>
    </row>
    <row r="71" spans="1:72" hidden="1" outlineLevel="1" x14ac:dyDescent="0.25">
      <c r="A71" s="11" t="s">
        <v>71</v>
      </c>
      <c r="C71" s="2"/>
      <c r="D71" s="8">
        <f>IFERROR(
GETPIVOTDATA(
"[Base].[Importe]",
TDinamica_R!$A$5,
"[Calendario].[AñoMes]",
"[Calendario].[AñoMes].&amp;[" &amp; TEXT(D$6,"yyyymm")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E71" s="8">
        <f>IFERROR(
GETPIVOTDATA(
"[Base].[Importe]",
TDinamica_R!$A$5,
"[Calendario].[AñoMes]",
"[Calendario].[AñoMes].&amp;[" &amp; TEXT(E$6,"yyyymm")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F71" s="8">
        <f>IFERROR(
GETPIVOTDATA(
"[Base].[Importe]",
TDinamica_R!$A$5,
"[Calendario].[AñoMes]",
"[Calendario].[AñoMes].&amp;[" &amp; TEXT(F$6,"yyyymm")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G71" s="8">
        <f>IFERROR(
GETPIVOTDATA(
"[Base].[Importe]",
TDinamica_R!$A$5,
"[Calendario].[AñoMes]",
"[Calendario].[AñoMes].&amp;[" &amp; TEXT(G$6,"yyyymm")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H71" s="8">
        <f>IFERROR(
GETPIVOTDATA(
"[Base].[Importe]",
TDinamica_R!$A$5,
"[Calendario].[AñoMes]",
"[Calendario].[AñoMes].&amp;[" &amp; TEXT(H$6,"yyyymm")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I71" s="8">
        <f>IFERROR(
GETPIVOTDATA(
"[Base].[Importe]",
TDinamica_R!$A$5,
"[Calendario].[AñoMes]",
"[Calendario].[AñoMes].&amp;[" &amp; TEXT(I$6,"yyyymm")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J71" s="8">
        <f>IFERROR(
GETPIVOTDATA(
"[Base].[Importe]",
TDinamica_R!$A$5,
"[Calendario].[AñoMes]",
"[Calendario].[AñoMes].&amp;[" &amp; TEXT(J$6,"yyyymm")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K71" s="8">
        <f>IFERROR(
GETPIVOTDATA(
"[Base].[Importe]",
TDinamica_R!$A$5,
"[Calendario].[AñoMes]",
"[Calendario].[AñoMes].&amp;[" &amp; TEXT(K$6,"yyyymm")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L71" s="8">
        <f>IFERROR(
GETPIVOTDATA(
"[Base].[Importe]",
TDinamica_R!$A$5,
"[Calendario].[AñoMes]",
"[Calendario].[AñoMes].&amp;[" &amp; TEXT(L$6,"yyyymm")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M71" s="8">
        <f>IFERROR(
GETPIVOTDATA(
"[Base].[Importe]",
TDinamica_R!$A$5,
"[Calendario].[AñoMes]",
"[Calendario].[AñoMes].&amp;[" &amp; TEXT(M$6,"yyyymm")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N71" s="8">
        <f>IFERROR(
GETPIVOTDATA(
"[Base].[Importe]",
TDinamica_R!$A$5,
"[Calendario].[AñoMes]",
"[Calendario].[AñoMes].&amp;[" &amp; TEXT(N$6,"yyyymm")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O71" s="8">
        <f>IFERROR(
GETPIVOTDATA(
"[Base].[Importe]",
TDinamica_R!$A$5,
"[Calendario].[AñoMes]",
"[Calendario].[AñoMes].&amp;[" &amp; TEXT(O$6,"yyyymm")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P71" s="8">
        <f>IFERROR(
GETPIVOTDATA(
"[Base].[Importe]",
TDinamica_R!$A$5,
"[Calendario].[AñoMes]",
"[Calendario].[AñoMes].&amp;[" &amp; TEXT(P$6,"yyyymm")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Q71" s="8">
        <f>IFERROR(
GETPIVOTDATA(
"[Base].[Importe]",
TDinamica_R!$A$5,
"[Calendario].[AñoMes]",
"[Calendario].[AñoMes].&amp;[" &amp; TEXT(Q$6,"yyyymm")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R71" s="8">
        <f>IFERROR(
GETPIVOTDATA(
"[Base].[Importe]",
TDinamica_R!$A$5,
"[Calendario].[AñoMes]",
"[Calendario].[AñoMes].&amp;[" &amp; TEXT(R$6,"yyyymm")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S71" s="8">
        <f>IFERROR(
GETPIVOTDATA(
"[Base].[Importe]",
TDinamica_R!$A$5,
"[Calendario].[AñoMes]",
"[Calendario].[AñoMes].&amp;[" &amp; TEXT(S$6,"yyyymm")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T71" s="8">
        <f>IFERROR(
GETPIVOTDATA(
"[Base].[Importe]",
TDinamica_R!$A$5,
"[Calendario].[AñoMes]",
"[Calendario].[AñoMes].&amp;[" &amp; TEXT(T$6,"yyyymm")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U71" s="8">
        <f>IFERROR(
GETPIVOTDATA(
"[Base].[Importe]",
TDinamica_R!$A$5,
"[Calendario].[AñoMes]",
"[Calendario].[AñoMes].&amp;[" &amp; TEXT(U$6,"yyyymm")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V71" s="8">
        <f>IFERROR(
GETPIVOTDATA(
"[Base].[Importe]",
TDinamica_R!$A$5,
"[Calendario].[AñoMes]",
"[Calendario].[AñoMes].&amp;[" &amp; TEXT(V$6,"yyyymm")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W71" s="8">
        <f>IFERROR(
GETPIVOTDATA(
"[Base].[Importe]",
TDinamica_R!$A$5,
"[Calendario].[AñoMes]",
"[Calendario].[AñoMes].&amp;[" &amp; TEXT(W$6,"yyyymm")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X71" s="8">
        <f>IFERROR(
GETPIVOTDATA(
"[Base].[Importe]",
TDinamica_R!$A$5,
"[Calendario].[AñoMes]",
"[Calendario].[AñoMes].&amp;[" &amp; TEXT(X$6,"yyyymm")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Y71" s="8">
        <f>IFERROR(
GETPIVOTDATA(
"[Base].[Importe]",
TDinamica_R!$A$5,
"[Calendario].[AñoMes]",
"[Calendario].[AñoMes].&amp;[" &amp; TEXT(Y$6,"yyyymm")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Z71" s="8">
        <f>IFERROR(
GETPIVOTDATA(
"[Base].[Importe]",
TDinamica_R!$A$5,
"[Calendario].[AñoMes]",
"[Calendario].[AñoMes].&amp;[" &amp; TEXT(Z$6,"yyyymm")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A71" s="8">
        <f>IFERROR(
GETPIVOTDATA(
"[Base].[Importe]",
TDinamica_R!$A$5,
"[Calendario].[AñoMes]",
"[Calendario].[AñoMes].&amp;[" &amp; TEXT(AA$6,"yyyymm")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B71" s="8">
        <f>IFERROR(
GETPIVOTDATA(
"[Base].[Importe]",
TDinamica_R!$A$5,
"[Calendario].[AñoMes]",
"[Calendario].[AñoMes].&amp;[" &amp; TEXT(AB$6,"yyyymm")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C71" s="8">
        <f>IFERROR(
GETPIVOTDATA(
"[Base].[Importe]",
TDinamica_R!$A$5,
"[Calendario].[AñoMes]",
"[Calendario].[AñoMes].&amp;[" &amp; TEXT(AC$6,"yyyymm")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D71" s="8">
        <f>IFERROR(
GETPIVOTDATA(
"[Base].[Importe]",
TDinamica_R!$A$5,
"[Calendario].[AñoMes]",
"[Calendario].[AñoMes].&amp;[" &amp; TEXT(AD$6,"yyyymm")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E71" s="8">
        <f>IFERROR(
GETPIVOTDATA(
"[Base].[Importe]",
TDinamica_R!$A$5,
"[Calendario].[AñoMes]",
"[Calendario].[AñoMes].&amp;[" &amp; TEXT(AE$6,"yyyymm")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F71" s="8">
        <f>IFERROR(
GETPIVOTDATA(
"[Base].[Importe]",
TDinamica_R!$A$5,
"[Calendario].[AñoMes]",
"[Calendario].[AñoMes].&amp;[" &amp; TEXT(AF$6,"yyyymm")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G71" s="8">
        <f>IFERROR(
GETPIVOTDATA(
"[Base].[Importe]",
TDinamica_R!$A$5,
"[Calendario].[AñoMes]",
"[Calendario].[AñoMes].&amp;[" &amp; TEXT(AG$6,"yyyymm")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H71" s="8">
        <f>IFERROR(
GETPIVOTDATA(
"[Base].[Importe]",
TDinamica_R!$A$5,
"[Calendario].[AñoMes]",
"[Calendario].[AñoMes].&amp;[" &amp; TEXT(AH$6,"yyyymm")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I71" s="8">
        <f>IFERROR(
GETPIVOTDATA(
"[Base].[Importe]",
TDinamica_R!$A$5,
"[Calendario].[AñoMes]",
"[Calendario].[AñoMes].&amp;[" &amp; TEXT(AI$6,"yyyymm")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J71" s="8">
        <f>IFERROR(
GETPIVOTDATA(
"[Base].[Importe]",
TDinamica_R!$A$5,
"[Calendario].[AñoMes]",
"[Calendario].[AñoMes].&amp;[" &amp; TEXT(AJ$6,"yyyymm")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K71" s="8">
        <f>IFERROR(
GETPIVOTDATA(
"[Base].[Importe]",
TDinamica_R!$A$5,
"[Calendario].[AñoMes]",
"[Calendario].[AñoMes].&amp;[" &amp; TEXT(AK$6,"yyyymm")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L71" s="8">
        <f>IFERROR(
GETPIVOTDATA(
"[Base].[Importe]",
TDinamica_R!$A$5,
"[Calendario].[AñoMes]",
"[Calendario].[AñoMes].&amp;[" &amp; TEXT(AL$6,"yyyymm")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M71" s="8">
        <f>IFERROR(
GETPIVOTDATA(
"[Base].[Importe]",
TDinamica_R!$A$5,
"[Calendario].[AñoMes]",
"[Calendario].[AñoMes].&amp;[" &amp; TEXT(AM$6,"yyyymm")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N71" s="8">
        <f>IFERROR(
GETPIVOTDATA(
"[Base].[Importe]",
TDinamica_R!$A$5,
"[Calendario].[AñoMes]",
"[Calendario].[AñoMes].&amp;[" &amp; TEXT(AN$6,"yyyymm")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O71" s="8">
        <f>IFERROR(
GETPIVOTDATA(
"[Base].[Importe]",
TDinamica_R!$A$5,
"[Calendario].[AñoMes]",
"[Calendario].[AñoMes].&amp;[" &amp; TEXT(AO$6,"yyyymm")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P71" s="8">
        <f>IFERROR(
GETPIVOTDATA(
"[Base].[Importe]",
TDinamica_R!$A$5,
"[Calendario].[AñoMes]",
"[Calendario].[AñoMes].&amp;[" &amp; TEXT(AP$6,"yyyymm")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Q71" s="8">
        <f>IFERROR(
GETPIVOTDATA(
"[Base].[Importe]",
TDinamica_R!$A$5,
"[Calendario].[AñoMes]",
"[Calendario].[AñoMes].&amp;[" &amp; TEXT(AQ$6,"yyyymm")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R71" s="8">
        <f>IFERROR(
GETPIVOTDATA(
"[Base].[Importe]",
TDinamica_R!$A$5,
"[Calendario].[AñoMes]",
"[Calendario].[AñoMes].&amp;[" &amp; TEXT(AR$6,"yyyymm")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S71" s="8">
        <f>IFERROR(
GETPIVOTDATA(
"[Base].[Importe]",
TDinamica_R!$A$5,
"[Calendario].[AñoMes]",
"[Calendario].[AñoMes].&amp;[" &amp; TEXT(AS$6,"yyyymm")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T71" s="8">
        <f>IFERROR(
GETPIVOTDATA(
"[Base].[Importe]",
TDinamica_R!$A$5,
"[Calendario].[AñoMes]",
"[Calendario].[AñoMes].&amp;[" &amp; TEXT(AT$6,"yyyymm")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U71" s="8">
        <f>IFERROR(
GETPIVOTDATA(
"[Base].[Importe]",
TDinamica_R!$A$5,
"[Calendario].[AñoMes]",
"[Calendario].[AñoMes].&amp;[" &amp; TEXT(AU$6,"yyyymm")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V71" s="8">
        <f>IFERROR(
GETPIVOTDATA(
"[Base].[Importe]",
TDinamica_R!$A$5,
"[Calendario].[AñoMes]",
"[Calendario].[AñoMes].&amp;[" &amp; TEXT(AV$6,"yyyymm")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W71" s="8">
        <f>IFERROR(
GETPIVOTDATA(
"[Base].[Importe]",
TDinamica_R!$A$5,
"[Calendario].[AñoMes]",
"[Calendario].[AñoMes].&amp;[" &amp; TEXT(AW$6,"yyyymm")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X71" s="8">
        <f>IFERROR(
GETPIVOTDATA(
"[Base].[Importe]",
TDinamica_R!$A$5,
"[Calendario].[AñoMes]",
"[Calendario].[AñoMes].&amp;[" &amp; TEXT(AX$6,"yyyymm")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Y71" s="8">
        <f>IFERROR(
GETPIVOTDATA(
"[Base].[Importe]",
TDinamica_R!$A$5,
"[Calendario].[AñoMes]",
"[Calendario].[AñoMes].&amp;[" &amp; TEXT(AY$6,"yyyymm")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Z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"[BASE_HIPO_PPTO].[Periodo]","[BASE_HIPO_PPTO].[Periodo].&amp;["&amp;TEXT(AZ$6,"yyyymm")&amp;"]"),
0)/1000</f>
        <v>0</v>
      </c>
      <c r="BA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"[BASE_HIPO_PPTO].[Periodo]","[BASE_HIPO_PPTO].[Periodo].&amp;["&amp;TEXT(BA$6,"yyyymm")&amp;"]"),
0)/1000</f>
        <v>0</v>
      </c>
      <c r="BB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"[BASE_HIPO_PPTO].[Periodo]","[BASE_HIPO_PPTO].[Periodo].&amp;["&amp;TEXT(BB$6,"yyyymm")&amp;"]"),
0)/1000</f>
        <v>0</v>
      </c>
      <c r="BC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"[BASE_HIPO_PPTO].[Periodo]","[BASE_HIPO_PPTO].[Periodo].&amp;["&amp;TEXT(BC$6,"yyyymm")&amp;"]"),
0)/1000</f>
        <v>0</v>
      </c>
      <c r="BD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"[BASE_HIPO_PPTO].[Periodo]","[BASE_HIPO_PPTO].[Periodo].&amp;["&amp;TEXT(BD$6,"yyyymm")&amp;"]"),
0)/1000</f>
        <v>0</v>
      </c>
      <c r="BE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"[BASE_HIPO_PPTO].[Periodo]","[BASE_HIPO_PPTO].[Periodo].&amp;["&amp;TEXT(BE$6,"yyyymm")&amp;"]"),
0)/1000</f>
        <v>0</v>
      </c>
      <c r="BF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"[BASE_HIPO_PPTO].[Periodo]","[BASE_HIPO_PPTO].[Periodo].&amp;["&amp;TEXT(BF$6,"yyyymm")&amp;"]"),
0)/1000</f>
        <v>0</v>
      </c>
      <c r="BG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"[BASE_HIPO_PPTO].[Periodo]","[BASE_HIPO_PPTO].[Periodo].&amp;["&amp;TEXT(BG$6,"yyyymm")&amp;"]"),
0)/1000</f>
        <v>0</v>
      </c>
      <c r="BH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"[BASE_HIPO_PPTO].[Periodo]","[BASE_HIPO_PPTO].[Periodo].&amp;["&amp;TEXT(BH$6,"yyyymm")&amp;"]"),
0)/1000</f>
        <v>0</v>
      </c>
      <c r="BI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"[BASE_HIPO_PPTO].[Periodo]","[BASE_HIPO_PPTO].[Periodo].&amp;["&amp;TEXT(BI$6,"yyyymm")&amp;"]"),
0)/1000</f>
        <v>0</v>
      </c>
      <c r="BJ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"[BASE_HIPO_PPTO].[Periodo]","[BASE_HIPO_PPTO].[Periodo].&amp;["&amp;TEXT(BJ$6,"yyyymm")&amp;"]"),
0)/1000</f>
        <v>0</v>
      </c>
      <c r="BK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"[BASE_HIPO_PPTO].[Periodo]","[BASE_HIPO_PPTO].[Periodo].&amp;["&amp;TEXT(BK$6,"yyyymm")&amp;"]"),
0)/1000</f>
        <v>0</v>
      </c>
      <c r="BO71" s="24">
        <f t="shared" si="44"/>
        <v>0</v>
      </c>
      <c r="BP71" s="24">
        <f t="shared" si="44"/>
        <v>0</v>
      </c>
      <c r="BQ71" s="24">
        <f t="shared" si="44"/>
        <v>0</v>
      </c>
      <c r="BR71" s="24">
        <f t="shared" si="44"/>
        <v>0</v>
      </c>
      <c r="BS71" s="24">
        <f t="shared" si="44"/>
        <v>0</v>
      </c>
      <c r="BT71" s="24">
        <f t="shared" si="44"/>
        <v>0</v>
      </c>
    </row>
    <row r="72" spans="1:72" hidden="1" outlineLevel="1" x14ac:dyDescent="0.25">
      <c r="A72" s="11" t="s">
        <v>71</v>
      </c>
      <c r="C72" s="2"/>
      <c r="D72" s="8">
        <f>IFERROR(
GETPIVOTDATA(
"[Base].[Importe]",
TDinamica_R!$A$5,
"[Calendario].[AñoMes]",
"[Calendario].[AñoMes].&amp;[" &amp; TEXT(D$6,"yyyymm")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E72" s="8">
        <f>IFERROR(
GETPIVOTDATA(
"[Base].[Importe]",
TDinamica_R!$A$5,
"[Calendario].[AñoMes]",
"[Calendario].[AñoMes].&amp;[" &amp; TEXT(E$6,"yyyymm")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F72" s="8">
        <f>IFERROR(
GETPIVOTDATA(
"[Base].[Importe]",
TDinamica_R!$A$5,
"[Calendario].[AñoMes]",
"[Calendario].[AñoMes].&amp;[" &amp; TEXT(F$6,"yyyymm")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G72" s="8">
        <f>IFERROR(
GETPIVOTDATA(
"[Base].[Importe]",
TDinamica_R!$A$5,
"[Calendario].[AñoMes]",
"[Calendario].[AñoMes].&amp;[" &amp; TEXT(G$6,"yyyymm")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H72" s="8">
        <f>IFERROR(
GETPIVOTDATA(
"[Base].[Importe]",
TDinamica_R!$A$5,
"[Calendario].[AñoMes]",
"[Calendario].[AñoMes].&amp;[" &amp; TEXT(H$6,"yyyymm")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I72" s="8">
        <f>IFERROR(
GETPIVOTDATA(
"[Base].[Importe]",
TDinamica_R!$A$5,
"[Calendario].[AñoMes]",
"[Calendario].[AñoMes].&amp;[" &amp; TEXT(I$6,"yyyymm")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J72" s="8">
        <f>IFERROR(
GETPIVOTDATA(
"[Base].[Importe]",
TDinamica_R!$A$5,
"[Calendario].[AñoMes]",
"[Calendario].[AñoMes].&amp;[" &amp; TEXT(J$6,"yyyymm")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K72" s="8">
        <f>IFERROR(
GETPIVOTDATA(
"[Base].[Importe]",
TDinamica_R!$A$5,
"[Calendario].[AñoMes]",
"[Calendario].[AñoMes].&amp;[" &amp; TEXT(K$6,"yyyymm")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L72" s="8">
        <f>IFERROR(
GETPIVOTDATA(
"[Base].[Importe]",
TDinamica_R!$A$5,
"[Calendario].[AñoMes]",
"[Calendario].[AñoMes].&amp;[" &amp; TEXT(L$6,"yyyymm")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M72" s="8">
        <f>IFERROR(
GETPIVOTDATA(
"[Base].[Importe]",
TDinamica_R!$A$5,
"[Calendario].[AñoMes]",
"[Calendario].[AñoMes].&amp;[" &amp; TEXT(M$6,"yyyymm")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N72" s="8">
        <f>IFERROR(
GETPIVOTDATA(
"[Base].[Importe]",
TDinamica_R!$A$5,
"[Calendario].[AñoMes]",
"[Calendario].[AñoMes].&amp;[" &amp; TEXT(N$6,"yyyymm")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O72" s="8">
        <f>IFERROR(
GETPIVOTDATA(
"[Base].[Importe]",
TDinamica_R!$A$5,
"[Calendario].[AñoMes]",
"[Calendario].[AñoMes].&amp;[" &amp; TEXT(O$6,"yyyymm")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P72" s="8">
        <f>IFERROR(
GETPIVOTDATA(
"[Base].[Importe]",
TDinamica_R!$A$5,
"[Calendario].[AñoMes]",
"[Calendario].[AñoMes].&amp;[" &amp; TEXT(P$6,"yyyymm")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Q72" s="8">
        <f>IFERROR(
GETPIVOTDATA(
"[Base].[Importe]",
TDinamica_R!$A$5,
"[Calendario].[AñoMes]",
"[Calendario].[AñoMes].&amp;[" &amp; TEXT(Q$6,"yyyymm")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R72" s="8">
        <f>IFERROR(
GETPIVOTDATA(
"[Base].[Importe]",
TDinamica_R!$A$5,
"[Calendario].[AñoMes]",
"[Calendario].[AñoMes].&amp;[" &amp; TEXT(R$6,"yyyymm")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S72" s="8">
        <f>IFERROR(
GETPIVOTDATA(
"[Base].[Importe]",
TDinamica_R!$A$5,
"[Calendario].[AñoMes]",
"[Calendario].[AñoMes].&amp;[" &amp; TEXT(S$6,"yyyymm")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T72" s="8">
        <f>IFERROR(
GETPIVOTDATA(
"[Base].[Importe]",
TDinamica_R!$A$5,
"[Calendario].[AñoMes]",
"[Calendario].[AñoMes].&amp;[" &amp; TEXT(T$6,"yyyymm")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U72" s="8">
        <f>IFERROR(
GETPIVOTDATA(
"[Base].[Importe]",
TDinamica_R!$A$5,
"[Calendario].[AñoMes]",
"[Calendario].[AñoMes].&amp;[" &amp; TEXT(U$6,"yyyymm")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V72" s="8">
        <f>IFERROR(
GETPIVOTDATA(
"[Base].[Importe]",
TDinamica_R!$A$5,
"[Calendario].[AñoMes]",
"[Calendario].[AñoMes].&amp;[" &amp; TEXT(V$6,"yyyymm")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W72" s="8">
        <f>IFERROR(
GETPIVOTDATA(
"[Base].[Importe]",
TDinamica_R!$A$5,
"[Calendario].[AñoMes]",
"[Calendario].[AñoMes].&amp;[" &amp; TEXT(W$6,"yyyymm")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X72" s="8">
        <f>IFERROR(
GETPIVOTDATA(
"[Base].[Importe]",
TDinamica_R!$A$5,
"[Calendario].[AñoMes]",
"[Calendario].[AñoMes].&amp;[" &amp; TEXT(X$6,"yyyymm")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Y72" s="8">
        <f>IFERROR(
GETPIVOTDATA(
"[Base].[Importe]",
TDinamica_R!$A$5,
"[Calendario].[AñoMes]",
"[Calendario].[AñoMes].&amp;[" &amp; TEXT(Y$6,"yyyymm")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Z72" s="8">
        <f>IFERROR(
GETPIVOTDATA(
"[Base].[Importe]",
TDinamica_R!$A$5,
"[Calendario].[AñoMes]",
"[Calendario].[AñoMes].&amp;[" &amp; TEXT(Z$6,"yyyymm")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A72" s="8">
        <f>IFERROR(
GETPIVOTDATA(
"[Base].[Importe]",
TDinamica_R!$A$5,
"[Calendario].[AñoMes]",
"[Calendario].[AñoMes].&amp;[" &amp; TEXT(AA$6,"yyyymm")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B72" s="8">
        <f>IFERROR(
GETPIVOTDATA(
"[Base].[Importe]",
TDinamica_R!$A$5,
"[Calendario].[AñoMes]",
"[Calendario].[AñoMes].&amp;[" &amp; TEXT(AB$6,"yyyymm")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C72" s="8">
        <f>IFERROR(
GETPIVOTDATA(
"[Base].[Importe]",
TDinamica_R!$A$5,
"[Calendario].[AñoMes]",
"[Calendario].[AñoMes].&amp;[" &amp; TEXT(AC$6,"yyyymm")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D72" s="8">
        <f>IFERROR(
GETPIVOTDATA(
"[Base].[Importe]",
TDinamica_R!$A$5,
"[Calendario].[AñoMes]",
"[Calendario].[AñoMes].&amp;[" &amp; TEXT(AD$6,"yyyymm")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E72" s="8">
        <f>IFERROR(
GETPIVOTDATA(
"[Base].[Importe]",
TDinamica_R!$A$5,
"[Calendario].[AñoMes]",
"[Calendario].[AñoMes].&amp;[" &amp; TEXT(AE$6,"yyyymm")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F72" s="8">
        <f>IFERROR(
GETPIVOTDATA(
"[Base].[Importe]",
TDinamica_R!$A$5,
"[Calendario].[AñoMes]",
"[Calendario].[AñoMes].&amp;[" &amp; TEXT(AF$6,"yyyymm")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G72" s="8">
        <f>IFERROR(
GETPIVOTDATA(
"[Base].[Importe]",
TDinamica_R!$A$5,
"[Calendario].[AñoMes]",
"[Calendario].[AñoMes].&amp;[" &amp; TEXT(AG$6,"yyyymm")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H72" s="8">
        <f>IFERROR(
GETPIVOTDATA(
"[Base].[Importe]",
TDinamica_R!$A$5,
"[Calendario].[AñoMes]",
"[Calendario].[AñoMes].&amp;[" &amp; TEXT(AH$6,"yyyymm")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I72" s="8">
        <f>IFERROR(
GETPIVOTDATA(
"[Base].[Importe]",
TDinamica_R!$A$5,
"[Calendario].[AñoMes]",
"[Calendario].[AñoMes].&amp;[" &amp; TEXT(AI$6,"yyyymm")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J72" s="8">
        <f>IFERROR(
GETPIVOTDATA(
"[Base].[Importe]",
TDinamica_R!$A$5,
"[Calendario].[AñoMes]",
"[Calendario].[AñoMes].&amp;[" &amp; TEXT(AJ$6,"yyyymm")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K72" s="8">
        <f>IFERROR(
GETPIVOTDATA(
"[Base].[Importe]",
TDinamica_R!$A$5,
"[Calendario].[AñoMes]",
"[Calendario].[AñoMes].&amp;[" &amp; TEXT(AK$6,"yyyymm")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L72" s="8">
        <f>IFERROR(
GETPIVOTDATA(
"[Base].[Importe]",
TDinamica_R!$A$5,
"[Calendario].[AñoMes]",
"[Calendario].[AñoMes].&amp;[" &amp; TEXT(AL$6,"yyyymm")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M72" s="8">
        <f>IFERROR(
GETPIVOTDATA(
"[Base].[Importe]",
TDinamica_R!$A$5,
"[Calendario].[AñoMes]",
"[Calendario].[AñoMes].&amp;[" &amp; TEXT(AM$6,"yyyymm")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N72" s="8">
        <f>IFERROR(
GETPIVOTDATA(
"[Base].[Importe]",
TDinamica_R!$A$5,
"[Calendario].[AñoMes]",
"[Calendario].[AñoMes].&amp;[" &amp; TEXT(AN$6,"yyyymm")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O72" s="8">
        <f>IFERROR(
GETPIVOTDATA(
"[Base].[Importe]",
TDinamica_R!$A$5,
"[Calendario].[AñoMes]",
"[Calendario].[AñoMes].&amp;[" &amp; TEXT(AO$6,"yyyymm")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P72" s="8">
        <f>IFERROR(
GETPIVOTDATA(
"[Base].[Importe]",
TDinamica_R!$A$5,
"[Calendario].[AñoMes]",
"[Calendario].[AñoMes].&amp;[" &amp; TEXT(AP$6,"yyyymm")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Q72" s="8">
        <f>IFERROR(
GETPIVOTDATA(
"[Base].[Importe]",
TDinamica_R!$A$5,
"[Calendario].[AñoMes]",
"[Calendario].[AñoMes].&amp;[" &amp; TEXT(AQ$6,"yyyymm")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R72" s="8">
        <f>IFERROR(
GETPIVOTDATA(
"[Base].[Importe]",
TDinamica_R!$A$5,
"[Calendario].[AñoMes]",
"[Calendario].[AñoMes].&amp;[" &amp; TEXT(AR$6,"yyyymm")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S72" s="8">
        <f>IFERROR(
GETPIVOTDATA(
"[Base].[Importe]",
TDinamica_R!$A$5,
"[Calendario].[AñoMes]",
"[Calendario].[AñoMes].&amp;[" &amp; TEXT(AS$6,"yyyymm")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T72" s="8">
        <f>IFERROR(
GETPIVOTDATA(
"[Base].[Importe]",
TDinamica_R!$A$5,
"[Calendario].[AñoMes]",
"[Calendario].[AñoMes].&amp;[" &amp; TEXT(AT$6,"yyyymm")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U72" s="8">
        <f>IFERROR(
GETPIVOTDATA(
"[Base].[Importe]",
TDinamica_R!$A$5,
"[Calendario].[AñoMes]",
"[Calendario].[AñoMes].&amp;[" &amp; TEXT(AU$6,"yyyymm")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V72" s="8">
        <f>IFERROR(
GETPIVOTDATA(
"[Base].[Importe]",
TDinamica_R!$A$5,
"[Calendario].[AñoMes]",
"[Calendario].[AñoMes].&amp;[" &amp; TEXT(AV$6,"yyyymm")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W72" s="8">
        <f>IFERROR(
GETPIVOTDATA(
"[Base].[Importe]",
TDinamica_R!$A$5,
"[Calendario].[AñoMes]",
"[Calendario].[AñoMes].&amp;[" &amp; TEXT(AW$6,"yyyymm")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X72" s="8">
        <f>IFERROR(
GETPIVOTDATA(
"[Base].[Importe]",
TDinamica_R!$A$5,
"[Calendario].[AñoMes]",
"[Calendario].[AñoMes].&amp;[" &amp; TEXT(AX$6,"yyyymm")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Y72" s="8">
        <f>IFERROR(
GETPIVOTDATA(
"[Base].[Importe]",
TDinamica_R!$A$5,
"[Calendario].[AñoMes]",
"[Calendario].[AñoMes].&amp;[" &amp; TEXT(AY$6,"yyyymm")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Z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"[BASE_HIPO_PPTO].[Periodo]","[BASE_HIPO_PPTO].[Periodo].&amp;["&amp;TEXT(AZ$6,"yyyymm")&amp;"]"),
0)/1000</f>
        <v>0</v>
      </c>
      <c r="BA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"[BASE_HIPO_PPTO].[Periodo]","[BASE_HIPO_PPTO].[Periodo].&amp;["&amp;TEXT(BA$6,"yyyymm")&amp;"]"),
0)/1000</f>
        <v>0</v>
      </c>
      <c r="BB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"[BASE_HIPO_PPTO].[Periodo]","[BASE_HIPO_PPTO].[Periodo].&amp;["&amp;TEXT(BB$6,"yyyymm")&amp;"]"),
0)/1000</f>
        <v>0</v>
      </c>
      <c r="BC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"[BASE_HIPO_PPTO].[Periodo]","[BASE_HIPO_PPTO].[Periodo].&amp;["&amp;TEXT(BC$6,"yyyymm")&amp;"]"),
0)/1000</f>
        <v>0</v>
      </c>
      <c r="BD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"[BASE_HIPO_PPTO].[Periodo]","[BASE_HIPO_PPTO].[Periodo].&amp;["&amp;TEXT(BD$6,"yyyymm")&amp;"]"),
0)/1000</f>
        <v>0</v>
      </c>
      <c r="BE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"[BASE_HIPO_PPTO].[Periodo]","[BASE_HIPO_PPTO].[Periodo].&amp;["&amp;TEXT(BE$6,"yyyymm")&amp;"]"),
0)/1000</f>
        <v>0</v>
      </c>
      <c r="BF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"[BASE_HIPO_PPTO].[Periodo]","[BASE_HIPO_PPTO].[Periodo].&amp;["&amp;TEXT(BF$6,"yyyymm")&amp;"]"),
0)/1000</f>
        <v>0</v>
      </c>
      <c r="BG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"[BASE_HIPO_PPTO].[Periodo]","[BASE_HIPO_PPTO].[Periodo].&amp;["&amp;TEXT(BG$6,"yyyymm")&amp;"]"),
0)/1000</f>
        <v>0</v>
      </c>
      <c r="BH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"[BASE_HIPO_PPTO].[Periodo]","[BASE_HIPO_PPTO].[Periodo].&amp;["&amp;TEXT(BH$6,"yyyymm")&amp;"]"),
0)/1000</f>
        <v>0</v>
      </c>
      <c r="BI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"[BASE_HIPO_PPTO].[Periodo]","[BASE_HIPO_PPTO].[Periodo].&amp;["&amp;TEXT(BI$6,"yyyymm")&amp;"]"),
0)/1000</f>
        <v>0</v>
      </c>
      <c r="BJ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"[BASE_HIPO_PPTO].[Periodo]","[BASE_HIPO_PPTO].[Periodo].&amp;["&amp;TEXT(BJ$6,"yyyymm")&amp;"]"),
0)/1000</f>
        <v>0</v>
      </c>
      <c r="BK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"[BASE_HIPO_PPTO].[Periodo]","[BASE_HIPO_PPTO].[Periodo].&amp;["&amp;TEXT(BK$6,"yyyymm")&amp;"]"),
0)/1000</f>
        <v>0</v>
      </c>
      <c r="BO72" s="24">
        <f t="shared" si="44"/>
        <v>0</v>
      </c>
      <c r="BP72" s="24">
        <f t="shared" si="44"/>
        <v>0</v>
      </c>
      <c r="BQ72" s="24">
        <f t="shared" si="44"/>
        <v>0</v>
      </c>
      <c r="BR72" s="24">
        <f t="shared" si="44"/>
        <v>0</v>
      </c>
      <c r="BS72" s="24">
        <f t="shared" si="44"/>
        <v>0</v>
      </c>
      <c r="BT72" s="24">
        <f t="shared" si="44"/>
        <v>0</v>
      </c>
    </row>
    <row r="73" spans="1:72" hidden="1" outlineLevel="1" x14ac:dyDescent="0.25">
      <c r="A73" s="11" t="s">
        <v>71</v>
      </c>
      <c r="C73" s="2"/>
      <c r="D73" s="8">
        <f>IFERROR(
GETPIVOTDATA(
"[Base].[Importe]",
TDinamica_R!$A$5,
"[Calendario].[AñoMes]",
"[Calendario].[AñoMes].&amp;[" &amp; TEXT(D$6,"yyyymm")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E73" s="8">
        <f>IFERROR(
GETPIVOTDATA(
"[Base].[Importe]",
TDinamica_R!$A$5,
"[Calendario].[AñoMes]",
"[Calendario].[AñoMes].&amp;[" &amp; TEXT(E$6,"yyyymm")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F73" s="8">
        <f>IFERROR(
GETPIVOTDATA(
"[Base].[Importe]",
TDinamica_R!$A$5,
"[Calendario].[AñoMes]",
"[Calendario].[AñoMes].&amp;[" &amp; TEXT(F$6,"yyyymm")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G73" s="8">
        <f>IFERROR(
GETPIVOTDATA(
"[Base].[Importe]",
TDinamica_R!$A$5,
"[Calendario].[AñoMes]",
"[Calendario].[AñoMes].&amp;[" &amp; TEXT(G$6,"yyyymm")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H73" s="8">
        <f>IFERROR(
GETPIVOTDATA(
"[Base].[Importe]",
TDinamica_R!$A$5,
"[Calendario].[AñoMes]",
"[Calendario].[AñoMes].&amp;[" &amp; TEXT(H$6,"yyyymm")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I73" s="8">
        <f>IFERROR(
GETPIVOTDATA(
"[Base].[Importe]",
TDinamica_R!$A$5,
"[Calendario].[AñoMes]",
"[Calendario].[AñoMes].&amp;[" &amp; TEXT(I$6,"yyyymm")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J73" s="8">
        <f>IFERROR(
GETPIVOTDATA(
"[Base].[Importe]",
TDinamica_R!$A$5,
"[Calendario].[AñoMes]",
"[Calendario].[AñoMes].&amp;[" &amp; TEXT(J$6,"yyyymm")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K73" s="8">
        <f>IFERROR(
GETPIVOTDATA(
"[Base].[Importe]",
TDinamica_R!$A$5,
"[Calendario].[AñoMes]",
"[Calendario].[AñoMes].&amp;[" &amp; TEXT(K$6,"yyyymm")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L73" s="8">
        <f>IFERROR(
GETPIVOTDATA(
"[Base].[Importe]",
TDinamica_R!$A$5,
"[Calendario].[AñoMes]",
"[Calendario].[AñoMes].&amp;[" &amp; TEXT(L$6,"yyyymm")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M73" s="8">
        <f>IFERROR(
GETPIVOTDATA(
"[Base].[Importe]",
TDinamica_R!$A$5,
"[Calendario].[AñoMes]",
"[Calendario].[AñoMes].&amp;[" &amp; TEXT(M$6,"yyyymm")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N73" s="8">
        <f>IFERROR(
GETPIVOTDATA(
"[Base].[Importe]",
TDinamica_R!$A$5,
"[Calendario].[AñoMes]",
"[Calendario].[AñoMes].&amp;[" &amp; TEXT(N$6,"yyyymm")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O73" s="8">
        <f>IFERROR(
GETPIVOTDATA(
"[Base].[Importe]",
TDinamica_R!$A$5,
"[Calendario].[AñoMes]",
"[Calendario].[AñoMes].&amp;[" &amp; TEXT(O$6,"yyyymm")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P73" s="8">
        <f>IFERROR(
GETPIVOTDATA(
"[Base].[Importe]",
TDinamica_R!$A$5,
"[Calendario].[AñoMes]",
"[Calendario].[AñoMes].&amp;[" &amp; TEXT(P$6,"yyyymm")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Q73" s="8">
        <f>IFERROR(
GETPIVOTDATA(
"[Base].[Importe]",
TDinamica_R!$A$5,
"[Calendario].[AñoMes]",
"[Calendario].[AñoMes].&amp;[" &amp; TEXT(Q$6,"yyyymm")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R73" s="8">
        <f>IFERROR(
GETPIVOTDATA(
"[Base].[Importe]",
TDinamica_R!$A$5,
"[Calendario].[AñoMes]",
"[Calendario].[AñoMes].&amp;[" &amp; TEXT(R$6,"yyyymm")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S73" s="8">
        <f>IFERROR(
GETPIVOTDATA(
"[Base].[Importe]",
TDinamica_R!$A$5,
"[Calendario].[AñoMes]",
"[Calendario].[AñoMes].&amp;[" &amp; TEXT(S$6,"yyyymm")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T73" s="8">
        <f>IFERROR(
GETPIVOTDATA(
"[Base].[Importe]",
TDinamica_R!$A$5,
"[Calendario].[AñoMes]",
"[Calendario].[AñoMes].&amp;[" &amp; TEXT(T$6,"yyyymm")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U73" s="8">
        <f>IFERROR(
GETPIVOTDATA(
"[Base].[Importe]",
TDinamica_R!$A$5,
"[Calendario].[AñoMes]",
"[Calendario].[AñoMes].&amp;[" &amp; TEXT(U$6,"yyyymm")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V73" s="8">
        <f>IFERROR(
GETPIVOTDATA(
"[Base].[Importe]",
TDinamica_R!$A$5,
"[Calendario].[AñoMes]",
"[Calendario].[AñoMes].&amp;[" &amp; TEXT(V$6,"yyyymm")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W73" s="8">
        <f>IFERROR(
GETPIVOTDATA(
"[Base].[Importe]",
TDinamica_R!$A$5,
"[Calendario].[AñoMes]",
"[Calendario].[AñoMes].&amp;[" &amp; TEXT(W$6,"yyyymm")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X73" s="8">
        <f>IFERROR(
GETPIVOTDATA(
"[Base].[Importe]",
TDinamica_R!$A$5,
"[Calendario].[AñoMes]",
"[Calendario].[AñoMes].&amp;[" &amp; TEXT(X$6,"yyyymm")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Y73" s="8">
        <f>IFERROR(
GETPIVOTDATA(
"[Base].[Importe]",
TDinamica_R!$A$5,
"[Calendario].[AñoMes]",
"[Calendario].[AñoMes].&amp;[" &amp; TEXT(Y$6,"yyyymm")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Z73" s="8">
        <f>IFERROR(
GETPIVOTDATA(
"[Base].[Importe]",
TDinamica_R!$A$5,
"[Calendario].[AñoMes]",
"[Calendario].[AñoMes].&amp;[" &amp; TEXT(Z$6,"yyyymm")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A73" s="8">
        <f>IFERROR(
GETPIVOTDATA(
"[Base].[Importe]",
TDinamica_R!$A$5,
"[Calendario].[AñoMes]",
"[Calendario].[AñoMes].&amp;[" &amp; TEXT(AA$6,"yyyymm")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B73" s="8">
        <f>IFERROR(
GETPIVOTDATA(
"[Base].[Importe]",
TDinamica_R!$A$5,
"[Calendario].[AñoMes]",
"[Calendario].[AñoMes].&amp;[" &amp; TEXT(AB$6,"yyyymm")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C73" s="8">
        <f>IFERROR(
GETPIVOTDATA(
"[Base].[Importe]",
TDinamica_R!$A$5,
"[Calendario].[AñoMes]",
"[Calendario].[AñoMes].&amp;[" &amp; TEXT(AC$6,"yyyymm")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D73" s="8">
        <f>IFERROR(
GETPIVOTDATA(
"[Base].[Importe]",
TDinamica_R!$A$5,
"[Calendario].[AñoMes]",
"[Calendario].[AñoMes].&amp;[" &amp; TEXT(AD$6,"yyyymm")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E73" s="8">
        <f>IFERROR(
GETPIVOTDATA(
"[Base].[Importe]",
TDinamica_R!$A$5,
"[Calendario].[AñoMes]",
"[Calendario].[AñoMes].&amp;[" &amp; TEXT(AE$6,"yyyymm")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F73" s="8">
        <f>IFERROR(
GETPIVOTDATA(
"[Base].[Importe]",
TDinamica_R!$A$5,
"[Calendario].[AñoMes]",
"[Calendario].[AñoMes].&amp;[" &amp; TEXT(AF$6,"yyyymm")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G73" s="8">
        <f>IFERROR(
GETPIVOTDATA(
"[Base].[Importe]",
TDinamica_R!$A$5,
"[Calendario].[AñoMes]",
"[Calendario].[AñoMes].&amp;[" &amp; TEXT(AG$6,"yyyymm")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H73" s="8">
        <f>IFERROR(
GETPIVOTDATA(
"[Base].[Importe]",
TDinamica_R!$A$5,
"[Calendario].[AñoMes]",
"[Calendario].[AñoMes].&amp;[" &amp; TEXT(AH$6,"yyyymm")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I73" s="8">
        <f>IFERROR(
GETPIVOTDATA(
"[Base].[Importe]",
TDinamica_R!$A$5,
"[Calendario].[AñoMes]",
"[Calendario].[AñoMes].&amp;[" &amp; TEXT(AI$6,"yyyymm")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J73" s="8">
        <f>IFERROR(
GETPIVOTDATA(
"[Base].[Importe]",
TDinamica_R!$A$5,
"[Calendario].[AñoMes]",
"[Calendario].[AñoMes].&amp;[" &amp; TEXT(AJ$6,"yyyymm")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K73" s="8">
        <f>IFERROR(
GETPIVOTDATA(
"[Base].[Importe]",
TDinamica_R!$A$5,
"[Calendario].[AñoMes]",
"[Calendario].[AñoMes].&amp;[" &amp; TEXT(AK$6,"yyyymm")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L73" s="8">
        <f>IFERROR(
GETPIVOTDATA(
"[Base].[Importe]",
TDinamica_R!$A$5,
"[Calendario].[AñoMes]",
"[Calendario].[AñoMes].&amp;[" &amp; TEXT(AL$6,"yyyymm")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M73" s="8">
        <f>IFERROR(
GETPIVOTDATA(
"[Base].[Importe]",
TDinamica_R!$A$5,
"[Calendario].[AñoMes]",
"[Calendario].[AñoMes].&amp;[" &amp; TEXT(AM$6,"yyyymm")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N73" s="8">
        <f>IFERROR(
GETPIVOTDATA(
"[Base].[Importe]",
TDinamica_R!$A$5,
"[Calendario].[AñoMes]",
"[Calendario].[AñoMes].&amp;[" &amp; TEXT(AN$6,"yyyymm")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O73" s="8">
        <f>IFERROR(
GETPIVOTDATA(
"[Base].[Importe]",
TDinamica_R!$A$5,
"[Calendario].[AñoMes]",
"[Calendario].[AñoMes].&amp;[" &amp; TEXT(AO$6,"yyyymm")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P73" s="8">
        <f>IFERROR(
GETPIVOTDATA(
"[Base].[Importe]",
TDinamica_R!$A$5,
"[Calendario].[AñoMes]",
"[Calendario].[AñoMes].&amp;[" &amp; TEXT(AP$6,"yyyymm")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Q73" s="8">
        <f>IFERROR(
GETPIVOTDATA(
"[Base].[Importe]",
TDinamica_R!$A$5,
"[Calendario].[AñoMes]",
"[Calendario].[AñoMes].&amp;[" &amp; TEXT(AQ$6,"yyyymm")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R73" s="8">
        <f>IFERROR(
GETPIVOTDATA(
"[Base].[Importe]",
TDinamica_R!$A$5,
"[Calendario].[AñoMes]",
"[Calendario].[AñoMes].&amp;[" &amp; TEXT(AR$6,"yyyymm")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S73" s="8">
        <f>IFERROR(
GETPIVOTDATA(
"[Base].[Importe]",
TDinamica_R!$A$5,
"[Calendario].[AñoMes]",
"[Calendario].[AñoMes].&amp;[" &amp; TEXT(AS$6,"yyyymm")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T73" s="8">
        <f>IFERROR(
GETPIVOTDATA(
"[Base].[Importe]",
TDinamica_R!$A$5,
"[Calendario].[AñoMes]",
"[Calendario].[AñoMes].&amp;[" &amp; TEXT(AT$6,"yyyymm")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U73" s="8">
        <f>IFERROR(
GETPIVOTDATA(
"[Base].[Importe]",
TDinamica_R!$A$5,
"[Calendario].[AñoMes]",
"[Calendario].[AñoMes].&amp;[" &amp; TEXT(AU$6,"yyyymm")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V73" s="8">
        <f>IFERROR(
GETPIVOTDATA(
"[Base].[Importe]",
TDinamica_R!$A$5,
"[Calendario].[AñoMes]",
"[Calendario].[AñoMes].&amp;[" &amp; TEXT(AV$6,"yyyymm")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W73" s="8">
        <f>IFERROR(
GETPIVOTDATA(
"[Base].[Importe]",
TDinamica_R!$A$5,
"[Calendario].[AñoMes]",
"[Calendario].[AñoMes].&amp;[" &amp; TEXT(AW$6,"yyyymm")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X73" s="8">
        <f>IFERROR(
GETPIVOTDATA(
"[Base].[Importe]",
TDinamica_R!$A$5,
"[Calendario].[AñoMes]",
"[Calendario].[AñoMes].&amp;[" &amp; TEXT(AX$6,"yyyymm")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Y73" s="8">
        <f>IFERROR(
GETPIVOTDATA(
"[Base].[Importe]",
TDinamica_R!$A$5,
"[Calendario].[AñoMes]",
"[Calendario].[AñoMes].&amp;[" &amp; TEXT(AY$6,"yyyymm")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Z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"[BASE_HIPO_PPTO].[Periodo]","[BASE_HIPO_PPTO].[Periodo].&amp;["&amp;TEXT(AZ$6,"yyyymm")&amp;"]"),
0)/1000</f>
        <v>0</v>
      </c>
      <c r="BA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"[BASE_HIPO_PPTO].[Periodo]","[BASE_HIPO_PPTO].[Periodo].&amp;["&amp;TEXT(BA$6,"yyyymm")&amp;"]"),
0)/1000</f>
        <v>0</v>
      </c>
      <c r="BB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"[BASE_HIPO_PPTO].[Periodo]","[BASE_HIPO_PPTO].[Periodo].&amp;["&amp;TEXT(BB$6,"yyyymm")&amp;"]"),
0)/1000</f>
        <v>0</v>
      </c>
      <c r="BC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"[BASE_HIPO_PPTO].[Periodo]","[BASE_HIPO_PPTO].[Periodo].&amp;["&amp;TEXT(BC$6,"yyyymm")&amp;"]"),
0)/1000</f>
        <v>0</v>
      </c>
      <c r="BD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"[BASE_HIPO_PPTO].[Periodo]","[BASE_HIPO_PPTO].[Periodo].&amp;["&amp;TEXT(BD$6,"yyyymm")&amp;"]"),
0)/1000</f>
        <v>0</v>
      </c>
      <c r="BE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"[BASE_HIPO_PPTO].[Periodo]","[BASE_HIPO_PPTO].[Periodo].&amp;["&amp;TEXT(BE$6,"yyyymm")&amp;"]"),
0)/1000</f>
        <v>0</v>
      </c>
      <c r="BF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"[BASE_HIPO_PPTO].[Periodo]","[BASE_HIPO_PPTO].[Periodo].&amp;["&amp;TEXT(BF$6,"yyyymm")&amp;"]"),
0)/1000</f>
        <v>0</v>
      </c>
      <c r="BG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"[BASE_HIPO_PPTO].[Periodo]","[BASE_HIPO_PPTO].[Periodo].&amp;["&amp;TEXT(BG$6,"yyyymm")&amp;"]"),
0)/1000</f>
        <v>0</v>
      </c>
      <c r="BH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"[BASE_HIPO_PPTO].[Periodo]","[BASE_HIPO_PPTO].[Periodo].&amp;["&amp;TEXT(BH$6,"yyyymm")&amp;"]"),
0)/1000</f>
        <v>0</v>
      </c>
      <c r="BI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"[BASE_HIPO_PPTO].[Periodo]","[BASE_HIPO_PPTO].[Periodo].&amp;["&amp;TEXT(BI$6,"yyyymm")&amp;"]"),
0)/1000</f>
        <v>0</v>
      </c>
      <c r="BJ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"[BASE_HIPO_PPTO].[Periodo]","[BASE_HIPO_PPTO].[Periodo].&amp;["&amp;TEXT(BJ$6,"yyyymm")&amp;"]"),
0)/1000</f>
        <v>0</v>
      </c>
      <c r="BK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"[BASE_HIPO_PPTO].[Periodo]","[BASE_HIPO_PPTO].[Periodo].&amp;["&amp;TEXT(BK$6,"yyyymm")&amp;"]"),
0)/1000</f>
        <v>0</v>
      </c>
      <c r="BO73" s="24">
        <f t="shared" ref="BO73:BT82" si="45">SUMIFS($D73:$BM73,$D$6:$BM$6,"&gt;="&amp;BO$2,$D$6:$BM$6,"&lt;="&amp;BO$6,$D$5:$BM$5,BO$5)</f>
        <v>0</v>
      </c>
      <c r="BP73" s="24">
        <f t="shared" si="45"/>
        <v>0</v>
      </c>
      <c r="BQ73" s="24">
        <f t="shared" si="45"/>
        <v>0</v>
      </c>
      <c r="BR73" s="24">
        <f t="shared" si="45"/>
        <v>0</v>
      </c>
      <c r="BS73" s="24">
        <f t="shared" si="45"/>
        <v>0</v>
      </c>
      <c r="BT73" s="24">
        <f t="shared" si="45"/>
        <v>0</v>
      </c>
    </row>
    <row r="74" spans="1:72" hidden="1" outlineLevel="1" x14ac:dyDescent="0.25">
      <c r="A74" s="11" t="s">
        <v>71</v>
      </c>
      <c r="C74" s="2"/>
      <c r="D74" s="8">
        <f>IFERROR(
GETPIVOTDATA(
"[Base].[Importe]",
TDinamica_R!$A$5,
"[Calendario].[AñoMes]",
"[Calendario].[AñoMes].&amp;[" &amp; TEXT(D$6,"yyyymm")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E74" s="8">
        <f>IFERROR(
GETPIVOTDATA(
"[Base].[Importe]",
TDinamica_R!$A$5,
"[Calendario].[AñoMes]",
"[Calendario].[AñoMes].&amp;[" &amp; TEXT(E$6,"yyyymm")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F74" s="8">
        <f>IFERROR(
GETPIVOTDATA(
"[Base].[Importe]",
TDinamica_R!$A$5,
"[Calendario].[AñoMes]",
"[Calendario].[AñoMes].&amp;[" &amp; TEXT(F$6,"yyyymm")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G74" s="8">
        <f>IFERROR(
GETPIVOTDATA(
"[Base].[Importe]",
TDinamica_R!$A$5,
"[Calendario].[AñoMes]",
"[Calendario].[AñoMes].&amp;[" &amp; TEXT(G$6,"yyyymm")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H74" s="8">
        <f>IFERROR(
GETPIVOTDATA(
"[Base].[Importe]",
TDinamica_R!$A$5,
"[Calendario].[AñoMes]",
"[Calendario].[AñoMes].&amp;[" &amp; TEXT(H$6,"yyyymm")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I74" s="8">
        <f>IFERROR(
GETPIVOTDATA(
"[Base].[Importe]",
TDinamica_R!$A$5,
"[Calendario].[AñoMes]",
"[Calendario].[AñoMes].&amp;[" &amp; TEXT(I$6,"yyyymm")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J74" s="8">
        <f>IFERROR(
GETPIVOTDATA(
"[Base].[Importe]",
TDinamica_R!$A$5,
"[Calendario].[AñoMes]",
"[Calendario].[AñoMes].&amp;[" &amp; TEXT(J$6,"yyyymm")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K74" s="8">
        <f>IFERROR(
GETPIVOTDATA(
"[Base].[Importe]",
TDinamica_R!$A$5,
"[Calendario].[AñoMes]",
"[Calendario].[AñoMes].&amp;[" &amp; TEXT(K$6,"yyyymm")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L74" s="8">
        <f>IFERROR(
GETPIVOTDATA(
"[Base].[Importe]",
TDinamica_R!$A$5,
"[Calendario].[AñoMes]",
"[Calendario].[AñoMes].&amp;[" &amp; TEXT(L$6,"yyyymm")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M74" s="8">
        <f>IFERROR(
GETPIVOTDATA(
"[Base].[Importe]",
TDinamica_R!$A$5,
"[Calendario].[AñoMes]",
"[Calendario].[AñoMes].&amp;[" &amp; TEXT(M$6,"yyyymm")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N74" s="8">
        <f>IFERROR(
GETPIVOTDATA(
"[Base].[Importe]",
TDinamica_R!$A$5,
"[Calendario].[AñoMes]",
"[Calendario].[AñoMes].&amp;[" &amp; TEXT(N$6,"yyyymm")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O74" s="8">
        <f>IFERROR(
GETPIVOTDATA(
"[Base].[Importe]",
TDinamica_R!$A$5,
"[Calendario].[AñoMes]",
"[Calendario].[AñoMes].&amp;[" &amp; TEXT(O$6,"yyyymm")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P74" s="8">
        <f>IFERROR(
GETPIVOTDATA(
"[Base].[Importe]",
TDinamica_R!$A$5,
"[Calendario].[AñoMes]",
"[Calendario].[AñoMes].&amp;[" &amp; TEXT(P$6,"yyyymm")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Q74" s="8">
        <f>IFERROR(
GETPIVOTDATA(
"[Base].[Importe]",
TDinamica_R!$A$5,
"[Calendario].[AñoMes]",
"[Calendario].[AñoMes].&amp;[" &amp; TEXT(Q$6,"yyyymm")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R74" s="8">
        <f>IFERROR(
GETPIVOTDATA(
"[Base].[Importe]",
TDinamica_R!$A$5,
"[Calendario].[AñoMes]",
"[Calendario].[AñoMes].&amp;[" &amp; TEXT(R$6,"yyyymm")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S74" s="8">
        <f>IFERROR(
GETPIVOTDATA(
"[Base].[Importe]",
TDinamica_R!$A$5,
"[Calendario].[AñoMes]",
"[Calendario].[AñoMes].&amp;[" &amp; TEXT(S$6,"yyyymm")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T74" s="8">
        <f>IFERROR(
GETPIVOTDATA(
"[Base].[Importe]",
TDinamica_R!$A$5,
"[Calendario].[AñoMes]",
"[Calendario].[AñoMes].&amp;[" &amp; TEXT(T$6,"yyyymm")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U74" s="8">
        <f>IFERROR(
GETPIVOTDATA(
"[Base].[Importe]",
TDinamica_R!$A$5,
"[Calendario].[AñoMes]",
"[Calendario].[AñoMes].&amp;[" &amp; TEXT(U$6,"yyyymm")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V74" s="8">
        <f>IFERROR(
GETPIVOTDATA(
"[Base].[Importe]",
TDinamica_R!$A$5,
"[Calendario].[AñoMes]",
"[Calendario].[AñoMes].&amp;[" &amp; TEXT(V$6,"yyyymm")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W74" s="8">
        <f>IFERROR(
GETPIVOTDATA(
"[Base].[Importe]",
TDinamica_R!$A$5,
"[Calendario].[AñoMes]",
"[Calendario].[AñoMes].&amp;[" &amp; TEXT(W$6,"yyyymm")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X74" s="8">
        <f>IFERROR(
GETPIVOTDATA(
"[Base].[Importe]",
TDinamica_R!$A$5,
"[Calendario].[AñoMes]",
"[Calendario].[AñoMes].&amp;[" &amp; TEXT(X$6,"yyyymm")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Y74" s="8">
        <f>IFERROR(
GETPIVOTDATA(
"[Base].[Importe]",
TDinamica_R!$A$5,
"[Calendario].[AñoMes]",
"[Calendario].[AñoMes].&amp;[" &amp; TEXT(Y$6,"yyyymm")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Z74" s="8">
        <f>IFERROR(
GETPIVOTDATA(
"[Base].[Importe]",
TDinamica_R!$A$5,
"[Calendario].[AñoMes]",
"[Calendario].[AñoMes].&amp;[" &amp; TEXT(Z$6,"yyyymm")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A74" s="8">
        <f>IFERROR(
GETPIVOTDATA(
"[Base].[Importe]",
TDinamica_R!$A$5,
"[Calendario].[AñoMes]",
"[Calendario].[AñoMes].&amp;[" &amp; TEXT(AA$6,"yyyymm")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B74" s="8">
        <f>IFERROR(
GETPIVOTDATA(
"[Base].[Importe]",
TDinamica_R!$A$5,
"[Calendario].[AñoMes]",
"[Calendario].[AñoMes].&amp;[" &amp; TEXT(AB$6,"yyyymm")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C74" s="8">
        <f>IFERROR(
GETPIVOTDATA(
"[Base].[Importe]",
TDinamica_R!$A$5,
"[Calendario].[AñoMes]",
"[Calendario].[AñoMes].&amp;[" &amp; TEXT(AC$6,"yyyymm")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D74" s="8">
        <f>IFERROR(
GETPIVOTDATA(
"[Base].[Importe]",
TDinamica_R!$A$5,
"[Calendario].[AñoMes]",
"[Calendario].[AñoMes].&amp;[" &amp; TEXT(AD$6,"yyyymm")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E74" s="8">
        <f>IFERROR(
GETPIVOTDATA(
"[Base].[Importe]",
TDinamica_R!$A$5,
"[Calendario].[AñoMes]",
"[Calendario].[AñoMes].&amp;[" &amp; TEXT(AE$6,"yyyymm")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F74" s="8">
        <f>IFERROR(
GETPIVOTDATA(
"[Base].[Importe]",
TDinamica_R!$A$5,
"[Calendario].[AñoMes]",
"[Calendario].[AñoMes].&amp;[" &amp; TEXT(AF$6,"yyyymm")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G74" s="8">
        <f>IFERROR(
GETPIVOTDATA(
"[Base].[Importe]",
TDinamica_R!$A$5,
"[Calendario].[AñoMes]",
"[Calendario].[AñoMes].&amp;[" &amp; TEXT(AG$6,"yyyymm")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H74" s="8">
        <f>IFERROR(
GETPIVOTDATA(
"[Base].[Importe]",
TDinamica_R!$A$5,
"[Calendario].[AñoMes]",
"[Calendario].[AñoMes].&amp;[" &amp; TEXT(AH$6,"yyyymm")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I74" s="8">
        <f>IFERROR(
GETPIVOTDATA(
"[Base].[Importe]",
TDinamica_R!$A$5,
"[Calendario].[AñoMes]",
"[Calendario].[AñoMes].&amp;[" &amp; TEXT(AI$6,"yyyymm")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J74" s="8">
        <f>IFERROR(
GETPIVOTDATA(
"[Base].[Importe]",
TDinamica_R!$A$5,
"[Calendario].[AñoMes]",
"[Calendario].[AñoMes].&amp;[" &amp; TEXT(AJ$6,"yyyymm")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K74" s="8">
        <f>IFERROR(
GETPIVOTDATA(
"[Base].[Importe]",
TDinamica_R!$A$5,
"[Calendario].[AñoMes]",
"[Calendario].[AñoMes].&amp;[" &amp; TEXT(AK$6,"yyyymm")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L74" s="8">
        <f>IFERROR(
GETPIVOTDATA(
"[Base].[Importe]",
TDinamica_R!$A$5,
"[Calendario].[AñoMes]",
"[Calendario].[AñoMes].&amp;[" &amp; TEXT(AL$6,"yyyymm")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M74" s="8">
        <f>IFERROR(
GETPIVOTDATA(
"[Base].[Importe]",
TDinamica_R!$A$5,
"[Calendario].[AñoMes]",
"[Calendario].[AñoMes].&amp;[" &amp; TEXT(AM$6,"yyyymm")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N74" s="8">
        <f>IFERROR(
GETPIVOTDATA(
"[Base].[Importe]",
TDinamica_R!$A$5,
"[Calendario].[AñoMes]",
"[Calendario].[AñoMes].&amp;[" &amp; TEXT(AN$6,"yyyymm")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O74" s="8">
        <f>IFERROR(
GETPIVOTDATA(
"[Base].[Importe]",
TDinamica_R!$A$5,
"[Calendario].[AñoMes]",
"[Calendario].[AñoMes].&amp;[" &amp; TEXT(AO$6,"yyyymm")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P74" s="8">
        <f>IFERROR(
GETPIVOTDATA(
"[Base].[Importe]",
TDinamica_R!$A$5,
"[Calendario].[AñoMes]",
"[Calendario].[AñoMes].&amp;[" &amp; TEXT(AP$6,"yyyymm")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Q74" s="8">
        <f>IFERROR(
GETPIVOTDATA(
"[Base].[Importe]",
TDinamica_R!$A$5,
"[Calendario].[AñoMes]",
"[Calendario].[AñoMes].&amp;[" &amp; TEXT(AQ$6,"yyyymm")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R74" s="8">
        <f>IFERROR(
GETPIVOTDATA(
"[Base].[Importe]",
TDinamica_R!$A$5,
"[Calendario].[AñoMes]",
"[Calendario].[AñoMes].&amp;[" &amp; TEXT(AR$6,"yyyymm")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S74" s="8">
        <f>IFERROR(
GETPIVOTDATA(
"[Base].[Importe]",
TDinamica_R!$A$5,
"[Calendario].[AñoMes]",
"[Calendario].[AñoMes].&amp;[" &amp; TEXT(AS$6,"yyyymm")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T74" s="8">
        <f>IFERROR(
GETPIVOTDATA(
"[Base].[Importe]",
TDinamica_R!$A$5,
"[Calendario].[AñoMes]",
"[Calendario].[AñoMes].&amp;[" &amp; TEXT(AT$6,"yyyymm")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U74" s="8">
        <f>IFERROR(
GETPIVOTDATA(
"[Base].[Importe]",
TDinamica_R!$A$5,
"[Calendario].[AñoMes]",
"[Calendario].[AñoMes].&amp;[" &amp; TEXT(AU$6,"yyyymm")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V74" s="8">
        <f>IFERROR(
GETPIVOTDATA(
"[Base].[Importe]",
TDinamica_R!$A$5,
"[Calendario].[AñoMes]",
"[Calendario].[AñoMes].&amp;[" &amp; TEXT(AV$6,"yyyymm")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W74" s="8">
        <f>IFERROR(
GETPIVOTDATA(
"[Base].[Importe]",
TDinamica_R!$A$5,
"[Calendario].[AñoMes]",
"[Calendario].[AñoMes].&amp;[" &amp; TEXT(AW$6,"yyyymm")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X74" s="8">
        <f>IFERROR(
GETPIVOTDATA(
"[Base].[Importe]",
TDinamica_R!$A$5,
"[Calendario].[AñoMes]",
"[Calendario].[AñoMes].&amp;[" &amp; TEXT(AX$6,"yyyymm")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Y74" s="8">
        <f>IFERROR(
GETPIVOTDATA(
"[Base].[Importe]",
TDinamica_R!$A$5,
"[Calendario].[AñoMes]",
"[Calendario].[AñoMes].&amp;[" &amp; TEXT(AY$6,"yyyymm")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Z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"[BASE_HIPO_PPTO].[Periodo]","[BASE_HIPO_PPTO].[Periodo].&amp;["&amp;TEXT(AZ$6,"yyyymm")&amp;"]"),
0)/1000</f>
        <v>0</v>
      </c>
      <c r="BA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"[BASE_HIPO_PPTO].[Periodo]","[BASE_HIPO_PPTO].[Periodo].&amp;["&amp;TEXT(BA$6,"yyyymm")&amp;"]"),
0)/1000</f>
        <v>0</v>
      </c>
      <c r="BB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"[BASE_HIPO_PPTO].[Periodo]","[BASE_HIPO_PPTO].[Periodo].&amp;["&amp;TEXT(BB$6,"yyyymm")&amp;"]"),
0)/1000</f>
        <v>0</v>
      </c>
      <c r="BC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"[BASE_HIPO_PPTO].[Periodo]","[BASE_HIPO_PPTO].[Periodo].&amp;["&amp;TEXT(BC$6,"yyyymm")&amp;"]"),
0)/1000</f>
        <v>0</v>
      </c>
      <c r="BD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"[BASE_HIPO_PPTO].[Periodo]","[BASE_HIPO_PPTO].[Periodo].&amp;["&amp;TEXT(BD$6,"yyyymm")&amp;"]"),
0)/1000</f>
        <v>0</v>
      </c>
      <c r="BE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"[BASE_HIPO_PPTO].[Periodo]","[BASE_HIPO_PPTO].[Periodo].&amp;["&amp;TEXT(BE$6,"yyyymm")&amp;"]"),
0)/1000</f>
        <v>0</v>
      </c>
      <c r="BF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"[BASE_HIPO_PPTO].[Periodo]","[BASE_HIPO_PPTO].[Periodo].&amp;["&amp;TEXT(BF$6,"yyyymm")&amp;"]"),
0)/1000</f>
        <v>0</v>
      </c>
      <c r="BG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"[BASE_HIPO_PPTO].[Periodo]","[BASE_HIPO_PPTO].[Periodo].&amp;["&amp;TEXT(BG$6,"yyyymm")&amp;"]"),
0)/1000</f>
        <v>0</v>
      </c>
      <c r="BH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"[BASE_HIPO_PPTO].[Periodo]","[BASE_HIPO_PPTO].[Periodo].&amp;["&amp;TEXT(BH$6,"yyyymm")&amp;"]"),
0)/1000</f>
        <v>0</v>
      </c>
      <c r="BI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"[BASE_HIPO_PPTO].[Periodo]","[BASE_HIPO_PPTO].[Periodo].&amp;["&amp;TEXT(BI$6,"yyyymm")&amp;"]"),
0)/1000</f>
        <v>0</v>
      </c>
      <c r="BJ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"[BASE_HIPO_PPTO].[Periodo]","[BASE_HIPO_PPTO].[Periodo].&amp;["&amp;TEXT(BJ$6,"yyyymm")&amp;"]"),
0)/1000</f>
        <v>0</v>
      </c>
      <c r="BK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"[BASE_HIPO_PPTO].[Periodo]","[BASE_HIPO_PPTO].[Periodo].&amp;["&amp;TEXT(BK$6,"yyyymm")&amp;"]"),
0)/1000</f>
        <v>0</v>
      </c>
      <c r="BO74" s="24">
        <f t="shared" si="45"/>
        <v>0</v>
      </c>
      <c r="BP74" s="24">
        <f t="shared" si="45"/>
        <v>0</v>
      </c>
      <c r="BQ74" s="24">
        <f t="shared" si="45"/>
        <v>0</v>
      </c>
      <c r="BR74" s="24">
        <f t="shared" si="45"/>
        <v>0</v>
      </c>
      <c r="BS74" s="24">
        <f t="shared" si="45"/>
        <v>0</v>
      </c>
      <c r="BT74" s="24">
        <f t="shared" si="45"/>
        <v>0</v>
      </c>
    </row>
    <row r="75" spans="1:72" hidden="1" outlineLevel="1" x14ac:dyDescent="0.25">
      <c r="A75" s="11" t="s">
        <v>71</v>
      </c>
      <c r="C75" s="2"/>
      <c r="D75" s="8">
        <f>IFERROR(
GETPIVOTDATA(
"[Base].[Importe]",
TDinamica_R!$A$5,
"[Calendario].[AñoMes]",
"[Calendario].[AñoMes].&amp;[" &amp; TEXT(D$6,"yyyymm")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E75" s="8">
        <f>IFERROR(
GETPIVOTDATA(
"[Base].[Importe]",
TDinamica_R!$A$5,
"[Calendario].[AñoMes]",
"[Calendario].[AñoMes].&amp;[" &amp; TEXT(E$6,"yyyymm")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F75" s="8">
        <f>IFERROR(
GETPIVOTDATA(
"[Base].[Importe]",
TDinamica_R!$A$5,
"[Calendario].[AñoMes]",
"[Calendario].[AñoMes].&amp;[" &amp; TEXT(F$6,"yyyymm")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G75" s="8">
        <f>IFERROR(
GETPIVOTDATA(
"[Base].[Importe]",
TDinamica_R!$A$5,
"[Calendario].[AñoMes]",
"[Calendario].[AñoMes].&amp;[" &amp; TEXT(G$6,"yyyymm")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H75" s="8">
        <f>IFERROR(
GETPIVOTDATA(
"[Base].[Importe]",
TDinamica_R!$A$5,
"[Calendario].[AñoMes]",
"[Calendario].[AñoMes].&amp;[" &amp; TEXT(H$6,"yyyymm")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I75" s="8">
        <f>IFERROR(
GETPIVOTDATA(
"[Base].[Importe]",
TDinamica_R!$A$5,
"[Calendario].[AñoMes]",
"[Calendario].[AñoMes].&amp;[" &amp; TEXT(I$6,"yyyymm")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J75" s="8">
        <f>IFERROR(
GETPIVOTDATA(
"[Base].[Importe]",
TDinamica_R!$A$5,
"[Calendario].[AñoMes]",
"[Calendario].[AñoMes].&amp;[" &amp; TEXT(J$6,"yyyymm")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K75" s="8">
        <f>IFERROR(
GETPIVOTDATA(
"[Base].[Importe]",
TDinamica_R!$A$5,
"[Calendario].[AñoMes]",
"[Calendario].[AñoMes].&amp;[" &amp; TEXT(K$6,"yyyymm")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L75" s="8">
        <f>IFERROR(
GETPIVOTDATA(
"[Base].[Importe]",
TDinamica_R!$A$5,
"[Calendario].[AñoMes]",
"[Calendario].[AñoMes].&amp;[" &amp; TEXT(L$6,"yyyymm")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M75" s="8">
        <f>IFERROR(
GETPIVOTDATA(
"[Base].[Importe]",
TDinamica_R!$A$5,
"[Calendario].[AñoMes]",
"[Calendario].[AñoMes].&amp;[" &amp; TEXT(M$6,"yyyymm")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N75" s="8">
        <f>IFERROR(
GETPIVOTDATA(
"[Base].[Importe]",
TDinamica_R!$A$5,
"[Calendario].[AñoMes]",
"[Calendario].[AñoMes].&amp;[" &amp; TEXT(N$6,"yyyymm")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O75" s="8">
        <f>IFERROR(
GETPIVOTDATA(
"[Base].[Importe]",
TDinamica_R!$A$5,
"[Calendario].[AñoMes]",
"[Calendario].[AñoMes].&amp;[" &amp; TEXT(O$6,"yyyymm")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P75" s="8">
        <f>IFERROR(
GETPIVOTDATA(
"[Base].[Importe]",
TDinamica_R!$A$5,
"[Calendario].[AñoMes]",
"[Calendario].[AñoMes].&amp;[" &amp; TEXT(P$6,"yyyymm")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Q75" s="8">
        <f>IFERROR(
GETPIVOTDATA(
"[Base].[Importe]",
TDinamica_R!$A$5,
"[Calendario].[AñoMes]",
"[Calendario].[AñoMes].&amp;[" &amp; TEXT(Q$6,"yyyymm")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R75" s="8">
        <f>IFERROR(
GETPIVOTDATA(
"[Base].[Importe]",
TDinamica_R!$A$5,
"[Calendario].[AñoMes]",
"[Calendario].[AñoMes].&amp;[" &amp; TEXT(R$6,"yyyymm")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S75" s="8">
        <f>IFERROR(
GETPIVOTDATA(
"[Base].[Importe]",
TDinamica_R!$A$5,
"[Calendario].[AñoMes]",
"[Calendario].[AñoMes].&amp;[" &amp; TEXT(S$6,"yyyymm")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T75" s="8">
        <f>IFERROR(
GETPIVOTDATA(
"[Base].[Importe]",
TDinamica_R!$A$5,
"[Calendario].[AñoMes]",
"[Calendario].[AñoMes].&amp;[" &amp; TEXT(T$6,"yyyymm")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U75" s="8">
        <f>IFERROR(
GETPIVOTDATA(
"[Base].[Importe]",
TDinamica_R!$A$5,
"[Calendario].[AñoMes]",
"[Calendario].[AñoMes].&amp;[" &amp; TEXT(U$6,"yyyymm")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V75" s="8">
        <f>IFERROR(
GETPIVOTDATA(
"[Base].[Importe]",
TDinamica_R!$A$5,
"[Calendario].[AñoMes]",
"[Calendario].[AñoMes].&amp;[" &amp; TEXT(V$6,"yyyymm")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W75" s="8">
        <f>IFERROR(
GETPIVOTDATA(
"[Base].[Importe]",
TDinamica_R!$A$5,
"[Calendario].[AñoMes]",
"[Calendario].[AñoMes].&amp;[" &amp; TEXT(W$6,"yyyymm")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X75" s="8">
        <f>IFERROR(
GETPIVOTDATA(
"[Base].[Importe]",
TDinamica_R!$A$5,
"[Calendario].[AñoMes]",
"[Calendario].[AñoMes].&amp;[" &amp; TEXT(X$6,"yyyymm")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Y75" s="8">
        <f>IFERROR(
GETPIVOTDATA(
"[Base].[Importe]",
TDinamica_R!$A$5,
"[Calendario].[AñoMes]",
"[Calendario].[AñoMes].&amp;[" &amp; TEXT(Y$6,"yyyymm")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Z75" s="8">
        <f>IFERROR(
GETPIVOTDATA(
"[Base].[Importe]",
TDinamica_R!$A$5,
"[Calendario].[AñoMes]",
"[Calendario].[AñoMes].&amp;[" &amp; TEXT(Z$6,"yyyymm")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A75" s="8">
        <f>IFERROR(
GETPIVOTDATA(
"[Base].[Importe]",
TDinamica_R!$A$5,
"[Calendario].[AñoMes]",
"[Calendario].[AñoMes].&amp;[" &amp; TEXT(AA$6,"yyyymm")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B75" s="8">
        <f>IFERROR(
GETPIVOTDATA(
"[Base].[Importe]",
TDinamica_R!$A$5,
"[Calendario].[AñoMes]",
"[Calendario].[AñoMes].&amp;[" &amp; TEXT(AB$6,"yyyymm")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C75" s="8">
        <f>IFERROR(
GETPIVOTDATA(
"[Base].[Importe]",
TDinamica_R!$A$5,
"[Calendario].[AñoMes]",
"[Calendario].[AñoMes].&amp;[" &amp; TEXT(AC$6,"yyyymm")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D75" s="8">
        <f>IFERROR(
GETPIVOTDATA(
"[Base].[Importe]",
TDinamica_R!$A$5,
"[Calendario].[AñoMes]",
"[Calendario].[AñoMes].&amp;[" &amp; TEXT(AD$6,"yyyymm")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E75" s="8">
        <f>IFERROR(
GETPIVOTDATA(
"[Base].[Importe]",
TDinamica_R!$A$5,
"[Calendario].[AñoMes]",
"[Calendario].[AñoMes].&amp;[" &amp; TEXT(AE$6,"yyyymm")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F75" s="8">
        <f>IFERROR(
GETPIVOTDATA(
"[Base].[Importe]",
TDinamica_R!$A$5,
"[Calendario].[AñoMes]",
"[Calendario].[AñoMes].&amp;[" &amp; TEXT(AF$6,"yyyymm")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G75" s="8">
        <f>IFERROR(
GETPIVOTDATA(
"[Base].[Importe]",
TDinamica_R!$A$5,
"[Calendario].[AñoMes]",
"[Calendario].[AñoMes].&amp;[" &amp; TEXT(AG$6,"yyyymm")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H75" s="8">
        <f>IFERROR(
GETPIVOTDATA(
"[Base].[Importe]",
TDinamica_R!$A$5,
"[Calendario].[AñoMes]",
"[Calendario].[AñoMes].&amp;[" &amp; TEXT(AH$6,"yyyymm")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I75" s="8">
        <f>IFERROR(
GETPIVOTDATA(
"[Base].[Importe]",
TDinamica_R!$A$5,
"[Calendario].[AñoMes]",
"[Calendario].[AñoMes].&amp;[" &amp; TEXT(AI$6,"yyyymm")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J75" s="8">
        <f>IFERROR(
GETPIVOTDATA(
"[Base].[Importe]",
TDinamica_R!$A$5,
"[Calendario].[AñoMes]",
"[Calendario].[AñoMes].&amp;[" &amp; TEXT(AJ$6,"yyyymm")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K75" s="8">
        <f>IFERROR(
GETPIVOTDATA(
"[Base].[Importe]",
TDinamica_R!$A$5,
"[Calendario].[AñoMes]",
"[Calendario].[AñoMes].&amp;[" &amp; TEXT(AK$6,"yyyymm")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L75" s="8">
        <f>IFERROR(
GETPIVOTDATA(
"[Base].[Importe]",
TDinamica_R!$A$5,
"[Calendario].[AñoMes]",
"[Calendario].[AñoMes].&amp;[" &amp; TEXT(AL$6,"yyyymm")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M75" s="8">
        <f>IFERROR(
GETPIVOTDATA(
"[Base].[Importe]",
TDinamica_R!$A$5,
"[Calendario].[AñoMes]",
"[Calendario].[AñoMes].&amp;[" &amp; TEXT(AM$6,"yyyymm")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N75" s="8">
        <f>IFERROR(
GETPIVOTDATA(
"[Base].[Importe]",
TDinamica_R!$A$5,
"[Calendario].[AñoMes]",
"[Calendario].[AñoMes].&amp;[" &amp; TEXT(AN$6,"yyyymm")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O75" s="8">
        <f>IFERROR(
GETPIVOTDATA(
"[Base].[Importe]",
TDinamica_R!$A$5,
"[Calendario].[AñoMes]",
"[Calendario].[AñoMes].&amp;[" &amp; TEXT(AO$6,"yyyymm")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P75" s="8">
        <f>IFERROR(
GETPIVOTDATA(
"[Base].[Importe]",
TDinamica_R!$A$5,
"[Calendario].[AñoMes]",
"[Calendario].[AñoMes].&amp;[" &amp; TEXT(AP$6,"yyyymm")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Q75" s="8">
        <f>IFERROR(
GETPIVOTDATA(
"[Base].[Importe]",
TDinamica_R!$A$5,
"[Calendario].[AñoMes]",
"[Calendario].[AñoMes].&amp;[" &amp; TEXT(AQ$6,"yyyymm")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R75" s="8">
        <f>IFERROR(
GETPIVOTDATA(
"[Base].[Importe]",
TDinamica_R!$A$5,
"[Calendario].[AñoMes]",
"[Calendario].[AñoMes].&amp;[" &amp; TEXT(AR$6,"yyyymm")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S75" s="8">
        <f>IFERROR(
GETPIVOTDATA(
"[Base].[Importe]",
TDinamica_R!$A$5,
"[Calendario].[AñoMes]",
"[Calendario].[AñoMes].&amp;[" &amp; TEXT(AS$6,"yyyymm")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T75" s="8">
        <f>IFERROR(
GETPIVOTDATA(
"[Base].[Importe]",
TDinamica_R!$A$5,
"[Calendario].[AñoMes]",
"[Calendario].[AñoMes].&amp;[" &amp; TEXT(AT$6,"yyyymm")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U75" s="8">
        <f>IFERROR(
GETPIVOTDATA(
"[Base].[Importe]",
TDinamica_R!$A$5,
"[Calendario].[AñoMes]",
"[Calendario].[AñoMes].&amp;[" &amp; TEXT(AU$6,"yyyymm")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V75" s="8">
        <f>IFERROR(
GETPIVOTDATA(
"[Base].[Importe]",
TDinamica_R!$A$5,
"[Calendario].[AñoMes]",
"[Calendario].[AñoMes].&amp;[" &amp; TEXT(AV$6,"yyyymm")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W75" s="8">
        <f>IFERROR(
GETPIVOTDATA(
"[Base].[Importe]",
TDinamica_R!$A$5,
"[Calendario].[AñoMes]",
"[Calendario].[AñoMes].&amp;[" &amp; TEXT(AW$6,"yyyymm")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X75" s="8">
        <f>IFERROR(
GETPIVOTDATA(
"[Base].[Importe]",
TDinamica_R!$A$5,
"[Calendario].[AñoMes]",
"[Calendario].[AñoMes].&amp;[" &amp; TEXT(AX$6,"yyyymm")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Y75" s="8">
        <f>IFERROR(
GETPIVOTDATA(
"[Base].[Importe]",
TDinamica_R!$A$5,
"[Calendario].[AñoMes]",
"[Calendario].[AñoMes].&amp;[" &amp; TEXT(AY$6,"yyyymm")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Z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"[BASE_HIPO_PPTO].[Periodo]","[BASE_HIPO_PPTO].[Periodo].&amp;["&amp;TEXT(AZ$6,"yyyymm")&amp;"]"),
0)/1000</f>
        <v>0</v>
      </c>
      <c r="BA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"[BASE_HIPO_PPTO].[Periodo]","[BASE_HIPO_PPTO].[Periodo].&amp;["&amp;TEXT(BA$6,"yyyymm")&amp;"]"),
0)/1000</f>
        <v>0</v>
      </c>
      <c r="BB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"[BASE_HIPO_PPTO].[Periodo]","[BASE_HIPO_PPTO].[Periodo].&amp;["&amp;TEXT(BB$6,"yyyymm")&amp;"]"),
0)/1000</f>
        <v>0</v>
      </c>
      <c r="BC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"[BASE_HIPO_PPTO].[Periodo]","[BASE_HIPO_PPTO].[Periodo].&amp;["&amp;TEXT(BC$6,"yyyymm")&amp;"]"),
0)/1000</f>
        <v>0</v>
      </c>
      <c r="BD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"[BASE_HIPO_PPTO].[Periodo]","[BASE_HIPO_PPTO].[Periodo].&amp;["&amp;TEXT(BD$6,"yyyymm")&amp;"]"),
0)/1000</f>
        <v>0</v>
      </c>
      <c r="BE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"[BASE_HIPO_PPTO].[Periodo]","[BASE_HIPO_PPTO].[Periodo].&amp;["&amp;TEXT(BE$6,"yyyymm")&amp;"]"),
0)/1000</f>
        <v>0</v>
      </c>
      <c r="BF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"[BASE_HIPO_PPTO].[Periodo]","[BASE_HIPO_PPTO].[Periodo].&amp;["&amp;TEXT(BF$6,"yyyymm")&amp;"]"),
0)/1000</f>
        <v>0</v>
      </c>
      <c r="BG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"[BASE_HIPO_PPTO].[Periodo]","[BASE_HIPO_PPTO].[Periodo].&amp;["&amp;TEXT(BG$6,"yyyymm")&amp;"]"),
0)/1000</f>
        <v>0</v>
      </c>
      <c r="BH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"[BASE_HIPO_PPTO].[Periodo]","[BASE_HIPO_PPTO].[Periodo].&amp;["&amp;TEXT(BH$6,"yyyymm")&amp;"]"),
0)/1000</f>
        <v>0</v>
      </c>
      <c r="BI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"[BASE_HIPO_PPTO].[Periodo]","[BASE_HIPO_PPTO].[Periodo].&amp;["&amp;TEXT(BI$6,"yyyymm")&amp;"]"),
0)/1000</f>
        <v>0</v>
      </c>
      <c r="BJ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"[BASE_HIPO_PPTO].[Periodo]","[BASE_HIPO_PPTO].[Periodo].&amp;["&amp;TEXT(BJ$6,"yyyymm")&amp;"]"),
0)/1000</f>
        <v>0</v>
      </c>
      <c r="BK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"[BASE_HIPO_PPTO].[Periodo]","[BASE_HIPO_PPTO].[Periodo].&amp;["&amp;TEXT(BK$6,"yyyymm")&amp;"]"),
0)/1000</f>
        <v>0</v>
      </c>
      <c r="BO75" s="24">
        <f t="shared" si="45"/>
        <v>0</v>
      </c>
      <c r="BP75" s="24">
        <f t="shared" si="45"/>
        <v>0</v>
      </c>
      <c r="BQ75" s="24">
        <f t="shared" si="45"/>
        <v>0</v>
      </c>
      <c r="BR75" s="24">
        <f t="shared" si="45"/>
        <v>0</v>
      </c>
      <c r="BS75" s="24">
        <f t="shared" si="45"/>
        <v>0</v>
      </c>
      <c r="BT75" s="24">
        <f t="shared" si="45"/>
        <v>0</v>
      </c>
    </row>
    <row r="76" spans="1:72" hidden="1" outlineLevel="1" x14ac:dyDescent="0.25">
      <c r="A76" s="11" t="s">
        <v>71</v>
      </c>
      <c r="C76" s="2"/>
      <c r="D76" s="8">
        <f>IFERROR(
GETPIVOTDATA(
"[Base].[Importe]",
TDinamica_R!$A$5,
"[Calendario].[AñoMes]",
"[Calendario].[AñoMes].&amp;[" &amp; TEXT(D$6,"yyyymm")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E76" s="8">
        <f>IFERROR(
GETPIVOTDATA(
"[Base].[Importe]",
TDinamica_R!$A$5,
"[Calendario].[AñoMes]",
"[Calendario].[AñoMes].&amp;[" &amp; TEXT(E$6,"yyyymm")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F76" s="8">
        <f>IFERROR(
GETPIVOTDATA(
"[Base].[Importe]",
TDinamica_R!$A$5,
"[Calendario].[AñoMes]",
"[Calendario].[AñoMes].&amp;[" &amp; TEXT(F$6,"yyyymm")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G76" s="8">
        <f>IFERROR(
GETPIVOTDATA(
"[Base].[Importe]",
TDinamica_R!$A$5,
"[Calendario].[AñoMes]",
"[Calendario].[AñoMes].&amp;[" &amp; TEXT(G$6,"yyyymm")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H76" s="8">
        <f>IFERROR(
GETPIVOTDATA(
"[Base].[Importe]",
TDinamica_R!$A$5,
"[Calendario].[AñoMes]",
"[Calendario].[AñoMes].&amp;[" &amp; TEXT(H$6,"yyyymm")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I76" s="8">
        <f>IFERROR(
GETPIVOTDATA(
"[Base].[Importe]",
TDinamica_R!$A$5,
"[Calendario].[AñoMes]",
"[Calendario].[AñoMes].&amp;[" &amp; TEXT(I$6,"yyyymm")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J76" s="8">
        <f>IFERROR(
GETPIVOTDATA(
"[Base].[Importe]",
TDinamica_R!$A$5,
"[Calendario].[AñoMes]",
"[Calendario].[AñoMes].&amp;[" &amp; TEXT(J$6,"yyyymm")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K76" s="8">
        <f>IFERROR(
GETPIVOTDATA(
"[Base].[Importe]",
TDinamica_R!$A$5,
"[Calendario].[AñoMes]",
"[Calendario].[AñoMes].&amp;[" &amp; TEXT(K$6,"yyyymm")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L76" s="8">
        <f>IFERROR(
GETPIVOTDATA(
"[Base].[Importe]",
TDinamica_R!$A$5,
"[Calendario].[AñoMes]",
"[Calendario].[AñoMes].&amp;[" &amp; TEXT(L$6,"yyyymm")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M76" s="8">
        <f>IFERROR(
GETPIVOTDATA(
"[Base].[Importe]",
TDinamica_R!$A$5,
"[Calendario].[AñoMes]",
"[Calendario].[AñoMes].&amp;[" &amp; TEXT(M$6,"yyyymm")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N76" s="8">
        <f>IFERROR(
GETPIVOTDATA(
"[Base].[Importe]",
TDinamica_R!$A$5,
"[Calendario].[AñoMes]",
"[Calendario].[AñoMes].&amp;[" &amp; TEXT(N$6,"yyyymm")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O76" s="8">
        <f>IFERROR(
GETPIVOTDATA(
"[Base].[Importe]",
TDinamica_R!$A$5,
"[Calendario].[AñoMes]",
"[Calendario].[AñoMes].&amp;[" &amp; TEXT(O$6,"yyyymm")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P76" s="8">
        <f>IFERROR(
GETPIVOTDATA(
"[Base].[Importe]",
TDinamica_R!$A$5,
"[Calendario].[AñoMes]",
"[Calendario].[AñoMes].&amp;[" &amp; TEXT(P$6,"yyyymm")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Q76" s="8">
        <f>IFERROR(
GETPIVOTDATA(
"[Base].[Importe]",
TDinamica_R!$A$5,
"[Calendario].[AñoMes]",
"[Calendario].[AñoMes].&amp;[" &amp; TEXT(Q$6,"yyyymm")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R76" s="8">
        <f>IFERROR(
GETPIVOTDATA(
"[Base].[Importe]",
TDinamica_R!$A$5,
"[Calendario].[AñoMes]",
"[Calendario].[AñoMes].&amp;[" &amp; TEXT(R$6,"yyyymm")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S76" s="8">
        <f>IFERROR(
GETPIVOTDATA(
"[Base].[Importe]",
TDinamica_R!$A$5,
"[Calendario].[AñoMes]",
"[Calendario].[AñoMes].&amp;[" &amp; TEXT(S$6,"yyyymm")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T76" s="8">
        <f>IFERROR(
GETPIVOTDATA(
"[Base].[Importe]",
TDinamica_R!$A$5,
"[Calendario].[AñoMes]",
"[Calendario].[AñoMes].&amp;[" &amp; TEXT(T$6,"yyyymm")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U76" s="8">
        <f>IFERROR(
GETPIVOTDATA(
"[Base].[Importe]",
TDinamica_R!$A$5,
"[Calendario].[AñoMes]",
"[Calendario].[AñoMes].&amp;[" &amp; TEXT(U$6,"yyyymm")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V76" s="8">
        <f>IFERROR(
GETPIVOTDATA(
"[Base].[Importe]",
TDinamica_R!$A$5,
"[Calendario].[AñoMes]",
"[Calendario].[AñoMes].&amp;[" &amp; TEXT(V$6,"yyyymm")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W76" s="8">
        <f>IFERROR(
GETPIVOTDATA(
"[Base].[Importe]",
TDinamica_R!$A$5,
"[Calendario].[AñoMes]",
"[Calendario].[AñoMes].&amp;[" &amp; TEXT(W$6,"yyyymm")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X76" s="8">
        <f>IFERROR(
GETPIVOTDATA(
"[Base].[Importe]",
TDinamica_R!$A$5,
"[Calendario].[AñoMes]",
"[Calendario].[AñoMes].&amp;[" &amp; TEXT(X$6,"yyyymm")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Y76" s="8">
        <f>IFERROR(
GETPIVOTDATA(
"[Base].[Importe]",
TDinamica_R!$A$5,
"[Calendario].[AñoMes]",
"[Calendario].[AñoMes].&amp;[" &amp; TEXT(Y$6,"yyyymm")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Z76" s="8">
        <f>IFERROR(
GETPIVOTDATA(
"[Base].[Importe]",
TDinamica_R!$A$5,
"[Calendario].[AñoMes]",
"[Calendario].[AñoMes].&amp;[" &amp; TEXT(Z$6,"yyyymm")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A76" s="8">
        <f>IFERROR(
GETPIVOTDATA(
"[Base].[Importe]",
TDinamica_R!$A$5,
"[Calendario].[AñoMes]",
"[Calendario].[AñoMes].&amp;[" &amp; TEXT(AA$6,"yyyymm")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B76" s="8">
        <f>IFERROR(
GETPIVOTDATA(
"[Base].[Importe]",
TDinamica_R!$A$5,
"[Calendario].[AñoMes]",
"[Calendario].[AñoMes].&amp;[" &amp; TEXT(AB$6,"yyyymm")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C76" s="8">
        <f>IFERROR(
GETPIVOTDATA(
"[Base].[Importe]",
TDinamica_R!$A$5,
"[Calendario].[AñoMes]",
"[Calendario].[AñoMes].&amp;[" &amp; TEXT(AC$6,"yyyymm")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D76" s="8">
        <f>IFERROR(
GETPIVOTDATA(
"[Base].[Importe]",
TDinamica_R!$A$5,
"[Calendario].[AñoMes]",
"[Calendario].[AñoMes].&amp;[" &amp; TEXT(AD$6,"yyyymm")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E76" s="8">
        <f>IFERROR(
GETPIVOTDATA(
"[Base].[Importe]",
TDinamica_R!$A$5,
"[Calendario].[AñoMes]",
"[Calendario].[AñoMes].&amp;[" &amp; TEXT(AE$6,"yyyymm")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F76" s="8">
        <f>IFERROR(
GETPIVOTDATA(
"[Base].[Importe]",
TDinamica_R!$A$5,
"[Calendario].[AñoMes]",
"[Calendario].[AñoMes].&amp;[" &amp; TEXT(AF$6,"yyyymm")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G76" s="8">
        <f>IFERROR(
GETPIVOTDATA(
"[Base].[Importe]",
TDinamica_R!$A$5,
"[Calendario].[AñoMes]",
"[Calendario].[AñoMes].&amp;[" &amp; TEXT(AG$6,"yyyymm")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H76" s="8">
        <f>IFERROR(
GETPIVOTDATA(
"[Base].[Importe]",
TDinamica_R!$A$5,
"[Calendario].[AñoMes]",
"[Calendario].[AñoMes].&amp;[" &amp; TEXT(AH$6,"yyyymm")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I76" s="8">
        <f>IFERROR(
GETPIVOTDATA(
"[Base].[Importe]",
TDinamica_R!$A$5,
"[Calendario].[AñoMes]",
"[Calendario].[AñoMes].&amp;[" &amp; TEXT(AI$6,"yyyymm")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J76" s="8">
        <f>IFERROR(
GETPIVOTDATA(
"[Base].[Importe]",
TDinamica_R!$A$5,
"[Calendario].[AñoMes]",
"[Calendario].[AñoMes].&amp;[" &amp; TEXT(AJ$6,"yyyymm")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K76" s="8">
        <f>IFERROR(
GETPIVOTDATA(
"[Base].[Importe]",
TDinamica_R!$A$5,
"[Calendario].[AñoMes]",
"[Calendario].[AñoMes].&amp;[" &amp; TEXT(AK$6,"yyyymm")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L76" s="8">
        <f>IFERROR(
GETPIVOTDATA(
"[Base].[Importe]",
TDinamica_R!$A$5,
"[Calendario].[AñoMes]",
"[Calendario].[AñoMes].&amp;[" &amp; TEXT(AL$6,"yyyymm")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M76" s="8">
        <f>IFERROR(
GETPIVOTDATA(
"[Base].[Importe]",
TDinamica_R!$A$5,
"[Calendario].[AñoMes]",
"[Calendario].[AñoMes].&amp;[" &amp; TEXT(AM$6,"yyyymm")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N76" s="8">
        <f>IFERROR(
GETPIVOTDATA(
"[Base].[Importe]",
TDinamica_R!$A$5,
"[Calendario].[AñoMes]",
"[Calendario].[AñoMes].&amp;[" &amp; TEXT(AN$6,"yyyymm")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O76" s="8">
        <f>IFERROR(
GETPIVOTDATA(
"[Base].[Importe]",
TDinamica_R!$A$5,
"[Calendario].[AñoMes]",
"[Calendario].[AñoMes].&amp;[" &amp; TEXT(AO$6,"yyyymm")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P76" s="8">
        <f>IFERROR(
GETPIVOTDATA(
"[Base].[Importe]",
TDinamica_R!$A$5,
"[Calendario].[AñoMes]",
"[Calendario].[AñoMes].&amp;[" &amp; TEXT(AP$6,"yyyymm")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Q76" s="8">
        <f>IFERROR(
GETPIVOTDATA(
"[Base].[Importe]",
TDinamica_R!$A$5,
"[Calendario].[AñoMes]",
"[Calendario].[AñoMes].&amp;[" &amp; TEXT(AQ$6,"yyyymm")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R76" s="8">
        <f>IFERROR(
GETPIVOTDATA(
"[Base].[Importe]",
TDinamica_R!$A$5,
"[Calendario].[AñoMes]",
"[Calendario].[AñoMes].&amp;[" &amp; TEXT(AR$6,"yyyymm")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S76" s="8">
        <f>IFERROR(
GETPIVOTDATA(
"[Base].[Importe]",
TDinamica_R!$A$5,
"[Calendario].[AñoMes]",
"[Calendario].[AñoMes].&amp;[" &amp; TEXT(AS$6,"yyyymm")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T76" s="8">
        <f>IFERROR(
GETPIVOTDATA(
"[Base].[Importe]",
TDinamica_R!$A$5,
"[Calendario].[AñoMes]",
"[Calendario].[AñoMes].&amp;[" &amp; TEXT(AT$6,"yyyymm")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U76" s="8">
        <f>IFERROR(
GETPIVOTDATA(
"[Base].[Importe]",
TDinamica_R!$A$5,
"[Calendario].[AñoMes]",
"[Calendario].[AñoMes].&amp;[" &amp; TEXT(AU$6,"yyyymm")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V76" s="8">
        <f>IFERROR(
GETPIVOTDATA(
"[Base].[Importe]",
TDinamica_R!$A$5,
"[Calendario].[AñoMes]",
"[Calendario].[AñoMes].&amp;[" &amp; TEXT(AV$6,"yyyymm")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W76" s="8">
        <f>IFERROR(
GETPIVOTDATA(
"[Base].[Importe]",
TDinamica_R!$A$5,
"[Calendario].[AñoMes]",
"[Calendario].[AñoMes].&amp;[" &amp; TEXT(AW$6,"yyyymm")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X76" s="8">
        <f>IFERROR(
GETPIVOTDATA(
"[Base].[Importe]",
TDinamica_R!$A$5,
"[Calendario].[AñoMes]",
"[Calendario].[AñoMes].&amp;[" &amp; TEXT(AX$6,"yyyymm")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Y76" s="8">
        <f>IFERROR(
GETPIVOTDATA(
"[Base].[Importe]",
TDinamica_R!$A$5,
"[Calendario].[AñoMes]",
"[Calendario].[AñoMes].&amp;[" &amp; TEXT(AY$6,"yyyymm")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Z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"[BASE_HIPO_PPTO].[Periodo]","[BASE_HIPO_PPTO].[Periodo].&amp;["&amp;TEXT(AZ$6,"yyyymm")&amp;"]"),
0)/1000</f>
        <v>0</v>
      </c>
      <c r="BA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"[BASE_HIPO_PPTO].[Periodo]","[BASE_HIPO_PPTO].[Periodo].&amp;["&amp;TEXT(BA$6,"yyyymm")&amp;"]"),
0)/1000</f>
        <v>0</v>
      </c>
      <c r="BB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"[BASE_HIPO_PPTO].[Periodo]","[BASE_HIPO_PPTO].[Periodo].&amp;["&amp;TEXT(BB$6,"yyyymm")&amp;"]"),
0)/1000</f>
        <v>0</v>
      </c>
      <c r="BC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"[BASE_HIPO_PPTO].[Periodo]","[BASE_HIPO_PPTO].[Periodo].&amp;["&amp;TEXT(BC$6,"yyyymm")&amp;"]"),
0)/1000</f>
        <v>0</v>
      </c>
      <c r="BD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"[BASE_HIPO_PPTO].[Periodo]","[BASE_HIPO_PPTO].[Periodo].&amp;["&amp;TEXT(BD$6,"yyyymm")&amp;"]"),
0)/1000</f>
        <v>0</v>
      </c>
      <c r="BE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"[BASE_HIPO_PPTO].[Periodo]","[BASE_HIPO_PPTO].[Periodo].&amp;["&amp;TEXT(BE$6,"yyyymm")&amp;"]"),
0)/1000</f>
        <v>0</v>
      </c>
      <c r="BF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"[BASE_HIPO_PPTO].[Periodo]","[BASE_HIPO_PPTO].[Periodo].&amp;["&amp;TEXT(BF$6,"yyyymm")&amp;"]"),
0)/1000</f>
        <v>0</v>
      </c>
      <c r="BG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"[BASE_HIPO_PPTO].[Periodo]","[BASE_HIPO_PPTO].[Periodo].&amp;["&amp;TEXT(BG$6,"yyyymm")&amp;"]"),
0)/1000</f>
        <v>0</v>
      </c>
      <c r="BH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"[BASE_HIPO_PPTO].[Periodo]","[BASE_HIPO_PPTO].[Periodo].&amp;["&amp;TEXT(BH$6,"yyyymm")&amp;"]"),
0)/1000</f>
        <v>0</v>
      </c>
      <c r="BI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"[BASE_HIPO_PPTO].[Periodo]","[BASE_HIPO_PPTO].[Periodo].&amp;["&amp;TEXT(BI$6,"yyyymm")&amp;"]"),
0)/1000</f>
        <v>0</v>
      </c>
      <c r="BJ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"[BASE_HIPO_PPTO].[Periodo]","[BASE_HIPO_PPTO].[Periodo].&amp;["&amp;TEXT(BJ$6,"yyyymm")&amp;"]"),
0)/1000</f>
        <v>0</v>
      </c>
      <c r="BK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"[BASE_HIPO_PPTO].[Periodo]","[BASE_HIPO_PPTO].[Periodo].&amp;["&amp;TEXT(BK$6,"yyyymm")&amp;"]"),
0)/1000</f>
        <v>0</v>
      </c>
      <c r="BO76" s="24">
        <f t="shared" si="45"/>
        <v>0</v>
      </c>
      <c r="BP76" s="24">
        <f t="shared" si="45"/>
        <v>0</v>
      </c>
      <c r="BQ76" s="24">
        <f t="shared" si="45"/>
        <v>0</v>
      </c>
      <c r="BR76" s="24">
        <f t="shared" si="45"/>
        <v>0</v>
      </c>
      <c r="BS76" s="24">
        <f t="shared" si="45"/>
        <v>0</v>
      </c>
      <c r="BT76" s="24">
        <f t="shared" si="45"/>
        <v>0</v>
      </c>
    </row>
    <row r="77" spans="1:72" hidden="1" outlineLevel="1" x14ac:dyDescent="0.25">
      <c r="A77" s="11" t="s">
        <v>71</v>
      </c>
      <c r="C77" s="2"/>
      <c r="D77" s="8">
        <f>IFERROR(
GETPIVOTDATA(
"[Base].[Importe]",
TDinamica_R!$A$5,
"[Calendario].[AñoMes]",
"[Calendario].[AñoMes].&amp;[" &amp; TEXT(D$6,"yyyymm")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E77" s="8">
        <f>IFERROR(
GETPIVOTDATA(
"[Base].[Importe]",
TDinamica_R!$A$5,
"[Calendario].[AñoMes]",
"[Calendario].[AñoMes].&amp;[" &amp; TEXT(E$6,"yyyymm")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F77" s="8">
        <f>IFERROR(
GETPIVOTDATA(
"[Base].[Importe]",
TDinamica_R!$A$5,
"[Calendario].[AñoMes]",
"[Calendario].[AñoMes].&amp;[" &amp; TEXT(F$6,"yyyymm")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G77" s="8">
        <f>IFERROR(
GETPIVOTDATA(
"[Base].[Importe]",
TDinamica_R!$A$5,
"[Calendario].[AñoMes]",
"[Calendario].[AñoMes].&amp;[" &amp; TEXT(G$6,"yyyymm")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H77" s="8">
        <f>IFERROR(
GETPIVOTDATA(
"[Base].[Importe]",
TDinamica_R!$A$5,
"[Calendario].[AñoMes]",
"[Calendario].[AñoMes].&amp;[" &amp; TEXT(H$6,"yyyymm")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I77" s="8">
        <f>IFERROR(
GETPIVOTDATA(
"[Base].[Importe]",
TDinamica_R!$A$5,
"[Calendario].[AñoMes]",
"[Calendario].[AñoMes].&amp;[" &amp; TEXT(I$6,"yyyymm")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J77" s="8">
        <f>IFERROR(
GETPIVOTDATA(
"[Base].[Importe]",
TDinamica_R!$A$5,
"[Calendario].[AñoMes]",
"[Calendario].[AñoMes].&amp;[" &amp; TEXT(J$6,"yyyymm")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K77" s="8">
        <f>IFERROR(
GETPIVOTDATA(
"[Base].[Importe]",
TDinamica_R!$A$5,
"[Calendario].[AñoMes]",
"[Calendario].[AñoMes].&amp;[" &amp; TEXT(K$6,"yyyymm")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L77" s="8">
        <f>IFERROR(
GETPIVOTDATA(
"[Base].[Importe]",
TDinamica_R!$A$5,
"[Calendario].[AñoMes]",
"[Calendario].[AñoMes].&amp;[" &amp; TEXT(L$6,"yyyymm")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M77" s="8">
        <f>IFERROR(
GETPIVOTDATA(
"[Base].[Importe]",
TDinamica_R!$A$5,
"[Calendario].[AñoMes]",
"[Calendario].[AñoMes].&amp;[" &amp; TEXT(M$6,"yyyymm")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N77" s="8">
        <f>IFERROR(
GETPIVOTDATA(
"[Base].[Importe]",
TDinamica_R!$A$5,
"[Calendario].[AñoMes]",
"[Calendario].[AñoMes].&amp;[" &amp; TEXT(N$6,"yyyymm")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O77" s="8">
        <f>IFERROR(
GETPIVOTDATA(
"[Base].[Importe]",
TDinamica_R!$A$5,
"[Calendario].[AñoMes]",
"[Calendario].[AñoMes].&amp;[" &amp; TEXT(O$6,"yyyymm")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P77" s="8">
        <f>IFERROR(
GETPIVOTDATA(
"[Base].[Importe]",
TDinamica_R!$A$5,
"[Calendario].[AñoMes]",
"[Calendario].[AñoMes].&amp;[" &amp; TEXT(P$6,"yyyymm")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Q77" s="8">
        <f>IFERROR(
GETPIVOTDATA(
"[Base].[Importe]",
TDinamica_R!$A$5,
"[Calendario].[AñoMes]",
"[Calendario].[AñoMes].&amp;[" &amp; TEXT(Q$6,"yyyymm")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R77" s="8">
        <f>IFERROR(
GETPIVOTDATA(
"[Base].[Importe]",
TDinamica_R!$A$5,
"[Calendario].[AñoMes]",
"[Calendario].[AñoMes].&amp;[" &amp; TEXT(R$6,"yyyymm")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S77" s="8">
        <f>IFERROR(
GETPIVOTDATA(
"[Base].[Importe]",
TDinamica_R!$A$5,
"[Calendario].[AñoMes]",
"[Calendario].[AñoMes].&amp;[" &amp; TEXT(S$6,"yyyymm")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T77" s="8">
        <f>IFERROR(
GETPIVOTDATA(
"[Base].[Importe]",
TDinamica_R!$A$5,
"[Calendario].[AñoMes]",
"[Calendario].[AñoMes].&amp;[" &amp; TEXT(T$6,"yyyymm")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U77" s="8">
        <f>IFERROR(
GETPIVOTDATA(
"[Base].[Importe]",
TDinamica_R!$A$5,
"[Calendario].[AñoMes]",
"[Calendario].[AñoMes].&amp;[" &amp; TEXT(U$6,"yyyymm")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V77" s="8">
        <f>IFERROR(
GETPIVOTDATA(
"[Base].[Importe]",
TDinamica_R!$A$5,
"[Calendario].[AñoMes]",
"[Calendario].[AñoMes].&amp;[" &amp; TEXT(V$6,"yyyymm")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W77" s="8">
        <f>IFERROR(
GETPIVOTDATA(
"[Base].[Importe]",
TDinamica_R!$A$5,
"[Calendario].[AñoMes]",
"[Calendario].[AñoMes].&amp;[" &amp; TEXT(W$6,"yyyymm")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X77" s="8">
        <f>IFERROR(
GETPIVOTDATA(
"[Base].[Importe]",
TDinamica_R!$A$5,
"[Calendario].[AñoMes]",
"[Calendario].[AñoMes].&amp;[" &amp; TEXT(X$6,"yyyymm")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Y77" s="8">
        <f>IFERROR(
GETPIVOTDATA(
"[Base].[Importe]",
TDinamica_R!$A$5,
"[Calendario].[AñoMes]",
"[Calendario].[AñoMes].&amp;[" &amp; TEXT(Y$6,"yyyymm")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Z77" s="8">
        <f>IFERROR(
GETPIVOTDATA(
"[Base].[Importe]",
TDinamica_R!$A$5,
"[Calendario].[AñoMes]",
"[Calendario].[AñoMes].&amp;[" &amp; TEXT(Z$6,"yyyymm")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A77" s="8">
        <f>IFERROR(
GETPIVOTDATA(
"[Base].[Importe]",
TDinamica_R!$A$5,
"[Calendario].[AñoMes]",
"[Calendario].[AñoMes].&amp;[" &amp; TEXT(AA$6,"yyyymm")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B77" s="8">
        <f>IFERROR(
GETPIVOTDATA(
"[Base].[Importe]",
TDinamica_R!$A$5,
"[Calendario].[AñoMes]",
"[Calendario].[AñoMes].&amp;[" &amp; TEXT(AB$6,"yyyymm")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C77" s="8">
        <f>IFERROR(
GETPIVOTDATA(
"[Base].[Importe]",
TDinamica_R!$A$5,
"[Calendario].[AñoMes]",
"[Calendario].[AñoMes].&amp;[" &amp; TEXT(AC$6,"yyyymm")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D77" s="8">
        <f>IFERROR(
GETPIVOTDATA(
"[Base].[Importe]",
TDinamica_R!$A$5,
"[Calendario].[AñoMes]",
"[Calendario].[AñoMes].&amp;[" &amp; TEXT(AD$6,"yyyymm")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E77" s="8">
        <f>IFERROR(
GETPIVOTDATA(
"[Base].[Importe]",
TDinamica_R!$A$5,
"[Calendario].[AñoMes]",
"[Calendario].[AñoMes].&amp;[" &amp; TEXT(AE$6,"yyyymm")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F77" s="8">
        <f>IFERROR(
GETPIVOTDATA(
"[Base].[Importe]",
TDinamica_R!$A$5,
"[Calendario].[AñoMes]",
"[Calendario].[AñoMes].&amp;[" &amp; TEXT(AF$6,"yyyymm")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G77" s="8">
        <f>IFERROR(
GETPIVOTDATA(
"[Base].[Importe]",
TDinamica_R!$A$5,
"[Calendario].[AñoMes]",
"[Calendario].[AñoMes].&amp;[" &amp; TEXT(AG$6,"yyyymm")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H77" s="8">
        <f>IFERROR(
GETPIVOTDATA(
"[Base].[Importe]",
TDinamica_R!$A$5,
"[Calendario].[AñoMes]",
"[Calendario].[AñoMes].&amp;[" &amp; TEXT(AH$6,"yyyymm")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I77" s="8">
        <f>IFERROR(
GETPIVOTDATA(
"[Base].[Importe]",
TDinamica_R!$A$5,
"[Calendario].[AñoMes]",
"[Calendario].[AñoMes].&amp;[" &amp; TEXT(AI$6,"yyyymm")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J77" s="8">
        <f>IFERROR(
GETPIVOTDATA(
"[Base].[Importe]",
TDinamica_R!$A$5,
"[Calendario].[AñoMes]",
"[Calendario].[AñoMes].&amp;[" &amp; TEXT(AJ$6,"yyyymm")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K77" s="8">
        <f>IFERROR(
GETPIVOTDATA(
"[Base].[Importe]",
TDinamica_R!$A$5,
"[Calendario].[AñoMes]",
"[Calendario].[AñoMes].&amp;[" &amp; TEXT(AK$6,"yyyymm")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L77" s="8">
        <f>IFERROR(
GETPIVOTDATA(
"[Base].[Importe]",
TDinamica_R!$A$5,
"[Calendario].[AñoMes]",
"[Calendario].[AñoMes].&amp;[" &amp; TEXT(AL$6,"yyyymm")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M77" s="8">
        <f>IFERROR(
GETPIVOTDATA(
"[Base].[Importe]",
TDinamica_R!$A$5,
"[Calendario].[AñoMes]",
"[Calendario].[AñoMes].&amp;[" &amp; TEXT(AM$6,"yyyymm")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N77" s="8">
        <f>IFERROR(
GETPIVOTDATA(
"[Base].[Importe]",
TDinamica_R!$A$5,
"[Calendario].[AñoMes]",
"[Calendario].[AñoMes].&amp;[" &amp; TEXT(AN$6,"yyyymm")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O77" s="8">
        <f>IFERROR(
GETPIVOTDATA(
"[Base].[Importe]",
TDinamica_R!$A$5,
"[Calendario].[AñoMes]",
"[Calendario].[AñoMes].&amp;[" &amp; TEXT(AO$6,"yyyymm")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P77" s="8">
        <f>IFERROR(
GETPIVOTDATA(
"[Base].[Importe]",
TDinamica_R!$A$5,
"[Calendario].[AñoMes]",
"[Calendario].[AñoMes].&amp;[" &amp; TEXT(AP$6,"yyyymm")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Q77" s="8">
        <f>IFERROR(
GETPIVOTDATA(
"[Base].[Importe]",
TDinamica_R!$A$5,
"[Calendario].[AñoMes]",
"[Calendario].[AñoMes].&amp;[" &amp; TEXT(AQ$6,"yyyymm")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R77" s="8">
        <f>IFERROR(
GETPIVOTDATA(
"[Base].[Importe]",
TDinamica_R!$A$5,
"[Calendario].[AñoMes]",
"[Calendario].[AñoMes].&amp;[" &amp; TEXT(AR$6,"yyyymm")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S77" s="8">
        <f>IFERROR(
GETPIVOTDATA(
"[Base].[Importe]",
TDinamica_R!$A$5,
"[Calendario].[AñoMes]",
"[Calendario].[AñoMes].&amp;[" &amp; TEXT(AS$6,"yyyymm")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T77" s="8">
        <f>IFERROR(
GETPIVOTDATA(
"[Base].[Importe]",
TDinamica_R!$A$5,
"[Calendario].[AñoMes]",
"[Calendario].[AñoMes].&amp;[" &amp; TEXT(AT$6,"yyyymm")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U77" s="8">
        <f>IFERROR(
GETPIVOTDATA(
"[Base].[Importe]",
TDinamica_R!$A$5,
"[Calendario].[AñoMes]",
"[Calendario].[AñoMes].&amp;[" &amp; TEXT(AU$6,"yyyymm")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V77" s="8">
        <f>IFERROR(
GETPIVOTDATA(
"[Base].[Importe]",
TDinamica_R!$A$5,
"[Calendario].[AñoMes]",
"[Calendario].[AñoMes].&amp;[" &amp; TEXT(AV$6,"yyyymm")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W77" s="8">
        <f>IFERROR(
GETPIVOTDATA(
"[Base].[Importe]",
TDinamica_R!$A$5,
"[Calendario].[AñoMes]",
"[Calendario].[AñoMes].&amp;[" &amp; TEXT(AW$6,"yyyymm")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X77" s="8">
        <f>IFERROR(
GETPIVOTDATA(
"[Base].[Importe]",
TDinamica_R!$A$5,
"[Calendario].[AñoMes]",
"[Calendario].[AñoMes].&amp;[" &amp; TEXT(AX$6,"yyyymm")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Y77" s="8">
        <f>IFERROR(
GETPIVOTDATA(
"[Base].[Importe]",
TDinamica_R!$A$5,
"[Calendario].[AñoMes]",
"[Calendario].[AñoMes].&amp;[" &amp; TEXT(AY$6,"yyyymm")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Z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"[BASE_HIPO_PPTO].[Periodo]","[BASE_HIPO_PPTO].[Periodo].&amp;["&amp;TEXT(AZ$6,"yyyymm")&amp;"]"),
0)/1000</f>
        <v>0</v>
      </c>
      <c r="BA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"[BASE_HIPO_PPTO].[Periodo]","[BASE_HIPO_PPTO].[Periodo].&amp;["&amp;TEXT(BA$6,"yyyymm")&amp;"]"),
0)/1000</f>
        <v>0</v>
      </c>
      <c r="BB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"[BASE_HIPO_PPTO].[Periodo]","[BASE_HIPO_PPTO].[Periodo].&amp;["&amp;TEXT(BB$6,"yyyymm")&amp;"]"),
0)/1000</f>
        <v>0</v>
      </c>
      <c r="BC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"[BASE_HIPO_PPTO].[Periodo]","[BASE_HIPO_PPTO].[Periodo].&amp;["&amp;TEXT(BC$6,"yyyymm")&amp;"]"),
0)/1000</f>
        <v>0</v>
      </c>
      <c r="BD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"[BASE_HIPO_PPTO].[Periodo]","[BASE_HIPO_PPTO].[Periodo].&amp;["&amp;TEXT(BD$6,"yyyymm")&amp;"]"),
0)/1000</f>
        <v>0</v>
      </c>
      <c r="BE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"[BASE_HIPO_PPTO].[Periodo]","[BASE_HIPO_PPTO].[Periodo].&amp;["&amp;TEXT(BE$6,"yyyymm")&amp;"]"),
0)/1000</f>
        <v>0</v>
      </c>
      <c r="BF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"[BASE_HIPO_PPTO].[Periodo]","[BASE_HIPO_PPTO].[Periodo].&amp;["&amp;TEXT(BF$6,"yyyymm")&amp;"]"),
0)/1000</f>
        <v>0</v>
      </c>
      <c r="BG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"[BASE_HIPO_PPTO].[Periodo]","[BASE_HIPO_PPTO].[Periodo].&amp;["&amp;TEXT(BG$6,"yyyymm")&amp;"]"),
0)/1000</f>
        <v>0</v>
      </c>
      <c r="BH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"[BASE_HIPO_PPTO].[Periodo]","[BASE_HIPO_PPTO].[Periodo].&amp;["&amp;TEXT(BH$6,"yyyymm")&amp;"]"),
0)/1000</f>
        <v>0</v>
      </c>
      <c r="BI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"[BASE_HIPO_PPTO].[Periodo]","[BASE_HIPO_PPTO].[Periodo].&amp;["&amp;TEXT(BI$6,"yyyymm")&amp;"]"),
0)/1000</f>
        <v>0</v>
      </c>
      <c r="BJ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"[BASE_HIPO_PPTO].[Periodo]","[BASE_HIPO_PPTO].[Periodo].&amp;["&amp;TEXT(BJ$6,"yyyymm")&amp;"]"),
0)/1000</f>
        <v>0</v>
      </c>
      <c r="BK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"[BASE_HIPO_PPTO].[Periodo]","[BASE_HIPO_PPTO].[Periodo].&amp;["&amp;TEXT(BK$6,"yyyymm")&amp;"]"),
0)/1000</f>
        <v>0</v>
      </c>
      <c r="BO77" s="24">
        <f t="shared" si="45"/>
        <v>0</v>
      </c>
      <c r="BP77" s="24">
        <f t="shared" si="45"/>
        <v>0</v>
      </c>
      <c r="BQ77" s="24">
        <f t="shared" si="45"/>
        <v>0</v>
      </c>
      <c r="BR77" s="24">
        <f t="shared" si="45"/>
        <v>0</v>
      </c>
      <c r="BS77" s="24">
        <f t="shared" si="45"/>
        <v>0</v>
      </c>
      <c r="BT77" s="24">
        <f t="shared" si="45"/>
        <v>0</v>
      </c>
    </row>
    <row r="78" spans="1:72" hidden="1" outlineLevel="1" x14ac:dyDescent="0.25">
      <c r="A78" s="11" t="s">
        <v>71</v>
      </c>
      <c r="C78" s="2"/>
      <c r="D78" s="8">
        <f>IFERROR(
GETPIVOTDATA(
"[Base].[Importe]",
TDinamica_R!$A$5,
"[Calendario].[AñoMes]",
"[Calendario].[AñoMes].&amp;[" &amp; TEXT(D$6,"yyyymm")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E78" s="8">
        <f>IFERROR(
GETPIVOTDATA(
"[Base].[Importe]",
TDinamica_R!$A$5,
"[Calendario].[AñoMes]",
"[Calendario].[AñoMes].&amp;[" &amp; TEXT(E$6,"yyyymm")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F78" s="8">
        <f>IFERROR(
GETPIVOTDATA(
"[Base].[Importe]",
TDinamica_R!$A$5,
"[Calendario].[AñoMes]",
"[Calendario].[AñoMes].&amp;[" &amp; TEXT(F$6,"yyyymm")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G78" s="8">
        <f>IFERROR(
GETPIVOTDATA(
"[Base].[Importe]",
TDinamica_R!$A$5,
"[Calendario].[AñoMes]",
"[Calendario].[AñoMes].&amp;[" &amp; TEXT(G$6,"yyyymm")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H78" s="8">
        <f>IFERROR(
GETPIVOTDATA(
"[Base].[Importe]",
TDinamica_R!$A$5,
"[Calendario].[AñoMes]",
"[Calendario].[AñoMes].&amp;[" &amp; TEXT(H$6,"yyyymm")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I78" s="8">
        <f>IFERROR(
GETPIVOTDATA(
"[Base].[Importe]",
TDinamica_R!$A$5,
"[Calendario].[AñoMes]",
"[Calendario].[AñoMes].&amp;[" &amp; TEXT(I$6,"yyyymm")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J78" s="8">
        <f>IFERROR(
GETPIVOTDATA(
"[Base].[Importe]",
TDinamica_R!$A$5,
"[Calendario].[AñoMes]",
"[Calendario].[AñoMes].&amp;[" &amp; TEXT(J$6,"yyyymm")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K78" s="8">
        <f>IFERROR(
GETPIVOTDATA(
"[Base].[Importe]",
TDinamica_R!$A$5,
"[Calendario].[AñoMes]",
"[Calendario].[AñoMes].&amp;[" &amp; TEXT(K$6,"yyyymm")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L78" s="8">
        <f>IFERROR(
GETPIVOTDATA(
"[Base].[Importe]",
TDinamica_R!$A$5,
"[Calendario].[AñoMes]",
"[Calendario].[AñoMes].&amp;[" &amp; TEXT(L$6,"yyyymm")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M78" s="8">
        <f>IFERROR(
GETPIVOTDATA(
"[Base].[Importe]",
TDinamica_R!$A$5,
"[Calendario].[AñoMes]",
"[Calendario].[AñoMes].&amp;[" &amp; TEXT(M$6,"yyyymm")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N78" s="8">
        <f>IFERROR(
GETPIVOTDATA(
"[Base].[Importe]",
TDinamica_R!$A$5,
"[Calendario].[AñoMes]",
"[Calendario].[AñoMes].&amp;[" &amp; TEXT(N$6,"yyyymm")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O78" s="8">
        <f>IFERROR(
GETPIVOTDATA(
"[Base].[Importe]",
TDinamica_R!$A$5,
"[Calendario].[AñoMes]",
"[Calendario].[AñoMes].&amp;[" &amp; TEXT(O$6,"yyyymm")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P78" s="8">
        <f>IFERROR(
GETPIVOTDATA(
"[Base].[Importe]",
TDinamica_R!$A$5,
"[Calendario].[AñoMes]",
"[Calendario].[AñoMes].&amp;[" &amp; TEXT(P$6,"yyyymm")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Q78" s="8">
        <f>IFERROR(
GETPIVOTDATA(
"[Base].[Importe]",
TDinamica_R!$A$5,
"[Calendario].[AñoMes]",
"[Calendario].[AñoMes].&amp;[" &amp; TEXT(Q$6,"yyyymm")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R78" s="8">
        <f>IFERROR(
GETPIVOTDATA(
"[Base].[Importe]",
TDinamica_R!$A$5,
"[Calendario].[AñoMes]",
"[Calendario].[AñoMes].&amp;[" &amp; TEXT(R$6,"yyyymm")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S78" s="8">
        <f>IFERROR(
GETPIVOTDATA(
"[Base].[Importe]",
TDinamica_R!$A$5,
"[Calendario].[AñoMes]",
"[Calendario].[AñoMes].&amp;[" &amp; TEXT(S$6,"yyyymm")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T78" s="8">
        <f>IFERROR(
GETPIVOTDATA(
"[Base].[Importe]",
TDinamica_R!$A$5,
"[Calendario].[AñoMes]",
"[Calendario].[AñoMes].&amp;[" &amp; TEXT(T$6,"yyyymm")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U78" s="8">
        <f>IFERROR(
GETPIVOTDATA(
"[Base].[Importe]",
TDinamica_R!$A$5,
"[Calendario].[AñoMes]",
"[Calendario].[AñoMes].&amp;[" &amp; TEXT(U$6,"yyyymm")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V78" s="8">
        <f>IFERROR(
GETPIVOTDATA(
"[Base].[Importe]",
TDinamica_R!$A$5,
"[Calendario].[AñoMes]",
"[Calendario].[AñoMes].&amp;[" &amp; TEXT(V$6,"yyyymm")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W78" s="8">
        <f>IFERROR(
GETPIVOTDATA(
"[Base].[Importe]",
TDinamica_R!$A$5,
"[Calendario].[AñoMes]",
"[Calendario].[AñoMes].&amp;[" &amp; TEXT(W$6,"yyyymm")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X78" s="8">
        <f>IFERROR(
GETPIVOTDATA(
"[Base].[Importe]",
TDinamica_R!$A$5,
"[Calendario].[AñoMes]",
"[Calendario].[AñoMes].&amp;[" &amp; TEXT(X$6,"yyyymm")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Y78" s="8">
        <f>IFERROR(
GETPIVOTDATA(
"[Base].[Importe]",
TDinamica_R!$A$5,
"[Calendario].[AñoMes]",
"[Calendario].[AñoMes].&amp;[" &amp; TEXT(Y$6,"yyyymm")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Z78" s="8">
        <f>IFERROR(
GETPIVOTDATA(
"[Base].[Importe]",
TDinamica_R!$A$5,
"[Calendario].[AñoMes]",
"[Calendario].[AñoMes].&amp;[" &amp; TEXT(Z$6,"yyyymm")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A78" s="8">
        <f>IFERROR(
GETPIVOTDATA(
"[Base].[Importe]",
TDinamica_R!$A$5,
"[Calendario].[AñoMes]",
"[Calendario].[AñoMes].&amp;[" &amp; TEXT(AA$6,"yyyymm")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B78" s="8">
        <f>IFERROR(
GETPIVOTDATA(
"[Base].[Importe]",
TDinamica_R!$A$5,
"[Calendario].[AñoMes]",
"[Calendario].[AñoMes].&amp;[" &amp; TEXT(AB$6,"yyyymm")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C78" s="8">
        <f>IFERROR(
GETPIVOTDATA(
"[Base].[Importe]",
TDinamica_R!$A$5,
"[Calendario].[AñoMes]",
"[Calendario].[AñoMes].&amp;[" &amp; TEXT(AC$6,"yyyymm")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D78" s="8">
        <f>IFERROR(
GETPIVOTDATA(
"[Base].[Importe]",
TDinamica_R!$A$5,
"[Calendario].[AñoMes]",
"[Calendario].[AñoMes].&amp;[" &amp; TEXT(AD$6,"yyyymm")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E78" s="8">
        <f>IFERROR(
GETPIVOTDATA(
"[Base].[Importe]",
TDinamica_R!$A$5,
"[Calendario].[AñoMes]",
"[Calendario].[AñoMes].&amp;[" &amp; TEXT(AE$6,"yyyymm")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F78" s="8">
        <f>IFERROR(
GETPIVOTDATA(
"[Base].[Importe]",
TDinamica_R!$A$5,
"[Calendario].[AñoMes]",
"[Calendario].[AñoMes].&amp;[" &amp; TEXT(AF$6,"yyyymm")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G78" s="8">
        <f>IFERROR(
GETPIVOTDATA(
"[Base].[Importe]",
TDinamica_R!$A$5,
"[Calendario].[AñoMes]",
"[Calendario].[AñoMes].&amp;[" &amp; TEXT(AG$6,"yyyymm")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H78" s="8">
        <f>IFERROR(
GETPIVOTDATA(
"[Base].[Importe]",
TDinamica_R!$A$5,
"[Calendario].[AñoMes]",
"[Calendario].[AñoMes].&amp;[" &amp; TEXT(AH$6,"yyyymm")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I78" s="8">
        <f>IFERROR(
GETPIVOTDATA(
"[Base].[Importe]",
TDinamica_R!$A$5,
"[Calendario].[AñoMes]",
"[Calendario].[AñoMes].&amp;[" &amp; TEXT(AI$6,"yyyymm")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J78" s="8">
        <f>IFERROR(
GETPIVOTDATA(
"[Base].[Importe]",
TDinamica_R!$A$5,
"[Calendario].[AñoMes]",
"[Calendario].[AñoMes].&amp;[" &amp; TEXT(AJ$6,"yyyymm")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K78" s="8">
        <f>IFERROR(
GETPIVOTDATA(
"[Base].[Importe]",
TDinamica_R!$A$5,
"[Calendario].[AñoMes]",
"[Calendario].[AñoMes].&amp;[" &amp; TEXT(AK$6,"yyyymm")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L78" s="8">
        <f>IFERROR(
GETPIVOTDATA(
"[Base].[Importe]",
TDinamica_R!$A$5,
"[Calendario].[AñoMes]",
"[Calendario].[AñoMes].&amp;[" &amp; TEXT(AL$6,"yyyymm")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M78" s="8">
        <f>IFERROR(
GETPIVOTDATA(
"[Base].[Importe]",
TDinamica_R!$A$5,
"[Calendario].[AñoMes]",
"[Calendario].[AñoMes].&amp;[" &amp; TEXT(AM$6,"yyyymm")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N78" s="8">
        <f>IFERROR(
GETPIVOTDATA(
"[Base].[Importe]",
TDinamica_R!$A$5,
"[Calendario].[AñoMes]",
"[Calendario].[AñoMes].&amp;[" &amp; TEXT(AN$6,"yyyymm")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O78" s="8">
        <f>IFERROR(
GETPIVOTDATA(
"[Base].[Importe]",
TDinamica_R!$A$5,
"[Calendario].[AñoMes]",
"[Calendario].[AñoMes].&amp;[" &amp; TEXT(AO$6,"yyyymm")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P78" s="8">
        <f>IFERROR(
GETPIVOTDATA(
"[Base].[Importe]",
TDinamica_R!$A$5,
"[Calendario].[AñoMes]",
"[Calendario].[AñoMes].&amp;[" &amp; TEXT(AP$6,"yyyymm")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Q78" s="8">
        <f>IFERROR(
GETPIVOTDATA(
"[Base].[Importe]",
TDinamica_R!$A$5,
"[Calendario].[AñoMes]",
"[Calendario].[AñoMes].&amp;[" &amp; TEXT(AQ$6,"yyyymm")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R78" s="8">
        <f>IFERROR(
GETPIVOTDATA(
"[Base].[Importe]",
TDinamica_R!$A$5,
"[Calendario].[AñoMes]",
"[Calendario].[AñoMes].&amp;[" &amp; TEXT(AR$6,"yyyymm")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S78" s="8">
        <f>IFERROR(
GETPIVOTDATA(
"[Base].[Importe]",
TDinamica_R!$A$5,
"[Calendario].[AñoMes]",
"[Calendario].[AñoMes].&amp;[" &amp; TEXT(AS$6,"yyyymm")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T78" s="8">
        <f>IFERROR(
GETPIVOTDATA(
"[Base].[Importe]",
TDinamica_R!$A$5,
"[Calendario].[AñoMes]",
"[Calendario].[AñoMes].&amp;[" &amp; TEXT(AT$6,"yyyymm")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U78" s="8">
        <f>IFERROR(
GETPIVOTDATA(
"[Base].[Importe]",
TDinamica_R!$A$5,
"[Calendario].[AñoMes]",
"[Calendario].[AñoMes].&amp;[" &amp; TEXT(AU$6,"yyyymm")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V78" s="8">
        <f>IFERROR(
GETPIVOTDATA(
"[Base].[Importe]",
TDinamica_R!$A$5,
"[Calendario].[AñoMes]",
"[Calendario].[AñoMes].&amp;[" &amp; TEXT(AV$6,"yyyymm")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W78" s="8">
        <f>IFERROR(
GETPIVOTDATA(
"[Base].[Importe]",
TDinamica_R!$A$5,
"[Calendario].[AñoMes]",
"[Calendario].[AñoMes].&amp;[" &amp; TEXT(AW$6,"yyyymm")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X78" s="8">
        <f>IFERROR(
GETPIVOTDATA(
"[Base].[Importe]",
TDinamica_R!$A$5,
"[Calendario].[AñoMes]",
"[Calendario].[AñoMes].&amp;[" &amp; TEXT(AX$6,"yyyymm")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Y78" s="8">
        <f>IFERROR(
GETPIVOTDATA(
"[Base].[Importe]",
TDinamica_R!$A$5,
"[Calendario].[AñoMes]",
"[Calendario].[AñoMes].&amp;[" &amp; TEXT(AY$6,"yyyymm")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Z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"[BASE_HIPO_PPTO].[Periodo]","[BASE_HIPO_PPTO].[Periodo].&amp;["&amp;TEXT(AZ$6,"yyyymm")&amp;"]"),
0)/1000</f>
        <v>0</v>
      </c>
      <c r="BA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"[BASE_HIPO_PPTO].[Periodo]","[BASE_HIPO_PPTO].[Periodo].&amp;["&amp;TEXT(BA$6,"yyyymm")&amp;"]"),
0)/1000</f>
        <v>0</v>
      </c>
      <c r="BB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"[BASE_HIPO_PPTO].[Periodo]","[BASE_HIPO_PPTO].[Periodo].&amp;["&amp;TEXT(BB$6,"yyyymm")&amp;"]"),
0)/1000</f>
        <v>0</v>
      </c>
      <c r="BC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"[BASE_HIPO_PPTO].[Periodo]","[BASE_HIPO_PPTO].[Periodo].&amp;["&amp;TEXT(BC$6,"yyyymm")&amp;"]"),
0)/1000</f>
        <v>0</v>
      </c>
      <c r="BD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"[BASE_HIPO_PPTO].[Periodo]","[BASE_HIPO_PPTO].[Periodo].&amp;["&amp;TEXT(BD$6,"yyyymm")&amp;"]"),
0)/1000</f>
        <v>0</v>
      </c>
      <c r="BE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"[BASE_HIPO_PPTO].[Periodo]","[BASE_HIPO_PPTO].[Periodo].&amp;["&amp;TEXT(BE$6,"yyyymm")&amp;"]"),
0)/1000</f>
        <v>0</v>
      </c>
      <c r="BF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"[BASE_HIPO_PPTO].[Periodo]","[BASE_HIPO_PPTO].[Periodo].&amp;["&amp;TEXT(BF$6,"yyyymm")&amp;"]"),
0)/1000</f>
        <v>0</v>
      </c>
      <c r="BG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"[BASE_HIPO_PPTO].[Periodo]","[BASE_HIPO_PPTO].[Periodo].&amp;["&amp;TEXT(BG$6,"yyyymm")&amp;"]"),
0)/1000</f>
        <v>0</v>
      </c>
      <c r="BH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"[BASE_HIPO_PPTO].[Periodo]","[BASE_HIPO_PPTO].[Periodo].&amp;["&amp;TEXT(BH$6,"yyyymm")&amp;"]"),
0)/1000</f>
        <v>0</v>
      </c>
      <c r="BI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"[BASE_HIPO_PPTO].[Periodo]","[BASE_HIPO_PPTO].[Periodo].&amp;["&amp;TEXT(BI$6,"yyyymm")&amp;"]"),
0)/1000</f>
        <v>0</v>
      </c>
      <c r="BJ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"[BASE_HIPO_PPTO].[Periodo]","[BASE_HIPO_PPTO].[Periodo].&amp;["&amp;TEXT(BJ$6,"yyyymm")&amp;"]"),
0)/1000</f>
        <v>0</v>
      </c>
      <c r="BK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"[BASE_HIPO_PPTO].[Periodo]","[BASE_HIPO_PPTO].[Periodo].&amp;["&amp;TEXT(BK$6,"yyyymm")&amp;"]"),
0)/1000</f>
        <v>0</v>
      </c>
      <c r="BO78" s="24">
        <f t="shared" si="45"/>
        <v>0</v>
      </c>
      <c r="BP78" s="24">
        <f t="shared" si="45"/>
        <v>0</v>
      </c>
      <c r="BQ78" s="24">
        <f t="shared" si="45"/>
        <v>0</v>
      </c>
      <c r="BR78" s="24">
        <f t="shared" si="45"/>
        <v>0</v>
      </c>
      <c r="BS78" s="24">
        <f t="shared" si="45"/>
        <v>0</v>
      </c>
      <c r="BT78" s="24">
        <f t="shared" si="45"/>
        <v>0</v>
      </c>
    </row>
    <row r="79" spans="1:72" hidden="1" outlineLevel="1" x14ac:dyDescent="0.25">
      <c r="A79" s="11" t="s">
        <v>71</v>
      </c>
      <c r="C79" s="2"/>
      <c r="D79" s="8">
        <f>IFERROR(
GETPIVOTDATA(
"[Base].[Importe]",
TDinamica_R!$A$5,
"[Calendario].[AñoMes]",
"[Calendario].[AñoMes].&amp;[" &amp; TEXT(D$6,"yyyymm")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E79" s="8">
        <f>IFERROR(
GETPIVOTDATA(
"[Base].[Importe]",
TDinamica_R!$A$5,
"[Calendario].[AñoMes]",
"[Calendario].[AñoMes].&amp;[" &amp; TEXT(E$6,"yyyymm")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F79" s="8">
        <f>IFERROR(
GETPIVOTDATA(
"[Base].[Importe]",
TDinamica_R!$A$5,
"[Calendario].[AñoMes]",
"[Calendario].[AñoMes].&amp;[" &amp; TEXT(F$6,"yyyymm")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G79" s="8">
        <f>IFERROR(
GETPIVOTDATA(
"[Base].[Importe]",
TDinamica_R!$A$5,
"[Calendario].[AñoMes]",
"[Calendario].[AñoMes].&amp;[" &amp; TEXT(G$6,"yyyymm")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H79" s="8">
        <f>IFERROR(
GETPIVOTDATA(
"[Base].[Importe]",
TDinamica_R!$A$5,
"[Calendario].[AñoMes]",
"[Calendario].[AñoMes].&amp;[" &amp; TEXT(H$6,"yyyymm")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I79" s="8">
        <f>IFERROR(
GETPIVOTDATA(
"[Base].[Importe]",
TDinamica_R!$A$5,
"[Calendario].[AñoMes]",
"[Calendario].[AñoMes].&amp;[" &amp; TEXT(I$6,"yyyymm")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J79" s="8">
        <f>IFERROR(
GETPIVOTDATA(
"[Base].[Importe]",
TDinamica_R!$A$5,
"[Calendario].[AñoMes]",
"[Calendario].[AñoMes].&amp;[" &amp; TEXT(J$6,"yyyymm")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K79" s="8">
        <f>IFERROR(
GETPIVOTDATA(
"[Base].[Importe]",
TDinamica_R!$A$5,
"[Calendario].[AñoMes]",
"[Calendario].[AñoMes].&amp;[" &amp; TEXT(K$6,"yyyymm")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L79" s="8">
        <f>IFERROR(
GETPIVOTDATA(
"[Base].[Importe]",
TDinamica_R!$A$5,
"[Calendario].[AñoMes]",
"[Calendario].[AñoMes].&amp;[" &amp; TEXT(L$6,"yyyymm")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M79" s="8">
        <f>IFERROR(
GETPIVOTDATA(
"[Base].[Importe]",
TDinamica_R!$A$5,
"[Calendario].[AñoMes]",
"[Calendario].[AñoMes].&amp;[" &amp; TEXT(M$6,"yyyymm")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N79" s="8">
        <f>IFERROR(
GETPIVOTDATA(
"[Base].[Importe]",
TDinamica_R!$A$5,
"[Calendario].[AñoMes]",
"[Calendario].[AñoMes].&amp;[" &amp; TEXT(N$6,"yyyymm")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O79" s="8">
        <f>IFERROR(
GETPIVOTDATA(
"[Base].[Importe]",
TDinamica_R!$A$5,
"[Calendario].[AñoMes]",
"[Calendario].[AñoMes].&amp;[" &amp; TEXT(O$6,"yyyymm")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P79" s="8">
        <f>IFERROR(
GETPIVOTDATA(
"[Base].[Importe]",
TDinamica_R!$A$5,
"[Calendario].[AñoMes]",
"[Calendario].[AñoMes].&amp;[" &amp; TEXT(P$6,"yyyymm")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Q79" s="8">
        <f>IFERROR(
GETPIVOTDATA(
"[Base].[Importe]",
TDinamica_R!$A$5,
"[Calendario].[AñoMes]",
"[Calendario].[AñoMes].&amp;[" &amp; TEXT(Q$6,"yyyymm")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R79" s="8">
        <f>IFERROR(
GETPIVOTDATA(
"[Base].[Importe]",
TDinamica_R!$A$5,
"[Calendario].[AñoMes]",
"[Calendario].[AñoMes].&amp;[" &amp; TEXT(R$6,"yyyymm")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S79" s="8">
        <f>IFERROR(
GETPIVOTDATA(
"[Base].[Importe]",
TDinamica_R!$A$5,
"[Calendario].[AñoMes]",
"[Calendario].[AñoMes].&amp;[" &amp; TEXT(S$6,"yyyymm")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T79" s="8">
        <f>IFERROR(
GETPIVOTDATA(
"[Base].[Importe]",
TDinamica_R!$A$5,
"[Calendario].[AñoMes]",
"[Calendario].[AñoMes].&amp;[" &amp; TEXT(T$6,"yyyymm")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U79" s="8">
        <f>IFERROR(
GETPIVOTDATA(
"[Base].[Importe]",
TDinamica_R!$A$5,
"[Calendario].[AñoMes]",
"[Calendario].[AñoMes].&amp;[" &amp; TEXT(U$6,"yyyymm")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V79" s="8">
        <f>IFERROR(
GETPIVOTDATA(
"[Base].[Importe]",
TDinamica_R!$A$5,
"[Calendario].[AñoMes]",
"[Calendario].[AñoMes].&amp;[" &amp; TEXT(V$6,"yyyymm")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W79" s="8">
        <f>IFERROR(
GETPIVOTDATA(
"[Base].[Importe]",
TDinamica_R!$A$5,
"[Calendario].[AñoMes]",
"[Calendario].[AñoMes].&amp;[" &amp; TEXT(W$6,"yyyymm")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X79" s="8">
        <f>IFERROR(
GETPIVOTDATA(
"[Base].[Importe]",
TDinamica_R!$A$5,
"[Calendario].[AñoMes]",
"[Calendario].[AñoMes].&amp;[" &amp; TEXT(X$6,"yyyymm")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Y79" s="8">
        <f>IFERROR(
GETPIVOTDATA(
"[Base].[Importe]",
TDinamica_R!$A$5,
"[Calendario].[AñoMes]",
"[Calendario].[AñoMes].&amp;[" &amp; TEXT(Y$6,"yyyymm")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Z79" s="8">
        <f>IFERROR(
GETPIVOTDATA(
"[Base].[Importe]",
TDinamica_R!$A$5,
"[Calendario].[AñoMes]",
"[Calendario].[AñoMes].&amp;[" &amp; TEXT(Z$6,"yyyymm")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A79" s="8">
        <f>IFERROR(
GETPIVOTDATA(
"[Base].[Importe]",
TDinamica_R!$A$5,
"[Calendario].[AñoMes]",
"[Calendario].[AñoMes].&amp;[" &amp; TEXT(AA$6,"yyyymm")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B79" s="8">
        <f>IFERROR(
GETPIVOTDATA(
"[Base].[Importe]",
TDinamica_R!$A$5,
"[Calendario].[AñoMes]",
"[Calendario].[AñoMes].&amp;[" &amp; TEXT(AB$6,"yyyymm")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C79" s="8">
        <f>IFERROR(
GETPIVOTDATA(
"[Base].[Importe]",
TDinamica_R!$A$5,
"[Calendario].[AñoMes]",
"[Calendario].[AñoMes].&amp;[" &amp; TEXT(AC$6,"yyyymm")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D79" s="8">
        <f>IFERROR(
GETPIVOTDATA(
"[Base].[Importe]",
TDinamica_R!$A$5,
"[Calendario].[AñoMes]",
"[Calendario].[AñoMes].&amp;[" &amp; TEXT(AD$6,"yyyymm")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E79" s="8">
        <f>IFERROR(
GETPIVOTDATA(
"[Base].[Importe]",
TDinamica_R!$A$5,
"[Calendario].[AñoMes]",
"[Calendario].[AñoMes].&amp;[" &amp; TEXT(AE$6,"yyyymm")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F79" s="8">
        <f>IFERROR(
GETPIVOTDATA(
"[Base].[Importe]",
TDinamica_R!$A$5,
"[Calendario].[AñoMes]",
"[Calendario].[AñoMes].&amp;[" &amp; TEXT(AF$6,"yyyymm")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G79" s="8">
        <f>IFERROR(
GETPIVOTDATA(
"[Base].[Importe]",
TDinamica_R!$A$5,
"[Calendario].[AñoMes]",
"[Calendario].[AñoMes].&amp;[" &amp; TEXT(AG$6,"yyyymm")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H79" s="8">
        <f>IFERROR(
GETPIVOTDATA(
"[Base].[Importe]",
TDinamica_R!$A$5,
"[Calendario].[AñoMes]",
"[Calendario].[AñoMes].&amp;[" &amp; TEXT(AH$6,"yyyymm")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I79" s="8">
        <f>IFERROR(
GETPIVOTDATA(
"[Base].[Importe]",
TDinamica_R!$A$5,
"[Calendario].[AñoMes]",
"[Calendario].[AñoMes].&amp;[" &amp; TEXT(AI$6,"yyyymm")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J79" s="8">
        <f>IFERROR(
GETPIVOTDATA(
"[Base].[Importe]",
TDinamica_R!$A$5,
"[Calendario].[AñoMes]",
"[Calendario].[AñoMes].&amp;[" &amp; TEXT(AJ$6,"yyyymm")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K79" s="8">
        <f>IFERROR(
GETPIVOTDATA(
"[Base].[Importe]",
TDinamica_R!$A$5,
"[Calendario].[AñoMes]",
"[Calendario].[AñoMes].&amp;[" &amp; TEXT(AK$6,"yyyymm")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L79" s="8">
        <f>IFERROR(
GETPIVOTDATA(
"[Base].[Importe]",
TDinamica_R!$A$5,
"[Calendario].[AñoMes]",
"[Calendario].[AñoMes].&amp;[" &amp; TEXT(AL$6,"yyyymm")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M79" s="8">
        <f>IFERROR(
GETPIVOTDATA(
"[Base].[Importe]",
TDinamica_R!$A$5,
"[Calendario].[AñoMes]",
"[Calendario].[AñoMes].&amp;[" &amp; TEXT(AM$6,"yyyymm")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N79" s="8">
        <f>IFERROR(
GETPIVOTDATA(
"[Base].[Importe]",
TDinamica_R!$A$5,
"[Calendario].[AñoMes]",
"[Calendario].[AñoMes].&amp;[" &amp; TEXT(AN$6,"yyyymm")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O79" s="8">
        <f>IFERROR(
GETPIVOTDATA(
"[Base].[Importe]",
TDinamica_R!$A$5,
"[Calendario].[AñoMes]",
"[Calendario].[AñoMes].&amp;[" &amp; TEXT(AO$6,"yyyymm")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P79" s="8">
        <f>IFERROR(
GETPIVOTDATA(
"[Base].[Importe]",
TDinamica_R!$A$5,
"[Calendario].[AñoMes]",
"[Calendario].[AñoMes].&amp;[" &amp; TEXT(AP$6,"yyyymm")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Q79" s="8">
        <f>IFERROR(
GETPIVOTDATA(
"[Base].[Importe]",
TDinamica_R!$A$5,
"[Calendario].[AñoMes]",
"[Calendario].[AñoMes].&amp;[" &amp; TEXT(AQ$6,"yyyymm")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R79" s="8">
        <f>IFERROR(
GETPIVOTDATA(
"[Base].[Importe]",
TDinamica_R!$A$5,
"[Calendario].[AñoMes]",
"[Calendario].[AñoMes].&amp;[" &amp; TEXT(AR$6,"yyyymm")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S79" s="8">
        <f>IFERROR(
GETPIVOTDATA(
"[Base].[Importe]",
TDinamica_R!$A$5,
"[Calendario].[AñoMes]",
"[Calendario].[AñoMes].&amp;[" &amp; TEXT(AS$6,"yyyymm")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T79" s="8">
        <f>IFERROR(
GETPIVOTDATA(
"[Base].[Importe]",
TDinamica_R!$A$5,
"[Calendario].[AñoMes]",
"[Calendario].[AñoMes].&amp;[" &amp; TEXT(AT$6,"yyyymm")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U79" s="8">
        <f>IFERROR(
GETPIVOTDATA(
"[Base].[Importe]",
TDinamica_R!$A$5,
"[Calendario].[AñoMes]",
"[Calendario].[AñoMes].&amp;[" &amp; TEXT(AU$6,"yyyymm")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V79" s="8">
        <f>IFERROR(
GETPIVOTDATA(
"[Base].[Importe]",
TDinamica_R!$A$5,
"[Calendario].[AñoMes]",
"[Calendario].[AñoMes].&amp;[" &amp; TEXT(AV$6,"yyyymm")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W79" s="8">
        <f>IFERROR(
GETPIVOTDATA(
"[Base].[Importe]",
TDinamica_R!$A$5,
"[Calendario].[AñoMes]",
"[Calendario].[AñoMes].&amp;[" &amp; TEXT(AW$6,"yyyymm")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X79" s="8">
        <f>IFERROR(
GETPIVOTDATA(
"[Base].[Importe]",
TDinamica_R!$A$5,
"[Calendario].[AñoMes]",
"[Calendario].[AñoMes].&amp;[" &amp; TEXT(AX$6,"yyyymm")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Y79" s="8">
        <f>IFERROR(
GETPIVOTDATA(
"[Base].[Importe]",
TDinamica_R!$A$5,
"[Calendario].[AñoMes]",
"[Calendario].[AñoMes].&amp;[" &amp; TEXT(AY$6,"yyyymm")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Z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"[BASE_HIPO_PPTO].[Periodo]","[BASE_HIPO_PPTO].[Periodo].&amp;["&amp;TEXT(AZ$6,"yyyymm")&amp;"]"),
0)/1000</f>
        <v>0</v>
      </c>
      <c r="BA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"[BASE_HIPO_PPTO].[Periodo]","[BASE_HIPO_PPTO].[Periodo].&amp;["&amp;TEXT(BA$6,"yyyymm")&amp;"]"),
0)/1000</f>
        <v>0</v>
      </c>
      <c r="BB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"[BASE_HIPO_PPTO].[Periodo]","[BASE_HIPO_PPTO].[Periodo].&amp;["&amp;TEXT(BB$6,"yyyymm")&amp;"]"),
0)/1000</f>
        <v>0</v>
      </c>
      <c r="BC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"[BASE_HIPO_PPTO].[Periodo]","[BASE_HIPO_PPTO].[Periodo].&amp;["&amp;TEXT(BC$6,"yyyymm")&amp;"]"),
0)/1000</f>
        <v>0</v>
      </c>
      <c r="BD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"[BASE_HIPO_PPTO].[Periodo]","[BASE_HIPO_PPTO].[Periodo].&amp;["&amp;TEXT(BD$6,"yyyymm")&amp;"]"),
0)/1000</f>
        <v>0</v>
      </c>
      <c r="BE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"[BASE_HIPO_PPTO].[Periodo]","[BASE_HIPO_PPTO].[Periodo].&amp;["&amp;TEXT(BE$6,"yyyymm")&amp;"]"),
0)/1000</f>
        <v>0</v>
      </c>
      <c r="BF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"[BASE_HIPO_PPTO].[Periodo]","[BASE_HIPO_PPTO].[Periodo].&amp;["&amp;TEXT(BF$6,"yyyymm")&amp;"]"),
0)/1000</f>
        <v>0</v>
      </c>
      <c r="BG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"[BASE_HIPO_PPTO].[Periodo]","[BASE_HIPO_PPTO].[Periodo].&amp;["&amp;TEXT(BG$6,"yyyymm")&amp;"]"),
0)/1000</f>
        <v>0</v>
      </c>
      <c r="BH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"[BASE_HIPO_PPTO].[Periodo]","[BASE_HIPO_PPTO].[Periodo].&amp;["&amp;TEXT(BH$6,"yyyymm")&amp;"]"),
0)/1000</f>
        <v>0</v>
      </c>
      <c r="BI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"[BASE_HIPO_PPTO].[Periodo]","[BASE_HIPO_PPTO].[Periodo].&amp;["&amp;TEXT(BI$6,"yyyymm")&amp;"]"),
0)/1000</f>
        <v>0</v>
      </c>
      <c r="BJ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"[BASE_HIPO_PPTO].[Periodo]","[BASE_HIPO_PPTO].[Periodo].&amp;["&amp;TEXT(BJ$6,"yyyymm")&amp;"]"),
0)/1000</f>
        <v>0</v>
      </c>
      <c r="BK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"[BASE_HIPO_PPTO].[Periodo]","[BASE_HIPO_PPTO].[Periodo].&amp;["&amp;TEXT(BK$6,"yyyymm")&amp;"]"),
0)/1000</f>
        <v>0</v>
      </c>
      <c r="BO79" s="24">
        <f t="shared" si="45"/>
        <v>0</v>
      </c>
      <c r="BP79" s="24">
        <f t="shared" si="45"/>
        <v>0</v>
      </c>
      <c r="BQ79" s="24">
        <f t="shared" si="45"/>
        <v>0</v>
      </c>
      <c r="BR79" s="24">
        <f t="shared" si="45"/>
        <v>0</v>
      </c>
      <c r="BS79" s="24">
        <f t="shared" si="45"/>
        <v>0</v>
      </c>
      <c r="BT79" s="24">
        <f t="shared" si="45"/>
        <v>0</v>
      </c>
    </row>
    <row r="80" spans="1:72" hidden="1" outlineLevel="1" x14ac:dyDescent="0.25">
      <c r="A80" s="11" t="s">
        <v>71</v>
      </c>
      <c r="C80" s="2"/>
      <c r="D80" s="8">
        <f>IFERROR(
GETPIVOTDATA(
"[Base].[Importe]",
TDinamica_R!$A$5,
"[Calendario].[AñoMes]",
"[Calendario].[AñoMes].&amp;[" &amp; TEXT(D$6,"yyyymm")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E80" s="8">
        <f>IFERROR(
GETPIVOTDATA(
"[Base].[Importe]",
TDinamica_R!$A$5,
"[Calendario].[AñoMes]",
"[Calendario].[AñoMes].&amp;[" &amp; TEXT(E$6,"yyyymm")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F80" s="8">
        <f>IFERROR(
GETPIVOTDATA(
"[Base].[Importe]",
TDinamica_R!$A$5,
"[Calendario].[AñoMes]",
"[Calendario].[AñoMes].&amp;[" &amp; TEXT(F$6,"yyyymm")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G80" s="8">
        <f>IFERROR(
GETPIVOTDATA(
"[Base].[Importe]",
TDinamica_R!$A$5,
"[Calendario].[AñoMes]",
"[Calendario].[AñoMes].&amp;[" &amp; TEXT(G$6,"yyyymm")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H80" s="8">
        <f>IFERROR(
GETPIVOTDATA(
"[Base].[Importe]",
TDinamica_R!$A$5,
"[Calendario].[AñoMes]",
"[Calendario].[AñoMes].&amp;[" &amp; TEXT(H$6,"yyyymm")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I80" s="8">
        <f>IFERROR(
GETPIVOTDATA(
"[Base].[Importe]",
TDinamica_R!$A$5,
"[Calendario].[AñoMes]",
"[Calendario].[AñoMes].&amp;[" &amp; TEXT(I$6,"yyyymm")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J80" s="8">
        <f>IFERROR(
GETPIVOTDATA(
"[Base].[Importe]",
TDinamica_R!$A$5,
"[Calendario].[AñoMes]",
"[Calendario].[AñoMes].&amp;[" &amp; TEXT(J$6,"yyyymm")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K80" s="8">
        <f>IFERROR(
GETPIVOTDATA(
"[Base].[Importe]",
TDinamica_R!$A$5,
"[Calendario].[AñoMes]",
"[Calendario].[AñoMes].&amp;[" &amp; TEXT(K$6,"yyyymm")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L80" s="8">
        <f>IFERROR(
GETPIVOTDATA(
"[Base].[Importe]",
TDinamica_R!$A$5,
"[Calendario].[AñoMes]",
"[Calendario].[AñoMes].&amp;[" &amp; TEXT(L$6,"yyyymm")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M80" s="8">
        <f>IFERROR(
GETPIVOTDATA(
"[Base].[Importe]",
TDinamica_R!$A$5,
"[Calendario].[AñoMes]",
"[Calendario].[AñoMes].&amp;[" &amp; TEXT(M$6,"yyyymm")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N80" s="8">
        <f>IFERROR(
GETPIVOTDATA(
"[Base].[Importe]",
TDinamica_R!$A$5,
"[Calendario].[AñoMes]",
"[Calendario].[AñoMes].&amp;[" &amp; TEXT(N$6,"yyyymm")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O80" s="8">
        <f>IFERROR(
GETPIVOTDATA(
"[Base].[Importe]",
TDinamica_R!$A$5,
"[Calendario].[AñoMes]",
"[Calendario].[AñoMes].&amp;[" &amp; TEXT(O$6,"yyyymm")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P80" s="8">
        <f>IFERROR(
GETPIVOTDATA(
"[Base].[Importe]",
TDinamica_R!$A$5,
"[Calendario].[AñoMes]",
"[Calendario].[AñoMes].&amp;[" &amp; TEXT(P$6,"yyyymm")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Q80" s="8">
        <f>IFERROR(
GETPIVOTDATA(
"[Base].[Importe]",
TDinamica_R!$A$5,
"[Calendario].[AñoMes]",
"[Calendario].[AñoMes].&amp;[" &amp; TEXT(Q$6,"yyyymm")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R80" s="8">
        <f>IFERROR(
GETPIVOTDATA(
"[Base].[Importe]",
TDinamica_R!$A$5,
"[Calendario].[AñoMes]",
"[Calendario].[AñoMes].&amp;[" &amp; TEXT(R$6,"yyyymm")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S80" s="8">
        <f>IFERROR(
GETPIVOTDATA(
"[Base].[Importe]",
TDinamica_R!$A$5,
"[Calendario].[AñoMes]",
"[Calendario].[AñoMes].&amp;[" &amp; TEXT(S$6,"yyyymm")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T80" s="8">
        <f>IFERROR(
GETPIVOTDATA(
"[Base].[Importe]",
TDinamica_R!$A$5,
"[Calendario].[AñoMes]",
"[Calendario].[AñoMes].&amp;[" &amp; TEXT(T$6,"yyyymm")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U80" s="8">
        <f>IFERROR(
GETPIVOTDATA(
"[Base].[Importe]",
TDinamica_R!$A$5,
"[Calendario].[AñoMes]",
"[Calendario].[AñoMes].&amp;[" &amp; TEXT(U$6,"yyyymm")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V80" s="8">
        <f>IFERROR(
GETPIVOTDATA(
"[Base].[Importe]",
TDinamica_R!$A$5,
"[Calendario].[AñoMes]",
"[Calendario].[AñoMes].&amp;[" &amp; TEXT(V$6,"yyyymm")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W80" s="8">
        <f>IFERROR(
GETPIVOTDATA(
"[Base].[Importe]",
TDinamica_R!$A$5,
"[Calendario].[AñoMes]",
"[Calendario].[AñoMes].&amp;[" &amp; TEXT(W$6,"yyyymm")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X80" s="8">
        <f>IFERROR(
GETPIVOTDATA(
"[Base].[Importe]",
TDinamica_R!$A$5,
"[Calendario].[AñoMes]",
"[Calendario].[AñoMes].&amp;[" &amp; TEXT(X$6,"yyyymm")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Y80" s="8">
        <f>IFERROR(
GETPIVOTDATA(
"[Base].[Importe]",
TDinamica_R!$A$5,
"[Calendario].[AñoMes]",
"[Calendario].[AñoMes].&amp;[" &amp; TEXT(Y$6,"yyyymm")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Z80" s="8">
        <f>IFERROR(
GETPIVOTDATA(
"[Base].[Importe]",
TDinamica_R!$A$5,
"[Calendario].[AñoMes]",
"[Calendario].[AñoMes].&amp;[" &amp; TEXT(Z$6,"yyyymm")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A80" s="8">
        <f>IFERROR(
GETPIVOTDATA(
"[Base].[Importe]",
TDinamica_R!$A$5,
"[Calendario].[AñoMes]",
"[Calendario].[AñoMes].&amp;[" &amp; TEXT(AA$6,"yyyymm")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B80" s="8">
        <f>IFERROR(
GETPIVOTDATA(
"[Base].[Importe]",
TDinamica_R!$A$5,
"[Calendario].[AñoMes]",
"[Calendario].[AñoMes].&amp;[" &amp; TEXT(AB$6,"yyyymm")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C80" s="8">
        <f>IFERROR(
GETPIVOTDATA(
"[Base].[Importe]",
TDinamica_R!$A$5,
"[Calendario].[AñoMes]",
"[Calendario].[AñoMes].&amp;[" &amp; TEXT(AC$6,"yyyymm")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D80" s="8">
        <f>IFERROR(
GETPIVOTDATA(
"[Base].[Importe]",
TDinamica_R!$A$5,
"[Calendario].[AñoMes]",
"[Calendario].[AñoMes].&amp;[" &amp; TEXT(AD$6,"yyyymm")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E80" s="8">
        <f>IFERROR(
GETPIVOTDATA(
"[Base].[Importe]",
TDinamica_R!$A$5,
"[Calendario].[AñoMes]",
"[Calendario].[AñoMes].&amp;[" &amp; TEXT(AE$6,"yyyymm")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F80" s="8">
        <f>IFERROR(
GETPIVOTDATA(
"[Base].[Importe]",
TDinamica_R!$A$5,
"[Calendario].[AñoMes]",
"[Calendario].[AñoMes].&amp;[" &amp; TEXT(AF$6,"yyyymm")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G80" s="8">
        <f>IFERROR(
GETPIVOTDATA(
"[Base].[Importe]",
TDinamica_R!$A$5,
"[Calendario].[AñoMes]",
"[Calendario].[AñoMes].&amp;[" &amp; TEXT(AG$6,"yyyymm")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H80" s="8">
        <f>IFERROR(
GETPIVOTDATA(
"[Base].[Importe]",
TDinamica_R!$A$5,
"[Calendario].[AñoMes]",
"[Calendario].[AñoMes].&amp;[" &amp; TEXT(AH$6,"yyyymm")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I80" s="8">
        <f>IFERROR(
GETPIVOTDATA(
"[Base].[Importe]",
TDinamica_R!$A$5,
"[Calendario].[AñoMes]",
"[Calendario].[AñoMes].&amp;[" &amp; TEXT(AI$6,"yyyymm")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J80" s="8">
        <f>IFERROR(
GETPIVOTDATA(
"[Base].[Importe]",
TDinamica_R!$A$5,
"[Calendario].[AñoMes]",
"[Calendario].[AñoMes].&amp;[" &amp; TEXT(AJ$6,"yyyymm")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K80" s="8">
        <f>IFERROR(
GETPIVOTDATA(
"[Base].[Importe]",
TDinamica_R!$A$5,
"[Calendario].[AñoMes]",
"[Calendario].[AñoMes].&amp;[" &amp; TEXT(AK$6,"yyyymm")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L80" s="8">
        <f>IFERROR(
GETPIVOTDATA(
"[Base].[Importe]",
TDinamica_R!$A$5,
"[Calendario].[AñoMes]",
"[Calendario].[AñoMes].&amp;[" &amp; TEXT(AL$6,"yyyymm")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M80" s="8">
        <f>IFERROR(
GETPIVOTDATA(
"[Base].[Importe]",
TDinamica_R!$A$5,
"[Calendario].[AñoMes]",
"[Calendario].[AñoMes].&amp;[" &amp; TEXT(AM$6,"yyyymm")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N80" s="8">
        <f>IFERROR(
GETPIVOTDATA(
"[Base].[Importe]",
TDinamica_R!$A$5,
"[Calendario].[AñoMes]",
"[Calendario].[AñoMes].&amp;[" &amp; TEXT(AN$6,"yyyymm")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O80" s="8">
        <f>IFERROR(
GETPIVOTDATA(
"[Base].[Importe]",
TDinamica_R!$A$5,
"[Calendario].[AñoMes]",
"[Calendario].[AñoMes].&amp;[" &amp; TEXT(AO$6,"yyyymm")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P80" s="8">
        <f>IFERROR(
GETPIVOTDATA(
"[Base].[Importe]",
TDinamica_R!$A$5,
"[Calendario].[AñoMes]",
"[Calendario].[AñoMes].&amp;[" &amp; TEXT(AP$6,"yyyymm")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Q80" s="8">
        <f>IFERROR(
GETPIVOTDATA(
"[Base].[Importe]",
TDinamica_R!$A$5,
"[Calendario].[AñoMes]",
"[Calendario].[AñoMes].&amp;[" &amp; TEXT(AQ$6,"yyyymm")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R80" s="8">
        <f>IFERROR(
GETPIVOTDATA(
"[Base].[Importe]",
TDinamica_R!$A$5,
"[Calendario].[AñoMes]",
"[Calendario].[AñoMes].&amp;[" &amp; TEXT(AR$6,"yyyymm")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S80" s="8">
        <f>IFERROR(
GETPIVOTDATA(
"[Base].[Importe]",
TDinamica_R!$A$5,
"[Calendario].[AñoMes]",
"[Calendario].[AñoMes].&amp;[" &amp; TEXT(AS$6,"yyyymm")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T80" s="8">
        <f>IFERROR(
GETPIVOTDATA(
"[Base].[Importe]",
TDinamica_R!$A$5,
"[Calendario].[AñoMes]",
"[Calendario].[AñoMes].&amp;[" &amp; TEXT(AT$6,"yyyymm")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U80" s="8">
        <f>IFERROR(
GETPIVOTDATA(
"[Base].[Importe]",
TDinamica_R!$A$5,
"[Calendario].[AñoMes]",
"[Calendario].[AñoMes].&amp;[" &amp; TEXT(AU$6,"yyyymm")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V80" s="8">
        <f>IFERROR(
GETPIVOTDATA(
"[Base].[Importe]",
TDinamica_R!$A$5,
"[Calendario].[AñoMes]",
"[Calendario].[AñoMes].&amp;[" &amp; TEXT(AV$6,"yyyymm")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W80" s="8">
        <f>IFERROR(
GETPIVOTDATA(
"[Base].[Importe]",
TDinamica_R!$A$5,
"[Calendario].[AñoMes]",
"[Calendario].[AñoMes].&amp;[" &amp; TEXT(AW$6,"yyyymm")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X80" s="8">
        <f>IFERROR(
GETPIVOTDATA(
"[Base].[Importe]",
TDinamica_R!$A$5,
"[Calendario].[AñoMes]",
"[Calendario].[AñoMes].&amp;[" &amp; TEXT(AX$6,"yyyymm")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Y80" s="8">
        <f>IFERROR(
GETPIVOTDATA(
"[Base].[Importe]",
TDinamica_R!$A$5,
"[Calendario].[AñoMes]",
"[Calendario].[AñoMes].&amp;[" &amp; TEXT(AY$6,"yyyymm")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Z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"[BASE_HIPO_PPTO].[Periodo]","[BASE_HIPO_PPTO].[Periodo].&amp;["&amp;TEXT(AZ$6,"yyyymm")&amp;"]"),
0)/1000</f>
        <v>0</v>
      </c>
      <c r="BA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"[BASE_HIPO_PPTO].[Periodo]","[BASE_HIPO_PPTO].[Periodo].&amp;["&amp;TEXT(BA$6,"yyyymm")&amp;"]"),
0)/1000</f>
        <v>0</v>
      </c>
      <c r="BB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"[BASE_HIPO_PPTO].[Periodo]","[BASE_HIPO_PPTO].[Periodo].&amp;["&amp;TEXT(BB$6,"yyyymm")&amp;"]"),
0)/1000</f>
        <v>0</v>
      </c>
      <c r="BC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"[BASE_HIPO_PPTO].[Periodo]","[BASE_HIPO_PPTO].[Periodo].&amp;["&amp;TEXT(BC$6,"yyyymm")&amp;"]"),
0)/1000</f>
        <v>0</v>
      </c>
      <c r="BD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"[BASE_HIPO_PPTO].[Periodo]","[BASE_HIPO_PPTO].[Periodo].&amp;["&amp;TEXT(BD$6,"yyyymm")&amp;"]"),
0)/1000</f>
        <v>0</v>
      </c>
      <c r="BE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"[BASE_HIPO_PPTO].[Periodo]","[BASE_HIPO_PPTO].[Periodo].&amp;["&amp;TEXT(BE$6,"yyyymm")&amp;"]"),
0)/1000</f>
        <v>0</v>
      </c>
      <c r="BF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"[BASE_HIPO_PPTO].[Periodo]","[BASE_HIPO_PPTO].[Periodo].&amp;["&amp;TEXT(BF$6,"yyyymm")&amp;"]"),
0)/1000</f>
        <v>0</v>
      </c>
      <c r="BG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"[BASE_HIPO_PPTO].[Periodo]","[BASE_HIPO_PPTO].[Periodo].&amp;["&amp;TEXT(BG$6,"yyyymm")&amp;"]"),
0)/1000</f>
        <v>0</v>
      </c>
      <c r="BH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"[BASE_HIPO_PPTO].[Periodo]","[BASE_HIPO_PPTO].[Periodo].&amp;["&amp;TEXT(BH$6,"yyyymm")&amp;"]"),
0)/1000</f>
        <v>0</v>
      </c>
      <c r="BI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"[BASE_HIPO_PPTO].[Periodo]","[BASE_HIPO_PPTO].[Periodo].&amp;["&amp;TEXT(BI$6,"yyyymm")&amp;"]"),
0)/1000</f>
        <v>0</v>
      </c>
      <c r="BJ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"[BASE_HIPO_PPTO].[Periodo]","[BASE_HIPO_PPTO].[Periodo].&amp;["&amp;TEXT(BJ$6,"yyyymm")&amp;"]"),
0)/1000</f>
        <v>0</v>
      </c>
      <c r="BK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"[BASE_HIPO_PPTO].[Periodo]","[BASE_HIPO_PPTO].[Periodo].&amp;["&amp;TEXT(BK$6,"yyyymm")&amp;"]"),
0)/1000</f>
        <v>0</v>
      </c>
      <c r="BO80" s="24">
        <f t="shared" si="45"/>
        <v>0</v>
      </c>
      <c r="BP80" s="24">
        <f t="shared" si="45"/>
        <v>0</v>
      </c>
      <c r="BQ80" s="24">
        <f t="shared" si="45"/>
        <v>0</v>
      </c>
      <c r="BR80" s="24">
        <f t="shared" si="45"/>
        <v>0</v>
      </c>
      <c r="BS80" s="24">
        <f t="shared" si="45"/>
        <v>0</v>
      </c>
      <c r="BT80" s="24">
        <f t="shared" si="45"/>
        <v>0</v>
      </c>
    </row>
    <row r="81" spans="1:72" hidden="1" outlineLevel="1" x14ac:dyDescent="0.25">
      <c r="A81" s="11" t="s">
        <v>71</v>
      </c>
      <c r="C81" s="2"/>
      <c r="D81" s="8">
        <f>IFERROR(
GETPIVOTDATA(
"[Base].[Importe]",
TDinamica_R!$A$5,
"[Calendario].[AñoMes]",
"[Calendario].[AñoMes].&amp;[" &amp; TEXT(D$6,"yyyymm")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E81" s="8">
        <f>IFERROR(
GETPIVOTDATA(
"[Base].[Importe]",
TDinamica_R!$A$5,
"[Calendario].[AñoMes]",
"[Calendario].[AñoMes].&amp;[" &amp; TEXT(E$6,"yyyymm")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F81" s="8">
        <f>IFERROR(
GETPIVOTDATA(
"[Base].[Importe]",
TDinamica_R!$A$5,
"[Calendario].[AñoMes]",
"[Calendario].[AñoMes].&amp;[" &amp; TEXT(F$6,"yyyymm")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G81" s="8">
        <f>IFERROR(
GETPIVOTDATA(
"[Base].[Importe]",
TDinamica_R!$A$5,
"[Calendario].[AñoMes]",
"[Calendario].[AñoMes].&amp;[" &amp; TEXT(G$6,"yyyymm")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H81" s="8">
        <f>IFERROR(
GETPIVOTDATA(
"[Base].[Importe]",
TDinamica_R!$A$5,
"[Calendario].[AñoMes]",
"[Calendario].[AñoMes].&amp;[" &amp; TEXT(H$6,"yyyymm")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I81" s="8">
        <f>IFERROR(
GETPIVOTDATA(
"[Base].[Importe]",
TDinamica_R!$A$5,
"[Calendario].[AñoMes]",
"[Calendario].[AñoMes].&amp;[" &amp; TEXT(I$6,"yyyymm")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J81" s="8">
        <f>IFERROR(
GETPIVOTDATA(
"[Base].[Importe]",
TDinamica_R!$A$5,
"[Calendario].[AñoMes]",
"[Calendario].[AñoMes].&amp;[" &amp; TEXT(J$6,"yyyymm")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K81" s="8">
        <f>IFERROR(
GETPIVOTDATA(
"[Base].[Importe]",
TDinamica_R!$A$5,
"[Calendario].[AñoMes]",
"[Calendario].[AñoMes].&amp;[" &amp; TEXT(K$6,"yyyymm")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L81" s="8">
        <f>IFERROR(
GETPIVOTDATA(
"[Base].[Importe]",
TDinamica_R!$A$5,
"[Calendario].[AñoMes]",
"[Calendario].[AñoMes].&amp;[" &amp; TEXT(L$6,"yyyymm")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M81" s="8">
        <f>IFERROR(
GETPIVOTDATA(
"[Base].[Importe]",
TDinamica_R!$A$5,
"[Calendario].[AñoMes]",
"[Calendario].[AñoMes].&amp;[" &amp; TEXT(M$6,"yyyymm")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N81" s="8">
        <f>IFERROR(
GETPIVOTDATA(
"[Base].[Importe]",
TDinamica_R!$A$5,
"[Calendario].[AñoMes]",
"[Calendario].[AñoMes].&amp;[" &amp; TEXT(N$6,"yyyymm")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O81" s="8">
        <f>IFERROR(
GETPIVOTDATA(
"[Base].[Importe]",
TDinamica_R!$A$5,
"[Calendario].[AñoMes]",
"[Calendario].[AñoMes].&amp;[" &amp; TEXT(O$6,"yyyymm")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P81" s="8">
        <f>IFERROR(
GETPIVOTDATA(
"[Base].[Importe]",
TDinamica_R!$A$5,
"[Calendario].[AñoMes]",
"[Calendario].[AñoMes].&amp;[" &amp; TEXT(P$6,"yyyymm")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Q81" s="8">
        <f>IFERROR(
GETPIVOTDATA(
"[Base].[Importe]",
TDinamica_R!$A$5,
"[Calendario].[AñoMes]",
"[Calendario].[AñoMes].&amp;[" &amp; TEXT(Q$6,"yyyymm")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R81" s="8">
        <f>IFERROR(
GETPIVOTDATA(
"[Base].[Importe]",
TDinamica_R!$A$5,
"[Calendario].[AñoMes]",
"[Calendario].[AñoMes].&amp;[" &amp; TEXT(R$6,"yyyymm")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S81" s="8">
        <f>IFERROR(
GETPIVOTDATA(
"[Base].[Importe]",
TDinamica_R!$A$5,
"[Calendario].[AñoMes]",
"[Calendario].[AñoMes].&amp;[" &amp; TEXT(S$6,"yyyymm")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T81" s="8">
        <f>IFERROR(
GETPIVOTDATA(
"[Base].[Importe]",
TDinamica_R!$A$5,
"[Calendario].[AñoMes]",
"[Calendario].[AñoMes].&amp;[" &amp; TEXT(T$6,"yyyymm")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U81" s="8">
        <f>IFERROR(
GETPIVOTDATA(
"[Base].[Importe]",
TDinamica_R!$A$5,
"[Calendario].[AñoMes]",
"[Calendario].[AñoMes].&amp;[" &amp; TEXT(U$6,"yyyymm")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V81" s="8">
        <f>IFERROR(
GETPIVOTDATA(
"[Base].[Importe]",
TDinamica_R!$A$5,
"[Calendario].[AñoMes]",
"[Calendario].[AñoMes].&amp;[" &amp; TEXT(V$6,"yyyymm")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W81" s="8">
        <f>IFERROR(
GETPIVOTDATA(
"[Base].[Importe]",
TDinamica_R!$A$5,
"[Calendario].[AñoMes]",
"[Calendario].[AñoMes].&amp;[" &amp; TEXT(W$6,"yyyymm")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X81" s="8">
        <f>IFERROR(
GETPIVOTDATA(
"[Base].[Importe]",
TDinamica_R!$A$5,
"[Calendario].[AñoMes]",
"[Calendario].[AñoMes].&amp;[" &amp; TEXT(X$6,"yyyymm")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Y81" s="8">
        <f>IFERROR(
GETPIVOTDATA(
"[Base].[Importe]",
TDinamica_R!$A$5,
"[Calendario].[AñoMes]",
"[Calendario].[AñoMes].&amp;[" &amp; TEXT(Y$6,"yyyymm")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Z81" s="8">
        <f>IFERROR(
GETPIVOTDATA(
"[Base].[Importe]",
TDinamica_R!$A$5,
"[Calendario].[AñoMes]",
"[Calendario].[AñoMes].&amp;[" &amp; TEXT(Z$6,"yyyymm")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A81" s="8">
        <f>IFERROR(
GETPIVOTDATA(
"[Base].[Importe]",
TDinamica_R!$A$5,
"[Calendario].[AñoMes]",
"[Calendario].[AñoMes].&amp;[" &amp; TEXT(AA$6,"yyyymm")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B81" s="8">
        <f>IFERROR(
GETPIVOTDATA(
"[Base].[Importe]",
TDinamica_R!$A$5,
"[Calendario].[AñoMes]",
"[Calendario].[AñoMes].&amp;[" &amp; TEXT(AB$6,"yyyymm")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C81" s="8">
        <f>IFERROR(
GETPIVOTDATA(
"[Base].[Importe]",
TDinamica_R!$A$5,
"[Calendario].[AñoMes]",
"[Calendario].[AñoMes].&amp;[" &amp; TEXT(AC$6,"yyyymm")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D81" s="8">
        <f>IFERROR(
GETPIVOTDATA(
"[Base].[Importe]",
TDinamica_R!$A$5,
"[Calendario].[AñoMes]",
"[Calendario].[AñoMes].&amp;[" &amp; TEXT(AD$6,"yyyymm")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E81" s="8">
        <f>IFERROR(
GETPIVOTDATA(
"[Base].[Importe]",
TDinamica_R!$A$5,
"[Calendario].[AñoMes]",
"[Calendario].[AñoMes].&amp;[" &amp; TEXT(AE$6,"yyyymm")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F81" s="8">
        <f>IFERROR(
GETPIVOTDATA(
"[Base].[Importe]",
TDinamica_R!$A$5,
"[Calendario].[AñoMes]",
"[Calendario].[AñoMes].&amp;[" &amp; TEXT(AF$6,"yyyymm")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G81" s="8">
        <f>IFERROR(
GETPIVOTDATA(
"[Base].[Importe]",
TDinamica_R!$A$5,
"[Calendario].[AñoMes]",
"[Calendario].[AñoMes].&amp;[" &amp; TEXT(AG$6,"yyyymm")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H81" s="8">
        <f>IFERROR(
GETPIVOTDATA(
"[Base].[Importe]",
TDinamica_R!$A$5,
"[Calendario].[AñoMes]",
"[Calendario].[AñoMes].&amp;[" &amp; TEXT(AH$6,"yyyymm")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I81" s="8">
        <f>IFERROR(
GETPIVOTDATA(
"[Base].[Importe]",
TDinamica_R!$A$5,
"[Calendario].[AñoMes]",
"[Calendario].[AñoMes].&amp;[" &amp; TEXT(AI$6,"yyyymm")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J81" s="8">
        <f>IFERROR(
GETPIVOTDATA(
"[Base].[Importe]",
TDinamica_R!$A$5,
"[Calendario].[AñoMes]",
"[Calendario].[AñoMes].&amp;[" &amp; TEXT(AJ$6,"yyyymm")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K81" s="8">
        <f>IFERROR(
GETPIVOTDATA(
"[Base].[Importe]",
TDinamica_R!$A$5,
"[Calendario].[AñoMes]",
"[Calendario].[AñoMes].&amp;[" &amp; TEXT(AK$6,"yyyymm")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L81" s="8">
        <f>IFERROR(
GETPIVOTDATA(
"[Base].[Importe]",
TDinamica_R!$A$5,
"[Calendario].[AñoMes]",
"[Calendario].[AñoMes].&amp;[" &amp; TEXT(AL$6,"yyyymm")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M81" s="8">
        <f>IFERROR(
GETPIVOTDATA(
"[Base].[Importe]",
TDinamica_R!$A$5,
"[Calendario].[AñoMes]",
"[Calendario].[AñoMes].&amp;[" &amp; TEXT(AM$6,"yyyymm")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N81" s="8">
        <f>IFERROR(
GETPIVOTDATA(
"[Base].[Importe]",
TDinamica_R!$A$5,
"[Calendario].[AñoMes]",
"[Calendario].[AñoMes].&amp;[" &amp; TEXT(AN$6,"yyyymm")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O81" s="8">
        <f>IFERROR(
GETPIVOTDATA(
"[Base].[Importe]",
TDinamica_R!$A$5,
"[Calendario].[AñoMes]",
"[Calendario].[AñoMes].&amp;[" &amp; TEXT(AO$6,"yyyymm")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P81" s="8">
        <f>IFERROR(
GETPIVOTDATA(
"[Base].[Importe]",
TDinamica_R!$A$5,
"[Calendario].[AñoMes]",
"[Calendario].[AñoMes].&amp;[" &amp; TEXT(AP$6,"yyyymm")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Q81" s="8">
        <f>IFERROR(
GETPIVOTDATA(
"[Base].[Importe]",
TDinamica_R!$A$5,
"[Calendario].[AñoMes]",
"[Calendario].[AñoMes].&amp;[" &amp; TEXT(AQ$6,"yyyymm")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R81" s="8">
        <f>IFERROR(
GETPIVOTDATA(
"[Base].[Importe]",
TDinamica_R!$A$5,
"[Calendario].[AñoMes]",
"[Calendario].[AñoMes].&amp;[" &amp; TEXT(AR$6,"yyyymm")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S81" s="8">
        <f>IFERROR(
GETPIVOTDATA(
"[Base].[Importe]",
TDinamica_R!$A$5,
"[Calendario].[AñoMes]",
"[Calendario].[AñoMes].&amp;[" &amp; TEXT(AS$6,"yyyymm")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T81" s="8">
        <f>IFERROR(
GETPIVOTDATA(
"[Base].[Importe]",
TDinamica_R!$A$5,
"[Calendario].[AñoMes]",
"[Calendario].[AñoMes].&amp;[" &amp; TEXT(AT$6,"yyyymm")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U81" s="8">
        <f>IFERROR(
GETPIVOTDATA(
"[Base].[Importe]",
TDinamica_R!$A$5,
"[Calendario].[AñoMes]",
"[Calendario].[AñoMes].&amp;[" &amp; TEXT(AU$6,"yyyymm")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V81" s="8">
        <f>IFERROR(
GETPIVOTDATA(
"[Base].[Importe]",
TDinamica_R!$A$5,
"[Calendario].[AñoMes]",
"[Calendario].[AñoMes].&amp;[" &amp; TEXT(AV$6,"yyyymm")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W81" s="8">
        <f>IFERROR(
GETPIVOTDATA(
"[Base].[Importe]",
TDinamica_R!$A$5,
"[Calendario].[AñoMes]",
"[Calendario].[AñoMes].&amp;[" &amp; TEXT(AW$6,"yyyymm")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X81" s="8">
        <f>IFERROR(
GETPIVOTDATA(
"[Base].[Importe]",
TDinamica_R!$A$5,
"[Calendario].[AñoMes]",
"[Calendario].[AñoMes].&amp;[" &amp; TEXT(AX$6,"yyyymm")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Y81" s="8">
        <f>IFERROR(
GETPIVOTDATA(
"[Base].[Importe]",
TDinamica_R!$A$5,
"[Calendario].[AñoMes]",
"[Calendario].[AñoMes].&amp;[" &amp; TEXT(AY$6,"yyyymm")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Z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"[BASE_HIPO_PPTO].[Periodo]","[BASE_HIPO_PPTO].[Periodo].&amp;["&amp;TEXT(AZ$6,"yyyymm")&amp;"]"),
0)/1000</f>
        <v>0</v>
      </c>
      <c r="BA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"[BASE_HIPO_PPTO].[Periodo]","[BASE_HIPO_PPTO].[Periodo].&amp;["&amp;TEXT(BA$6,"yyyymm")&amp;"]"),
0)/1000</f>
        <v>0</v>
      </c>
      <c r="BB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"[BASE_HIPO_PPTO].[Periodo]","[BASE_HIPO_PPTO].[Periodo].&amp;["&amp;TEXT(BB$6,"yyyymm")&amp;"]"),
0)/1000</f>
        <v>0</v>
      </c>
      <c r="BC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"[BASE_HIPO_PPTO].[Periodo]","[BASE_HIPO_PPTO].[Periodo].&amp;["&amp;TEXT(BC$6,"yyyymm")&amp;"]"),
0)/1000</f>
        <v>0</v>
      </c>
      <c r="BD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"[BASE_HIPO_PPTO].[Periodo]","[BASE_HIPO_PPTO].[Periodo].&amp;["&amp;TEXT(BD$6,"yyyymm")&amp;"]"),
0)/1000</f>
        <v>0</v>
      </c>
      <c r="BE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"[BASE_HIPO_PPTO].[Periodo]","[BASE_HIPO_PPTO].[Periodo].&amp;["&amp;TEXT(BE$6,"yyyymm")&amp;"]"),
0)/1000</f>
        <v>0</v>
      </c>
      <c r="BF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"[BASE_HIPO_PPTO].[Periodo]","[BASE_HIPO_PPTO].[Periodo].&amp;["&amp;TEXT(BF$6,"yyyymm")&amp;"]"),
0)/1000</f>
        <v>0</v>
      </c>
      <c r="BG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"[BASE_HIPO_PPTO].[Periodo]","[BASE_HIPO_PPTO].[Periodo].&amp;["&amp;TEXT(BG$6,"yyyymm")&amp;"]"),
0)/1000</f>
        <v>0</v>
      </c>
      <c r="BH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"[BASE_HIPO_PPTO].[Periodo]","[BASE_HIPO_PPTO].[Periodo].&amp;["&amp;TEXT(BH$6,"yyyymm")&amp;"]"),
0)/1000</f>
        <v>0</v>
      </c>
      <c r="BI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"[BASE_HIPO_PPTO].[Periodo]","[BASE_HIPO_PPTO].[Periodo].&amp;["&amp;TEXT(BI$6,"yyyymm")&amp;"]"),
0)/1000</f>
        <v>0</v>
      </c>
      <c r="BJ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"[BASE_HIPO_PPTO].[Periodo]","[BASE_HIPO_PPTO].[Periodo].&amp;["&amp;TEXT(BJ$6,"yyyymm")&amp;"]"),
0)/1000</f>
        <v>0</v>
      </c>
      <c r="BK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"[BASE_HIPO_PPTO].[Periodo]","[BASE_HIPO_PPTO].[Periodo].&amp;["&amp;TEXT(BK$6,"yyyymm")&amp;"]"),
0)/1000</f>
        <v>0</v>
      </c>
      <c r="BO81" s="24">
        <f t="shared" si="45"/>
        <v>0</v>
      </c>
      <c r="BP81" s="24">
        <f t="shared" si="45"/>
        <v>0</v>
      </c>
      <c r="BQ81" s="24">
        <f t="shared" si="45"/>
        <v>0</v>
      </c>
      <c r="BR81" s="24">
        <f t="shared" si="45"/>
        <v>0</v>
      </c>
      <c r="BS81" s="24">
        <f t="shared" si="45"/>
        <v>0</v>
      </c>
      <c r="BT81" s="24">
        <f t="shared" si="45"/>
        <v>0</v>
      </c>
    </row>
    <row r="82" spans="1:72" hidden="1" outlineLevel="1" x14ac:dyDescent="0.25">
      <c r="A82" s="11" t="s">
        <v>71</v>
      </c>
      <c r="C82" s="2"/>
      <c r="D82" s="8">
        <f>IFERROR(
GETPIVOTDATA(
"[Base].[Importe]",
TDinamica_R!$A$5,
"[Calendario].[AñoMes]",
"[Calendario].[AñoMes].&amp;[" &amp; TEXT(D$6,"yyyymm")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E82" s="8">
        <f>IFERROR(
GETPIVOTDATA(
"[Base].[Importe]",
TDinamica_R!$A$5,
"[Calendario].[AñoMes]",
"[Calendario].[AñoMes].&amp;[" &amp; TEXT(E$6,"yyyymm")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F82" s="8">
        <f>IFERROR(
GETPIVOTDATA(
"[Base].[Importe]",
TDinamica_R!$A$5,
"[Calendario].[AñoMes]",
"[Calendario].[AñoMes].&amp;[" &amp; TEXT(F$6,"yyyymm")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G82" s="8">
        <f>IFERROR(
GETPIVOTDATA(
"[Base].[Importe]",
TDinamica_R!$A$5,
"[Calendario].[AñoMes]",
"[Calendario].[AñoMes].&amp;[" &amp; TEXT(G$6,"yyyymm")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H82" s="8">
        <f>IFERROR(
GETPIVOTDATA(
"[Base].[Importe]",
TDinamica_R!$A$5,
"[Calendario].[AñoMes]",
"[Calendario].[AñoMes].&amp;[" &amp; TEXT(H$6,"yyyymm")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I82" s="8">
        <f>IFERROR(
GETPIVOTDATA(
"[Base].[Importe]",
TDinamica_R!$A$5,
"[Calendario].[AñoMes]",
"[Calendario].[AñoMes].&amp;[" &amp; TEXT(I$6,"yyyymm")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J82" s="8">
        <f>IFERROR(
GETPIVOTDATA(
"[Base].[Importe]",
TDinamica_R!$A$5,
"[Calendario].[AñoMes]",
"[Calendario].[AñoMes].&amp;[" &amp; TEXT(J$6,"yyyymm")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K82" s="8">
        <f>IFERROR(
GETPIVOTDATA(
"[Base].[Importe]",
TDinamica_R!$A$5,
"[Calendario].[AñoMes]",
"[Calendario].[AñoMes].&amp;[" &amp; TEXT(K$6,"yyyymm")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L82" s="8">
        <f>IFERROR(
GETPIVOTDATA(
"[Base].[Importe]",
TDinamica_R!$A$5,
"[Calendario].[AñoMes]",
"[Calendario].[AñoMes].&amp;[" &amp; TEXT(L$6,"yyyymm")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M82" s="8">
        <f>IFERROR(
GETPIVOTDATA(
"[Base].[Importe]",
TDinamica_R!$A$5,
"[Calendario].[AñoMes]",
"[Calendario].[AñoMes].&amp;[" &amp; TEXT(M$6,"yyyymm")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N82" s="8">
        <f>IFERROR(
GETPIVOTDATA(
"[Base].[Importe]",
TDinamica_R!$A$5,
"[Calendario].[AñoMes]",
"[Calendario].[AñoMes].&amp;[" &amp; TEXT(N$6,"yyyymm")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O82" s="8">
        <f>IFERROR(
GETPIVOTDATA(
"[Base].[Importe]",
TDinamica_R!$A$5,
"[Calendario].[AñoMes]",
"[Calendario].[AñoMes].&amp;[" &amp; TEXT(O$6,"yyyymm")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P82" s="8">
        <f>IFERROR(
GETPIVOTDATA(
"[Base].[Importe]",
TDinamica_R!$A$5,
"[Calendario].[AñoMes]",
"[Calendario].[AñoMes].&amp;[" &amp; TEXT(P$6,"yyyymm")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Q82" s="8">
        <f>IFERROR(
GETPIVOTDATA(
"[Base].[Importe]",
TDinamica_R!$A$5,
"[Calendario].[AñoMes]",
"[Calendario].[AñoMes].&amp;[" &amp; TEXT(Q$6,"yyyymm")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R82" s="8">
        <f>IFERROR(
GETPIVOTDATA(
"[Base].[Importe]",
TDinamica_R!$A$5,
"[Calendario].[AñoMes]",
"[Calendario].[AñoMes].&amp;[" &amp; TEXT(R$6,"yyyymm")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S82" s="8">
        <f>IFERROR(
GETPIVOTDATA(
"[Base].[Importe]",
TDinamica_R!$A$5,
"[Calendario].[AñoMes]",
"[Calendario].[AñoMes].&amp;[" &amp; TEXT(S$6,"yyyymm")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T82" s="8">
        <f>IFERROR(
GETPIVOTDATA(
"[Base].[Importe]",
TDinamica_R!$A$5,
"[Calendario].[AñoMes]",
"[Calendario].[AñoMes].&amp;[" &amp; TEXT(T$6,"yyyymm")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U82" s="8">
        <f>IFERROR(
GETPIVOTDATA(
"[Base].[Importe]",
TDinamica_R!$A$5,
"[Calendario].[AñoMes]",
"[Calendario].[AñoMes].&amp;[" &amp; TEXT(U$6,"yyyymm")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V82" s="8">
        <f>IFERROR(
GETPIVOTDATA(
"[Base].[Importe]",
TDinamica_R!$A$5,
"[Calendario].[AñoMes]",
"[Calendario].[AñoMes].&amp;[" &amp; TEXT(V$6,"yyyymm")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W82" s="8">
        <f>IFERROR(
GETPIVOTDATA(
"[Base].[Importe]",
TDinamica_R!$A$5,
"[Calendario].[AñoMes]",
"[Calendario].[AñoMes].&amp;[" &amp; TEXT(W$6,"yyyymm")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X82" s="8">
        <f>IFERROR(
GETPIVOTDATA(
"[Base].[Importe]",
TDinamica_R!$A$5,
"[Calendario].[AñoMes]",
"[Calendario].[AñoMes].&amp;[" &amp; TEXT(X$6,"yyyymm")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Y82" s="8">
        <f>IFERROR(
GETPIVOTDATA(
"[Base].[Importe]",
TDinamica_R!$A$5,
"[Calendario].[AñoMes]",
"[Calendario].[AñoMes].&amp;[" &amp; TEXT(Y$6,"yyyymm")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Z82" s="8">
        <f>IFERROR(
GETPIVOTDATA(
"[Base].[Importe]",
TDinamica_R!$A$5,
"[Calendario].[AñoMes]",
"[Calendario].[AñoMes].&amp;[" &amp; TEXT(Z$6,"yyyymm")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A82" s="8">
        <f>IFERROR(
GETPIVOTDATA(
"[Base].[Importe]",
TDinamica_R!$A$5,
"[Calendario].[AñoMes]",
"[Calendario].[AñoMes].&amp;[" &amp; TEXT(AA$6,"yyyymm")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B82" s="8">
        <f>IFERROR(
GETPIVOTDATA(
"[Base].[Importe]",
TDinamica_R!$A$5,
"[Calendario].[AñoMes]",
"[Calendario].[AñoMes].&amp;[" &amp; TEXT(AB$6,"yyyymm")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C82" s="8">
        <f>IFERROR(
GETPIVOTDATA(
"[Base].[Importe]",
TDinamica_R!$A$5,
"[Calendario].[AñoMes]",
"[Calendario].[AñoMes].&amp;[" &amp; TEXT(AC$6,"yyyymm")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D82" s="8">
        <f>IFERROR(
GETPIVOTDATA(
"[Base].[Importe]",
TDinamica_R!$A$5,
"[Calendario].[AñoMes]",
"[Calendario].[AñoMes].&amp;[" &amp; TEXT(AD$6,"yyyymm")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E82" s="8">
        <f>IFERROR(
GETPIVOTDATA(
"[Base].[Importe]",
TDinamica_R!$A$5,
"[Calendario].[AñoMes]",
"[Calendario].[AñoMes].&amp;[" &amp; TEXT(AE$6,"yyyymm")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F82" s="8">
        <f>IFERROR(
GETPIVOTDATA(
"[Base].[Importe]",
TDinamica_R!$A$5,
"[Calendario].[AñoMes]",
"[Calendario].[AñoMes].&amp;[" &amp; TEXT(AF$6,"yyyymm")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G82" s="8">
        <f>IFERROR(
GETPIVOTDATA(
"[Base].[Importe]",
TDinamica_R!$A$5,
"[Calendario].[AñoMes]",
"[Calendario].[AñoMes].&amp;[" &amp; TEXT(AG$6,"yyyymm")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H82" s="8">
        <f>IFERROR(
GETPIVOTDATA(
"[Base].[Importe]",
TDinamica_R!$A$5,
"[Calendario].[AñoMes]",
"[Calendario].[AñoMes].&amp;[" &amp; TEXT(AH$6,"yyyymm")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I82" s="8">
        <f>IFERROR(
GETPIVOTDATA(
"[Base].[Importe]",
TDinamica_R!$A$5,
"[Calendario].[AñoMes]",
"[Calendario].[AñoMes].&amp;[" &amp; TEXT(AI$6,"yyyymm")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J82" s="8">
        <f>IFERROR(
GETPIVOTDATA(
"[Base].[Importe]",
TDinamica_R!$A$5,
"[Calendario].[AñoMes]",
"[Calendario].[AñoMes].&amp;[" &amp; TEXT(AJ$6,"yyyymm")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K82" s="8">
        <f>IFERROR(
GETPIVOTDATA(
"[Base].[Importe]",
TDinamica_R!$A$5,
"[Calendario].[AñoMes]",
"[Calendario].[AñoMes].&amp;[" &amp; TEXT(AK$6,"yyyymm")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L82" s="8">
        <f>IFERROR(
GETPIVOTDATA(
"[Base].[Importe]",
TDinamica_R!$A$5,
"[Calendario].[AñoMes]",
"[Calendario].[AñoMes].&amp;[" &amp; TEXT(AL$6,"yyyymm")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M82" s="8">
        <f>IFERROR(
GETPIVOTDATA(
"[Base].[Importe]",
TDinamica_R!$A$5,
"[Calendario].[AñoMes]",
"[Calendario].[AñoMes].&amp;[" &amp; TEXT(AM$6,"yyyymm")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N82" s="8">
        <f>IFERROR(
GETPIVOTDATA(
"[Base].[Importe]",
TDinamica_R!$A$5,
"[Calendario].[AñoMes]",
"[Calendario].[AñoMes].&amp;[" &amp; TEXT(AN$6,"yyyymm")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O82" s="8">
        <f>IFERROR(
GETPIVOTDATA(
"[Base].[Importe]",
TDinamica_R!$A$5,
"[Calendario].[AñoMes]",
"[Calendario].[AñoMes].&amp;[" &amp; TEXT(AO$6,"yyyymm")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P82" s="8">
        <f>IFERROR(
GETPIVOTDATA(
"[Base].[Importe]",
TDinamica_R!$A$5,
"[Calendario].[AñoMes]",
"[Calendario].[AñoMes].&amp;[" &amp; TEXT(AP$6,"yyyymm")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Q82" s="8">
        <f>IFERROR(
GETPIVOTDATA(
"[Base].[Importe]",
TDinamica_R!$A$5,
"[Calendario].[AñoMes]",
"[Calendario].[AñoMes].&amp;[" &amp; TEXT(AQ$6,"yyyymm")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R82" s="8">
        <f>IFERROR(
GETPIVOTDATA(
"[Base].[Importe]",
TDinamica_R!$A$5,
"[Calendario].[AñoMes]",
"[Calendario].[AñoMes].&amp;[" &amp; TEXT(AR$6,"yyyymm")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S82" s="8">
        <f>IFERROR(
GETPIVOTDATA(
"[Base].[Importe]",
TDinamica_R!$A$5,
"[Calendario].[AñoMes]",
"[Calendario].[AñoMes].&amp;[" &amp; TEXT(AS$6,"yyyymm")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T82" s="8">
        <f>IFERROR(
GETPIVOTDATA(
"[Base].[Importe]",
TDinamica_R!$A$5,
"[Calendario].[AñoMes]",
"[Calendario].[AñoMes].&amp;[" &amp; TEXT(AT$6,"yyyymm")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U82" s="8">
        <f>IFERROR(
GETPIVOTDATA(
"[Base].[Importe]",
TDinamica_R!$A$5,
"[Calendario].[AñoMes]",
"[Calendario].[AñoMes].&amp;[" &amp; TEXT(AU$6,"yyyymm")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V82" s="8">
        <f>IFERROR(
GETPIVOTDATA(
"[Base].[Importe]",
TDinamica_R!$A$5,
"[Calendario].[AñoMes]",
"[Calendario].[AñoMes].&amp;[" &amp; TEXT(AV$6,"yyyymm")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W82" s="8">
        <f>IFERROR(
GETPIVOTDATA(
"[Base].[Importe]",
TDinamica_R!$A$5,
"[Calendario].[AñoMes]",
"[Calendario].[AñoMes].&amp;[" &amp; TEXT(AW$6,"yyyymm")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X82" s="8">
        <f>IFERROR(
GETPIVOTDATA(
"[Base].[Importe]",
TDinamica_R!$A$5,
"[Calendario].[AñoMes]",
"[Calendario].[AñoMes].&amp;[" &amp; TEXT(AX$6,"yyyymm")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Y82" s="8">
        <f>IFERROR(
GETPIVOTDATA(
"[Base].[Importe]",
TDinamica_R!$A$5,
"[Calendario].[AñoMes]",
"[Calendario].[AñoMes].&amp;[" &amp; TEXT(AY$6,"yyyymm")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Z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"[BASE_HIPO_PPTO].[Periodo]","[BASE_HIPO_PPTO].[Periodo].&amp;["&amp;TEXT(AZ$6,"yyyymm")&amp;"]"),
0)/1000</f>
        <v>0</v>
      </c>
      <c r="BA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"[BASE_HIPO_PPTO].[Periodo]","[BASE_HIPO_PPTO].[Periodo].&amp;["&amp;TEXT(BA$6,"yyyymm")&amp;"]"),
0)/1000</f>
        <v>0</v>
      </c>
      <c r="BB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"[BASE_HIPO_PPTO].[Periodo]","[BASE_HIPO_PPTO].[Periodo].&amp;["&amp;TEXT(BB$6,"yyyymm")&amp;"]"),
0)/1000</f>
        <v>0</v>
      </c>
      <c r="BC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"[BASE_HIPO_PPTO].[Periodo]","[BASE_HIPO_PPTO].[Periodo].&amp;["&amp;TEXT(BC$6,"yyyymm")&amp;"]"),
0)/1000</f>
        <v>0</v>
      </c>
      <c r="BD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"[BASE_HIPO_PPTO].[Periodo]","[BASE_HIPO_PPTO].[Periodo].&amp;["&amp;TEXT(BD$6,"yyyymm")&amp;"]"),
0)/1000</f>
        <v>0</v>
      </c>
      <c r="BE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"[BASE_HIPO_PPTO].[Periodo]","[BASE_HIPO_PPTO].[Periodo].&amp;["&amp;TEXT(BE$6,"yyyymm")&amp;"]"),
0)/1000</f>
        <v>0</v>
      </c>
      <c r="BF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"[BASE_HIPO_PPTO].[Periodo]","[BASE_HIPO_PPTO].[Periodo].&amp;["&amp;TEXT(BF$6,"yyyymm")&amp;"]"),
0)/1000</f>
        <v>0</v>
      </c>
      <c r="BG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"[BASE_HIPO_PPTO].[Periodo]","[BASE_HIPO_PPTO].[Periodo].&amp;["&amp;TEXT(BG$6,"yyyymm")&amp;"]"),
0)/1000</f>
        <v>0</v>
      </c>
      <c r="BH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"[BASE_HIPO_PPTO].[Periodo]","[BASE_HIPO_PPTO].[Periodo].&amp;["&amp;TEXT(BH$6,"yyyymm")&amp;"]"),
0)/1000</f>
        <v>0</v>
      </c>
      <c r="BI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"[BASE_HIPO_PPTO].[Periodo]","[BASE_HIPO_PPTO].[Periodo].&amp;["&amp;TEXT(BI$6,"yyyymm")&amp;"]"),
0)/1000</f>
        <v>0</v>
      </c>
      <c r="BJ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"[BASE_HIPO_PPTO].[Periodo]","[BASE_HIPO_PPTO].[Periodo].&amp;["&amp;TEXT(BJ$6,"yyyymm")&amp;"]"),
0)/1000</f>
        <v>0</v>
      </c>
      <c r="BK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"[BASE_HIPO_PPTO].[Periodo]","[BASE_HIPO_PPTO].[Periodo].&amp;["&amp;TEXT(BK$6,"yyyymm")&amp;"]"),
0)/1000</f>
        <v>0</v>
      </c>
      <c r="BO82" s="24">
        <f t="shared" si="45"/>
        <v>0</v>
      </c>
      <c r="BP82" s="24">
        <f t="shared" si="45"/>
        <v>0</v>
      </c>
      <c r="BQ82" s="24">
        <f t="shared" si="45"/>
        <v>0</v>
      </c>
      <c r="BR82" s="24">
        <f t="shared" si="45"/>
        <v>0</v>
      </c>
      <c r="BS82" s="24">
        <f t="shared" si="45"/>
        <v>0</v>
      </c>
      <c r="BT82" s="24">
        <f t="shared" si="45"/>
        <v>0</v>
      </c>
    </row>
    <row r="83" spans="1:72" collapsed="1" x14ac:dyDescent="0.25">
      <c r="C83" s="3" t="s">
        <v>71</v>
      </c>
      <c r="D83" s="10">
        <f t="shared" ref="D83:BK83" si="46">SUM(D63:D82)</f>
        <v>638.40401247639727</v>
      </c>
      <c r="E83" s="10">
        <f t="shared" si="46"/>
        <v>543.56095151480793</v>
      </c>
      <c r="F83" s="10">
        <f t="shared" si="46"/>
        <v>606.56559822713677</v>
      </c>
      <c r="G83" s="10">
        <f t="shared" si="46"/>
        <v>612.06577860989887</v>
      </c>
      <c r="H83" s="10">
        <f t="shared" si="46"/>
        <v>511.4610588720239</v>
      </c>
      <c r="I83" s="10">
        <f t="shared" si="46"/>
        <v>396.82496780370752</v>
      </c>
      <c r="J83" s="10">
        <f t="shared" si="46"/>
        <v>399.4994441282704</v>
      </c>
      <c r="K83" s="10">
        <f t="shared" si="46"/>
        <v>390.50117852318328</v>
      </c>
      <c r="L83" s="10">
        <f t="shared" si="46"/>
        <v>258.05249919163896</v>
      </c>
      <c r="M83" s="10">
        <f t="shared" si="46"/>
        <v>463.82434306597042</v>
      </c>
      <c r="N83" s="10">
        <f t="shared" si="46"/>
        <v>263.25955236902968</v>
      </c>
      <c r="O83" s="10">
        <f t="shared" si="46"/>
        <v>425.05933366601357</v>
      </c>
      <c r="P83" s="10">
        <f t="shared" si="46"/>
        <v>329.01806727283207</v>
      </c>
      <c r="Q83" s="10">
        <f t="shared" si="46"/>
        <v>285.26188443362526</v>
      </c>
      <c r="R83" s="10">
        <f t="shared" si="46"/>
        <v>336.15350733572865</v>
      </c>
      <c r="S83" s="10">
        <f t="shared" si="46"/>
        <v>352.73298098812825</v>
      </c>
      <c r="T83" s="10">
        <f t="shared" si="46"/>
        <v>360.87222856210838</v>
      </c>
      <c r="U83" s="10">
        <f t="shared" si="46"/>
        <v>376.9877132569311</v>
      </c>
      <c r="V83" s="10">
        <f t="shared" si="46"/>
        <v>462.93689826284907</v>
      </c>
      <c r="W83" s="10">
        <f t="shared" si="46"/>
        <v>451.00079416507265</v>
      </c>
      <c r="X83" s="10">
        <f t="shared" si="46"/>
        <v>550.63919714765791</v>
      </c>
      <c r="Y83" s="10">
        <f t="shared" si="46"/>
        <v>42.871797178764062</v>
      </c>
      <c r="Z83" s="10">
        <f t="shared" si="46"/>
        <v>216.57387082489581</v>
      </c>
      <c r="AA83" s="10">
        <f t="shared" si="46"/>
        <v>500.48760591458739</v>
      </c>
      <c r="AB83" s="10">
        <f t="shared" si="46"/>
        <v>518.89763250053488</v>
      </c>
      <c r="AC83" s="10">
        <f t="shared" si="46"/>
        <v>469.5550094672804</v>
      </c>
      <c r="AD83" s="10">
        <f t="shared" si="46"/>
        <v>542.59968718753714</v>
      </c>
      <c r="AE83" s="10">
        <f t="shared" si="46"/>
        <v>585.58307807589335</v>
      </c>
      <c r="AF83" s="10">
        <f t="shared" si="46"/>
        <v>483.97036005959347</v>
      </c>
      <c r="AG83" s="10">
        <f t="shared" si="46"/>
        <v>570.92014909110344</v>
      </c>
      <c r="AH83" s="10">
        <f t="shared" si="46"/>
        <v>489.89538540326669</v>
      </c>
      <c r="AI83" s="10">
        <f t="shared" si="46"/>
        <v>526.02376319106645</v>
      </c>
      <c r="AJ83" s="10">
        <f t="shared" si="46"/>
        <v>412.84715321944981</v>
      </c>
      <c r="AK83" s="10">
        <f t="shared" si="46"/>
        <v>630.70316653168175</v>
      </c>
      <c r="AL83" s="10">
        <f t="shared" si="46"/>
        <v>702.37471453417015</v>
      </c>
      <c r="AM83" s="10">
        <f t="shared" si="46"/>
        <v>784.87498455344837</v>
      </c>
      <c r="AN83" s="10">
        <f t="shared" si="46"/>
        <v>644.10136560940543</v>
      </c>
      <c r="AO83" s="10">
        <f t="shared" si="46"/>
        <v>497.64834248716778</v>
      </c>
      <c r="AP83" s="10">
        <f t="shared" si="46"/>
        <v>777.4784663752697</v>
      </c>
      <c r="AQ83" s="10">
        <f t="shared" si="46"/>
        <v>617.18474751431575</v>
      </c>
      <c r="AR83" s="10">
        <f t="shared" si="46"/>
        <v>893.76723542503794</v>
      </c>
      <c r="AS83" s="10">
        <f t="shared" si="46"/>
        <v>595.01964013419831</v>
      </c>
      <c r="AT83" s="10">
        <f t="shared" si="46"/>
        <v>0</v>
      </c>
      <c r="AU83" s="10">
        <f t="shared" si="46"/>
        <v>0</v>
      </c>
      <c r="AV83" s="10">
        <f t="shared" si="46"/>
        <v>0</v>
      </c>
      <c r="AW83" s="10">
        <f t="shared" si="46"/>
        <v>0</v>
      </c>
      <c r="AX83" s="10">
        <f t="shared" si="46"/>
        <v>0</v>
      </c>
      <c r="AY83" s="10">
        <f t="shared" si="46"/>
        <v>0</v>
      </c>
      <c r="AZ83" s="10">
        <f t="shared" si="46"/>
        <v>558.0029547352417</v>
      </c>
      <c r="BA83" s="10">
        <f t="shared" si="46"/>
        <v>558.96590313592901</v>
      </c>
      <c r="BB83" s="10">
        <f t="shared" si="46"/>
        <v>559.7146757562947</v>
      </c>
      <c r="BC83" s="10">
        <f t="shared" si="46"/>
        <v>560.60343683334247</v>
      </c>
      <c r="BD83" s="10">
        <f t="shared" si="46"/>
        <v>561.6971776678846</v>
      </c>
      <c r="BE83" s="10">
        <f t="shared" si="46"/>
        <v>562.95213551141239</v>
      </c>
      <c r="BF83" s="10">
        <f t="shared" si="46"/>
        <v>564.04680086765552</v>
      </c>
      <c r="BG83" s="10">
        <f t="shared" si="46"/>
        <v>565.59732213042787</v>
      </c>
      <c r="BH83" s="10">
        <f t="shared" si="46"/>
        <v>567.0876774419844</v>
      </c>
      <c r="BI83" s="10">
        <f t="shared" si="46"/>
        <v>568.94966644473891</v>
      </c>
      <c r="BJ83" s="10">
        <f t="shared" si="46"/>
        <v>570.47307676559672</v>
      </c>
      <c r="BK83" s="10">
        <f t="shared" si="46"/>
        <v>571.77449447334061</v>
      </c>
      <c r="BO83" s="23">
        <f>SUM(BO63:BO82)</f>
        <v>1919.228174471843</v>
      </c>
      <c r="BP83" s="23">
        <f t="shared" ref="BP83:BT83" si="47">SUM(BP63:BP82)</f>
        <v>1676.6835336274655</v>
      </c>
      <c r="BQ83" s="23">
        <f t="shared" si="47"/>
        <v>1141.7497080965729</v>
      </c>
      <c r="BR83" s="23">
        <f t="shared" si="47"/>
        <v>1531.0523291553523</v>
      </c>
      <c r="BS83" s="23">
        <f t="shared" si="47"/>
        <v>950.43345904218575</v>
      </c>
      <c r="BT83" s="23">
        <f t="shared" si="47"/>
        <v>1788.5305622183419</v>
      </c>
    </row>
    <row r="86" spans="1:72" hidden="1" outlineLevel="1" x14ac:dyDescent="0.25">
      <c r="A86" s="11" t="s">
        <v>76</v>
      </c>
      <c r="C86" s="2" t="s">
        <v>79</v>
      </c>
      <c r="D86" s="8">
        <f>IFERROR(
GETPIVOTDATA(
"[Base].[Importe]",
TDinamica_R!$A$5,
"[Calendario].[AñoMes]",
"[Calendario].[AñoMes].&amp;[" &amp; TEXT(D$6,"yyyymm") &amp; "]",
"[Base].[Metrica]",
"[Base].[Metrica].&amp;[" &amp; $A86 &amp; "]",
"[Base].[SEGMENTO_DESCRIP]",
"[Base].[SEGMENTO_DESCRIP].&amp;[" &amp; $C$6 &amp; "]",
"[Base].[SITUACION]",
"[Base].[SITUACION].&amp;[" &amp; $C86 &amp; "]"
),0)/1000</f>
        <v>-2054.2535102329998</v>
      </c>
      <c r="E86" s="8">
        <f>IFERROR(
GETPIVOTDATA(
"[Base].[Importe]",
TDinamica_R!$A$5,
"[Calendario].[AñoMes]",
"[Calendario].[AñoMes].&amp;[" &amp; TEXT(E$6,"yyyymm") &amp; "]",
"[Base].[Metrica]",
"[Base].[Metrica].&amp;[" &amp; $A86 &amp; "]",
"[Base].[SEGMENTO_DESCRIP]",
"[Base].[SEGMENTO_DESCRIP].&amp;[" &amp; $C$6 &amp; "]",
"[Base].[SITUACION]",
"[Base].[SITUACION].&amp;[" &amp; $C86 &amp; "]"
),0)/1000</f>
        <v>-2041.4613720402001</v>
      </c>
      <c r="F86" s="8">
        <f>IFERROR(
GETPIVOTDATA(
"[Base].[Importe]",
TDinamica_R!$A$5,
"[Calendario].[AñoMes]",
"[Calendario].[AñoMes].&amp;[" &amp; TEXT(F$6,"yyyymm") &amp; "]",
"[Base].[Metrica]",
"[Base].[Metrica].&amp;[" &amp; $A86 &amp; "]",
"[Base].[SEGMENTO_DESCRIP]",
"[Base].[SEGMENTO_DESCRIP].&amp;[" &amp; $C$6 &amp; "]",
"[Base].[SITUACION]",
"[Base].[SITUACION].&amp;[" &amp; $C86 &amp; "]"
),0)/1000</f>
        <v>-2280.3104830448001</v>
      </c>
      <c r="G86" s="8">
        <f>IFERROR(
GETPIVOTDATA(
"[Base].[Importe]",
TDinamica_R!$A$5,
"[Calendario].[AñoMes]",
"[Calendario].[AñoMes].&amp;[" &amp; TEXT(G$6,"yyyymm") &amp; "]",
"[Base].[Metrica]",
"[Base].[Metrica].&amp;[" &amp; $A86 &amp; "]",
"[Base].[SEGMENTO_DESCRIP]",
"[Base].[SEGMENTO_DESCRIP].&amp;[" &amp; $C$6 &amp; "]",
"[Base].[SITUACION]",
"[Base].[SITUACION].&amp;[" &amp; $C86 &amp; "]"
),0)/1000</f>
        <v>-2319.8939623445003</v>
      </c>
      <c r="H86" s="8">
        <f>IFERROR(
GETPIVOTDATA(
"[Base].[Importe]",
TDinamica_R!$A$5,
"[Calendario].[AñoMes]",
"[Calendario].[AñoMes].&amp;[" &amp; TEXT(H$6,"yyyymm") &amp; "]",
"[Base].[Metrica]",
"[Base].[Metrica].&amp;[" &amp; $A86 &amp; "]",
"[Base].[SEGMENTO_DESCRIP]",
"[Base].[SEGMENTO_DESCRIP].&amp;[" &amp; $C$6 &amp; "]",
"[Base].[SITUACION]",
"[Base].[SITUACION].&amp;[" &amp; $C86 &amp; "]"
),0)/1000</f>
        <v>-2254.4269535102999</v>
      </c>
      <c r="I86" s="8">
        <f>IFERROR(
GETPIVOTDATA(
"[Base].[Importe]",
TDinamica_R!$A$5,
"[Calendario].[AñoMes]",
"[Calendario].[AñoMes].&amp;[" &amp; TEXT(I$6,"yyyymm") &amp; "]",
"[Base].[Metrica]",
"[Base].[Metrica].&amp;[" &amp; $A86 &amp; "]",
"[Base].[SEGMENTO_DESCRIP]",
"[Base].[SEGMENTO_DESCRIP].&amp;[" &amp; $C$6 &amp; "]",
"[Base].[SITUACION]",
"[Base].[SITUACION].&amp;[" &amp; $C86 &amp; "]"
),0)/1000</f>
        <v>-2316.9226493529</v>
      </c>
      <c r="J86" s="8">
        <f>IFERROR(
GETPIVOTDATA(
"[Base].[Importe]",
TDinamica_R!$A$5,
"[Calendario].[AñoMes]",
"[Calendario].[AñoMes].&amp;[" &amp; TEXT(J$6,"yyyymm") &amp; "]",
"[Base].[Metrica]",
"[Base].[Metrica].&amp;[" &amp; $A86 &amp; "]",
"[Base].[SEGMENTO_DESCRIP]",
"[Base].[SEGMENTO_DESCRIP].&amp;[" &amp; $C$6 &amp; "]",
"[Base].[SITUACION]",
"[Base].[SITUACION].&amp;[" &amp; $C86 &amp; "]"
),0)/1000</f>
        <v>-2116.6814399279001</v>
      </c>
      <c r="K86" s="8">
        <f>IFERROR(
GETPIVOTDATA(
"[Base].[Importe]",
TDinamica_R!$A$5,
"[Calendario].[AñoMes]",
"[Calendario].[AñoMes].&amp;[" &amp; TEXT(K$6,"yyyymm") &amp; "]",
"[Base].[Metrica]",
"[Base].[Metrica].&amp;[" &amp; $A86 &amp; "]",
"[Base].[SEGMENTO_DESCRIP]",
"[Base].[SEGMENTO_DESCRIP].&amp;[" &amp; $C$6 &amp; "]",
"[Base].[SITUACION]",
"[Base].[SITUACION].&amp;[" &amp; $C86 &amp; "]"
),0)/1000</f>
        <v>-1973.6709146354003</v>
      </c>
      <c r="L86" s="8">
        <f>IFERROR(
GETPIVOTDATA(
"[Base].[Importe]",
TDinamica_R!$A$5,
"[Calendario].[AñoMes]",
"[Calendario].[AñoMes].&amp;[" &amp; TEXT(L$6,"yyyymm") &amp; "]",
"[Base].[Metrica]",
"[Base].[Metrica].&amp;[" &amp; $A86 &amp; "]",
"[Base].[SEGMENTO_DESCRIP]",
"[Base].[SEGMENTO_DESCRIP].&amp;[" &amp; $C$6 &amp; "]",
"[Base].[SITUACION]",
"[Base].[SITUACION].&amp;[" &amp; $C86 &amp; "]"
),0)/1000</f>
        <v>-2155.4738347463003</v>
      </c>
      <c r="M86" s="8">
        <f>IFERROR(
GETPIVOTDATA(
"[Base].[Importe]",
TDinamica_R!$A$5,
"[Calendario].[AñoMes]",
"[Calendario].[AñoMes].&amp;[" &amp; TEXT(M$6,"yyyymm") &amp; "]",
"[Base].[Metrica]",
"[Base].[Metrica].&amp;[" &amp; $A86 &amp; "]",
"[Base].[SEGMENTO_DESCRIP]",
"[Base].[SEGMENTO_DESCRIP].&amp;[" &amp; $C$6 &amp; "]",
"[Base].[SITUACION]",
"[Base].[SITUACION].&amp;[" &amp; $C86 &amp; "]"
),0)/1000</f>
        <v>-2045.6284764842999</v>
      </c>
      <c r="N86" s="8">
        <f>IFERROR(
GETPIVOTDATA(
"[Base].[Importe]",
TDinamica_R!$A$5,
"[Calendario].[AñoMes]",
"[Calendario].[AñoMes].&amp;[" &amp; TEXT(N$6,"yyyymm") &amp; "]",
"[Base].[Metrica]",
"[Base].[Metrica].&amp;[" &amp; $A86 &amp; "]",
"[Base].[SEGMENTO_DESCRIP]",
"[Base].[SEGMENTO_DESCRIP].&amp;[" &amp; $C$6 &amp; "]",
"[Base].[SITUACION]",
"[Base].[SITUACION].&amp;[" &amp; $C86 &amp; "]"
),0)/1000</f>
        <v>-2016.4935801233999</v>
      </c>
      <c r="O86" s="8">
        <f>IFERROR(
GETPIVOTDATA(
"[Base].[Importe]",
TDinamica_R!$A$5,
"[Calendario].[AñoMes]",
"[Calendario].[AñoMes].&amp;[" &amp; TEXT(O$6,"yyyymm") &amp; "]",
"[Base].[Metrica]",
"[Base].[Metrica].&amp;[" &amp; $A86 &amp; "]",
"[Base].[SEGMENTO_DESCRIP]",
"[Base].[SEGMENTO_DESCRIP].&amp;[" &amp; $C$6 &amp; "]",
"[Base].[SITUACION]",
"[Base].[SITUACION].&amp;[" &amp; $C86 &amp; "]"
),0)/1000</f>
        <v>-2086.4229470972</v>
      </c>
      <c r="P86" s="8">
        <f>IFERROR(
GETPIVOTDATA(
"[Base].[Importe]",
TDinamica_R!$A$5,
"[Calendario].[AñoMes]",
"[Calendario].[AñoMes].&amp;[" &amp; TEXT(P$6,"yyyymm") &amp; "]",
"[Base].[Metrica]",
"[Base].[Metrica].&amp;[" &amp; $A86 &amp; "]",
"[Base].[SEGMENTO_DESCRIP]",
"[Base].[SEGMENTO_DESCRIP].&amp;[" &amp; $C$6 &amp; "]",
"[Base].[SITUACION]",
"[Base].[SITUACION].&amp;[" &amp; $C86 &amp; "]"
),0)/1000</f>
        <v>-1953.2781770042</v>
      </c>
      <c r="Q86" s="8">
        <f>IFERROR(
GETPIVOTDATA(
"[Base].[Importe]",
TDinamica_R!$A$5,
"[Calendario].[AñoMes]",
"[Calendario].[AñoMes].&amp;[" &amp; TEXT(Q$6,"yyyymm") &amp; "]",
"[Base].[Metrica]",
"[Base].[Metrica].&amp;[" &amp; $A86 &amp; "]",
"[Base].[SEGMENTO_DESCRIP]",
"[Base].[SEGMENTO_DESCRIP].&amp;[" &amp; $C$6 &amp; "]",
"[Base].[SITUACION]",
"[Base].[SITUACION].&amp;[" &amp; $C86 &amp; "]"
),0)/1000</f>
        <v>-2332.6150548601004</v>
      </c>
      <c r="R86" s="8">
        <f>IFERROR(
GETPIVOTDATA(
"[Base].[Importe]",
TDinamica_R!$A$5,
"[Calendario].[AñoMes]",
"[Calendario].[AñoMes].&amp;[" &amp; TEXT(R$6,"yyyymm") &amp; "]",
"[Base].[Metrica]",
"[Base].[Metrica].&amp;[" &amp; $A86 &amp; "]",
"[Base].[SEGMENTO_DESCRIP]",
"[Base].[SEGMENTO_DESCRIP].&amp;[" &amp; $C$6 &amp; "]",
"[Base].[SITUACION]",
"[Base].[SITUACION].&amp;[" &amp; $C86 &amp; "]"
),0)/1000</f>
        <v>-2284.7867704345003</v>
      </c>
      <c r="S86" s="8">
        <f>IFERROR(
GETPIVOTDATA(
"[Base].[Importe]",
TDinamica_R!$A$5,
"[Calendario].[AñoMes]",
"[Calendario].[AñoMes].&amp;[" &amp; TEXT(S$6,"yyyymm") &amp; "]",
"[Base].[Metrica]",
"[Base].[Metrica].&amp;[" &amp; $A86 &amp; "]",
"[Base].[SEGMENTO_DESCRIP]",
"[Base].[SEGMENTO_DESCRIP].&amp;[" &amp; $C$6 &amp; "]",
"[Base].[SITUACION]",
"[Base].[SITUACION].&amp;[" &amp; $C86 &amp; "]"
),0)/1000</f>
        <v>-2193.8661437673995</v>
      </c>
      <c r="T86" s="8">
        <f>IFERROR(
GETPIVOTDATA(
"[Base].[Importe]",
TDinamica_R!$A$5,
"[Calendario].[AñoMes]",
"[Calendario].[AñoMes].&amp;[" &amp; TEXT(T$6,"yyyymm") &amp; "]",
"[Base].[Metrica]",
"[Base].[Metrica].&amp;[" &amp; $A86 &amp; "]",
"[Base].[SEGMENTO_DESCRIP]",
"[Base].[SEGMENTO_DESCRIP].&amp;[" &amp; $C$6 &amp; "]",
"[Base].[SITUACION]",
"[Base].[SITUACION].&amp;[" &amp; $C86 &amp; "]"
),0)/1000</f>
        <v>-2369.5241869547999</v>
      </c>
      <c r="U86" s="8">
        <f>IFERROR(
GETPIVOTDATA(
"[Base].[Importe]",
TDinamica_R!$A$5,
"[Calendario].[AñoMes]",
"[Calendario].[AñoMes].&amp;[" &amp; TEXT(U$6,"yyyymm") &amp; "]",
"[Base].[Metrica]",
"[Base].[Metrica].&amp;[" &amp; $A86 &amp; "]",
"[Base].[SEGMENTO_DESCRIP]",
"[Base].[SEGMENTO_DESCRIP].&amp;[" &amp; $C$6 &amp; "]",
"[Base].[SITUACION]",
"[Base].[SITUACION].&amp;[" &amp; $C86 &amp; "]"
),0)/1000</f>
        <v>-2077.0487124732003</v>
      </c>
      <c r="V86" s="8">
        <f>IFERROR(
GETPIVOTDATA(
"[Base].[Importe]",
TDinamica_R!$A$5,
"[Calendario].[AñoMes]",
"[Calendario].[AñoMes].&amp;[" &amp; TEXT(V$6,"yyyymm") &amp; "]",
"[Base].[Metrica]",
"[Base].[Metrica].&amp;[" &amp; $A86 &amp; "]",
"[Base].[SEGMENTO_DESCRIP]",
"[Base].[SEGMENTO_DESCRIP].&amp;[" &amp; $C$6 &amp; "]",
"[Base].[SITUACION]",
"[Base].[SITUACION].&amp;[" &amp; $C86 &amp; "]"
),0)/1000</f>
        <v>-2306.1162367726001</v>
      </c>
      <c r="W86" s="8">
        <f>IFERROR(
GETPIVOTDATA(
"[Base].[Importe]",
TDinamica_R!$A$5,
"[Calendario].[AñoMes]",
"[Calendario].[AñoMes].&amp;[" &amp; TEXT(W$6,"yyyymm") &amp; "]",
"[Base].[Metrica]",
"[Base].[Metrica].&amp;[" &amp; $A86 &amp; "]",
"[Base].[SEGMENTO_DESCRIP]",
"[Base].[SEGMENTO_DESCRIP].&amp;[" &amp; $C$6 &amp; "]",
"[Base].[SITUACION]",
"[Base].[SITUACION].&amp;[" &amp; $C86 &amp; "]"
),0)/1000</f>
        <v>-2326.7158601839001</v>
      </c>
      <c r="X86" s="8">
        <f>IFERROR(
GETPIVOTDATA(
"[Base].[Importe]",
TDinamica_R!$A$5,
"[Calendario].[AñoMes]",
"[Calendario].[AñoMes].&amp;[" &amp; TEXT(X$6,"yyyymm") &amp; "]",
"[Base].[Metrica]",
"[Base].[Metrica].&amp;[" &amp; $A86 &amp; "]",
"[Base].[SEGMENTO_DESCRIP]",
"[Base].[SEGMENTO_DESCRIP].&amp;[" &amp; $C$6 &amp; "]",
"[Base].[SITUACION]",
"[Base].[SITUACION].&amp;[" &amp; $C86 &amp; "]"
),0)/1000</f>
        <v>-2197.1289358926001</v>
      </c>
      <c r="Y86" s="8">
        <f>IFERROR(
GETPIVOTDATA(
"[Base].[Importe]",
TDinamica_R!$A$5,
"[Calendario].[AñoMes]",
"[Calendario].[AñoMes].&amp;[" &amp; TEXT(Y$6,"yyyymm") &amp; "]",
"[Base].[Metrica]",
"[Base].[Metrica].&amp;[" &amp; $A86 &amp; "]",
"[Base].[SEGMENTO_DESCRIP]",
"[Base].[SEGMENTO_DESCRIP].&amp;[" &amp; $C$6 &amp; "]",
"[Base].[SITUACION]",
"[Base].[SITUACION].&amp;[" &amp; $C86 &amp; "]"
),0)/1000</f>
        <v>-2191.0309261565999</v>
      </c>
      <c r="Z86" s="8">
        <f>IFERROR(
GETPIVOTDATA(
"[Base].[Importe]",
TDinamica_R!$A$5,
"[Calendario].[AñoMes]",
"[Calendario].[AñoMes].&amp;[" &amp; TEXT(Z$6,"yyyymm") &amp; "]",
"[Base].[Metrica]",
"[Base].[Metrica].&amp;[" &amp; $A86 &amp; "]",
"[Base].[SEGMENTO_DESCRIP]",
"[Base].[SEGMENTO_DESCRIP].&amp;[" &amp; $C$6 &amp; "]",
"[Base].[SITUACION]",
"[Base].[SITUACION].&amp;[" &amp; $C86 &amp; "]"
),0)/1000</f>
        <v>-2607.6038099761995</v>
      </c>
      <c r="AA86" s="8">
        <f>IFERROR(
GETPIVOTDATA(
"[Base].[Importe]",
TDinamica_R!$A$5,
"[Calendario].[AñoMes]",
"[Calendario].[AñoMes].&amp;[" &amp; TEXT(AA$6,"yyyymm") &amp; "]",
"[Base].[Metrica]",
"[Base].[Metrica].&amp;[" &amp; $A86 &amp; "]",
"[Base].[SEGMENTO_DESCRIP]",
"[Base].[SEGMENTO_DESCRIP].&amp;[" &amp; $C$6 &amp; "]",
"[Base].[SITUACION]",
"[Base].[SITUACION].&amp;[" &amp; $C86 &amp; "]"
),0)/1000</f>
        <v>-2336.0032209761998</v>
      </c>
      <c r="AB86" s="8">
        <f>IFERROR(
GETPIVOTDATA(
"[Base].[Importe]",
TDinamica_R!$A$5,
"[Calendario].[AñoMes]",
"[Calendario].[AñoMes].&amp;[" &amp; TEXT(AB$6,"yyyymm") &amp; "]",
"[Base].[Metrica]",
"[Base].[Metrica].&amp;[" &amp; $A86 &amp; "]",
"[Base].[SEGMENTO_DESCRIP]",
"[Base].[SEGMENTO_DESCRIP].&amp;[" &amp; $C$6 &amp; "]",
"[Base].[SITUACION]",
"[Base].[SITUACION].&amp;[" &amp; $C86 &amp; "]"
),0)/1000</f>
        <v>-2713.7190903350001</v>
      </c>
      <c r="AC86" s="8">
        <f>IFERROR(
GETPIVOTDATA(
"[Base].[Importe]",
TDinamica_R!$A$5,
"[Calendario].[AñoMes]",
"[Calendario].[AñoMes].&amp;[" &amp; TEXT(AC$6,"yyyymm") &amp; "]",
"[Base].[Metrica]",
"[Base].[Metrica].&amp;[" &amp; $A86 &amp; "]",
"[Base].[SEGMENTO_DESCRIP]",
"[Base].[SEGMENTO_DESCRIP].&amp;[" &amp; $C$6 &amp; "]",
"[Base].[SITUACION]",
"[Base].[SITUACION].&amp;[" &amp; $C86 &amp; "]"
),0)/1000</f>
        <v>-2634.8518998659997</v>
      </c>
      <c r="AD86" s="8">
        <f>IFERROR(
GETPIVOTDATA(
"[Base].[Importe]",
TDinamica_R!$A$5,
"[Calendario].[AñoMes]",
"[Calendario].[AñoMes].&amp;[" &amp; TEXT(AD$6,"yyyymm") &amp; "]",
"[Base].[Metrica]",
"[Base].[Metrica].&amp;[" &amp; $A86 &amp; "]",
"[Base].[SEGMENTO_DESCRIP]",
"[Base].[SEGMENTO_DESCRIP].&amp;[" &amp; $C$6 &amp; "]",
"[Base].[SITUACION]",
"[Base].[SITUACION].&amp;[" &amp; $C86 &amp; "]"
),0)/1000</f>
        <v>-2783.7200736534996</v>
      </c>
      <c r="AE86" s="8">
        <f>IFERROR(
GETPIVOTDATA(
"[Base].[Importe]",
TDinamica_R!$A$5,
"[Calendario].[AñoMes]",
"[Calendario].[AñoMes].&amp;[" &amp; TEXT(AE$6,"yyyymm") &amp; "]",
"[Base].[Metrica]",
"[Base].[Metrica].&amp;[" &amp; $A86 &amp; "]",
"[Base].[SEGMENTO_DESCRIP]",
"[Base].[SEGMENTO_DESCRIP].&amp;[" &amp; $C$6 &amp; "]",
"[Base].[SITUACION]",
"[Base].[SITUACION].&amp;[" &amp; $C86 &amp; "]"
),0)/1000</f>
        <v>-2795.1915658133003</v>
      </c>
      <c r="AF86" s="8">
        <f>IFERROR(
GETPIVOTDATA(
"[Base].[Importe]",
TDinamica_R!$A$5,
"[Calendario].[AñoMes]",
"[Calendario].[AñoMes].&amp;[" &amp; TEXT(AF$6,"yyyymm") &amp; "]",
"[Base].[Metrica]",
"[Base].[Metrica].&amp;[" &amp; $A86 &amp; "]",
"[Base].[SEGMENTO_DESCRIP]",
"[Base].[SEGMENTO_DESCRIP].&amp;[" &amp; $C$6 &amp; "]",
"[Base].[SITUACION]",
"[Base].[SITUACION].&amp;[" &amp; $C86 &amp; "]"
),0)/1000</f>
        <v>-2932.2222432715998</v>
      </c>
      <c r="AG86" s="8">
        <f>IFERROR(
GETPIVOTDATA(
"[Base].[Importe]",
TDinamica_R!$A$5,
"[Calendario].[AñoMes]",
"[Calendario].[AñoMes].&amp;[" &amp; TEXT(AG$6,"yyyymm") &amp; "]",
"[Base].[Metrica]",
"[Base].[Metrica].&amp;[" &amp; $A86 &amp; "]",
"[Base].[SEGMENTO_DESCRIP]",
"[Base].[SEGMENTO_DESCRIP].&amp;[" &amp; $C$6 &amp; "]",
"[Base].[SITUACION]",
"[Base].[SITUACION].&amp;[" &amp; $C86 &amp; "]"
),0)/1000</f>
        <v>-3016.1675912579994</v>
      </c>
      <c r="AH86" s="8">
        <f>IFERROR(
GETPIVOTDATA(
"[Base].[Importe]",
TDinamica_R!$A$5,
"[Calendario].[AñoMes]",
"[Calendario].[AñoMes].&amp;[" &amp; TEXT(AH$6,"yyyymm") &amp; "]",
"[Base].[Metrica]",
"[Base].[Metrica].&amp;[" &amp; $A86 &amp; "]",
"[Base].[SEGMENTO_DESCRIP]",
"[Base].[SEGMENTO_DESCRIP].&amp;[" &amp; $C$6 &amp; "]",
"[Base].[SITUACION]",
"[Base].[SITUACION].&amp;[" &amp; $C86 &amp; "]"
),0)/1000</f>
        <v>-3185.1290198493002</v>
      </c>
      <c r="AI86" s="8">
        <f>IFERROR(
GETPIVOTDATA(
"[Base].[Importe]",
TDinamica_R!$A$5,
"[Calendario].[AñoMes]",
"[Calendario].[AñoMes].&amp;[" &amp; TEXT(AI$6,"yyyymm") &amp; "]",
"[Base].[Metrica]",
"[Base].[Metrica].&amp;[" &amp; $A86 &amp; "]",
"[Base].[SEGMENTO_DESCRIP]",
"[Base].[SEGMENTO_DESCRIP].&amp;[" &amp; $C$6 &amp; "]",
"[Base].[SITUACION]",
"[Base].[SITUACION].&amp;[" &amp; $C86 &amp; "]"
),0)/1000</f>
        <v>-3200.624761473</v>
      </c>
      <c r="AJ86" s="8">
        <f>IFERROR(
GETPIVOTDATA(
"[Base].[Importe]",
TDinamica_R!$A$5,
"[Calendario].[AñoMes]",
"[Calendario].[AñoMes].&amp;[" &amp; TEXT(AJ$6,"yyyymm") &amp; "]",
"[Base].[Metrica]",
"[Base].[Metrica].&amp;[" &amp; $A86 &amp; "]",
"[Base].[SEGMENTO_DESCRIP]",
"[Base].[SEGMENTO_DESCRIP].&amp;[" &amp; $C$6 &amp; "]",
"[Base].[SITUACION]",
"[Base].[SITUACION].&amp;[" &amp; $C86 &amp; "]"
),0)/1000</f>
        <v>-2864.4232541710999</v>
      </c>
      <c r="AK86" s="8">
        <f>IFERROR(
GETPIVOTDATA(
"[Base].[Importe]",
TDinamica_R!$A$5,
"[Calendario].[AñoMes]",
"[Calendario].[AñoMes].&amp;[" &amp; TEXT(AK$6,"yyyymm") &amp; "]",
"[Base].[Metrica]",
"[Base].[Metrica].&amp;[" &amp; $A86 &amp; "]",
"[Base].[SEGMENTO_DESCRIP]",
"[Base].[SEGMENTO_DESCRIP].&amp;[" &amp; $C$6 &amp; "]",
"[Base].[SITUACION]",
"[Base].[SITUACION].&amp;[" &amp; $C86 &amp; "]"
),0)/1000</f>
        <v>-2583.1043631077</v>
      </c>
      <c r="AL86" s="8">
        <f>IFERROR(
GETPIVOTDATA(
"[Base].[Importe]",
TDinamica_R!$A$5,
"[Calendario].[AñoMes]",
"[Calendario].[AñoMes].&amp;[" &amp; TEXT(AL$6,"yyyymm") &amp; "]",
"[Base].[Metrica]",
"[Base].[Metrica].&amp;[" &amp; $A86 &amp; "]",
"[Base].[SEGMENTO_DESCRIP]",
"[Base].[SEGMENTO_DESCRIP].&amp;[" &amp; $C$6 &amp; "]",
"[Base].[SITUACION]",
"[Base].[SITUACION].&amp;[" &amp; $C86 &amp; "]"
),0)/1000</f>
        <v>-2769.2490313962994</v>
      </c>
      <c r="AM86" s="8">
        <f>IFERROR(
GETPIVOTDATA(
"[Base].[Importe]",
TDinamica_R!$A$5,
"[Calendario].[AñoMes]",
"[Calendario].[AñoMes].&amp;[" &amp; TEXT(AM$6,"yyyymm") &amp; "]",
"[Base].[Metrica]",
"[Base].[Metrica].&amp;[" &amp; $A86 &amp; "]",
"[Base].[SEGMENTO_DESCRIP]",
"[Base].[SEGMENTO_DESCRIP].&amp;[" &amp; $C$6 &amp; "]",
"[Base].[SITUACION]",
"[Base].[SITUACION].&amp;[" &amp; $C86 &amp; "]"
),0)/1000</f>
        <v>-3043.4786230011</v>
      </c>
      <c r="AN86" s="8">
        <f>IFERROR(
GETPIVOTDATA(
"[Base].[Importe]",
TDinamica_R!$A$5,
"[Calendario].[AñoMes]",
"[Calendario].[AñoMes].&amp;[" &amp; TEXT(AN$6,"yyyymm") &amp; "]",
"[Base].[Metrica]",
"[Base].[Metrica].&amp;[" &amp; $A86 &amp; "]",
"[Base].[SEGMENTO_DESCRIP]",
"[Base].[SEGMENTO_DESCRIP].&amp;[" &amp; $C$6 &amp; "]",
"[Base].[SITUACION]",
"[Base].[SITUACION].&amp;[" &amp; $C86 &amp; "]"
),0)/1000</f>
        <v>-2578.0546433067002</v>
      </c>
      <c r="AO86" s="8">
        <f>IFERROR(
GETPIVOTDATA(
"[Base].[Importe]",
TDinamica_R!$A$5,
"[Calendario].[AñoMes]",
"[Calendario].[AñoMes].&amp;[" &amp; TEXT(AO$6,"yyyymm") &amp; "]",
"[Base].[Metrica]",
"[Base].[Metrica].&amp;[" &amp; $A86 &amp; "]",
"[Base].[SEGMENTO_DESCRIP]",
"[Base].[SEGMENTO_DESCRIP].&amp;[" &amp; $C$6 &amp; "]",
"[Base].[SITUACION]",
"[Base].[SITUACION].&amp;[" &amp; $C86 &amp; "]"
),0)/1000</f>
        <v>-2520.1592472754996</v>
      </c>
      <c r="AP86" s="8">
        <f>IFERROR(
GETPIVOTDATA(
"[Base].[Importe]",
TDinamica_R!$A$5,
"[Calendario].[AñoMes]",
"[Calendario].[AñoMes].&amp;[" &amp; TEXT(AP$6,"yyyymm") &amp; "]",
"[Base].[Metrica]",
"[Base].[Metrica].&amp;[" &amp; $A86 &amp; "]",
"[Base].[SEGMENTO_DESCRIP]",
"[Base].[SEGMENTO_DESCRIP].&amp;[" &amp; $C$6 &amp; "]",
"[Base].[SITUACION]",
"[Base].[SITUACION].&amp;[" &amp; $C86 &amp; "]"
),0)/1000</f>
        <v>-2914.1519941989</v>
      </c>
      <c r="AQ86" s="8">
        <f>IFERROR(
GETPIVOTDATA(
"[Base].[Importe]",
TDinamica_R!$A$5,
"[Calendario].[AñoMes]",
"[Calendario].[AñoMes].&amp;[" &amp; TEXT(AQ$6,"yyyymm") &amp; "]",
"[Base].[Metrica]",
"[Base].[Metrica].&amp;[" &amp; $A86 &amp; "]",
"[Base].[SEGMENTO_DESCRIP]",
"[Base].[SEGMENTO_DESCRIP].&amp;[" &amp; $C$6 &amp; "]",
"[Base].[SITUACION]",
"[Base].[SITUACION].&amp;[" &amp; $C86 &amp; "]"
),0)/1000</f>
        <v>-2690.3890916983</v>
      </c>
      <c r="AR86" s="8">
        <f>IFERROR(
GETPIVOTDATA(
"[Base].[Importe]",
TDinamica_R!$A$5,
"[Calendario].[AñoMes]",
"[Calendario].[AñoMes].&amp;[" &amp; TEXT(AR$6,"yyyymm") &amp; "]",
"[Base].[Metrica]",
"[Base].[Metrica].&amp;[" &amp; $A86 &amp; "]",
"[Base].[SEGMENTO_DESCRIP]",
"[Base].[SEGMENTO_DESCRIP].&amp;[" &amp; $C$6 &amp; "]",
"[Base].[SITUACION]",
"[Base].[SITUACION].&amp;[" &amp; $C86 &amp; "]"
),0)/1000</f>
        <v>-3104.6886219282997</v>
      </c>
      <c r="AS86" s="8">
        <f>IFERROR(
GETPIVOTDATA(
"[Base].[Importe]",
TDinamica_R!$A$5,
"[Calendario].[AñoMes]",
"[Calendario].[AñoMes].&amp;[" &amp; TEXT(AS$6,"yyyymm") &amp; "]",
"[Base].[Metrica]",
"[Base].[Metrica].&amp;[" &amp; $A86 &amp; "]",
"[Base].[SEGMENTO_DESCRIP]",
"[Base].[SEGMENTO_DESCRIP].&amp;[" &amp; $C$6 &amp; "]",
"[Base].[SITUACION]",
"[Base].[SITUACION].&amp;[" &amp; $C86 &amp; "]"
),0)/1000</f>
        <v>-2695.6609389435998</v>
      </c>
      <c r="AT86" s="8">
        <f>IFERROR(
GETPIVOTDATA(
"[Base].[Importe]",
TDinamica_R!$A$5,
"[Calendario].[AñoMes]",
"[Calendario].[AñoMes].&amp;[" &amp; TEXT(AT$6,"yyyymm")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U86" s="8">
        <f>IFERROR(
GETPIVOTDATA(
"[Base].[Importe]",
TDinamica_R!$A$5,
"[Calendario].[AñoMes]",
"[Calendario].[AñoMes].&amp;[" &amp; TEXT(AU$6,"yyyymm")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V86" s="8">
        <f>IFERROR(
GETPIVOTDATA(
"[Base].[Importe]",
TDinamica_R!$A$5,
"[Calendario].[AñoMes]",
"[Calendario].[AñoMes].&amp;[" &amp; TEXT(AV$6,"yyyymm")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W86" s="8">
        <f>IFERROR(
GETPIVOTDATA(
"[Base].[Importe]",
TDinamica_R!$A$5,
"[Calendario].[AñoMes]",
"[Calendario].[AñoMes].&amp;[" &amp; TEXT(AW$6,"yyyymm")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X86" s="8">
        <f>IFERROR(
GETPIVOTDATA(
"[Base].[Importe]",
TDinamica_R!$A$5,
"[Calendario].[AñoMes]",
"[Calendario].[AñoMes].&amp;[" &amp; TEXT(AX$6,"yyyymm")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Y86" s="8">
        <f>IFERROR(
GETPIVOTDATA(
"[Base].[Importe]",
TDinamica_R!$A$5,
"[Calendario].[AñoMes]",
"[Calendario].[AñoMes].&amp;[" &amp; TEXT(AY$6,"yyyymm")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Z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"[BASE_HIPO_PPTO].[Periodo]","[BASE_HIPO_PPTO].[Periodo].&amp;["&amp;TEXT(AZ$6,"yyyymm")&amp;"]"),
0)/1000</f>
        <v>-2815.4279590888</v>
      </c>
      <c r="BA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"[BASE_HIPO_PPTO].[Periodo]","[BASE_HIPO_PPTO].[Periodo].&amp;["&amp;TEXT(BA$6,"yyyymm")&amp;"]"),
0)/1000</f>
        <v>-2745.6315681483006</v>
      </c>
      <c r="BB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"[BASE_HIPO_PPTO].[Periodo]","[BASE_HIPO_PPTO].[Periodo].&amp;["&amp;TEXT(BB$6,"yyyymm")&amp;"]"),
0)/1000</f>
        <v>-2795.7896257166999</v>
      </c>
      <c r="BC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"[BASE_HIPO_PPTO].[Periodo]","[BASE_HIPO_PPTO].[Periodo].&amp;["&amp;TEXT(BC$6,"yyyymm")&amp;"]"),
0)/1000</f>
        <v>-2781.8495789778999</v>
      </c>
      <c r="BD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"[BASE_HIPO_PPTO].[Periodo]","[BASE_HIPO_PPTO].[Periodo].&amp;["&amp;TEXT(BD$6,"yyyymm")&amp;"]"),
0)/1000</f>
        <v>-2905.8275683300999</v>
      </c>
      <c r="BE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"[BASE_HIPO_PPTO].[Periodo]","[BASE_HIPO_PPTO].[Periodo].&amp;["&amp;TEXT(BE$6,"yyyymm")&amp;"]"),
0)/1000</f>
        <v>-2940.1121129996004</v>
      </c>
      <c r="BF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"[BASE_HIPO_PPTO].[Periodo]","[BASE_HIPO_PPTO].[Periodo].&amp;["&amp;TEXT(BF$6,"yyyymm")&amp;"]"),
0)/1000</f>
        <v>-2856.0747371583998</v>
      </c>
      <c r="BG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"[BASE_HIPO_PPTO].[Periodo]","[BASE_HIPO_PPTO].[Periodo].&amp;["&amp;TEXT(BG$6,"yyyymm")&amp;"]"),
0)/1000</f>
        <v>-2897.6727378371006</v>
      </c>
      <c r="BH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"[BASE_HIPO_PPTO].[Periodo]","[BASE_HIPO_PPTO].[Periodo].&amp;["&amp;TEXT(BH$6,"yyyymm")&amp;"]"),
0)/1000</f>
        <v>-2970.0637050584005</v>
      </c>
      <c r="BI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"[BASE_HIPO_PPTO].[Periodo]","[BASE_HIPO_PPTO].[Periodo].&amp;["&amp;TEXT(BI$6,"yyyymm")&amp;"]"),
0)/1000</f>
        <v>-2910.6038807891</v>
      </c>
      <c r="BJ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"[BASE_HIPO_PPTO].[Periodo]","[BASE_HIPO_PPTO].[Periodo].&amp;["&amp;TEXT(BJ$6,"yyyymm")&amp;"]"),
0)/1000</f>
        <v>-2909.9907256458</v>
      </c>
      <c r="BK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"[BASE_HIPO_PPTO].[Periodo]","[BASE_HIPO_PPTO].[Periodo].&amp;["&amp;TEXT(BK$6,"yyyymm")&amp;"]"),
0)/1000</f>
        <v>-2928.1721623687995</v>
      </c>
      <c r="BO86" s="24">
        <f t="shared" ref="BO86:BT88" si="48">SUMIFS($D86:$BM86,$D$6:$BM$6,"&gt;="&amp;BO$2,$D$6:$BM$6,"&lt;="&amp;BO$6,$D$5:$BM$5,BO$5)</f>
        <v>-8012.3658847810993</v>
      </c>
      <c r="BP86" s="24">
        <f t="shared" si="48"/>
        <v>-8356.8491529538005</v>
      </c>
      <c r="BQ86" s="24">
        <f t="shared" si="48"/>
        <v>-5098.2138905821994</v>
      </c>
      <c r="BR86" s="24">
        <f t="shared" si="48"/>
        <v>-8132.2910638545</v>
      </c>
      <c r="BS86" s="24">
        <f t="shared" si="48"/>
        <v>-6570.6800022988009</v>
      </c>
      <c r="BT86" s="24">
        <f t="shared" si="48"/>
        <v>-6376.0253653179998</v>
      </c>
    </row>
    <row r="87" spans="1:72" hidden="1" outlineLevel="1" x14ac:dyDescent="0.25">
      <c r="A87" s="11" t="s">
        <v>76</v>
      </c>
      <c r="C87" s="2" t="s">
        <v>78</v>
      </c>
      <c r="D87" s="8">
        <f>IFERROR(
GETPIVOTDATA(
"[Base].[Importe]",
TDinamica_R!$A$5,
"[Calendario].[AñoMes]",
"[Calendario].[AñoMes].&amp;[" &amp; TEXT(D$6,"yyyymm") &amp; "]",
"[Base].[Metrica]",
"[Base].[Metrica].&amp;[" &amp; $A87 &amp; "]",
"[Base].[SEGMENTO_DESCRIP]",
"[Base].[SEGMENTO_DESCRIP].&amp;[" &amp; $C$6 &amp; "]",
"[Base].[SITUACION]",
"[Base].[SITUACION].&amp;[" &amp; $C87 &amp; "]"
),0)/1000</f>
        <v>-363.647764333</v>
      </c>
      <c r="E87" s="8">
        <f>IFERROR(
GETPIVOTDATA(
"[Base].[Importe]",
TDinamica_R!$A$5,
"[Calendario].[AñoMes]",
"[Calendario].[AñoMes].&amp;[" &amp; TEXT(E$6,"yyyymm") &amp; "]",
"[Base].[Metrica]",
"[Base].[Metrica].&amp;[" &amp; $A87 &amp; "]",
"[Base].[SEGMENTO_DESCRIP]",
"[Base].[SEGMENTO_DESCRIP].&amp;[" &amp; $C$6 &amp; "]",
"[Base].[SITUACION]",
"[Base].[SITUACION].&amp;[" &amp; $C87 &amp; "]"
),0)/1000</f>
        <v>-362.31622583900008</v>
      </c>
      <c r="F87" s="8">
        <f>IFERROR(
GETPIVOTDATA(
"[Base].[Importe]",
TDinamica_R!$A$5,
"[Calendario].[AñoMes]",
"[Calendario].[AñoMes].&amp;[" &amp; TEXT(F$6,"yyyymm") &amp; "]",
"[Base].[Metrica]",
"[Base].[Metrica].&amp;[" &amp; $A87 &amp; "]",
"[Base].[SEGMENTO_DESCRIP]",
"[Base].[SEGMENTO_DESCRIP].&amp;[" &amp; $C$6 &amp; "]",
"[Base].[SITUACION]",
"[Base].[SITUACION].&amp;[" &amp; $C87 &amp; "]"
),0)/1000</f>
        <v>-399.09691233580008</v>
      </c>
      <c r="G87" s="8">
        <f>IFERROR(
GETPIVOTDATA(
"[Base].[Importe]",
TDinamica_R!$A$5,
"[Calendario].[AñoMes]",
"[Calendario].[AñoMes].&amp;[" &amp; TEXT(G$6,"yyyymm") &amp; "]",
"[Base].[Metrica]",
"[Base].[Metrica].&amp;[" &amp; $A87 &amp; "]",
"[Base].[SEGMENTO_DESCRIP]",
"[Base].[SEGMENTO_DESCRIP].&amp;[" &amp; $C$6 &amp; "]",
"[Base].[SITUACION]",
"[Base].[SITUACION].&amp;[" &amp; $C87 &amp; "]"
),0)/1000</f>
        <v>-374.35732690039993</v>
      </c>
      <c r="H87" s="8">
        <f>IFERROR(
GETPIVOTDATA(
"[Base].[Importe]",
TDinamica_R!$A$5,
"[Calendario].[AñoMes]",
"[Calendario].[AñoMes].&amp;[" &amp; TEXT(H$6,"yyyymm") &amp; "]",
"[Base].[Metrica]",
"[Base].[Metrica].&amp;[" &amp; $A87 &amp; "]",
"[Base].[SEGMENTO_DESCRIP]",
"[Base].[SEGMENTO_DESCRIP].&amp;[" &amp; $C$6 &amp; "]",
"[Base].[SITUACION]",
"[Base].[SITUACION].&amp;[" &amp; $C87 &amp; "]"
),0)/1000</f>
        <v>-387.59701102849999</v>
      </c>
      <c r="I87" s="8">
        <f>IFERROR(
GETPIVOTDATA(
"[Base].[Importe]",
TDinamica_R!$A$5,
"[Calendario].[AñoMes]",
"[Calendario].[AñoMes].&amp;[" &amp; TEXT(I$6,"yyyymm") &amp; "]",
"[Base].[Metrica]",
"[Base].[Metrica].&amp;[" &amp; $A87 &amp; "]",
"[Base].[SEGMENTO_DESCRIP]",
"[Base].[SEGMENTO_DESCRIP].&amp;[" &amp; $C$6 &amp; "]",
"[Base].[SITUACION]",
"[Base].[SITUACION].&amp;[" &amp; $C87 &amp; "]"
),0)/1000</f>
        <v>-379.20946000880002</v>
      </c>
      <c r="J87" s="8">
        <f>IFERROR(
GETPIVOTDATA(
"[Base].[Importe]",
TDinamica_R!$A$5,
"[Calendario].[AñoMes]",
"[Calendario].[AñoMes].&amp;[" &amp; TEXT(J$6,"yyyymm") &amp; "]",
"[Base].[Metrica]",
"[Base].[Metrica].&amp;[" &amp; $A87 &amp; "]",
"[Base].[SEGMENTO_DESCRIP]",
"[Base].[SEGMENTO_DESCRIP].&amp;[" &amp; $C$6 &amp; "]",
"[Base].[SITUACION]",
"[Base].[SITUACION].&amp;[" &amp; $C87 &amp; "]"
),0)/1000</f>
        <v>-365.75823879130002</v>
      </c>
      <c r="K87" s="8">
        <f>IFERROR(
GETPIVOTDATA(
"[Base].[Importe]",
TDinamica_R!$A$5,
"[Calendario].[AñoMes]",
"[Calendario].[AñoMes].&amp;[" &amp; TEXT(K$6,"yyyymm") &amp; "]",
"[Base].[Metrica]",
"[Base].[Metrica].&amp;[" &amp; $A87 &amp; "]",
"[Base].[SEGMENTO_DESCRIP]",
"[Base].[SEGMENTO_DESCRIP].&amp;[" &amp; $C$6 &amp; "]",
"[Base].[SITUACION]",
"[Base].[SITUACION].&amp;[" &amp; $C87 &amp; "]"
),0)/1000</f>
        <v>-369.77903008970009</v>
      </c>
      <c r="L87" s="8">
        <f>IFERROR(
GETPIVOTDATA(
"[Base].[Importe]",
TDinamica_R!$A$5,
"[Calendario].[AñoMes]",
"[Calendario].[AñoMes].&amp;[" &amp; TEXT(L$6,"yyyymm") &amp; "]",
"[Base].[Metrica]",
"[Base].[Metrica].&amp;[" &amp; $A87 &amp; "]",
"[Base].[SEGMENTO_DESCRIP]",
"[Base].[SEGMENTO_DESCRIP].&amp;[" &amp; $C$6 &amp; "]",
"[Base].[SITUACION]",
"[Base].[SITUACION].&amp;[" &amp; $C87 &amp; "]"
),0)/1000</f>
        <v>-365.20631029299994</v>
      </c>
      <c r="M87" s="8">
        <f>IFERROR(
GETPIVOTDATA(
"[Base].[Importe]",
TDinamica_R!$A$5,
"[Calendario].[AñoMes]",
"[Calendario].[AñoMes].&amp;[" &amp; TEXT(M$6,"yyyymm") &amp; "]",
"[Base].[Metrica]",
"[Base].[Metrica].&amp;[" &amp; $A87 &amp; "]",
"[Base].[SEGMENTO_DESCRIP]",
"[Base].[SEGMENTO_DESCRIP].&amp;[" &amp; $C$6 &amp; "]",
"[Base].[SITUACION]",
"[Base].[SITUACION].&amp;[" &amp; $C87 &amp; "]"
),0)/1000</f>
        <v>-364.82091560669994</v>
      </c>
      <c r="N87" s="8">
        <f>IFERROR(
GETPIVOTDATA(
"[Base].[Importe]",
TDinamica_R!$A$5,
"[Calendario].[AñoMes]",
"[Calendario].[AñoMes].&amp;[" &amp; TEXT(N$6,"yyyymm") &amp; "]",
"[Base].[Metrica]",
"[Base].[Metrica].&amp;[" &amp; $A87 &amp; "]",
"[Base].[SEGMENTO_DESCRIP]",
"[Base].[SEGMENTO_DESCRIP].&amp;[" &amp; $C$6 &amp; "]",
"[Base].[SITUACION]",
"[Base].[SITUACION].&amp;[" &amp; $C87 &amp; "]"
),0)/1000</f>
        <v>-362.84995906939997</v>
      </c>
      <c r="O87" s="8">
        <f>IFERROR(
GETPIVOTDATA(
"[Base].[Importe]",
TDinamica_R!$A$5,
"[Calendario].[AñoMes]",
"[Calendario].[AñoMes].&amp;[" &amp; TEXT(O$6,"yyyymm") &amp; "]",
"[Base].[Metrica]",
"[Base].[Metrica].&amp;[" &amp; $A87 &amp; "]",
"[Base].[SEGMENTO_DESCRIP]",
"[Base].[SEGMENTO_DESCRIP].&amp;[" &amp; $C$6 &amp; "]",
"[Base].[SITUACION]",
"[Base].[SITUACION].&amp;[" &amp; $C87 &amp; "]"
),0)/1000</f>
        <v>-314.69110456819999</v>
      </c>
      <c r="P87" s="8">
        <f>IFERROR(
GETPIVOTDATA(
"[Base].[Importe]",
TDinamica_R!$A$5,
"[Calendario].[AñoMes]",
"[Calendario].[AñoMes].&amp;[" &amp; TEXT(P$6,"yyyymm") &amp; "]",
"[Base].[Metrica]",
"[Base].[Metrica].&amp;[" &amp; $A87 &amp; "]",
"[Base].[SEGMENTO_DESCRIP]",
"[Base].[SEGMENTO_DESCRIP].&amp;[" &amp; $C$6 &amp; "]",
"[Base].[SITUACION]",
"[Base].[SITUACION].&amp;[" &amp; $C87 &amp; "]"
),0)/1000</f>
        <v>-373.9227148475</v>
      </c>
      <c r="Q87" s="8">
        <f>IFERROR(
GETPIVOTDATA(
"[Base].[Importe]",
TDinamica_R!$A$5,
"[Calendario].[AñoMes]",
"[Calendario].[AñoMes].&amp;[" &amp; TEXT(Q$6,"yyyymm") &amp; "]",
"[Base].[Metrica]",
"[Base].[Metrica].&amp;[" &amp; $A87 &amp; "]",
"[Base].[SEGMENTO_DESCRIP]",
"[Base].[SEGMENTO_DESCRIP].&amp;[" &amp; $C$6 &amp; "]",
"[Base].[SITUACION]",
"[Base].[SITUACION].&amp;[" &amp; $C87 &amp; "]"
),0)/1000</f>
        <v>-368.69827939959998</v>
      </c>
      <c r="R87" s="8">
        <f>IFERROR(
GETPIVOTDATA(
"[Base].[Importe]",
TDinamica_R!$A$5,
"[Calendario].[AñoMes]",
"[Calendario].[AñoMes].&amp;[" &amp; TEXT(R$6,"yyyymm") &amp; "]",
"[Base].[Metrica]",
"[Base].[Metrica].&amp;[" &amp; $A87 &amp; "]",
"[Base].[SEGMENTO_DESCRIP]",
"[Base].[SEGMENTO_DESCRIP].&amp;[" &amp; $C$6 &amp; "]",
"[Base].[SITUACION]",
"[Base].[SITUACION].&amp;[" &amp; $C87 &amp; "]"
),0)/1000</f>
        <v>-395.46540858869997</v>
      </c>
      <c r="S87" s="8">
        <f>IFERROR(
GETPIVOTDATA(
"[Base].[Importe]",
TDinamica_R!$A$5,
"[Calendario].[AñoMes]",
"[Calendario].[AñoMes].&amp;[" &amp; TEXT(S$6,"yyyymm") &amp; "]",
"[Base].[Metrica]",
"[Base].[Metrica].&amp;[" &amp; $A87 &amp; "]",
"[Base].[SEGMENTO_DESCRIP]",
"[Base].[SEGMENTO_DESCRIP].&amp;[" &amp; $C$6 &amp; "]",
"[Base].[SITUACION]",
"[Base].[SITUACION].&amp;[" &amp; $C87 &amp; "]"
),0)/1000</f>
        <v>-376.01934500049998</v>
      </c>
      <c r="T87" s="8">
        <f>IFERROR(
GETPIVOTDATA(
"[Base].[Importe]",
TDinamica_R!$A$5,
"[Calendario].[AñoMes]",
"[Calendario].[AñoMes].&amp;[" &amp; TEXT(T$6,"yyyymm") &amp; "]",
"[Base].[Metrica]",
"[Base].[Metrica].&amp;[" &amp; $A87 &amp; "]",
"[Base].[SEGMENTO_DESCRIP]",
"[Base].[SEGMENTO_DESCRIP].&amp;[" &amp; $C$6 &amp; "]",
"[Base].[SITUACION]",
"[Base].[SITUACION].&amp;[" &amp; $C87 &amp; "]"
),0)/1000</f>
        <v>-390.44276442129996</v>
      </c>
      <c r="U87" s="8">
        <f>IFERROR(
GETPIVOTDATA(
"[Base].[Importe]",
TDinamica_R!$A$5,
"[Calendario].[AñoMes]",
"[Calendario].[AñoMes].&amp;[" &amp; TEXT(U$6,"yyyymm") &amp; "]",
"[Base].[Metrica]",
"[Base].[Metrica].&amp;[" &amp; $A87 &amp; "]",
"[Base].[SEGMENTO_DESCRIP]",
"[Base].[SEGMENTO_DESCRIP].&amp;[" &amp; $C$6 &amp; "]",
"[Base].[SITUACION]",
"[Base].[SITUACION].&amp;[" &amp; $C87 &amp; "]"
),0)/1000</f>
        <v>-360.16063398620003</v>
      </c>
      <c r="V87" s="8">
        <f>IFERROR(
GETPIVOTDATA(
"[Base].[Importe]",
TDinamica_R!$A$5,
"[Calendario].[AñoMes]",
"[Calendario].[AñoMes].&amp;[" &amp; TEXT(V$6,"yyyymm") &amp; "]",
"[Base].[Metrica]",
"[Base].[Metrica].&amp;[" &amp; $A87 &amp; "]",
"[Base].[SEGMENTO_DESCRIP]",
"[Base].[SEGMENTO_DESCRIP].&amp;[" &amp; $C$6 &amp; "]",
"[Base].[SITUACION]",
"[Base].[SITUACION].&amp;[" &amp; $C87 &amp; "]"
),0)/1000</f>
        <v>-374.68410232210005</v>
      </c>
      <c r="W87" s="8">
        <f>IFERROR(
GETPIVOTDATA(
"[Base].[Importe]",
TDinamica_R!$A$5,
"[Calendario].[AñoMes]",
"[Calendario].[AñoMes].&amp;[" &amp; TEXT(W$6,"yyyymm") &amp; "]",
"[Base].[Metrica]",
"[Base].[Metrica].&amp;[" &amp; $A87 &amp; "]",
"[Base].[SEGMENTO_DESCRIP]",
"[Base].[SEGMENTO_DESCRIP].&amp;[" &amp; $C$6 &amp; "]",
"[Base].[SITUACION]",
"[Base].[SITUACION].&amp;[" &amp; $C87 &amp; "]"
),0)/1000</f>
        <v>-375.72414910819998</v>
      </c>
      <c r="X87" s="8">
        <f>IFERROR(
GETPIVOTDATA(
"[Base].[Importe]",
TDinamica_R!$A$5,
"[Calendario].[AñoMes]",
"[Calendario].[AñoMes].&amp;[" &amp; TEXT(X$6,"yyyymm") &amp; "]",
"[Base].[Metrica]",
"[Base].[Metrica].&amp;[" &amp; $A87 &amp; "]",
"[Base].[SEGMENTO_DESCRIP]",
"[Base].[SEGMENTO_DESCRIP].&amp;[" &amp; $C$6 &amp; "]",
"[Base].[SITUACION]",
"[Base].[SITUACION].&amp;[" &amp; $C87 &amp; "]"
),0)/1000</f>
        <v>-407.6612079887999</v>
      </c>
      <c r="Y87" s="8">
        <f>IFERROR(
GETPIVOTDATA(
"[Base].[Importe]",
TDinamica_R!$A$5,
"[Calendario].[AñoMes]",
"[Calendario].[AñoMes].&amp;[" &amp; TEXT(Y$6,"yyyymm") &amp; "]",
"[Base].[Metrica]",
"[Base].[Metrica].&amp;[" &amp; $A87 &amp; "]",
"[Base].[SEGMENTO_DESCRIP]",
"[Base].[SEGMENTO_DESCRIP].&amp;[" &amp; $C$6 &amp; "]",
"[Base].[SITUACION]",
"[Base].[SITUACION].&amp;[" &amp; $C87 &amp; "]"
),0)/1000</f>
        <v>-419.86864197500006</v>
      </c>
      <c r="Z87" s="8">
        <f>IFERROR(
GETPIVOTDATA(
"[Base].[Importe]",
TDinamica_R!$A$5,
"[Calendario].[AñoMes]",
"[Calendario].[AñoMes].&amp;[" &amp; TEXT(Z$6,"yyyymm") &amp; "]",
"[Base].[Metrica]",
"[Base].[Metrica].&amp;[" &amp; $A87 &amp; "]",
"[Base].[SEGMENTO_DESCRIP]",
"[Base].[SEGMENTO_DESCRIP].&amp;[" &amp; $C$6 &amp; "]",
"[Base].[SITUACION]",
"[Base].[SITUACION].&amp;[" &amp; $C87 &amp; "]"
),0)/1000</f>
        <v>-405.10176749060008</v>
      </c>
      <c r="AA87" s="8">
        <f>IFERROR(
GETPIVOTDATA(
"[Base].[Importe]",
TDinamica_R!$A$5,
"[Calendario].[AñoMes]",
"[Calendario].[AñoMes].&amp;[" &amp; TEXT(AA$6,"yyyymm") &amp; "]",
"[Base].[Metrica]",
"[Base].[Metrica].&amp;[" &amp; $A87 &amp; "]",
"[Base].[SEGMENTO_DESCRIP]",
"[Base].[SEGMENTO_DESCRIP].&amp;[" &amp; $C$6 &amp; "]",
"[Base].[SITUACION]",
"[Base].[SITUACION].&amp;[" &amp; $C87 &amp; "]"
),0)/1000</f>
        <v>-408.0899064953</v>
      </c>
      <c r="AB87" s="8">
        <f>IFERROR(
GETPIVOTDATA(
"[Base].[Importe]",
TDinamica_R!$A$5,
"[Calendario].[AñoMes]",
"[Calendario].[AñoMes].&amp;[" &amp; TEXT(AB$6,"yyyymm") &amp; "]",
"[Base].[Metrica]",
"[Base].[Metrica].&amp;[" &amp; $A87 &amp; "]",
"[Base].[SEGMENTO_DESCRIP]",
"[Base].[SEGMENTO_DESCRIP].&amp;[" &amp; $C$6 &amp; "]",
"[Base].[SITUACION]",
"[Base].[SITUACION].&amp;[" &amp; $C87 &amp; "]"
),0)/1000</f>
        <v>-401.52871502419998</v>
      </c>
      <c r="AC87" s="8">
        <f>IFERROR(
GETPIVOTDATA(
"[Base].[Importe]",
TDinamica_R!$A$5,
"[Calendario].[AñoMes]",
"[Calendario].[AñoMes].&amp;[" &amp; TEXT(AC$6,"yyyymm") &amp; "]",
"[Base].[Metrica]",
"[Base].[Metrica].&amp;[" &amp; $A87 &amp; "]",
"[Base].[SEGMENTO_DESCRIP]",
"[Base].[SEGMENTO_DESCRIP].&amp;[" &amp; $C$6 &amp; "]",
"[Base].[SITUACION]",
"[Base].[SITUACION].&amp;[" &amp; $C87 &amp; "]"
),0)/1000</f>
        <v>-396.56227131829991</v>
      </c>
      <c r="AD87" s="8">
        <f>IFERROR(
GETPIVOTDATA(
"[Base].[Importe]",
TDinamica_R!$A$5,
"[Calendario].[AñoMes]",
"[Calendario].[AñoMes].&amp;[" &amp; TEXT(AD$6,"yyyymm") &amp; "]",
"[Base].[Metrica]",
"[Base].[Metrica].&amp;[" &amp; $A87 &amp; "]",
"[Base].[SEGMENTO_DESCRIP]",
"[Base].[SEGMENTO_DESCRIP].&amp;[" &amp; $C$6 &amp; "]",
"[Base].[SITUACION]",
"[Base].[SITUACION].&amp;[" &amp; $C87 &amp; "]"
),0)/1000</f>
        <v>-406.69444062530005</v>
      </c>
      <c r="AE87" s="8">
        <f>IFERROR(
GETPIVOTDATA(
"[Base].[Importe]",
TDinamica_R!$A$5,
"[Calendario].[AñoMes]",
"[Calendario].[AñoMes].&amp;[" &amp; TEXT(AE$6,"yyyymm") &amp; "]",
"[Base].[Metrica]",
"[Base].[Metrica].&amp;[" &amp; $A87 &amp; "]",
"[Base].[SEGMENTO_DESCRIP]",
"[Base].[SEGMENTO_DESCRIP].&amp;[" &amp; $C$6 &amp; "]",
"[Base].[SITUACION]",
"[Base].[SITUACION].&amp;[" &amp; $C87 &amp; "]"
),0)/1000</f>
        <v>-389.91306350299993</v>
      </c>
      <c r="AF87" s="8">
        <f>IFERROR(
GETPIVOTDATA(
"[Base].[Importe]",
TDinamica_R!$A$5,
"[Calendario].[AñoMes]",
"[Calendario].[AñoMes].&amp;[" &amp; TEXT(AF$6,"yyyymm") &amp; "]",
"[Base].[Metrica]",
"[Base].[Metrica].&amp;[" &amp; $A87 &amp; "]",
"[Base].[SEGMENTO_DESCRIP]",
"[Base].[SEGMENTO_DESCRIP].&amp;[" &amp; $C$6 &amp; "]",
"[Base].[SITUACION]",
"[Base].[SITUACION].&amp;[" &amp; $C87 &amp; "]"
),0)/1000</f>
        <v>-405.66257499200003</v>
      </c>
      <c r="AG87" s="8">
        <f>IFERROR(
GETPIVOTDATA(
"[Base].[Importe]",
TDinamica_R!$A$5,
"[Calendario].[AñoMes]",
"[Calendario].[AñoMes].&amp;[" &amp; TEXT(AG$6,"yyyymm") &amp; "]",
"[Base].[Metrica]",
"[Base].[Metrica].&amp;[" &amp; $A87 &amp; "]",
"[Base].[SEGMENTO_DESCRIP]",
"[Base].[SEGMENTO_DESCRIP].&amp;[" &amp; $C$6 &amp; "]",
"[Base].[SITUACION]",
"[Base].[SITUACION].&amp;[" &amp; $C87 &amp; "]"
),0)/1000</f>
        <v>-417.28564342789997</v>
      </c>
      <c r="AH87" s="8">
        <f>IFERROR(
GETPIVOTDATA(
"[Base].[Importe]",
TDinamica_R!$A$5,
"[Calendario].[AñoMes]",
"[Calendario].[AñoMes].&amp;[" &amp; TEXT(AH$6,"yyyymm") &amp; "]",
"[Base].[Metrica]",
"[Base].[Metrica].&amp;[" &amp; $A87 &amp; "]",
"[Base].[SEGMENTO_DESCRIP]",
"[Base].[SEGMENTO_DESCRIP].&amp;[" &amp; $C$6 &amp; "]",
"[Base].[SITUACION]",
"[Base].[SITUACION].&amp;[" &amp; $C87 &amp; "]"
),0)/1000</f>
        <v>-383.3217737622</v>
      </c>
      <c r="AI87" s="8">
        <f>IFERROR(
GETPIVOTDATA(
"[Base].[Importe]",
TDinamica_R!$A$5,
"[Calendario].[AñoMes]",
"[Calendario].[AñoMes].&amp;[" &amp; TEXT(AI$6,"yyyymm") &amp; "]",
"[Base].[Metrica]",
"[Base].[Metrica].&amp;[" &amp; $A87 &amp; "]",
"[Base].[SEGMENTO_DESCRIP]",
"[Base].[SEGMENTO_DESCRIP].&amp;[" &amp; $C$6 &amp; "]",
"[Base].[SITUACION]",
"[Base].[SITUACION].&amp;[" &amp; $C87 &amp; "]"
),0)/1000</f>
        <v>-377.49713184440009</v>
      </c>
      <c r="AJ87" s="8">
        <f>IFERROR(
GETPIVOTDATA(
"[Base].[Importe]",
TDinamica_R!$A$5,
"[Calendario].[AñoMes]",
"[Calendario].[AñoMes].&amp;[" &amp; TEXT(AJ$6,"yyyymm") &amp; "]",
"[Base].[Metrica]",
"[Base].[Metrica].&amp;[" &amp; $A87 &amp; "]",
"[Base].[SEGMENTO_DESCRIP]",
"[Base].[SEGMENTO_DESCRIP].&amp;[" &amp; $C$6 &amp; "]",
"[Base].[SITUACION]",
"[Base].[SITUACION].&amp;[" &amp; $C87 &amp; "]"
),0)/1000</f>
        <v>-362.13183362899997</v>
      </c>
      <c r="AK87" s="8">
        <f>IFERROR(
GETPIVOTDATA(
"[Base].[Importe]",
TDinamica_R!$A$5,
"[Calendario].[AñoMes]",
"[Calendario].[AñoMes].&amp;[" &amp; TEXT(AK$6,"yyyymm") &amp; "]",
"[Base].[Metrica]",
"[Base].[Metrica].&amp;[" &amp; $A87 &amp; "]",
"[Base].[SEGMENTO_DESCRIP]",
"[Base].[SEGMENTO_DESCRIP].&amp;[" &amp; $C$6 &amp; "]",
"[Base].[SITUACION]",
"[Base].[SITUACION].&amp;[" &amp; $C87 &amp; "]"
),0)/1000</f>
        <v>-381.18863248370002</v>
      </c>
      <c r="AL87" s="8">
        <f>IFERROR(
GETPIVOTDATA(
"[Base].[Importe]",
TDinamica_R!$A$5,
"[Calendario].[AñoMes]",
"[Calendario].[AñoMes].&amp;[" &amp; TEXT(AL$6,"yyyymm") &amp; "]",
"[Base].[Metrica]",
"[Base].[Metrica].&amp;[" &amp; $A87 &amp; "]",
"[Base].[SEGMENTO_DESCRIP]",
"[Base].[SEGMENTO_DESCRIP].&amp;[" &amp; $C$6 &amp; "]",
"[Base].[SITUACION]",
"[Base].[SITUACION].&amp;[" &amp; $C87 &amp; "]"
),0)/1000</f>
        <v>-406.5743523456</v>
      </c>
      <c r="AM87" s="8">
        <f>IFERROR(
GETPIVOTDATA(
"[Base].[Importe]",
TDinamica_R!$A$5,
"[Calendario].[AñoMes]",
"[Calendario].[AñoMes].&amp;[" &amp; TEXT(AM$6,"yyyymm") &amp; "]",
"[Base].[Metrica]",
"[Base].[Metrica].&amp;[" &amp; $A87 &amp; "]",
"[Base].[SEGMENTO_DESCRIP]",
"[Base].[SEGMENTO_DESCRIP].&amp;[" &amp; $C$6 &amp; "]",
"[Base].[SITUACION]",
"[Base].[SITUACION].&amp;[" &amp; $C87 &amp; "]"
),0)/1000</f>
        <v>-382.48756887320002</v>
      </c>
      <c r="AN87" s="8">
        <f>IFERROR(
GETPIVOTDATA(
"[Base].[Importe]",
TDinamica_R!$A$5,
"[Calendario].[AñoMes]",
"[Calendario].[AñoMes].&amp;[" &amp; TEXT(AN$6,"yyyymm") &amp; "]",
"[Base].[Metrica]",
"[Base].[Metrica].&amp;[" &amp; $A87 &amp; "]",
"[Base].[SEGMENTO_DESCRIP]",
"[Base].[SEGMENTO_DESCRIP].&amp;[" &amp; $C$6 &amp; "]",
"[Base].[SITUACION]",
"[Base].[SITUACION].&amp;[" &amp; $C87 &amp; "]"
),0)/1000</f>
        <v>-413.82052783389997</v>
      </c>
      <c r="AO87" s="8">
        <f>IFERROR(
GETPIVOTDATA(
"[Base].[Importe]",
TDinamica_R!$A$5,
"[Calendario].[AñoMes]",
"[Calendario].[AñoMes].&amp;[" &amp; TEXT(AO$6,"yyyymm") &amp; "]",
"[Base].[Metrica]",
"[Base].[Metrica].&amp;[" &amp; $A87 &amp; "]",
"[Base].[SEGMENTO_DESCRIP]",
"[Base].[SEGMENTO_DESCRIP].&amp;[" &amp; $C$6 &amp; "]",
"[Base].[SITUACION]",
"[Base].[SITUACION].&amp;[" &amp; $C87 &amp; "]"
),0)/1000</f>
        <v>-478.06574292970004</v>
      </c>
      <c r="AP87" s="8">
        <f>IFERROR(
GETPIVOTDATA(
"[Base].[Importe]",
TDinamica_R!$A$5,
"[Calendario].[AñoMes]",
"[Calendario].[AñoMes].&amp;[" &amp; TEXT(AP$6,"yyyymm") &amp; "]",
"[Base].[Metrica]",
"[Base].[Metrica].&amp;[" &amp; $A87 &amp; "]",
"[Base].[SEGMENTO_DESCRIP]",
"[Base].[SEGMENTO_DESCRIP].&amp;[" &amp; $C$6 &amp; "]",
"[Base].[SITUACION]",
"[Base].[SITUACION].&amp;[" &amp; $C87 &amp; "]"
),0)/1000</f>
        <v>-474.9120098729</v>
      </c>
      <c r="AQ87" s="8">
        <f>IFERROR(
GETPIVOTDATA(
"[Base].[Importe]",
TDinamica_R!$A$5,
"[Calendario].[AñoMes]",
"[Calendario].[AñoMes].&amp;[" &amp; TEXT(AQ$6,"yyyymm") &amp; "]",
"[Base].[Metrica]",
"[Base].[Metrica].&amp;[" &amp; $A87 &amp; "]",
"[Base].[SEGMENTO_DESCRIP]",
"[Base].[SEGMENTO_DESCRIP].&amp;[" &amp; $C$6 &amp; "]",
"[Base].[SITUACION]",
"[Base].[SITUACION].&amp;[" &amp; $C87 &amp; "]"
),0)/1000</f>
        <v>-505.75832233770001</v>
      </c>
      <c r="AR87" s="8">
        <f>IFERROR(
GETPIVOTDATA(
"[Base].[Importe]",
TDinamica_R!$A$5,
"[Calendario].[AñoMes]",
"[Calendario].[AñoMes].&amp;[" &amp; TEXT(AR$6,"yyyymm") &amp; "]",
"[Base].[Metrica]",
"[Base].[Metrica].&amp;[" &amp; $A87 &amp; "]",
"[Base].[SEGMENTO_DESCRIP]",
"[Base].[SEGMENTO_DESCRIP].&amp;[" &amp; $C$6 &amp; "]",
"[Base].[SITUACION]",
"[Base].[SITUACION].&amp;[" &amp; $C87 &amp; "]"
),0)/1000</f>
        <v>-462.82005159090005</v>
      </c>
      <c r="AS87" s="8">
        <f>IFERROR(
GETPIVOTDATA(
"[Base].[Importe]",
TDinamica_R!$A$5,
"[Calendario].[AñoMes]",
"[Calendario].[AñoMes].&amp;[" &amp; TEXT(AS$6,"yyyymm") &amp; "]",
"[Base].[Metrica]",
"[Base].[Metrica].&amp;[" &amp; $A87 &amp; "]",
"[Base].[SEGMENTO_DESCRIP]",
"[Base].[SEGMENTO_DESCRIP].&amp;[" &amp; $C$6 &amp; "]",
"[Base].[SITUACION]",
"[Base].[SITUACION].&amp;[" &amp; $C87 &amp; "]"
),0)/1000</f>
        <v>-508.42000911599996</v>
      </c>
      <c r="AT87" s="8">
        <f>IFERROR(
GETPIVOTDATA(
"[Base].[Importe]",
TDinamica_R!$A$5,
"[Calendario].[AñoMes]",
"[Calendario].[AñoMes].&amp;[" &amp; TEXT(AT$6,"yyyymm")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U87" s="8">
        <f>IFERROR(
GETPIVOTDATA(
"[Base].[Importe]",
TDinamica_R!$A$5,
"[Calendario].[AñoMes]",
"[Calendario].[AñoMes].&amp;[" &amp; TEXT(AU$6,"yyyymm")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V87" s="8">
        <f>IFERROR(
GETPIVOTDATA(
"[Base].[Importe]",
TDinamica_R!$A$5,
"[Calendario].[AñoMes]",
"[Calendario].[AñoMes].&amp;[" &amp; TEXT(AV$6,"yyyymm")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W87" s="8">
        <f>IFERROR(
GETPIVOTDATA(
"[Base].[Importe]",
TDinamica_R!$A$5,
"[Calendario].[AñoMes]",
"[Calendario].[AñoMes].&amp;[" &amp; TEXT(AW$6,"yyyymm")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X87" s="8">
        <f>IFERROR(
GETPIVOTDATA(
"[Base].[Importe]",
TDinamica_R!$A$5,
"[Calendario].[AñoMes]",
"[Calendario].[AñoMes].&amp;[" &amp; TEXT(AX$6,"yyyymm")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Y87" s="8">
        <f>IFERROR(
GETPIVOTDATA(
"[Base].[Importe]",
TDinamica_R!$A$5,
"[Calendario].[AñoMes]",
"[Calendario].[AñoMes].&amp;[" &amp; TEXT(AY$6,"yyyymm")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Z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"[BASE_HIPO_PPTO].[Periodo]","[BASE_HIPO_PPTO].[Periodo].&amp;["&amp;TEXT(AZ$6,"yyyymm")&amp;"]"),
0)/1000</f>
        <v>-485.38991344380008</v>
      </c>
      <c r="BA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"[BASE_HIPO_PPTO].[Periodo]","[BASE_HIPO_PPTO].[Periodo].&amp;["&amp;TEXT(BA$6,"yyyymm")&amp;"]"),
0)/1000</f>
        <v>-474.5997569479</v>
      </c>
      <c r="BB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"[BASE_HIPO_PPTO].[Periodo]","[BASE_HIPO_PPTO].[Periodo].&amp;["&amp;TEXT(BB$6,"yyyymm")&amp;"]"),
0)/1000</f>
        <v>-487.90061180239996</v>
      </c>
      <c r="BC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"[BASE_HIPO_PPTO].[Periodo]","[BASE_HIPO_PPTO].[Periodo].&amp;["&amp;TEXT(BC$6,"yyyymm")&amp;"]"),
0)/1000</f>
        <v>-492.21807832870002</v>
      </c>
      <c r="BD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"[BASE_HIPO_PPTO].[Periodo]","[BASE_HIPO_PPTO].[Periodo].&amp;["&amp;TEXT(BD$6,"yyyymm")&amp;"]"),
0)/1000</f>
        <v>-502.18289062460002</v>
      </c>
      <c r="BE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"[BASE_HIPO_PPTO].[Periodo]","[BASE_HIPO_PPTO].[Periodo].&amp;["&amp;TEXT(BE$6,"yyyymm")&amp;"]"),
0)/1000</f>
        <v>-490.83514730420006</v>
      </c>
      <c r="BF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"[BASE_HIPO_PPTO].[Periodo]","[BASE_HIPO_PPTO].[Periodo].&amp;["&amp;TEXT(BF$6,"yyyymm")&amp;"]"),
0)/1000</f>
        <v>-495.84406740859998</v>
      </c>
      <c r="BG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"[BASE_HIPO_PPTO].[Periodo]","[BASE_HIPO_PPTO].[Periodo].&amp;["&amp;TEXT(BG$6,"yyyymm")&amp;"]"),
0)/1000</f>
        <v>-465.65706833079997</v>
      </c>
      <c r="BH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"[BASE_HIPO_PPTO].[Periodo]","[BASE_HIPO_PPTO].[Periodo].&amp;["&amp;TEXT(BH$6,"yyyymm")&amp;"]"),
0)/1000</f>
        <v>-488.77534678839999</v>
      </c>
      <c r="BI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"[BASE_HIPO_PPTO].[Periodo]","[BASE_HIPO_PPTO].[Periodo].&amp;["&amp;TEXT(BI$6,"yyyymm")&amp;"]"),
0)/1000</f>
        <v>-490.11648576980002</v>
      </c>
      <c r="BJ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"[BASE_HIPO_PPTO].[Periodo]","[BASE_HIPO_PPTO].[Periodo].&amp;["&amp;TEXT(BJ$6,"yyyymm")&amp;"]"),
0)/1000</f>
        <v>-483.60652094219995</v>
      </c>
      <c r="BK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"[BASE_HIPO_PPTO].[Periodo]","[BASE_HIPO_PPTO].[Periodo].&amp;["&amp;TEXT(BK$6,"yyyymm")&amp;"]"),
0)/1000</f>
        <v>-495.07656712909994</v>
      </c>
      <c r="BO87" s="24">
        <f t="shared" si="48"/>
        <v>-1366.7982806365001</v>
      </c>
      <c r="BP87" s="24">
        <f t="shared" si="48"/>
        <v>-1447.8902821941001</v>
      </c>
      <c r="BQ87" s="24">
        <f t="shared" si="48"/>
        <v>-891.88627076360001</v>
      </c>
      <c r="BR87" s="24">
        <f t="shared" si="48"/>
        <v>-1204.7854269678</v>
      </c>
      <c r="BS87" s="24">
        <f t="shared" si="48"/>
        <v>-1138.0864028358001</v>
      </c>
      <c r="BT87" s="24">
        <f t="shared" si="48"/>
        <v>-1125.0609025078002</v>
      </c>
    </row>
    <row r="88" spans="1:72" hidden="1" outlineLevel="1" x14ac:dyDescent="0.25">
      <c r="A88" s="11" t="s">
        <v>76</v>
      </c>
      <c r="C88" s="2" t="s">
        <v>80</v>
      </c>
      <c r="D88" s="8">
        <f>IFERROR(
GETPIVOTDATA(
"[Base].[Importe]",
TDinamica_R!$A$5,
"[Calendario].[AñoMes]",
"[Calendario].[AñoMes].&amp;[" &amp; TEXT(D$6,"yyyymm") &amp; "]",
"[Base].[Metrica]",
"[Base].[Metrica].&amp;[" &amp; $A88 &amp; "]",
"[Base].[SEGMENTO_DESCRIP]",
"[Base].[SEGMENTO_DESCRIP].&amp;[" &amp; $C$6 &amp; "]",
"[Base].[SITUACION]",
"[Base].[SITUACION].&amp;[" &amp; $C88 &amp; "]"
),0)/1000</f>
        <v>-1233.2570726213</v>
      </c>
      <c r="E88" s="8">
        <f>IFERROR(
GETPIVOTDATA(
"[Base].[Importe]",
TDinamica_R!$A$5,
"[Calendario].[AñoMes]",
"[Calendario].[AñoMes].&amp;[" &amp; TEXT(E$6,"yyyymm") &amp; "]",
"[Base].[Metrica]",
"[Base].[Metrica].&amp;[" &amp; $A88 &amp; "]",
"[Base].[SEGMENTO_DESCRIP]",
"[Base].[SEGMENTO_DESCRIP].&amp;[" &amp; $C$6 &amp; "]",
"[Base].[SITUACION]",
"[Base].[SITUACION].&amp;[" &amp; $C88 &amp; "]"
),0)/1000</f>
        <v>-1229.342254533</v>
      </c>
      <c r="F88" s="8">
        <f>IFERROR(
GETPIVOTDATA(
"[Base].[Importe]",
TDinamica_R!$A$5,
"[Calendario].[AñoMes]",
"[Calendario].[AñoMes].&amp;[" &amp; TEXT(F$6,"yyyymm") &amp; "]",
"[Base].[Metrica]",
"[Base].[Metrica].&amp;[" &amp; $A88 &amp; "]",
"[Base].[SEGMENTO_DESCRIP]",
"[Base].[SEGMENTO_DESCRIP].&amp;[" &amp; $C$6 &amp; "]",
"[Base].[SITUACION]",
"[Base].[SITUACION].&amp;[" &amp; $C88 &amp; "]"
),0)/1000</f>
        <v>-1281.6056093571999</v>
      </c>
      <c r="G88" s="8">
        <f>IFERROR(
GETPIVOTDATA(
"[Base].[Importe]",
TDinamica_R!$A$5,
"[Calendario].[AñoMes]",
"[Calendario].[AñoMes].&amp;[" &amp; TEXT(G$6,"yyyymm") &amp; "]",
"[Base].[Metrica]",
"[Base].[Metrica].&amp;[" &amp; $A88 &amp; "]",
"[Base].[SEGMENTO_DESCRIP]",
"[Base].[SEGMENTO_DESCRIP].&amp;[" &amp; $C$6 &amp; "]",
"[Base].[SITUACION]",
"[Base].[SITUACION].&amp;[" &amp; $C88 &amp; "]"
),0)/1000</f>
        <v>-1324.9058980075997</v>
      </c>
      <c r="H88" s="8">
        <f>IFERROR(
GETPIVOTDATA(
"[Base].[Importe]",
TDinamica_R!$A$5,
"[Calendario].[AñoMes]",
"[Calendario].[AñoMes].&amp;[" &amp; TEXT(H$6,"yyyymm") &amp; "]",
"[Base].[Metrica]",
"[Base].[Metrica].&amp;[" &amp; $A88 &amp; "]",
"[Base].[SEGMENTO_DESCRIP]",
"[Base].[SEGMENTO_DESCRIP].&amp;[" &amp; $C$6 &amp; "]",
"[Base].[SITUACION]",
"[Base].[SITUACION].&amp;[" &amp; $C88 &amp; "]"
),0)/1000</f>
        <v>-1251.3156580719001</v>
      </c>
      <c r="I88" s="8">
        <f>IFERROR(
GETPIVOTDATA(
"[Base].[Importe]",
TDinamica_R!$A$5,
"[Calendario].[AñoMes]",
"[Calendario].[AñoMes].&amp;[" &amp; TEXT(I$6,"yyyymm") &amp; "]",
"[Base].[Metrica]",
"[Base].[Metrica].&amp;[" &amp; $A88 &amp; "]",
"[Base].[SEGMENTO_DESCRIP]",
"[Base].[SEGMENTO_DESCRIP].&amp;[" &amp; $C$6 &amp; "]",
"[Base].[SITUACION]",
"[Base].[SITUACION].&amp;[" &amp; $C88 &amp; "]"
),0)/1000</f>
        <v>-1160.8037920824002</v>
      </c>
      <c r="J88" s="8">
        <f>IFERROR(
GETPIVOTDATA(
"[Base].[Importe]",
TDinamica_R!$A$5,
"[Calendario].[AñoMes]",
"[Calendario].[AñoMes].&amp;[" &amp; TEXT(J$6,"yyyymm") &amp; "]",
"[Base].[Metrica]",
"[Base].[Metrica].&amp;[" &amp; $A88 &amp; "]",
"[Base].[SEGMENTO_DESCRIP]",
"[Base].[SEGMENTO_DESCRIP].&amp;[" &amp; $C$6 &amp; "]",
"[Base].[SITUACION]",
"[Base].[SITUACION].&amp;[" &amp; $C88 &amp; "]"
),0)/1000</f>
        <v>-1265.5831879657001</v>
      </c>
      <c r="K88" s="8">
        <f>IFERROR(
GETPIVOTDATA(
"[Base].[Importe]",
TDinamica_R!$A$5,
"[Calendario].[AñoMes]",
"[Calendario].[AñoMes].&amp;[" &amp; TEXT(K$6,"yyyymm") &amp; "]",
"[Base].[Metrica]",
"[Base].[Metrica].&amp;[" &amp; $A88 &amp; "]",
"[Base].[SEGMENTO_DESCRIP]",
"[Base].[SEGMENTO_DESCRIP].&amp;[" &amp; $C$6 &amp; "]",
"[Base].[SITUACION]",
"[Base].[SITUACION].&amp;[" &amp; $C88 &amp; "]"
),0)/1000</f>
        <v>-1185.9908104158999</v>
      </c>
      <c r="L88" s="8">
        <f>IFERROR(
GETPIVOTDATA(
"[Base].[Importe]",
TDinamica_R!$A$5,
"[Calendario].[AñoMes]",
"[Calendario].[AñoMes].&amp;[" &amp; TEXT(L$6,"yyyymm") &amp; "]",
"[Base].[Metrica]",
"[Base].[Metrica].&amp;[" &amp; $A88 &amp; "]",
"[Base].[SEGMENTO_DESCRIP]",
"[Base].[SEGMENTO_DESCRIP].&amp;[" &amp; $C$6 &amp; "]",
"[Base].[SITUACION]",
"[Base].[SITUACION].&amp;[" &amp; $C88 &amp; "]"
),0)/1000</f>
        <v>-1203.4855869098999</v>
      </c>
      <c r="M88" s="8">
        <f>IFERROR(
GETPIVOTDATA(
"[Base].[Importe]",
TDinamica_R!$A$5,
"[Calendario].[AñoMes]",
"[Calendario].[AñoMes].&amp;[" &amp; TEXT(M$6,"yyyymm") &amp; "]",
"[Base].[Metrica]",
"[Base].[Metrica].&amp;[" &amp; $A88 &amp; "]",
"[Base].[SEGMENTO_DESCRIP]",
"[Base].[SEGMENTO_DESCRIP].&amp;[" &amp; $C$6 &amp; "]",
"[Base].[SITUACION]",
"[Base].[SITUACION].&amp;[" &amp; $C88 &amp; "]"
),0)/1000</f>
        <v>-1206.2533079260002</v>
      </c>
      <c r="N88" s="8">
        <f>IFERROR(
GETPIVOTDATA(
"[Base].[Importe]",
TDinamica_R!$A$5,
"[Calendario].[AñoMes]",
"[Calendario].[AñoMes].&amp;[" &amp; TEXT(N$6,"yyyymm") &amp; "]",
"[Base].[Metrica]",
"[Base].[Metrica].&amp;[" &amp; $A88 &amp; "]",
"[Base].[SEGMENTO_DESCRIP]",
"[Base].[SEGMENTO_DESCRIP].&amp;[" &amp; $C$6 &amp; "]",
"[Base].[SITUACION]",
"[Base].[SITUACION].&amp;[" &amp; $C88 &amp; "]"
),0)/1000</f>
        <v>-1307.2044309913999</v>
      </c>
      <c r="O88" s="8">
        <f>IFERROR(
GETPIVOTDATA(
"[Base].[Importe]",
TDinamica_R!$A$5,
"[Calendario].[AñoMes]",
"[Calendario].[AñoMes].&amp;[" &amp; TEXT(O$6,"yyyymm") &amp; "]",
"[Base].[Metrica]",
"[Base].[Metrica].&amp;[" &amp; $A88 &amp; "]",
"[Base].[SEGMENTO_DESCRIP]",
"[Base].[SEGMENTO_DESCRIP].&amp;[" &amp; $C$6 &amp; "]",
"[Base].[SITUACION]",
"[Base].[SITUACION].&amp;[" &amp; $C88 &amp; "]"
),0)/1000</f>
        <v>-1152.7758027713001</v>
      </c>
      <c r="P88" s="8">
        <f>IFERROR(
GETPIVOTDATA(
"[Base].[Importe]",
TDinamica_R!$A$5,
"[Calendario].[AñoMes]",
"[Calendario].[AñoMes].&amp;[" &amp; TEXT(P$6,"yyyymm") &amp; "]",
"[Base].[Metrica]",
"[Base].[Metrica].&amp;[" &amp; $A88 &amp; "]",
"[Base].[SEGMENTO_DESCRIP]",
"[Base].[SEGMENTO_DESCRIP].&amp;[" &amp; $C$6 &amp; "]",
"[Base].[SITUACION]",
"[Base].[SITUACION].&amp;[" &amp; $C88 &amp; "]"
),0)/1000</f>
        <v>-1209.3154378693</v>
      </c>
      <c r="Q88" s="8">
        <f>IFERROR(
GETPIVOTDATA(
"[Base].[Importe]",
TDinamica_R!$A$5,
"[Calendario].[AñoMes]",
"[Calendario].[AñoMes].&amp;[" &amp; TEXT(Q$6,"yyyymm") &amp; "]",
"[Base].[Metrica]",
"[Base].[Metrica].&amp;[" &amp; $A88 &amp; "]",
"[Base].[SEGMENTO_DESCRIP]",
"[Base].[SEGMENTO_DESCRIP].&amp;[" &amp; $C$6 &amp; "]",
"[Base].[SITUACION]",
"[Base].[SITUACION].&amp;[" &amp; $C88 &amp; "]"
),0)/1000</f>
        <v>-1292.7331989951999</v>
      </c>
      <c r="R88" s="8">
        <f>IFERROR(
GETPIVOTDATA(
"[Base].[Importe]",
TDinamica_R!$A$5,
"[Calendario].[AñoMes]",
"[Calendario].[AñoMes].&amp;[" &amp; TEXT(R$6,"yyyymm") &amp; "]",
"[Base].[Metrica]",
"[Base].[Metrica].&amp;[" &amp; $A88 &amp; "]",
"[Base].[SEGMENTO_DESCRIP]",
"[Base].[SEGMENTO_DESCRIP].&amp;[" &amp; $C$6 &amp; "]",
"[Base].[SITUACION]",
"[Base].[SITUACION].&amp;[" &amp; $C88 &amp; "]"
),0)/1000</f>
        <v>-1250.2099817603998</v>
      </c>
      <c r="S88" s="8">
        <f>IFERROR(
GETPIVOTDATA(
"[Base].[Importe]",
TDinamica_R!$A$5,
"[Calendario].[AñoMes]",
"[Calendario].[AñoMes].&amp;[" &amp; TEXT(S$6,"yyyymm") &amp; "]",
"[Base].[Metrica]",
"[Base].[Metrica].&amp;[" &amp; $A88 &amp; "]",
"[Base].[SEGMENTO_DESCRIP]",
"[Base].[SEGMENTO_DESCRIP].&amp;[" &amp; $C$6 &amp; "]",
"[Base].[SITUACION]",
"[Base].[SITUACION].&amp;[" &amp; $C88 &amp; "]"
),0)/1000</f>
        <v>-1319.3401415610999</v>
      </c>
      <c r="T88" s="8">
        <f>IFERROR(
GETPIVOTDATA(
"[Base].[Importe]",
TDinamica_R!$A$5,
"[Calendario].[AñoMes]",
"[Calendario].[AñoMes].&amp;[" &amp; TEXT(T$6,"yyyymm") &amp; "]",
"[Base].[Metrica]",
"[Base].[Metrica].&amp;[" &amp; $A88 &amp; "]",
"[Base].[SEGMENTO_DESCRIP]",
"[Base].[SEGMENTO_DESCRIP].&amp;[" &amp; $C$6 &amp; "]",
"[Base].[SITUACION]",
"[Base].[SITUACION].&amp;[" &amp; $C88 &amp; "]"
),0)/1000</f>
        <v>-1467.8046245075</v>
      </c>
      <c r="U88" s="8">
        <f>IFERROR(
GETPIVOTDATA(
"[Base].[Importe]",
TDinamica_R!$A$5,
"[Calendario].[AñoMes]",
"[Calendario].[AñoMes].&amp;[" &amp; TEXT(U$6,"yyyymm") &amp; "]",
"[Base].[Metrica]",
"[Base].[Metrica].&amp;[" &amp; $A88 &amp; "]",
"[Base].[SEGMENTO_DESCRIP]",
"[Base].[SEGMENTO_DESCRIP].&amp;[" &amp; $C$6 &amp; "]",
"[Base].[SITUACION]",
"[Base].[SITUACION].&amp;[" &amp; $C88 &amp; "]"
),0)/1000</f>
        <v>-2748.2003139481999</v>
      </c>
      <c r="V88" s="8">
        <f>IFERROR(
GETPIVOTDATA(
"[Base].[Importe]",
TDinamica_R!$A$5,
"[Calendario].[AñoMes]",
"[Calendario].[AñoMes].&amp;[" &amp; TEXT(V$6,"yyyymm") &amp; "]",
"[Base].[Metrica]",
"[Base].[Metrica].&amp;[" &amp; $A88 &amp; "]",
"[Base].[SEGMENTO_DESCRIP]",
"[Base].[SEGMENTO_DESCRIP].&amp;[" &amp; $C$6 &amp; "]",
"[Base].[SITUACION]",
"[Base].[SITUACION].&amp;[" &amp; $C88 &amp; "]"
),0)/1000</f>
        <v>-2026.4023814088998</v>
      </c>
      <c r="W88" s="8">
        <f>IFERROR(
GETPIVOTDATA(
"[Base].[Importe]",
TDinamica_R!$A$5,
"[Calendario].[AñoMes]",
"[Calendario].[AñoMes].&amp;[" &amp; TEXT(W$6,"yyyymm") &amp; "]",
"[Base].[Metrica]",
"[Base].[Metrica].&amp;[" &amp; $A88 &amp; "]",
"[Base].[SEGMENTO_DESCRIP]",
"[Base].[SEGMENTO_DESCRIP].&amp;[" &amp; $C$6 &amp; "]",
"[Base].[SITUACION]",
"[Base].[SITUACION].&amp;[" &amp; $C88 &amp; "]"
),0)/1000</f>
        <v>-1617.9337894394998</v>
      </c>
      <c r="X88" s="8">
        <f>IFERROR(
GETPIVOTDATA(
"[Base].[Importe]",
TDinamica_R!$A$5,
"[Calendario].[AñoMes]",
"[Calendario].[AñoMes].&amp;[" &amp; TEXT(X$6,"yyyymm") &amp; "]",
"[Base].[Metrica]",
"[Base].[Metrica].&amp;[" &amp; $A88 &amp; "]",
"[Base].[SEGMENTO_DESCRIP]",
"[Base].[SEGMENTO_DESCRIP].&amp;[" &amp; $C$6 &amp; "]",
"[Base].[SITUACION]",
"[Base].[SITUACION].&amp;[" &amp; $C88 &amp; "]"
),0)/1000</f>
        <v>-1460.8143397786998</v>
      </c>
      <c r="Y88" s="8">
        <f>IFERROR(
GETPIVOTDATA(
"[Base].[Importe]",
TDinamica_R!$A$5,
"[Calendario].[AñoMes]",
"[Calendario].[AñoMes].&amp;[" &amp; TEXT(Y$6,"yyyymm") &amp; "]",
"[Base].[Metrica]",
"[Base].[Metrica].&amp;[" &amp; $A88 &amp; "]",
"[Base].[SEGMENTO_DESCRIP]",
"[Base].[SEGMENTO_DESCRIP].&amp;[" &amp; $C$6 &amp; "]",
"[Base].[SITUACION]",
"[Base].[SITUACION].&amp;[" &amp; $C88 &amp; "]"
),0)/1000</f>
        <v>-1426.4598991387998</v>
      </c>
      <c r="Z88" s="8">
        <f>IFERROR(
GETPIVOTDATA(
"[Base].[Importe]",
TDinamica_R!$A$5,
"[Calendario].[AñoMes]",
"[Calendario].[AñoMes].&amp;[" &amp; TEXT(Z$6,"yyyymm") &amp; "]",
"[Base].[Metrica]",
"[Base].[Metrica].&amp;[" &amp; $A88 &amp; "]",
"[Base].[SEGMENTO_DESCRIP]",
"[Base].[SEGMENTO_DESCRIP].&amp;[" &amp; $C$6 &amp; "]",
"[Base].[SITUACION]",
"[Base].[SITUACION].&amp;[" &amp; $C88 &amp; "]"
),0)/1000</f>
        <v>-1443.8551540609999</v>
      </c>
      <c r="AA88" s="8">
        <f>IFERROR(
GETPIVOTDATA(
"[Base].[Importe]",
TDinamica_R!$A$5,
"[Calendario].[AñoMes]",
"[Calendario].[AñoMes].&amp;[" &amp; TEXT(AA$6,"yyyymm") &amp; "]",
"[Base].[Metrica]",
"[Base].[Metrica].&amp;[" &amp; $A88 &amp; "]",
"[Base].[SEGMENTO_DESCRIP]",
"[Base].[SEGMENTO_DESCRIP].&amp;[" &amp; $C$6 &amp; "]",
"[Base].[SITUACION]",
"[Base].[SITUACION].&amp;[" &amp; $C88 &amp; "]"
),0)/1000</f>
        <v>-1403.1628110793999</v>
      </c>
      <c r="AB88" s="8">
        <f>IFERROR(
GETPIVOTDATA(
"[Base].[Importe]",
TDinamica_R!$A$5,
"[Calendario].[AñoMes]",
"[Calendario].[AñoMes].&amp;[" &amp; TEXT(AB$6,"yyyymm") &amp; "]",
"[Base].[Metrica]",
"[Base].[Metrica].&amp;[" &amp; $A88 &amp; "]",
"[Base].[SEGMENTO_DESCRIP]",
"[Base].[SEGMENTO_DESCRIP].&amp;[" &amp; $C$6 &amp; "]",
"[Base].[SITUACION]",
"[Base].[SITUACION].&amp;[" &amp; $C88 &amp; "]"
),0)/1000</f>
        <v>-1688.7406621028997</v>
      </c>
      <c r="AC88" s="8">
        <f>IFERROR(
GETPIVOTDATA(
"[Base].[Importe]",
TDinamica_R!$A$5,
"[Calendario].[AñoMes]",
"[Calendario].[AñoMes].&amp;[" &amp; TEXT(AC$6,"yyyymm") &amp; "]",
"[Base].[Metrica]",
"[Base].[Metrica].&amp;[" &amp; $A88 &amp; "]",
"[Base].[SEGMENTO_DESCRIP]",
"[Base].[SEGMENTO_DESCRIP].&amp;[" &amp; $C$6 &amp; "]",
"[Base].[SITUACION]",
"[Base].[SITUACION].&amp;[" &amp; $C88 &amp; "]"
),0)/1000</f>
        <v>-1539.8466897413996</v>
      </c>
      <c r="AD88" s="8">
        <f>IFERROR(
GETPIVOTDATA(
"[Base].[Importe]",
TDinamica_R!$A$5,
"[Calendario].[AñoMes]",
"[Calendario].[AñoMes].&amp;[" &amp; TEXT(AD$6,"yyyymm") &amp; "]",
"[Base].[Metrica]",
"[Base].[Metrica].&amp;[" &amp; $A88 &amp; "]",
"[Base].[SEGMENTO_DESCRIP]",
"[Base].[SEGMENTO_DESCRIP].&amp;[" &amp; $C$6 &amp; "]",
"[Base].[SITUACION]",
"[Base].[SITUACION].&amp;[" &amp; $C88 &amp; "]"
),0)/1000</f>
        <v>-1519.9062529147002</v>
      </c>
      <c r="AE88" s="8">
        <f>IFERROR(
GETPIVOTDATA(
"[Base].[Importe]",
TDinamica_R!$A$5,
"[Calendario].[AñoMes]",
"[Calendario].[AñoMes].&amp;[" &amp; TEXT(AE$6,"yyyymm") &amp; "]",
"[Base].[Metrica]",
"[Base].[Metrica].&amp;[" &amp; $A88 &amp; "]",
"[Base].[SEGMENTO_DESCRIP]",
"[Base].[SEGMENTO_DESCRIP].&amp;[" &amp; $C$6 &amp; "]",
"[Base].[SITUACION]",
"[Base].[SITUACION].&amp;[" &amp; $C88 &amp; "]"
),0)/1000</f>
        <v>-1586.2816463695999</v>
      </c>
      <c r="AF88" s="8">
        <f>IFERROR(
GETPIVOTDATA(
"[Base].[Importe]",
TDinamica_R!$A$5,
"[Calendario].[AñoMes]",
"[Calendario].[AñoMes].&amp;[" &amp; TEXT(AF$6,"yyyymm") &amp; "]",
"[Base].[Metrica]",
"[Base].[Metrica].&amp;[" &amp; $A88 &amp; "]",
"[Base].[SEGMENTO_DESCRIP]",
"[Base].[SEGMENTO_DESCRIP].&amp;[" &amp; $C$6 &amp; "]",
"[Base].[SITUACION]",
"[Base].[SITUACION].&amp;[" &amp; $C88 &amp; "]"
),0)/1000</f>
        <v>-1588.7665300624001</v>
      </c>
      <c r="AG88" s="8">
        <f>IFERROR(
GETPIVOTDATA(
"[Base].[Importe]",
TDinamica_R!$A$5,
"[Calendario].[AñoMes]",
"[Calendario].[AñoMes].&amp;[" &amp; TEXT(AG$6,"yyyymm") &amp; "]",
"[Base].[Metrica]",
"[Base].[Metrica].&amp;[" &amp; $A88 &amp; "]",
"[Base].[SEGMENTO_DESCRIP]",
"[Base].[SEGMENTO_DESCRIP].&amp;[" &amp; $C$6 &amp; "]",
"[Base].[SITUACION]",
"[Base].[SITUACION].&amp;[" &amp; $C88 &amp; "]"
),0)/1000</f>
        <v>-1611.6762331699001</v>
      </c>
      <c r="AH88" s="8">
        <f>IFERROR(
GETPIVOTDATA(
"[Base].[Importe]",
TDinamica_R!$A$5,
"[Calendario].[AñoMes]",
"[Calendario].[AñoMes].&amp;[" &amp; TEXT(AH$6,"yyyymm") &amp; "]",
"[Base].[Metrica]",
"[Base].[Metrica].&amp;[" &amp; $A88 &amp; "]",
"[Base].[SEGMENTO_DESCRIP]",
"[Base].[SEGMENTO_DESCRIP].&amp;[" &amp; $C$6 &amp; "]",
"[Base].[SITUACION]",
"[Base].[SITUACION].&amp;[" &amp; $C88 &amp; "]"
),0)/1000</f>
        <v>-1561.1116036438998</v>
      </c>
      <c r="AI88" s="8">
        <f>IFERROR(
GETPIVOTDATA(
"[Base].[Importe]",
TDinamica_R!$A$5,
"[Calendario].[AñoMes]",
"[Calendario].[AñoMes].&amp;[" &amp; TEXT(AI$6,"yyyymm") &amp; "]",
"[Base].[Metrica]",
"[Base].[Metrica].&amp;[" &amp; $A88 &amp; "]",
"[Base].[SEGMENTO_DESCRIP]",
"[Base].[SEGMENTO_DESCRIP].&amp;[" &amp; $C$6 &amp; "]",
"[Base].[SITUACION]",
"[Base].[SITUACION].&amp;[" &amp; $C88 &amp; "]"
),0)/1000</f>
        <v>-1628.1036850634</v>
      </c>
      <c r="AJ88" s="8">
        <f>IFERROR(
GETPIVOTDATA(
"[Base].[Importe]",
TDinamica_R!$A$5,
"[Calendario].[AñoMes]",
"[Calendario].[AñoMes].&amp;[" &amp; TEXT(AJ$6,"yyyymm") &amp; "]",
"[Base].[Metrica]",
"[Base].[Metrica].&amp;[" &amp; $A88 &amp; "]",
"[Base].[SEGMENTO_DESCRIP]",
"[Base].[SEGMENTO_DESCRIP].&amp;[" &amp; $C$6 &amp; "]",
"[Base].[SITUACION]",
"[Base].[SITUACION].&amp;[" &amp; $C88 &amp; "]"
),0)/1000</f>
        <v>-1591.7330621645999</v>
      </c>
      <c r="AK88" s="8">
        <f>IFERROR(
GETPIVOTDATA(
"[Base].[Importe]",
TDinamica_R!$A$5,
"[Calendario].[AñoMes]",
"[Calendario].[AñoMes].&amp;[" &amp; TEXT(AK$6,"yyyymm") &amp; "]",
"[Base].[Metrica]",
"[Base].[Metrica].&amp;[" &amp; $A88 &amp; "]",
"[Base].[SEGMENTO_DESCRIP]",
"[Base].[SEGMENTO_DESCRIP].&amp;[" &amp; $C$6 &amp; "]",
"[Base].[SITUACION]",
"[Base].[SITUACION].&amp;[" &amp; $C88 &amp; "]"
),0)/1000</f>
        <v>-1468.0728009293998</v>
      </c>
      <c r="AL88" s="8">
        <f>IFERROR(
GETPIVOTDATA(
"[Base].[Importe]",
TDinamica_R!$A$5,
"[Calendario].[AñoMes]",
"[Calendario].[AñoMes].&amp;[" &amp; TEXT(AL$6,"yyyymm") &amp; "]",
"[Base].[Metrica]",
"[Base].[Metrica].&amp;[" &amp; $A88 &amp; "]",
"[Base].[SEGMENTO_DESCRIP]",
"[Base].[SEGMENTO_DESCRIP].&amp;[" &amp; $C$6 &amp; "]",
"[Base].[SITUACION]",
"[Base].[SITUACION].&amp;[" &amp; $C88 &amp; "]"
),0)/1000</f>
        <v>-1719.7140637984</v>
      </c>
      <c r="AM88" s="8">
        <f>IFERROR(
GETPIVOTDATA(
"[Base].[Importe]",
TDinamica_R!$A$5,
"[Calendario].[AñoMes]",
"[Calendario].[AñoMes].&amp;[" &amp; TEXT(AM$6,"yyyymm") &amp; "]",
"[Base].[Metrica]",
"[Base].[Metrica].&amp;[" &amp; $A88 &amp; "]",
"[Base].[SEGMENTO_DESCRIP]",
"[Base].[SEGMENTO_DESCRIP].&amp;[" &amp; $C$6 &amp; "]",
"[Base].[SITUACION]",
"[Base].[SITUACION].&amp;[" &amp; $C88 &amp; "]"
),0)/1000</f>
        <v>-1611.9215578241995</v>
      </c>
      <c r="AN88" s="8">
        <f>IFERROR(
GETPIVOTDATA(
"[Base].[Importe]",
TDinamica_R!$A$5,
"[Calendario].[AñoMes]",
"[Calendario].[AñoMes].&amp;[" &amp; TEXT(AN$6,"yyyymm") &amp; "]",
"[Base].[Metrica]",
"[Base].[Metrica].&amp;[" &amp; $A88 &amp; "]",
"[Base].[SEGMENTO_DESCRIP]",
"[Base].[SEGMENTO_DESCRIP].&amp;[" &amp; $C$6 &amp; "]",
"[Base].[SITUACION]",
"[Base].[SITUACION].&amp;[" &amp; $C88 &amp; "]"
),0)/1000</f>
        <v>-1831.5854689292</v>
      </c>
      <c r="AO88" s="8">
        <f>IFERROR(
GETPIVOTDATA(
"[Base].[Importe]",
TDinamica_R!$A$5,
"[Calendario].[AñoMes]",
"[Calendario].[AñoMes].&amp;[" &amp; TEXT(AO$6,"yyyymm") &amp; "]",
"[Base].[Metrica]",
"[Base].[Metrica].&amp;[" &amp; $A88 &amp; "]",
"[Base].[SEGMENTO_DESCRIP]",
"[Base].[SEGMENTO_DESCRIP].&amp;[" &amp; $C$6 &amp; "]",
"[Base].[SITUACION]",
"[Base].[SITUACION].&amp;[" &amp; $C88 &amp; "]"
),0)/1000</f>
        <v>-1746.6984709086005</v>
      </c>
      <c r="AP88" s="8">
        <f>IFERROR(
GETPIVOTDATA(
"[Base].[Importe]",
TDinamica_R!$A$5,
"[Calendario].[AñoMes]",
"[Calendario].[AñoMes].&amp;[" &amp; TEXT(AP$6,"yyyymm") &amp; "]",
"[Base].[Metrica]",
"[Base].[Metrica].&amp;[" &amp; $A88 &amp; "]",
"[Base].[SEGMENTO_DESCRIP]",
"[Base].[SEGMENTO_DESCRIP].&amp;[" &amp; $C$6 &amp; "]",
"[Base].[SITUACION]",
"[Base].[SITUACION].&amp;[" &amp; $C88 &amp; "]"
),0)/1000</f>
        <v>-1626.3008398447</v>
      </c>
      <c r="AQ88" s="8">
        <f>IFERROR(
GETPIVOTDATA(
"[Base].[Importe]",
TDinamica_R!$A$5,
"[Calendario].[AñoMes]",
"[Calendario].[AñoMes].&amp;[" &amp; TEXT(AQ$6,"yyyymm") &amp; "]",
"[Base].[Metrica]",
"[Base].[Metrica].&amp;[" &amp; $A88 &amp; "]",
"[Base].[SEGMENTO_DESCRIP]",
"[Base].[SEGMENTO_DESCRIP].&amp;[" &amp; $C$6 &amp; "]",
"[Base].[SITUACION]",
"[Base].[SITUACION].&amp;[" &amp; $C88 &amp; "]"
),0)/1000</f>
        <v>-1903.9756719524999</v>
      </c>
      <c r="AR88" s="8">
        <f>IFERROR(
GETPIVOTDATA(
"[Base].[Importe]",
TDinamica_R!$A$5,
"[Calendario].[AñoMes]",
"[Calendario].[AñoMes].&amp;[" &amp; TEXT(AR$6,"yyyymm") &amp; "]",
"[Base].[Metrica]",
"[Base].[Metrica].&amp;[" &amp; $A88 &amp; "]",
"[Base].[SEGMENTO_DESCRIP]",
"[Base].[SEGMENTO_DESCRIP].&amp;[" &amp; $C$6 &amp; "]",
"[Base].[SITUACION]",
"[Base].[SITUACION].&amp;[" &amp; $C88 &amp; "]"
),0)/1000</f>
        <v>-1700.5921256213996</v>
      </c>
      <c r="AS88" s="8">
        <f>IFERROR(
GETPIVOTDATA(
"[Base].[Importe]",
TDinamica_R!$A$5,
"[Calendario].[AñoMes]",
"[Calendario].[AñoMes].&amp;[" &amp; TEXT(AS$6,"yyyymm") &amp; "]",
"[Base].[Metrica]",
"[Base].[Metrica].&amp;[" &amp; $A88 &amp; "]",
"[Base].[SEGMENTO_DESCRIP]",
"[Base].[SEGMENTO_DESCRIP].&amp;[" &amp; $C$6 &amp; "]",
"[Base].[SITUACION]",
"[Base].[SITUACION].&amp;[" &amp; $C88 &amp; "]"
),0)/1000</f>
        <v>-1861.5284880122001</v>
      </c>
      <c r="AT88" s="8">
        <f>IFERROR(
GETPIVOTDATA(
"[Base].[Importe]",
TDinamica_R!$A$5,
"[Calendario].[AñoMes]",
"[Calendario].[AñoMes].&amp;[" &amp; TEXT(AT$6,"yyyymm")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U88" s="8">
        <f>IFERROR(
GETPIVOTDATA(
"[Base].[Importe]",
TDinamica_R!$A$5,
"[Calendario].[AñoMes]",
"[Calendario].[AñoMes].&amp;[" &amp; TEXT(AU$6,"yyyymm")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V88" s="8">
        <f>IFERROR(
GETPIVOTDATA(
"[Base].[Importe]",
TDinamica_R!$A$5,
"[Calendario].[AñoMes]",
"[Calendario].[AñoMes].&amp;[" &amp; TEXT(AV$6,"yyyymm")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W88" s="8">
        <f>IFERROR(
GETPIVOTDATA(
"[Base].[Importe]",
TDinamica_R!$A$5,
"[Calendario].[AñoMes]",
"[Calendario].[AñoMes].&amp;[" &amp; TEXT(AW$6,"yyyymm")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X88" s="8">
        <f>IFERROR(
GETPIVOTDATA(
"[Base].[Importe]",
TDinamica_R!$A$5,
"[Calendario].[AñoMes]",
"[Calendario].[AñoMes].&amp;[" &amp; TEXT(AX$6,"yyyymm")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Y88" s="8">
        <f>IFERROR(
GETPIVOTDATA(
"[Base].[Importe]",
TDinamica_R!$A$5,
"[Calendario].[AñoMes]",
"[Calendario].[AñoMes].&amp;[" &amp; TEXT(AY$6,"yyyymm")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Z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"[BASE_HIPO_PPTO].[Periodo]","[BASE_HIPO_PPTO].[Periodo].&amp;["&amp;TEXT(AZ$6,"yyyymm")&amp;"]"),
0)/1000</f>
        <v>-1755.0777898156996</v>
      </c>
      <c r="BA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"[BASE_HIPO_PPTO].[Periodo]","[BASE_HIPO_PPTO].[Periodo].&amp;["&amp;TEXT(BA$6,"yyyymm")&amp;"]"),
0)/1000</f>
        <v>-1671.8797418678002</v>
      </c>
      <c r="BB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"[BASE_HIPO_PPTO].[Periodo]","[BASE_HIPO_PPTO].[Periodo].&amp;["&amp;TEXT(BB$6,"yyyymm")&amp;"]"),
0)/1000</f>
        <v>-1780.3968071077002</v>
      </c>
      <c r="BC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"[BASE_HIPO_PPTO].[Periodo]","[BASE_HIPO_PPTO].[Periodo].&amp;["&amp;TEXT(BC$6,"yyyymm")&amp;"]"),
0)/1000</f>
        <v>-1741.4664095128001</v>
      </c>
      <c r="BD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"[BASE_HIPO_PPTO].[Periodo]","[BASE_HIPO_PPTO].[Periodo].&amp;["&amp;TEXT(BD$6,"yyyymm")&amp;"]"),
0)/1000</f>
        <v>-1813.5680972926998</v>
      </c>
      <c r="BE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"[BASE_HIPO_PPTO].[Periodo]","[BASE_HIPO_PPTO].[Periodo].&amp;["&amp;TEXT(BE$6,"yyyymm")&amp;"]"),
0)/1000</f>
        <v>-1789.2623037376002</v>
      </c>
      <c r="BF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"[BASE_HIPO_PPTO].[Periodo]","[BASE_HIPO_PPTO].[Periodo].&amp;["&amp;TEXT(BF$6,"yyyymm")&amp;"]"),
0)/1000</f>
        <v>-1803.5267801168002</v>
      </c>
      <c r="BG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"[BASE_HIPO_PPTO].[Periodo]","[BASE_HIPO_PPTO].[Periodo].&amp;["&amp;TEXT(BG$6,"yyyymm")&amp;"]"),
0)/1000</f>
        <v>-1802.9932398702003</v>
      </c>
      <c r="BH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"[BASE_HIPO_PPTO].[Periodo]","[BASE_HIPO_PPTO].[Periodo].&amp;["&amp;TEXT(BH$6,"yyyymm")&amp;"]"),
0)/1000</f>
        <v>-1807.6737454462</v>
      </c>
      <c r="BI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"[BASE_HIPO_PPTO].[Periodo]","[BASE_HIPO_PPTO].[Periodo].&amp;["&amp;TEXT(BI$6,"yyyymm")&amp;"]"),
0)/1000</f>
        <v>-1820.9819281368998</v>
      </c>
      <c r="BJ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"[BASE_HIPO_PPTO].[Periodo]","[BASE_HIPO_PPTO].[Periodo].&amp;["&amp;TEXT(BJ$6,"yyyymm")&amp;"]"),
0)/1000</f>
        <v>-1796.7011208586005</v>
      </c>
      <c r="BK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"[BASE_HIPO_PPTO].[Periodo]","[BASE_HIPO_PPTO].[Periodo].&amp;["&amp;TEXT(BK$6,"yyyymm")&amp;"]"),
0)/1000</f>
        <v>-1819.7444274671002</v>
      </c>
      <c r="BO88" s="24">
        <f t="shared" si="48"/>
        <v>-5204.5847796825001</v>
      </c>
      <c r="BP88" s="24">
        <f t="shared" si="48"/>
        <v>-5207.3543387911996</v>
      </c>
      <c r="BQ88" s="24">
        <f t="shared" si="48"/>
        <v>-3578.2839398378005</v>
      </c>
      <c r="BR88" s="24">
        <f t="shared" si="48"/>
        <v>-4748.4936047589999</v>
      </c>
      <c r="BS88" s="24">
        <f t="shared" si="48"/>
        <v>-3752.2586186248996</v>
      </c>
      <c r="BT88" s="24">
        <f t="shared" si="48"/>
        <v>-3744.2049365114999</v>
      </c>
    </row>
    <row r="89" spans="1:72" collapsed="1" x14ac:dyDescent="0.25">
      <c r="C89" s="3" t="s">
        <v>76</v>
      </c>
      <c r="D89" s="10">
        <f>SUM(D86:D88)</f>
        <v>-3651.1583471873</v>
      </c>
      <c r="E89" s="10">
        <f t="shared" ref="E89:BK89" si="49">SUM(E86:E88)</f>
        <v>-3633.1198524122001</v>
      </c>
      <c r="F89" s="10">
        <f t="shared" si="49"/>
        <v>-3961.0130047377997</v>
      </c>
      <c r="G89" s="10">
        <f t="shared" si="49"/>
        <v>-4019.1571872525001</v>
      </c>
      <c r="H89" s="10">
        <f t="shared" si="49"/>
        <v>-3893.3396226107002</v>
      </c>
      <c r="I89" s="10">
        <f t="shared" si="49"/>
        <v>-3856.9359014440997</v>
      </c>
      <c r="J89" s="10">
        <f t="shared" si="49"/>
        <v>-3748.0228666848998</v>
      </c>
      <c r="K89" s="10">
        <f t="shared" si="49"/>
        <v>-3529.4407551410004</v>
      </c>
      <c r="L89" s="10">
        <f t="shared" si="49"/>
        <v>-3724.1657319492006</v>
      </c>
      <c r="M89" s="10">
        <f t="shared" si="49"/>
        <v>-3616.7027000170001</v>
      </c>
      <c r="N89" s="10">
        <f t="shared" si="49"/>
        <v>-3686.5479701841996</v>
      </c>
      <c r="O89" s="10">
        <f t="shared" si="49"/>
        <v>-3553.8898544367003</v>
      </c>
      <c r="P89" s="10">
        <f t="shared" si="49"/>
        <v>-3536.5163297210001</v>
      </c>
      <c r="Q89" s="10">
        <f t="shared" si="49"/>
        <v>-3994.0465332549002</v>
      </c>
      <c r="R89" s="10">
        <f t="shared" si="49"/>
        <v>-3930.4621607836002</v>
      </c>
      <c r="S89" s="10">
        <f t="shared" si="49"/>
        <v>-3889.2256303289996</v>
      </c>
      <c r="T89" s="10">
        <f t="shared" si="49"/>
        <v>-4227.7715758836002</v>
      </c>
      <c r="U89" s="10">
        <f t="shared" si="49"/>
        <v>-5185.4096604076003</v>
      </c>
      <c r="V89" s="10">
        <f t="shared" si="49"/>
        <v>-4707.2027205036002</v>
      </c>
      <c r="W89" s="10">
        <f t="shared" si="49"/>
        <v>-4320.3737987315999</v>
      </c>
      <c r="X89" s="10">
        <f t="shared" si="49"/>
        <v>-4065.6044836601</v>
      </c>
      <c r="Y89" s="10">
        <f t="shared" si="49"/>
        <v>-4037.3594672703998</v>
      </c>
      <c r="Z89" s="10">
        <f t="shared" si="49"/>
        <v>-4456.5607315277994</v>
      </c>
      <c r="AA89" s="10">
        <f t="shared" si="49"/>
        <v>-4147.2559385508994</v>
      </c>
      <c r="AB89" s="10">
        <f t="shared" si="49"/>
        <v>-4803.9884674620998</v>
      </c>
      <c r="AC89" s="10">
        <f t="shared" si="49"/>
        <v>-4571.2608609256986</v>
      </c>
      <c r="AD89" s="10">
        <f t="shared" si="49"/>
        <v>-4710.3207671934997</v>
      </c>
      <c r="AE89" s="10">
        <f t="shared" si="49"/>
        <v>-4771.3862756858998</v>
      </c>
      <c r="AF89" s="10">
        <f t="shared" si="49"/>
        <v>-4926.6513483259996</v>
      </c>
      <c r="AG89" s="10">
        <f t="shared" si="49"/>
        <v>-5045.1294678557997</v>
      </c>
      <c r="AH89" s="10">
        <f t="shared" si="49"/>
        <v>-5129.5623972554004</v>
      </c>
      <c r="AI89" s="10">
        <f t="shared" si="49"/>
        <v>-5206.2255783807996</v>
      </c>
      <c r="AJ89" s="10">
        <f t="shared" si="49"/>
        <v>-4818.2881499647001</v>
      </c>
      <c r="AK89" s="10">
        <f t="shared" si="49"/>
        <v>-4432.3657965208004</v>
      </c>
      <c r="AL89" s="10">
        <f t="shared" si="49"/>
        <v>-4895.5374475402996</v>
      </c>
      <c r="AM89" s="10">
        <f t="shared" si="49"/>
        <v>-5037.8877496984996</v>
      </c>
      <c r="AN89" s="10">
        <f t="shared" si="49"/>
        <v>-4823.4606400698003</v>
      </c>
      <c r="AO89" s="10">
        <f t="shared" si="49"/>
        <v>-4744.9234611137999</v>
      </c>
      <c r="AP89" s="10">
        <f t="shared" si="49"/>
        <v>-5015.3648439164999</v>
      </c>
      <c r="AQ89" s="10">
        <f t="shared" si="49"/>
        <v>-5100.1230859885</v>
      </c>
      <c r="AR89" s="10">
        <f t="shared" si="49"/>
        <v>-5268.1007991405995</v>
      </c>
      <c r="AS89" s="10">
        <f t="shared" si="49"/>
        <v>-5065.6094360717998</v>
      </c>
      <c r="AT89" s="10">
        <f t="shared" si="49"/>
        <v>0</v>
      </c>
      <c r="AU89" s="10">
        <f t="shared" si="49"/>
        <v>0</v>
      </c>
      <c r="AV89" s="10">
        <f t="shared" si="49"/>
        <v>0</v>
      </c>
      <c r="AW89" s="10">
        <f t="shared" si="49"/>
        <v>0</v>
      </c>
      <c r="AX89" s="10">
        <f t="shared" si="49"/>
        <v>0</v>
      </c>
      <c r="AY89" s="10">
        <f t="shared" si="49"/>
        <v>0</v>
      </c>
      <c r="AZ89" s="10">
        <f t="shared" si="49"/>
        <v>-5055.8956623483</v>
      </c>
      <c r="BA89" s="10">
        <f t="shared" si="49"/>
        <v>-4892.1110669640011</v>
      </c>
      <c r="BB89" s="10">
        <f t="shared" si="49"/>
        <v>-5064.0870446268</v>
      </c>
      <c r="BC89" s="10">
        <f t="shared" si="49"/>
        <v>-5015.5340668194003</v>
      </c>
      <c r="BD89" s="10">
        <f t="shared" si="49"/>
        <v>-5221.5785562473993</v>
      </c>
      <c r="BE89" s="10">
        <f t="shared" si="49"/>
        <v>-5220.2095640414009</v>
      </c>
      <c r="BF89" s="10">
        <f t="shared" si="49"/>
        <v>-5155.4455846838</v>
      </c>
      <c r="BG89" s="10">
        <f t="shared" si="49"/>
        <v>-5166.323046038101</v>
      </c>
      <c r="BH89" s="10">
        <f t="shared" si="49"/>
        <v>-5266.5127972930004</v>
      </c>
      <c r="BI89" s="10">
        <f t="shared" si="49"/>
        <v>-5221.7022946957995</v>
      </c>
      <c r="BJ89" s="10">
        <f t="shared" si="49"/>
        <v>-5190.2983674466004</v>
      </c>
      <c r="BK89" s="10">
        <f t="shared" si="49"/>
        <v>-5242.9931569649998</v>
      </c>
      <c r="BO89" s="23">
        <f t="shared" ref="BO89:BT89" si="50">SUM(BO86:BO88)</f>
        <v>-14583.7489451001</v>
      </c>
      <c r="BP89" s="23">
        <f t="shared" si="50"/>
        <v>-15012.093773939101</v>
      </c>
      <c r="BQ89" s="23">
        <f t="shared" si="50"/>
        <v>-9568.3841011835993</v>
      </c>
      <c r="BR89" s="23">
        <f t="shared" si="50"/>
        <v>-14085.570095581299</v>
      </c>
      <c r="BS89" s="23">
        <f t="shared" si="50"/>
        <v>-11461.025023759501</v>
      </c>
      <c r="BT89" s="23">
        <f t="shared" si="50"/>
        <v>-11245.2912043373</v>
      </c>
    </row>
    <row r="91" spans="1:72" hidden="1" outlineLevel="1" x14ac:dyDescent="0.25">
      <c r="A91" s="11" t="s">
        <v>81</v>
      </c>
      <c r="C91" s="2" t="s">
        <v>85</v>
      </c>
      <c r="D91" s="8">
        <f>IFERROR(
GETPIVOTDATA(
"[Base].[Importe]",
TDinamica_R!$A$5,
"[Calendario].[AñoMes]",
"[Calendario].[AñoMes].&amp;[" &amp; TEXT(D$6,"yyyymm")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E91" s="8">
        <f>IFERROR(
GETPIVOTDATA(
"[Base].[Importe]",
TDinamica_R!$A$5,
"[Calendario].[AñoMes]",
"[Calendario].[AñoMes].&amp;[" &amp; TEXT(E$6,"yyyymm")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F91" s="8">
        <f>IFERROR(
GETPIVOTDATA(
"[Base].[Importe]",
TDinamica_R!$A$5,
"[Calendario].[AñoMes]",
"[Calendario].[AñoMes].&amp;[" &amp; TEXT(F$6,"yyyymm")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G91" s="8">
        <f>IFERROR(
GETPIVOTDATA(
"[Base].[Importe]",
TDinamica_R!$A$5,
"[Calendario].[AñoMes]",
"[Calendario].[AñoMes].&amp;[" &amp; TEXT(G$6,"yyyymm")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H91" s="8">
        <f>IFERROR(
GETPIVOTDATA(
"[Base].[Importe]",
TDinamica_R!$A$5,
"[Calendario].[AñoMes]",
"[Calendario].[AñoMes].&amp;[" &amp; TEXT(H$6,"yyyymm")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I91" s="8">
        <f>IFERROR(
GETPIVOTDATA(
"[Base].[Importe]",
TDinamica_R!$A$5,
"[Calendario].[AñoMes]",
"[Calendario].[AñoMes].&amp;[" &amp; TEXT(I$6,"yyyymm")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J91" s="8">
        <f>IFERROR(
GETPIVOTDATA(
"[Base].[Importe]",
TDinamica_R!$A$5,
"[Calendario].[AñoMes]",
"[Calendario].[AñoMes].&amp;[" &amp; TEXT(J$6,"yyyymm")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K91" s="8">
        <f>IFERROR(
GETPIVOTDATA(
"[Base].[Importe]",
TDinamica_R!$A$5,
"[Calendario].[AñoMes]",
"[Calendario].[AñoMes].&amp;[" &amp; TEXT(K$6,"yyyymm")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L91" s="8">
        <f>IFERROR(
GETPIVOTDATA(
"[Base].[Importe]",
TDinamica_R!$A$5,
"[Calendario].[AñoMes]",
"[Calendario].[AñoMes].&amp;[" &amp; TEXT(L$6,"yyyymm")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M91" s="8">
        <f>IFERROR(
GETPIVOTDATA(
"[Base].[Importe]",
TDinamica_R!$A$5,
"[Calendario].[AñoMes]",
"[Calendario].[AñoMes].&amp;[" &amp; TEXT(M$6,"yyyymm")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N91" s="8">
        <f>IFERROR(
GETPIVOTDATA(
"[Base].[Importe]",
TDinamica_R!$A$5,
"[Calendario].[AñoMes]",
"[Calendario].[AñoMes].&amp;[" &amp; TEXT(N$6,"yyyymm")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O91" s="8">
        <f>IFERROR(
GETPIVOTDATA(
"[Base].[Importe]",
TDinamica_R!$A$5,
"[Calendario].[AñoMes]",
"[Calendario].[AñoMes].&amp;[" &amp; TEXT(O$6,"yyyymm")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P91" s="8">
        <f>IFERROR(
GETPIVOTDATA(
"[Base].[Importe]",
TDinamica_R!$A$5,
"[Calendario].[AñoMes]",
"[Calendario].[AñoMes].&amp;[" &amp; TEXT(P$6,"yyyymm")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Q91" s="8">
        <f>IFERROR(
GETPIVOTDATA(
"[Base].[Importe]",
TDinamica_R!$A$5,
"[Calendario].[AñoMes]",
"[Calendario].[AñoMes].&amp;[" &amp; TEXT(Q$6,"yyyymm")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R91" s="8">
        <f>IFERROR(
GETPIVOTDATA(
"[Base].[Importe]",
TDinamica_R!$A$5,
"[Calendario].[AñoMes]",
"[Calendario].[AñoMes].&amp;[" &amp; TEXT(R$6,"yyyymm")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S91" s="8">
        <f>IFERROR(
GETPIVOTDATA(
"[Base].[Importe]",
TDinamica_R!$A$5,
"[Calendario].[AñoMes]",
"[Calendario].[AñoMes].&amp;[" &amp; TEXT(S$6,"yyyymm")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T91" s="8">
        <f>IFERROR(
GETPIVOTDATA(
"[Base].[Importe]",
TDinamica_R!$A$5,
"[Calendario].[AñoMes]",
"[Calendario].[AñoMes].&amp;[" &amp; TEXT(T$6,"yyyymm")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U91" s="8">
        <f>IFERROR(
GETPIVOTDATA(
"[Base].[Importe]",
TDinamica_R!$A$5,
"[Calendario].[AñoMes]",
"[Calendario].[AñoMes].&amp;[" &amp; TEXT(U$6,"yyyymm")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V91" s="8">
        <f>IFERROR(
GETPIVOTDATA(
"[Base].[Importe]",
TDinamica_R!$A$5,
"[Calendario].[AñoMes]",
"[Calendario].[AñoMes].&amp;[" &amp; TEXT(V$6,"yyyymm")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W91" s="8">
        <f>IFERROR(
GETPIVOTDATA(
"[Base].[Importe]",
TDinamica_R!$A$5,
"[Calendario].[AñoMes]",
"[Calendario].[AñoMes].&amp;[" &amp; TEXT(W$6,"yyyymm")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X91" s="8">
        <f>IFERROR(
GETPIVOTDATA(
"[Base].[Importe]",
TDinamica_R!$A$5,
"[Calendario].[AñoMes]",
"[Calendario].[AñoMes].&amp;[" &amp; TEXT(X$6,"yyyymm")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Y91" s="8">
        <f>IFERROR(
GETPIVOTDATA(
"[Base].[Importe]",
TDinamica_R!$A$5,
"[Calendario].[AñoMes]",
"[Calendario].[AñoMes].&amp;[" &amp; TEXT(Y$6,"yyyymm")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Z91" s="8">
        <f>IFERROR(
GETPIVOTDATA(
"[Base].[Importe]",
TDinamica_R!$A$5,
"[Calendario].[AñoMes]",
"[Calendario].[AñoMes].&amp;[" &amp; TEXT(Z$6,"yyyymm")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A91" s="8">
        <f>IFERROR(
GETPIVOTDATA(
"[Base].[Importe]",
TDinamica_R!$A$5,
"[Calendario].[AñoMes]",
"[Calendario].[AñoMes].&amp;[" &amp; TEXT(AA$6,"yyyymm")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B91" s="8">
        <f>IFERROR(
GETPIVOTDATA(
"[Base].[Importe]",
TDinamica_R!$A$5,
"[Calendario].[AñoMes]",
"[Calendario].[AñoMes].&amp;[" &amp; TEXT(AB$6,"yyyymm")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C91" s="8">
        <f>IFERROR(
GETPIVOTDATA(
"[Base].[Importe]",
TDinamica_R!$A$5,
"[Calendario].[AñoMes]",
"[Calendario].[AñoMes].&amp;[" &amp; TEXT(AC$6,"yyyymm")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D91" s="8">
        <f>IFERROR(
GETPIVOTDATA(
"[Base].[Importe]",
TDinamica_R!$A$5,
"[Calendario].[AñoMes]",
"[Calendario].[AñoMes].&amp;[" &amp; TEXT(AD$6,"yyyymm")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E91" s="8">
        <f>IFERROR(
GETPIVOTDATA(
"[Base].[Importe]",
TDinamica_R!$A$5,
"[Calendario].[AñoMes]",
"[Calendario].[AñoMes].&amp;[" &amp; TEXT(AE$6,"yyyymm")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F91" s="8">
        <f>IFERROR(
GETPIVOTDATA(
"[Base].[Importe]",
TDinamica_R!$A$5,
"[Calendario].[AñoMes]",
"[Calendario].[AñoMes].&amp;[" &amp; TEXT(AF$6,"yyyymm")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G91" s="8">
        <f>IFERROR(
GETPIVOTDATA(
"[Base].[Importe]",
TDinamica_R!$A$5,
"[Calendario].[AñoMes]",
"[Calendario].[AñoMes].&amp;[" &amp; TEXT(AG$6,"yyyymm")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H91" s="8">
        <f>IFERROR(
GETPIVOTDATA(
"[Base].[Importe]",
TDinamica_R!$A$5,
"[Calendario].[AñoMes]",
"[Calendario].[AñoMes].&amp;[" &amp; TEXT(AH$6,"yyyymm")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I91" s="8">
        <f>IFERROR(
GETPIVOTDATA(
"[Base].[Importe]",
TDinamica_R!$A$5,
"[Calendario].[AñoMes]",
"[Calendario].[AñoMes].&amp;[" &amp; TEXT(AI$6,"yyyymm")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J91" s="8">
        <f>IFERROR(
GETPIVOTDATA(
"[Base].[Importe]",
TDinamica_R!$A$5,
"[Calendario].[AñoMes]",
"[Calendario].[AñoMes].&amp;[" &amp; TEXT(AJ$6,"yyyymm")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K91" s="8">
        <f>IFERROR(
GETPIVOTDATA(
"[Base].[Importe]",
TDinamica_R!$A$5,
"[Calendario].[AñoMes]",
"[Calendario].[AñoMes].&amp;[" &amp; TEXT(AK$6,"yyyymm")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L91" s="8">
        <f>IFERROR(
GETPIVOTDATA(
"[Base].[Importe]",
TDinamica_R!$A$5,
"[Calendario].[AñoMes]",
"[Calendario].[AñoMes].&amp;[" &amp; TEXT(AL$6,"yyyymm")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M91" s="8">
        <f>IFERROR(
GETPIVOTDATA(
"[Base].[Importe]",
TDinamica_R!$A$5,
"[Calendario].[AñoMes]",
"[Calendario].[AñoMes].&amp;[" &amp; TEXT(AM$6,"yyyymm")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N91" s="8">
        <f>IFERROR(
GETPIVOTDATA(
"[Base].[Importe]",
TDinamica_R!$A$5,
"[Calendario].[AñoMes]",
"[Calendario].[AñoMes].&amp;[" &amp; TEXT(AN$6,"yyyymm")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O91" s="8">
        <f>IFERROR(
GETPIVOTDATA(
"[Base].[Importe]",
TDinamica_R!$A$5,
"[Calendario].[AñoMes]",
"[Calendario].[AñoMes].&amp;[" &amp; TEXT(AO$6,"yyyymm")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P91" s="8">
        <f>IFERROR(
GETPIVOTDATA(
"[Base].[Importe]",
TDinamica_R!$A$5,
"[Calendario].[AñoMes]",
"[Calendario].[AñoMes].&amp;[" &amp; TEXT(AP$6,"yyyymm")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Q91" s="8">
        <f>IFERROR(
GETPIVOTDATA(
"[Base].[Importe]",
TDinamica_R!$A$5,
"[Calendario].[AñoMes]",
"[Calendario].[AñoMes].&amp;[" &amp; TEXT(AQ$6,"yyyymm")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R91" s="8">
        <f>IFERROR(
GETPIVOTDATA(
"[Base].[Importe]",
TDinamica_R!$A$5,
"[Calendario].[AñoMes]",
"[Calendario].[AñoMes].&amp;[" &amp; TEXT(AR$6,"yyyymm")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S91" s="8">
        <f>IFERROR(
GETPIVOTDATA(
"[Base].[Importe]",
TDinamica_R!$A$5,
"[Calendario].[AñoMes]",
"[Calendario].[AñoMes].&amp;[" &amp; TEXT(AS$6,"yyyymm")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T91" s="8">
        <f>IFERROR(
GETPIVOTDATA(
"[Base].[Importe]",
TDinamica_R!$A$5,
"[Calendario].[AñoMes]",
"[Calendario].[AñoMes].&amp;[" &amp; TEXT(AT$6,"yyyymm")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U91" s="8">
        <f>IFERROR(
GETPIVOTDATA(
"[Base].[Importe]",
TDinamica_R!$A$5,
"[Calendario].[AñoMes]",
"[Calendario].[AñoMes].&amp;[" &amp; TEXT(AU$6,"yyyymm")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V91" s="8">
        <f>IFERROR(
GETPIVOTDATA(
"[Base].[Importe]",
TDinamica_R!$A$5,
"[Calendario].[AñoMes]",
"[Calendario].[AñoMes].&amp;[" &amp; TEXT(AV$6,"yyyymm")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W91" s="8">
        <f>IFERROR(
GETPIVOTDATA(
"[Base].[Importe]",
TDinamica_R!$A$5,
"[Calendario].[AñoMes]",
"[Calendario].[AñoMes].&amp;[" &amp; TEXT(AW$6,"yyyymm")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X91" s="8">
        <f>IFERROR(
GETPIVOTDATA(
"[Base].[Importe]",
TDinamica_R!$A$5,
"[Calendario].[AñoMes]",
"[Calendario].[AñoMes].&amp;[" &amp; TEXT(AX$6,"yyyymm")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Y91" s="8">
        <f>IFERROR(
GETPIVOTDATA(
"[Base].[Importe]",
TDinamica_R!$A$5,
"[Calendario].[AñoMes]",
"[Calendario].[AñoMes].&amp;[" &amp; TEXT(AY$6,"yyyymm")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Z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"[BASE_HIPO_PPTO].[Periodo]","[BASE_HIPO_PPTO].[Periodo].&amp;["&amp;TEXT(AZ$6,"yyyymm")&amp;"]"),
0)/1000</f>
        <v>0</v>
      </c>
      <c r="BA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"[BASE_HIPO_PPTO].[Periodo]","[BASE_HIPO_PPTO].[Periodo].&amp;["&amp;TEXT(BA$6,"yyyymm")&amp;"]"),
0)/1000</f>
        <v>0</v>
      </c>
      <c r="BB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"[BASE_HIPO_PPTO].[Periodo]","[BASE_HIPO_PPTO].[Periodo].&amp;["&amp;TEXT(BB$6,"yyyymm")&amp;"]"),
0)/1000</f>
        <v>0</v>
      </c>
      <c r="BC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"[BASE_HIPO_PPTO].[Periodo]","[BASE_HIPO_PPTO].[Periodo].&amp;["&amp;TEXT(BC$6,"yyyymm")&amp;"]"),
0)/1000</f>
        <v>0</v>
      </c>
      <c r="BD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"[BASE_HIPO_PPTO].[Periodo]","[BASE_HIPO_PPTO].[Periodo].&amp;["&amp;TEXT(BD$6,"yyyymm")&amp;"]"),
0)/1000</f>
        <v>0</v>
      </c>
      <c r="BE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"[BASE_HIPO_PPTO].[Periodo]","[BASE_HIPO_PPTO].[Periodo].&amp;["&amp;TEXT(BE$6,"yyyymm")&amp;"]"),
0)/1000</f>
        <v>0</v>
      </c>
      <c r="BF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"[BASE_HIPO_PPTO].[Periodo]","[BASE_HIPO_PPTO].[Periodo].&amp;["&amp;TEXT(BF$6,"yyyymm")&amp;"]"),
0)/1000</f>
        <v>0</v>
      </c>
      <c r="BG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"[BASE_HIPO_PPTO].[Periodo]","[BASE_HIPO_PPTO].[Periodo].&amp;["&amp;TEXT(BG$6,"yyyymm")&amp;"]"),
0)/1000</f>
        <v>0</v>
      </c>
      <c r="BH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"[BASE_HIPO_PPTO].[Periodo]","[BASE_HIPO_PPTO].[Periodo].&amp;["&amp;TEXT(BH$6,"yyyymm")&amp;"]"),
0)/1000</f>
        <v>0</v>
      </c>
      <c r="BI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"[BASE_HIPO_PPTO].[Periodo]","[BASE_HIPO_PPTO].[Periodo].&amp;["&amp;TEXT(BI$6,"yyyymm")&amp;"]"),
0)/1000</f>
        <v>0</v>
      </c>
      <c r="BJ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"[BASE_HIPO_PPTO].[Periodo]","[BASE_HIPO_PPTO].[Periodo].&amp;["&amp;TEXT(BJ$6,"yyyymm")&amp;"]"),
0)/1000</f>
        <v>0</v>
      </c>
      <c r="BK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"[BASE_HIPO_PPTO].[Periodo]","[BASE_HIPO_PPTO].[Periodo].&amp;["&amp;TEXT(BK$6,"yyyymm")&amp;"]"),
0)/1000</f>
        <v>0</v>
      </c>
      <c r="BO91" s="24">
        <f t="shared" ref="BO91:BT92" si="51">SUMIFS($D91:$BM91,$D$6:$BM$6,"&gt;="&amp;BO$2,$D$6:$BM$6,"&lt;="&amp;BO$6,$D$5:$BM$5,BO$5)</f>
        <v>0</v>
      </c>
      <c r="BP91" s="24">
        <f t="shared" si="51"/>
        <v>0</v>
      </c>
      <c r="BQ91" s="24">
        <f t="shared" si="51"/>
        <v>0</v>
      </c>
      <c r="BR91" s="24">
        <f t="shared" si="51"/>
        <v>0</v>
      </c>
      <c r="BS91" s="24">
        <f t="shared" si="51"/>
        <v>0</v>
      </c>
      <c r="BT91" s="24">
        <f t="shared" si="51"/>
        <v>0</v>
      </c>
    </row>
    <row r="92" spans="1:72" hidden="1" outlineLevel="1" x14ac:dyDescent="0.25">
      <c r="A92" s="11" t="s">
        <v>81</v>
      </c>
      <c r="C92" s="2" t="s">
        <v>48</v>
      </c>
      <c r="D92" s="8">
        <f>IFERROR(
GETPIVOTDATA(
"[Base].[Importe]",
TDinamica_R!$A$5,
"[Calendario].[AñoMes]",
"[Calendario].[AñoMes].&amp;[" &amp; TEXT(D$6,"yyyymm") &amp; "]",
"[Base].[Metrica]",
"[Base].[Metrica].&amp;[" &amp; $A92 &amp; "]",
"[Base].[SEGMENTO_DESCRIP]",
"[Base].[SEGMENTO_DESCRIP].&amp;[" &amp; $C$6 &amp; "]",
"[Base].[SITUACION]",
"[Base].[SITUACION].&amp;[" &amp; $C92 &amp; "]"
),0)/1000</f>
        <v>10.14466956886208</v>
      </c>
      <c r="E92" s="8">
        <f>IFERROR(
GETPIVOTDATA(
"[Base].[Importe]",
TDinamica_R!$A$5,
"[Calendario].[AñoMes]",
"[Calendario].[AñoMes].&amp;[" &amp; TEXT(E$6,"yyyymm") &amp; "]",
"[Base].[Metrica]",
"[Base].[Metrica].&amp;[" &amp; $A92 &amp; "]",
"[Base].[SEGMENTO_DESCRIP]",
"[Base].[SEGMENTO_DESCRIP].&amp;[" &amp; $C$6 &amp; "]",
"[Base].[SITUACION]",
"[Base].[SITUACION].&amp;[" &amp; $C92 &amp; "]"
),0)/1000</f>
        <v>10.030018470221254</v>
      </c>
      <c r="F92" s="8">
        <f>IFERROR(
GETPIVOTDATA(
"[Base].[Importe]",
TDinamica_R!$A$5,
"[Calendario].[AñoMes]",
"[Calendario].[AñoMes].&amp;[" &amp; TEXT(F$6,"yyyymm") &amp; "]",
"[Base].[Metrica]",
"[Base].[Metrica].&amp;[" &amp; $A92 &amp; "]",
"[Base].[SEGMENTO_DESCRIP]",
"[Base].[SEGMENTO_DESCRIP].&amp;[" &amp; $C$6 &amp; "]",
"[Base].[SITUACION]",
"[Base].[SITUACION].&amp;[" &amp; $C92 &amp; "]"
),0)/1000</f>
        <v>9.9193581756124765</v>
      </c>
      <c r="G92" s="8">
        <f>IFERROR(
GETPIVOTDATA(
"[Base].[Importe]",
TDinamica_R!$A$5,
"[Calendario].[AñoMes]",
"[Calendario].[AñoMes].&amp;[" &amp; TEXT(G$6,"yyyymm") &amp; "]",
"[Base].[Metrica]",
"[Base].[Metrica].&amp;[" &amp; $A92 &amp; "]",
"[Base].[SEGMENTO_DESCRIP]",
"[Base].[SEGMENTO_DESCRIP].&amp;[" &amp; $C$6 &amp; "]",
"[Base].[SITUACION]",
"[Base].[SITUACION].&amp;[" &amp; $C92 &amp; "]"
),0)/1000</f>
        <v>9.8225061539882379</v>
      </c>
      <c r="H92" s="8">
        <f>IFERROR(
GETPIVOTDATA(
"[Base].[Importe]",
TDinamica_R!$A$5,
"[Calendario].[AñoMes]",
"[Calendario].[AñoMes].&amp;[" &amp; TEXT(H$6,"yyyymm") &amp; "]",
"[Base].[Metrica]",
"[Base].[Metrica].&amp;[" &amp; $A92 &amp; "]",
"[Base].[SEGMENTO_DESCRIP]",
"[Base].[SEGMENTO_DESCRIP].&amp;[" &amp; $C$6 &amp; "]",
"[Base].[SITUACION]",
"[Base].[SITUACION].&amp;[" &amp; $C92 &amp; "]"
),0)/1000</f>
        <v>70.063151549020262</v>
      </c>
      <c r="I92" s="8">
        <f>IFERROR(
GETPIVOTDATA(
"[Base].[Importe]",
TDinamica_R!$A$5,
"[Calendario].[AñoMes]",
"[Calendario].[AñoMes].&amp;[" &amp; TEXT(I$6,"yyyymm") &amp; "]",
"[Base].[Metrica]",
"[Base].[Metrica].&amp;[" &amp; $A92 &amp; "]",
"[Base].[SEGMENTO_DESCRIP]",
"[Base].[SEGMENTO_DESCRIP].&amp;[" &amp; $C$6 &amp; "]",
"[Base].[SITUACION]",
"[Base].[SITUACION].&amp;[" &amp; $C92 &amp; "]"
),0)/1000</f>
        <v>155.81213172208507</v>
      </c>
      <c r="J92" s="8">
        <f>IFERROR(
GETPIVOTDATA(
"[Base].[Importe]",
TDinamica_R!$A$5,
"[Calendario].[AñoMes]",
"[Calendario].[AñoMes].&amp;[" &amp; TEXT(J$6,"yyyymm") &amp; "]",
"[Base].[Metrica]",
"[Base].[Metrica].&amp;[" &amp; $A92 &amp; "]",
"[Base].[SEGMENTO_DESCRIP]",
"[Base].[SEGMENTO_DESCRIP].&amp;[" &amp; $C$6 &amp; "]",
"[Base].[SITUACION]",
"[Base].[SITUACION].&amp;[" &amp; $C92 &amp; "]"
),0)/1000</f>
        <v>9.2753018770847273</v>
      </c>
      <c r="K92" s="8">
        <f>IFERROR(
GETPIVOTDATA(
"[Base].[Importe]",
TDinamica_R!$A$5,
"[Calendario].[AñoMes]",
"[Calendario].[AñoMes].&amp;[" &amp; TEXT(K$6,"yyyymm") &amp; "]",
"[Base].[Metrica]",
"[Base].[Metrica].&amp;[" &amp; $A92 &amp; "]",
"[Base].[SEGMENTO_DESCRIP]",
"[Base].[SEGMENTO_DESCRIP].&amp;[" &amp; $C$6 &amp; "]",
"[Base].[SITUACION]",
"[Base].[SITUACION].&amp;[" &amp; $C92 &amp; "]"
),0)/1000</f>
        <v>83.105090212999997</v>
      </c>
      <c r="L92" s="8">
        <f>IFERROR(
GETPIVOTDATA(
"[Base].[Importe]",
TDinamica_R!$A$5,
"[Calendario].[AñoMes]",
"[Calendario].[AñoMes].&amp;[" &amp; TEXT(L$6,"yyyymm") &amp; "]",
"[Base].[Metrica]",
"[Base].[Metrica].&amp;[" &amp; $A92 &amp; "]",
"[Base].[SEGMENTO_DESCRIP]",
"[Base].[SEGMENTO_DESCRIP].&amp;[" &amp; $C$6 &amp; "]",
"[Base].[SITUACION]",
"[Base].[SITUACION].&amp;[" &amp; $C92 &amp; "]"
),0)/1000</f>
        <v>8.9601736107973515</v>
      </c>
      <c r="M92" s="8">
        <f>IFERROR(
GETPIVOTDATA(
"[Base].[Importe]",
TDinamica_R!$A$5,
"[Calendario].[AñoMes]",
"[Calendario].[AñoMes].&amp;[" &amp; TEXT(M$6,"yyyymm") &amp; "]",
"[Base].[Metrica]",
"[Base].[Metrica].&amp;[" &amp; $A92 &amp; "]",
"[Base].[SEGMENTO_DESCRIP]",
"[Base].[SEGMENTO_DESCRIP].&amp;[" &amp; $C$6 &amp; "]",
"[Base].[SITUACION]",
"[Base].[SITUACION].&amp;[" &amp; $C92 &amp; "]"
),0)/1000</f>
        <v>8.7546350908363006</v>
      </c>
      <c r="N92" s="8">
        <f>IFERROR(
GETPIVOTDATA(
"[Base].[Importe]",
TDinamica_R!$A$5,
"[Calendario].[AñoMes]",
"[Calendario].[AñoMes].&amp;[" &amp; TEXT(N$6,"yyyymm") &amp; "]",
"[Base].[Metrica]",
"[Base].[Metrica].&amp;[" &amp; $A92 &amp; "]",
"[Base].[SEGMENTO_DESCRIP]",
"[Base].[SEGMENTO_DESCRIP].&amp;[" &amp; $C$6 &amp; "]",
"[Base].[SITUACION]",
"[Base].[SITUACION].&amp;[" &amp; $C92 &amp; "]"
),0)/1000</f>
        <v>8.5417832406793064</v>
      </c>
      <c r="O92" s="8">
        <f>IFERROR(
GETPIVOTDATA(
"[Base].[Importe]",
TDinamica_R!$A$5,
"[Calendario].[AñoMes]",
"[Calendario].[AñoMes].&amp;[" &amp; TEXT(O$6,"yyyymm") &amp; "]",
"[Base].[Metrica]",
"[Base].[Metrica].&amp;[" &amp; $A92 &amp; "]",
"[Base].[SEGMENTO_DESCRIP]",
"[Base].[SEGMENTO_DESCRIP].&amp;[" &amp; $C$6 &amp; "]",
"[Base].[SITUACION]",
"[Base].[SITUACION].&amp;[" &amp; $C92 &amp; "]"
),0)/1000</f>
        <v>8.4697707592010296</v>
      </c>
      <c r="P92" s="8">
        <f>IFERROR(
GETPIVOTDATA(
"[Base].[Importe]",
TDinamica_R!$A$5,
"[Calendario].[AñoMes]",
"[Calendario].[AñoMes].&amp;[" &amp; TEXT(P$6,"yyyymm") &amp; "]",
"[Base].[Metrica]",
"[Base].[Metrica].&amp;[" &amp; $A92 &amp; "]",
"[Base].[SEGMENTO_DESCRIP]",
"[Base].[SEGMENTO_DESCRIP].&amp;[" &amp; $C$6 &amp; "]",
"[Base].[SITUACION]",
"[Base].[SITUACION].&amp;[" &amp; $C92 &amp; "]"
),0)/1000</f>
        <v>-55.037706344422197</v>
      </c>
      <c r="Q92" s="8">
        <f>IFERROR(
GETPIVOTDATA(
"[Base].[Importe]",
TDinamica_R!$A$5,
"[Calendario].[AñoMes]",
"[Calendario].[AñoMes].&amp;[" &amp; TEXT(Q$6,"yyyymm") &amp; "]",
"[Base].[Metrica]",
"[Base].[Metrica].&amp;[" &amp; $A92 &amp; "]",
"[Base].[SEGMENTO_DESCRIP]",
"[Base].[SEGMENTO_DESCRIP].&amp;[" &amp; $C$6 &amp; "]",
"[Base].[SITUACION]",
"[Base].[SITUACION].&amp;[" &amp; $C92 &amp; "]"
),0)/1000</f>
        <v>39.310834028367687</v>
      </c>
      <c r="R92" s="8">
        <f>IFERROR(
GETPIVOTDATA(
"[Base].[Importe]",
TDinamica_R!$A$5,
"[Calendario].[AñoMes]",
"[Calendario].[AñoMes].&amp;[" &amp; TEXT(R$6,"yyyymm") &amp; "]",
"[Base].[Metrica]",
"[Base].[Metrica].&amp;[" &amp; $A92 &amp; "]",
"[Base].[SEGMENTO_DESCRIP]",
"[Base].[SEGMENTO_DESCRIP].&amp;[" &amp; $C$6 &amp; "]",
"[Base].[SITUACION]",
"[Base].[SITUACION].&amp;[" &amp; $C92 &amp; "]"
),0)/1000</f>
        <v>71.060250375022264</v>
      </c>
      <c r="S92" s="8">
        <f>IFERROR(
GETPIVOTDATA(
"[Base].[Importe]",
TDinamica_R!$A$5,
"[Calendario].[AñoMes]",
"[Calendario].[AñoMes].&amp;[" &amp; TEXT(S$6,"yyyymm") &amp; "]",
"[Base].[Metrica]",
"[Base].[Metrica].&amp;[" &amp; $A92 &amp; "]",
"[Base].[SEGMENTO_DESCRIP]",
"[Base].[SEGMENTO_DESCRIP].&amp;[" &amp; $C$6 &amp; "]",
"[Base].[SITUACION]",
"[Base].[SITUACION].&amp;[" &amp; $C92 &amp; "]"
),0)/1000</f>
        <v>7.4243840510677215</v>
      </c>
      <c r="T92" s="8">
        <f>IFERROR(
GETPIVOTDATA(
"[Base].[Importe]",
TDinamica_R!$A$5,
"[Calendario].[AñoMes]",
"[Calendario].[AñoMes].&amp;[" &amp; TEXT(T$6,"yyyymm") &amp; "]",
"[Base].[Metrica]",
"[Base].[Metrica].&amp;[" &amp; $A92 &amp; "]",
"[Base].[SEGMENTO_DESCRIP]",
"[Base].[SEGMENTO_DESCRIP].&amp;[" &amp; $C$6 &amp; "]",
"[Base].[SITUACION]",
"[Base].[SITUACION].&amp;[" &amp; $C92 &amp; "]"
),0)/1000</f>
        <v>-44.171153525582667</v>
      </c>
      <c r="U92" s="8">
        <f>IFERROR(
GETPIVOTDATA(
"[Base].[Importe]",
TDinamica_R!$A$5,
"[Calendario].[AñoMes]",
"[Calendario].[AñoMes].&amp;[" &amp; TEXT(U$6,"yyyymm") &amp; "]",
"[Base].[Metrica]",
"[Base].[Metrica].&amp;[" &amp; $A92 &amp; "]",
"[Base].[SEGMENTO_DESCRIP]",
"[Base].[SEGMENTO_DESCRIP].&amp;[" &amp; $C$6 &amp; "]",
"[Base].[SITUACION]",
"[Base].[SITUACION].&amp;[" &amp; $C92 &amp; "]"
),0)/1000</f>
        <v>-23.38096438098076</v>
      </c>
      <c r="V92" s="8">
        <f>IFERROR(
GETPIVOTDATA(
"[Base].[Importe]",
TDinamica_R!$A$5,
"[Calendario].[AñoMes]",
"[Calendario].[AñoMes].&amp;[" &amp; TEXT(V$6,"yyyymm") &amp; "]",
"[Base].[Metrica]",
"[Base].[Metrica].&amp;[" &amp; $A92 &amp; "]",
"[Base].[SEGMENTO_DESCRIP]",
"[Base].[SEGMENTO_DESCRIP].&amp;[" &amp; $C$6 &amp; "]",
"[Base].[SITUACION]",
"[Base].[SITUACION].&amp;[" &amp; $C92 &amp; "]"
),0)/1000</f>
        <v>7.2297224547071837</v>
      </c>
      <c r="W92" s="8">
        <f>IFERROR(
GETPIVOTDATA(
"[Base].[Importe]",
TDinamica_R!$A$5,
"[Calendario].[AñoMes]",
"[Calendario].[AñoMes].&amp;[" &amp; TEXT(W$6,"yyyymm") &amp; "]",
"[Base].[Metrica]",
"[Base].[Metrica].&amp;[" &amp; $A92 &amp; "]",
"[Base].[SEGMENTO_DESCRIP]",
"[Base].[SEGMENTO_DESCRIP].&amp;[" &amp; $C$6 &amp; "]",
"[Base].[SITUACION]",
"[Base].[SITUACION].&amp;[" &amp; $C92 &amp; "]"
),0)/1000</f>
        <v>6.2288846186983742</v>
      </c>
      <c r="X92" s="8">
        <f>IFERROR(
GETPIVOTDATA(
"[Base].[Importe]",
TDinamica_R!$A$5,
"[Calendario].[AñoMes]",
"[Calendario].[AñoMes].&amp;[" &amp; TEXT(X$6,"yyyymm") &amp; "]",
"[Base].[Metrica]",
"[Base].[Metrica].&amp;[" &amp; $A92 &amp; "]",
"[Base].[SEGMENTO_DESCRIP]",
"[Base].[SEGMENTO_DESCRIP].&amp;[" &amp; $C$6 &amp; "]",
"[Base].[SITUACION]",
"[Base].[SITUACION].&amp;[" &amp; $C92 &amp; "]"
),0)/1000</f>
        <v>96.824966456138014</v>
      </c>
      <c r="Y92" s="8">
        <f>IFERROR(
GETPIVOTDATA(
"[Base].[Importe]",
TDinamica_R!$A$5,
"[Calendario].[AñoMes]",
"[Calendario].[AñoMes].&amp;[" &amp; TEXT(Y$6,"yyyymm") &amp; "]",
"[Base].[Metrica]",
"[Base].[Metrica].&amp;[" &amp; $A92 &amp; "]",
"[Base].[SEGMENTO_DESCRIP]",
"[Base].[SEGMENTO_DESCRIP].&amp;[" &amp; $C$6 &amp; "]",
"[Base].[SITUACION]",
"[Base].[SITUACION].&amp;[" &amp; $C92 &amp; "]"
),0)/1000</f>
        <v>-7.4840809902398924</v>
      </c>
      <c r="Z92" s="8">
        <f>IFERROR(
GETPIVOTDATA(
"[Base].[Importe]",
TDinamica_R!$A$5,
"[Calendario].[AñoMes]",
"[Calendario].[AñoMes].&amp;[" &amp; TEXT(Z$6,"yyyymm") &amp; "]",
"[Base].[Metrica]",
"[Base].[Metrica].&amp;[" &amp; $A92 &amp; "]",
"[Base].[SEGMENTO_DESCRIP]",
"[Base].[SEGMENTO_DESCRIP].&amp;[" &amp; $C$6 &amp; "]",
"[Base].[SITUACION]",
"[Base].[SITUACION].&amp;[" &amp; $C92 &amp; "]"
),0)/1000</f>
        <v>-134.9087442715784</v>
      </c>
      <c r="AA92" s="8">
        <f>IFERROR(
GETPIVOTDATA(
"[Base].[Importe]",
TDinamica_R!$A$5,
"[Calendario].[AñoMes]",
"[Calendario].[AñoMes].&amp;[" &amp; TEXT(AA$6,"yyyymm") &amp; "]",
"[Base].[Metrica]",
"[Base].[Metrica].&amp;[" &amp; $A92 &amp; "]",
"[Base].[SEGMENTO_DESCRIP]",
"[Base].[SEGMENTO_DESCRIP].&amp;[" &amp; $C$6 &amp; "]",
"[Base].[SITUACION]",
"[Base].[SITUACION].&amp;[" &amp; $C92 &amp; "]"
),0)/1000</f>
        <v>-99.766751839599308</v>
      </c>
      <c r="AB92" s="8">
        <f>IFERROR(
GETPIVOTDATA(
"[Base].[Importe]",
TDinamica_R!$A$5,
"[Calendario].[AñoMes]",
"[Calendario].[AñoMes].&amp;[" &amp; TEXT(AB$6,"yyyymm") &amp; "]",
"[Base].[Metrica]",
"[Base].[Metrica].&amp;[" &amp; $A92 &amp; "]",
"[Base].[SEGMENTO_DESCRIP]",
"[Base].[SEGMENTO_DESCRIP].&amp;[" &amp; $C$6 &amp; "]",
"[Base].[SITUACION]",
"[Base].[SITUACION].&amp;[" &amp; $C92 &amp; "]"
),0)/1000</f>
        <v>-8.1391086206549854</v>
      </c>
      <c r="AC92" s="8">
        <f>IFERROR(
GETPIVOTDATA(
"[Base].[Importe]",
TDinamica_R!$A$5,
"[Calendario].[AñoMes]",
"[Calendario].[AñoMes].&amp;[" &amp; TEXT(AC$6,"yyyymm") &amp; "]",
"[Base].[Metrica]",
"[Base].[Metrica].&amp;[" &amp; $A92 &amp; "]",
"[Base].[SEGMENTO_DESCRIP]",
"[Base].[SEGMENTO_DESCRIP].&amp;[" &amp; $C$6 &amp; "]",
"[Base].[SITUACION]",
"[Base].[SITUACION].&amp;[" &amp; $C92 &amp; "]"
),0)/1000</f>
        <v>-34.698430860972216</v>
      </c>
      <c r="AD92" s="8">
        <f>IFERROR(
GETPIVOTDATA(
"[Base].[Importe]",
TDinamica_R!$A$5,
"[Calendario].[AñoMes]",
"[Calendario].[AñoMes].&amp;[" &amp; TEXT(AD$6,"yyyymm") &amp; "]",
"[Base].[Metrica]",
"[Base].[Metrica].&amp;[" &amp; $A92 &amp; "]",
"[Base].[SEGMENTO_DESCRIP]",
"[Base].[SEGMENTO_DESCRIP].&amp;[" &amp; $C$6 &amp; "]",
"[Base].[SITUACION]",
"[Base].[SITUACION].&amp;[" &amp; $C92 &amp; "]"
),0)/1000</f>
        <v>-97.365656656946257</v>
      </c>
      <c r="AE92" s="8">
        <f>IFERROR(
GETPIVOTDATA(
"[Base].[Importe]",
TDinamica_R!$A$5,
"[Calendario].[AñoMes]",
"[Calendario].[AñoMes].&amp;[" &amp; TEXT(AE$6,"yyyymm") &amp; "]",
"[Base].[Metrica]",
"[Base].[Metrica].&amp;[" &amp; $A92 &amp; "]",
"[Base].[SEGMENTO_DESCRIP]",
"[Base].[SEGMENTO_DESCRIP].&amp;[" &amp; $C$6 &amp; "]",
"[Base].[SITUACION]",
"[Base].[SITUACION].&amp;[" &amp; $C92 &amp; "]"
),0)/1000</f>
        <v>36.076432221564517</v>
      </c>
      <c r="AF92" s="8">
        <f>IFERROR(
GETPIVOTDATA(
"[Base].[Importe]",
TDinamica_R!$A$5,
"[Calendario].[AñoMes]",
"[Calendario].[AñoMes].&amp;[" &amp; TEXT(AF$6,"yyyymm") &amp; "]",
"[Base].[Metrica]",
"[Base].[Metrica].&amp;[" &amp; $A92 &amp; "]",
"[Base].[SEGMENTO_DESCRIP]",
"[Base].[SEGMENTO_DESCRIP].&amp;[" &amp; $C$6 &amp; "]",
"[Base].[SITUACION]",
"[Base].[SITUACION].&amp;[" &amp; $C92 &amp; "]"
),0)/1000</f>
        <v>-1.6257636267809488</v>
      </c>
      <c r="AG92" s="8">
        <f>IFERROR(
GETPIVOTDATA(
"[Base].[Importe]",
TDinamica_R!$A$5,
"[Calendario].[AñoMes]",
"[Calendario].[AñoMes].&amp;[" &amp; TEXT(AG$6,"yyyymm") &amp; "]",
"[Base].[Metrica]",
"[Base].[Metrica].&amp;[" &amp; $A92 &amp; "]",
"[Base].[SEGMENTO_DESCRIP]",
"[Base].[SEGMENTO_DESCRIP].&amp;[" &amp; $C$6 &amp; "]",
"[Base].[SITUACION]",
"[Base].[SITUACION].&amp;[" &amp; $C92 &amp; "]"
),0)/1000</f>
        <v>-5.820086652742507</v>
      </c>
      <c r="AH92" s="8">
        <f>IFERROR(
GETPIVOTDATA(
"[Base].[Importe]",
TDinamica_R!$A$5,
"[Calendario].[AñoMes]",
"[Calendario].[AñoMes].&amp;[" &amp; TEXT(AH$6,"yyyymm") &amp; "]",
"[Base].[Metrica]",
"[Base].[Metrica].&amp;[" &amp; $A92 &amp; "]",
"[Base].[SEGMENTO_DESCRIP]",
"[Base].[SEGMENTO_DESCRIP].&amp;[" &amp; $C$6 &amp; "]",
"[Base].[SITUACION]",
"[Base].[SITUACION].&amp;[" &amp; $C92 &amp; "]"
),0)/1000</f>
        <v>2.5951847895416673</v>
      </c>
      <c r="AI92" s="8">
        <f>IFERROR(
GETPIVOTDATA(
"[Base].[Importe]",
TDinamica_R!$A$5,
"[Calendario].[AñoMes]",
"[Calendario].[AñoMes].&amp;[" &amp; TEXT(AI$6,"yyyymm") &amp; "]",
"[Base].[Metrica]",
"[Base].[Metrica].&amp;[" &amp; $A92 &amp; "]",
"[Base].[SEGMENTO_DESCRIP]",
"[Base].[SEGMENTO_DESCRIP].&amp;[" &amp; $C$6 &amp; "]",
"[Base].[SITUACION]",
"[Base].[SITUACION].&amp;[" &amp; $C92 &amp; "]"
),0)/1000</f>
        <v>-8.0382447158004986</v>
      </c>
      <c r="AJ92" s="8">
        <f>IFERROR(
GETPIVOTDATA(
"[Base].[Importe]",
TDinamica_R!$A$5,
"[Calendario].[AñoMes]",
"[Calendario].[AñoMes].&amp;[" &amp; TEXT(AJ$6,"yyyymm") &amp; "]",
"[Base].[Metrica]",
"[Base].[Metrica].&amp;[" &amp; $A92 &amp; "]",
"[Base].[SEGMENTO_DESCRIP]",
"[Base].[SEGMENTO_DESCRIP].&amp;[" &amp; $C$6 &amp; "]",
"[Base].[SITUACION]",
"[Base].[SITUACION].&amp;[" &amp; $C92 &amp; "]"
),0)/1000</f>
        <v>64.777169515742315</v>
      </c>
      <c r="AK92" s="8">
        <f>IFERROR(
GETPIVOTDATA(
"[Base].[Importe]",
TDinamica_R!$A$5,
"[Calendario].[AñoMes]",
"[Calendario].[AñoMes].&amp;[" &amp; TEXT(AK$6,"yyyymm") &amp; "]",
"[Base].[Metrica]",
"[Base].[Metrica].&amp;[" &amp; $A92 &amp; "]",
"[Base].[SEGMENTO_DESCRIP]",
"[Base].[SEGMENTO_DESCRIP].&amp;[" &amp; $C$6 &amp; "]",
"[Base].[SITUACION]",
"[Base].[SITUACION].&amp;[" &amp; $C92 &amp; "]"
),0)/1000</f>
        <v>-7.970146727725103</v>
      </c>
      <c r="AL92" s="8">
        <f>IFERROR(
GETPIVOTDATA(
"[Base].[Importe]",
TDinamica_R!$A$5,
"[Calendario].[AñoMes]",
"[Calendario].[AñoMes].&amp;[" &amp; TEXT(AL$6,"yyyymm") &amp; "]",
"[Base].[Metrica]",
"[Base].[Metrica].&amp;[" &amp; $A92 &amp; "]",
"[Base].[SEGMENTO_DESCRIP]",
"[Base].[SEGMENTO_DESCRIP].&amp;[" &amp; $C$6 &amp; "]",
"[Base].[SITUACION]",
"[Base].[SITUACION].&amp;[" &amp; $C92 &amp; "]"
),0)/1000</f>
        <v>-42.846768166649937</v>
      </c>
      <c r="AM92" s="8">
        <f>IFERROR(
GETPIVOTDATA(
"[Base].[Importe]",
TDinamica_R!$A$5,
"[Calendario].[AñoMes]",
"[Calendario].[AñoMes].&amp;[" &amp; TEXT(AM$6,"yyyymm") &amp; "]",
"[Base].[Metrica]",
"[Base].[Metrica].&amp;[" &amp; $A92 &amp; "]",
"[Base].[SEGMENTO_DESCRIP]",
"[Base].[SEGMENTO_DESCRIP].&amp;[" &amp; $C$6 &amp; "]",
"[Base].[SITUACION]",
"[Base].[SITUACION].&amp;[" &amp; $C92 &amp; "]"
),0)/1000</f>
        <v>59.609877290490481</v>
      </c>
      <c r="AN92" s="8">
        <f>IFERROR(
GETPIVOTDATA(
"[Base].[Importe]",
TDinamica_R!$A$5,
"[Calendario].[AñoMes]",
"[Calendario].[AñoMes].&amp;[" &amp; TEXT(AN$6,"yyyymm") &amp; "]",
"[Base].[Metrica]",
"[Base].[Metrica].&amp;[" &amp; $A92 &amp; "]",
"[Base].[SEGMENTO_DESCRIP]",
"[Base].[SEGMENTO_DESCRIP].&amp;[" &amp; $C$6 &amp; "]",
"[Base].[SITUACION]",
"[Base].[SITUACION].&amp;[" &amp; $C92 &amp; "]"
),0)/1000</f>
        <v>-11.3517244622739</v>
      </c>
      <c r="AO92" s="8">
        <f>IFERROR(
GETPIVOTDATA(
"[Base].[Importe]",
TDinamica_R!$A$5,
"[Calendario].[AñoMes]",
"[Calendario].[AñoMes].&amp;[" &amp; TEXT(AO$6,"yyyymm") &amp; "]",
"[Base].[Metrica]",
"[Base].[Metrica].&amp;[" &amp; $A92 &amp; "]",
"[Base].[SEGMENTO_DESCRIP]",
"[Base].[SEGMENTO_DESCRIP].&amp;[" &amp; $C$6 &amp; "]",
"[Base].[SITUACION]",
"[Base].[SITUACION].&amp;[" &amp; $C92 &amp; "]"
),0)/1000</f>
        <v>32.959677077211616</v>
      </c>
      <c r="AP92" s="8">
        <f>IFERROR(
GETPIVOTDATA(
"[Base].[Importe]",
TDinamica_R!$A$5,
"[Calendario].[AñoMes]",
"[Calendario].[AñoMes].&amp;[" &amp; TEXT(AP$6,"yyyymm") &amp; "]",
"[Base].[Metrica]",
"[Base].[Metrica].&amp;[" &amp; $A92 &amp; "]",
"[Base].[SEGMENTO_DESCRIP]",
"[Base].[SEGMENTO_DESCRIP].&amp;[" &amp; $C$6 &amp; "]",
"[Base].[SITUACION]",
"[Base].[SITUACION].&amp;[" &amp; $C92 &amp; "]"
),0)/1000</f>
        <v>-69.967070994053643</v>
      </c>
      <c r="AQ92" s="8">
        <f>IFERROR(
GETPIVOTDATA(
"[Base].[Importe]",
TDinamica_R!$A$5,
"[Calendario].[AñoMes]",
"[Calendario].[AñoMes].&amp;[" &amp; TEXT(AQ$6,"yyyymm") &amp; "]",
"[Base].[Metrica]",
"[Base].[Metrica].&amp;[" &amp; $A92 &amp; "]",
"[Base].[SEGMENTO_DESCRIP]",
"[Base].[SEGMENTO_DESCRIP].&amp;[" &amp; $C$6 &amp; "]",
"[Base].[SITUACION]",
"[Base].[SITUACION].&amp;[" &amp; $C92 &amp; "]"
),0)/1000</f>
        <v>8.3985707945228256</v>
      </c>
      <c r="AR92" s="8">
        <f>IFERROR(
GETPIVOTDATA(
"[Base].[Importe]",
TDinamica_R!$A$5,
"[Calendario].[AñoMes]",
"[Calendario].[AñoMes].&amp;[" &amp; TEXT(AR$6,"yyyymm") &amp; "]",
"[Base].[Metrica]",
"[Base].[Metrica].&amp;[" &amp; $A92 &amp; "]",
"[Base].[SEGMENTO_DESCRIP]",
"[Base].[SEGMENTO_DESCRIP].&amp;[" &amp; $C$6 &amp; "]",
"[Base].[SITUACION]",
"[Base].[SITUACION].&amp;[" &amp; $C92 &amp; "]"
),0)/1000</f>
        <v>14.153519803047548</v>
      </c>
      <c r="AS92" s="8">
        <f>IFERROR(
GETPIVOTDATA(
"[Base].[Importe]",
TDinamica_R!$A$5,
"[Calendario].[AñoMes]",
"[Calendario].[AñoMes].&amp;[" &amp; TEXT(AS$6,"yyyymm") &amp; "]",
"[Base].[Metrica]",
"[Base].[Metrica].&amp;[" &amp; $A92 &amp; "]",
"[Base].[SEGMENTO_DESCRIP]",
"[Base].[SEGMENTO_DESCRIP].&amp;[" &amp; $C$6 &amp; "]",
"[Base].[SITUACION]",
"[Base].[SITUACION].&amp;[" &amp; $C92 &amp; "]"
),0)/1000</f>
        <v>28.05001788408622</v>
      </c>
      <c r="AT92" s="8">
        <f>IFERROR(
GETPIVOTDATA(
"[Base].[Importe]",
TDinamica_R!$A$5,
"[Calendario].[AñoMes]",
"[Calendario].[AñoMes].&amp;[" &amp; TEXT(AT$6,"yyyymm")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U92" s="8">
        <f>IFERROR(
GETPIVOTDATA(
"[Base].[Importe]",
TDinamica_R!$A$5,
"[Calendario].[AñoMes]",
"[Calendario].[AñoMes].&amp;[" &amp; TEXT(AU$6,"yyyymm")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V92" s="8">
        <f>IFERROR(
GETPIVOTDATA(
"[Base].[Importe]",
TDinamica_R!$A$5,
"[Calendario].[AñoMes]",
"[Calendario].[AñoMes].&amp;[" &amp; TEXT(AV$6,"yyyymm")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W92" s="8">
        <f>IFERROR(
GETPIVOTDATA(
"[Base].[Importe]",
TDinamica_R!$A$5,
"[Calendario].[AñoMes]",
"[Calendario].[AñoMes].&amp;[" &amp; TEXT(AW$6,"yyyymm")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X92" s="8">
        <f>IFERROR(
GETPIVOTDATA(
"[Base].[Importe]",
TDinamica_R!$A$5,
"[Calendario].[AñoMes]",
"[Calendario].[AñoMes].&amp;[" &amp; TEXT(AX$6,"yyyymm")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Y92" s="8">
        <f>IFERROR(
GETPIVOTDATA(
"[Base].[Importe]",
TDinamica_R!$A$5,
"[Calendario].[AñoMes]",
"[Calendario].[AñoMes].&amp;[" &amp; TEXT(AY$6,"yyyymm")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Z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"[BASE_HIPO_PPTO].[Periodo]","[BASE_HIPO_PPTO].[Periodo].&amp;["&amp;TEXT(AZ$6,"yyyymm")&amp;"]"),
0)/1000</f>
        <v>-62.144376060607797</v>
      </c>
      <c r="BA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"[BASE_HIPO_PPTO].[Periodo]","[BASE_HIPO_PPTO].[Periodo].&amp;["&amp;TEXT(BA$6,"yyyymm")&amp;"]"),
0)/1000</f>
        <v>-15.402728295953153</v>
      </c>
      <c r="BB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"[BASE_HIPO_PPTO].[Periodo]","[BASE_HIPO_PPTO].[Periodo].&amp;["&amp;TEXT(BB$6,"yyyymm")&amp;"]"),
0)/1000</f>
        <v>-16.282510413146422</v>
      </c>
      <c r="BC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"[BASE_HIPO_PPTO].[Periodo]","[BASE_HIPO_PPTO].[Periodo].&amp;["&amp;TEXT(BC$6,"yyyymm")&amp;"]"),
0)/1000</f>
        <v>-15.793072172769797</v>
      </c>
      <c r="BD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"[BASE_HIPO_PPTO].[Periodo]","[BASE_HIPO_PPTO].[Periodo].&amp;["&amp;TEXT(BD$6,"yyyymm")&amp;"]"),
0)/1000</f>
        <v>-15.845921771640793</v>
      </c>
      <c r="BE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"[BASE_HIPO_PPTO].[Periodo]","[BASE_HIPO_PPTO].[Periodo].&amp;["&amp;TEXT(BE$6,"yyyymm")&amp;"]"),
0)/1000</f>
        <v>-16.687699070231051</v>
      </c>
      <c r="BF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"[BASE_HIPO_PPTO].[Periodo]","[BASE_HIPO_PPTO].[Periodo].&amp;["&amp;TEXT(BF$6,"yyyymm")&amp;"]"),
0)/1000</f>
        <v>-15.800547489324627</v>
      </c>
      <c r="BG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"[BASE_HIPO_PPTO].[Periodo]","[BASE_HIPO_PPTO].[Periodo].&amp;["&amp;TEXT(BG$6,"yyyymm")&amp;"]"),
0)/1000</f>
        <v>-15.819166183286832</v>
      </c>
      <c r="BH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"[BASE_HIPO_PPTO].[Periodo]","[BASE_HIPO_PPTO].[Periodo].&amp;["&amp;TEXT(BH$6,"yyyymm")&amp;"]"),
0)/1000</f>
        <v>-16.430052524499573</v>
      </c>
      <c r="BI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"[BASE_HIPO_PPTO].[Periodo]","[BASE_HIPO_PPTO].[Periodo].&amp;["&amp;TEXT(BI$6,"yyyymm")&amp;"]"),
0)/1000</f>
        <v>-15.930879985181928</v>
      </c>
      <c r="BJ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"[BASE_HIPO_PPTO].[Periodo]","[BASE_HIPO_PPTO].[Periodo].&amp;["&amp;TEXT(BJ$6,"yyyymm")&amp;"]"),
0)/1000</f>
        <v>-15.964309978478873</v>
      </c>
      <c r="BK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"[BASE_HIPO_PPTO].[Periodo]","[BASE_HIPO_PPTO].[Periodo].&amp;["&amp;TEXT(BK$6,"yyyymm")&amp;"]"),
0)/1000</f>
        <v>-16.740891102748702</v>
      </c>
      <c r="BO92" s="24">
        <f t="shared" si="51"/>
        <v>-48.359118379115927</v>
      </c>
      <c r="BP92" s="24">
        <f t="shared" si="51"/>
        <v>-93.829614769707376</v>
      </c>
      <c r="BQ92" s="24">
        <f t="shared" si="51"/>
        <v>21.607952614937716</v>
      </c>
      <c r="BR92" s="24">
        <f t="shared" si="51"/>
        <v>-140.20319613857345</v>
      </c>
      <c r="BS92" s="24">
        <f t="shared" si="51"/>
        <v>55.333378058967753</v>
      </c>
      <c r="BT92" s="24">
        <f t="shared" si="51"/>
        <v>30.094046214695812</v>
      </c>
    </row>
    <row r="93" spans="1:72" collapsed="1" x14ac:dyDescent="0.25">
      <c r="C93" s="3" t="s">
        <v>81</v>
      </c>
      <c r="D93" s="10">
        <f>SUM(D91:D92)</f>
        <v>10.14466956886208</v>
      </c>
      <c r="E93" s="10">
        <f t="shared" ref="E93:BK93" si="52">SUM(E91:E92)</f>
        <v>10.030018470221254</v>
      </c>
      <c r="F93" s="10">
        <f t="shared" si="52"/>
        <v>9.9193581756124765</v>
      </c>
      <c r="G93" s="10">
        <f t="shared" si="52"/>
        <v>9.8225061539882379</v>
      </c>
      <c r="H93" s="10">
        <f t="shared" si="52"/>
        <v>70.063151549020262</v>
      </c>
      <c r="I93" s="10">
        <f t="shared" si="52"/>
        <v>155.81213172208507</v>
      </c>
      <c r="J93" s="10">
        <f t="shared" si="52"/>
        <v>9.2753018770847273</v>
      </c>
      <c r="K93" s="10">
        <f t="shared" si="52"/>
        <v>83.105090212999997</v>
      </c>
      <c r="L93" s="10">
        <f t="shared" si="52"/>
        <v>8.9601736107973515</v>
      </c>
      <c r="M93" s="10">
        <f t="shared" si="52"/>
        <v>8.7546350908363006</v>
      </c>
      <c r="N93" s="10">
        <f t="shared" si="52"/>
        <v>8.5417832406793064</v>
      </c>
      <c r="O93" s="10">
        <f t="shared" si="52"/>
        <v>8.4697707592010296</v>
      </c>
      <c r="P93" s="10">
        <f t="shared" si="52"/>
        <v>-55.037706344422197</v>
      </c>
      <c r="Q93" s="10">
        <f t="shared" si="52"/>
        <v>39.310834028367687</v>
      </c>
      <c r="R93" s="10">
        <f t="shared" si="52"/>
        <v>71.060250375022264</v>
      </c>
      <c r="S93" s="10">
        <f t="shared" si="52"/>
        <v>7.4243840510677215</v>
      </c>
      <c r="T93" s="10">
        <f t="shared" si="52"/>
        <v>-44.171153525582667</v>
      </c>
      <c r="U93" s="10">
        <f t="shared" si="52"/>
        <v>-23.38096438098076</v>
      </c>
      <c r="V93" s="10">
        <f t="shared" si="52"/>
        <v>7.2297224547071837</v>
      </c>
      <c r="W93" s="10">
        <f t="shared" si="52"/>
        <v>6.2288846186983742</v>
      </c>
      <c r="X93" s="10">
        <f t="shared" si="52"/>
        <v>96.824966456138014</v>
      </c>
      <c r="Y93" s="10">
        <f t="shared" si="52"/>
        <v>-7.4840809902398924</v>
      </c>
      <c r="Z93" s="10">
        <f t="shared" si="52"/>
        <v>-134.9087442715784</v>
      </c>
      <c r="AA93" s="10">
        <f t="shared" si="52"/>
        <v>-99.766751839599308</v>
      </c>
      <c r="AB93" s="10">
        <f t="shared" si="52"/>
        <v>-8.1391086206549854</v>
      </c>
      <c r="AC93" s="10">
        <f t="shared" si="52"/>
        <v>-34.698430860972216</v>
      </c>
      <c r="AD93" s="10">
        <f t="shared" si="52"/>
        <v>-97.365656656946257</v>
      </c>
      <c r="AE93" s="10">
        <f t="shared" si="52"/>
        <v>36.076432221564517</v>
      </c>
      <c r="AF93" s="10">
        <f t="shared" si="52"/>
        <v>-1.6257636267809488</v>
      </c>
      <c r="AG93" s="10">
        <f t="shared" si="52"/>
        <v>-5.820086652742507</v>
      </c>
      <c r="AH93" s="10">
        <f t="shared" si="52"/>
        <v>2.5951847895416673</v>
      </c>
      <c r="AI93" s="10">
        <f t="shared" si="52"/>
        <v>-8.0382447158004986</v>
      </c>
      <c r="AJ93" s="10">
        <f t="shared" si="52"/>
        <v>64.777169515742315</v>
      </c>
      <c r="AK93" s="10">
        <f t="shared" si="52"/>
        <v>-7.970146727725103</v>
      </c>
      <c r="AL93" s="10">
        <f t="shared" si="52"/>
        <v>-42.846768166649937</v>
      </c>
      <c r="AM93" s="10">
        <f t="shared" si="52"/>
        <v>59.609877290490481</v>
      </c>
      <c r="AN93" s="10">
        <f t="shared" si="52"/>
        <v>-11.3517244622739</v>
      </c>
      <c r="AO93" s="10">
        <f t="shared" si="52"/>
        <v>32.959677077211616</v>
      </c>
      <c r="AP93" s="10">
        <f t="shared" si="52"/>
        <v>-69.967070994053643</v>
      </c>
      <c r="AQ93" s="10">
        <f t="shared" si="52"/>
        <v>8.3985707945228256</v>
      </c>
      <c r="AR93" s="10">
        <f t="shared" si="52"/>
        <v>14.153519803047548</v>
      </c>
      <c r="AS93" s="10">
        <f t="shared" si="52"/>
        <v>28.05001788408622</v>
      </c>
      <c r="AT93" s="10">
        <f t="shared" si="52"/>
        <v>0</v>
      </c>
      <c r="AU93" s="10">
        <f t="shared" si="52"/>
        <v>0</v>
      </c>
      <c r="AV93" s="10">
        <f t="shared" si="52"/>
        <v>0</v>
      </c>
      <c r="AW93" s="10">
        <f t="shared" si="52"/>
        <v>0</v>
      </c>
      <c r="AX93" s="10">
        <f t="shared" si="52"/>
        <v>0</v>
      </c>
      <c r="AY93" s="10">
        <f t="shared" si="52"/>
        <v>0</v>
      </c>
      <c r="AZ93" s="10">
        <f t="shared" si="52"/>
        <v>-62.144376060607797</v>
      </c>
      <c r="BA93" s="10">
        <f t="shared" si="52"/>
        <v>-15.402728295953153</v>
      </c>
      <c r="BB93" s="10">
        <f t="shared" si="52"/>
        <v>-16.282510413146422</v>
      </c>
      <c r="BC93" s="10">
        <f t="shared" si="52"/>
        <v>-15.793072172769797</v>
      </c>
      <c r="BD93" s="10">
        <f t="shared" si="52"/>
        <v>-15.845921771640793</v>
      </c>
      <c r="BE93" s="10">
        <f t="shared" si="52"/>
        <v>-16.687699070231051</v>
      </c>
      <c r="BF93" s="10">
        <f t="shared" si="52"/>
        <v>-15.800547489324627</v>
      </c>
      <c r="BG93" s="10">
        <f t="shared" si="52"/>
        <v>-15.819166183286832</v>
      </c>
      <c r="BH93" s="10">
        <f t="shared" si="52"/>
        <v>-16.430052524499573</v>
      </c>
      <c r="BI93" s="10">
        <f t="shared" si="52"/>
        <v>-15.930879985181928</v>
      </c>
      <c r="BJ93" s="10">
        <f t="shared" si="52"/>
        <v>-15.964309978478873</v>
      </c>
      <c r="BK93" s="10">
        <f t="shared" si="52"/>
        <v>-16.740891102748702</v>
      </c>
      <c r="BO93" s="23">
        <f t="shared" ref="BO93:BT93" si="53">SUM(BO91:BO92)</f>
        <v>-48.359118379115927</v>
      </c>
      <c r="BP93" s="23">
        <f t="shared" si="53"/>
        <v>-93.829614769707376</v>
      </c>
      <c r="BQ93" s="23">
        <f t="shared" si="53"/>
        <v>21.607952614937716</v>
      </c>
      <c r="BR93" s="23">
        <f t="shared" si="53"/>
        <v>-140.20319613857345</v>
      </c>
      <c r="BS93" s="23">
        <f t="shared" si="53"/>
        <v>55.333378058967753</v>
      </c>
      <c r="BT93" s="23">
        <f t="shared" si="53"/>
        <v>30.094046214695812</v>
      </c>
    </row>
    <row r="95" spans="1:72" hidden="1" outlineLevel="1" x14ac:dyDescent="0.25">
      <c r="A95" s="11" t="s">
        <v>82</v>
      </c>
      <c r="C95" s="2" t="s">
        <v>83</v>
      </c>
      <c r="D95" s="8">
        <f>IFERROR(
GETPIVOTDATA(
"[Base].[Importe]",
TDinamica_R!$A$5,
"[Calendario].[AñoMes]",
"[Calendario].[AñoMes].&amp;[" &amp; TEXT(D$6,"yyyymm")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E95" s="8">
        <f>IFERROR(
GETPIVOTDATA(
"[Base].[Importe]",
TDinamica_R!$A$5,
"[Calendario].[AñoMes]",
"[Calendario].[AñoMes].&amp;[" &amp; TEXT(E$6,"yyyymm")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F95" s="8">
        <f>IFERROR(
GETPIVOTDATA(
"[Base].[Importe]",
TDinamica_R!$A$5,
"[Calendario].[AñoMes]",
"[Calendario].[AñoMes].&amp;[" &amp; TEXT(F$6,"yyyymm")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G95" s="8">
        <f>IFERROR(
GETPIVOTDATA(
"[Base].[Importe]",
TDinamica_R!$A$5,
"[Calendario].[AñoMes]",
"[Calendario].[AñoMes].&amp;[" &amp; TEXT(G$6,"yyyymm")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H95" s="8">
        <f>IFERROR(
GETPIVOTDATA(
"[Base].[Importe]",
TDinamica_R!$A$5,
"[Calendario].[AñoMes]",
"[Calendario].[AñoMes].&amp;[" &amp; TEXT(H$6,"yyyymm")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I95" s="8">
        <f>IFERROR(
GETPIVOTDATA(
"[Base].[Importe]",
TDinamica_R!$A$5,
"[Calendario].[AñoMes]",
"[Calendario].[AñoMes].&amp;[" &amp; TEXT(I$6,"yyyymm")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J95" s="8">
        <f>IFERROR(
GETPIVOTDATA(
"[Base].[Importe]",
TDinamica_R!$A$5,
"[Calendario].[AñoMes]",
"[Calendario].[AñoMes].&amp;[" &amp; TEXT(J$6,"yyyymm")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K95" s="8">
        <f>IFERROR(
GETPIVOTDATA(
"[Base].[Importe]",
TDinamica_R!$A$5,
"[Calendario].[AñoMes]",
"[Calendario].[AñoMes].&amp;[" &amp; TEXT(K$6,"yyyymm")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L95" s="8">
        <f>IFERROR(
GETPIVOTDATA(
"[Base].[Importe]",
TDinamica_R!$A$5,
"[Calendario].[AñoMes]",
"[Calendario].[AñoMes].&amp;[" &amp; TEXT(L$6,"yyyymm")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M95" s="8">
        <f>IFERROR(
GETPIVOTDATA(
"[Base].[Importe]",
TDinamica_R!$A$5,
"[Calendario].[AñoMes]",
"[Calendario].[AñoMes].&amp;[" &amp; TEXT(M$6,"yyyymm")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N95" s="8">
        <f>IFERROR(
GETPIVOTDATA(
"[Base].[Importe]",
TDinamica_R!$A$5,
"[Calendario].[AñoMes]",
"[Calendario].[AñoMes].&amp;[" &amp; TEXT(N$6,"yyyymm")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O95" s="8">
        <f>IFERROR(
GETPIVOTDATA(
"[Base].[Importe]",
TDinamica_R!$A$5,
"[Calendario].[AñoMes]",
"[Calendario].[AñoMes].&amp;[" &amp; TEXT(O$6,"yyyymm")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P95" s="8">
        <f>IFERROR(
GETPIVOTDATA(
"[Base].[Importe]",
TDinamica_R!$A$5,
"[Calendario].[AñoMes]",
"[Calendario].[AñoMes].&amp;[" &amp; TEXT(P$6,"yyyymm")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Q95" s="8">
        <f>IFERROR(
GETPIVOTDATA(
"[Base].[Importe]",
TDinamica_R!$A$5,
"[Calendario].[AñoMes]",
"[Calendario].[AñoMes].&amp;[" &amp; TEXT(Q$6,"yyyymm")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R95" s="8">
        <f>IFERROR(
GETPIVOTDATA(
"[Base].[Importe]",
TDinamica_R!$A$5,
"[Calendario].[AñoMes]",
"[Calendario].[AñoMes].&amp;[" &amp; TEXT(R$6,"yyyymm")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S95" s="8">
        <f>IFERROR(
GETPIVOTDATA(
"[Base].[Importe]",
TDinamica_R!$A$5,
"[Calendario].[AñoMes]",
"[Calendario].[AñoMes].&amp;[" &amp; TEXT(S$6,"yyyymm")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T95" s="8">
        <f>IFERROR(
GETPIVOTDATA(
"[Base].[Importe]",
TDinamica_R!$A$5,
"[Calendario].[AñoMes]",
"[Calendario].[AñoMes].&amp;[" &amp; TEXT(T$6,"yyyymm")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U95" s="8">
        <f>IFERROR(
GETPIVOTDATA(
"[Base].[Importe]",
TDinamica_R!$A$5,
"[Calendario].[AñoMes]",
"[Calendario].[AñoMes].&amp;[" &amp; TEXT(U$6,"yyyymm")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V95" s="8">
        <f>IFERROR(
GETPIVOTDATA(
"[Base].[Importe]",
TDinamica_R!$A$5,
"[Calendario].[AñoMes]",
"[Calendario].[AñoMes].&amp;[" &amp; TEXT(V$6,"yyyymm")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W95" s="8">
        <f>IFERROR(
GETPIVOTDATA(
"[Base].[Importe]",
TDinamica_R!$A$5,
"[Calendario].[AñoMes]",
"[Calendario].[AñoMes].&amp;[" &amp; TEXT(W$6,"yyyymm")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X95" s="8">
        <f>IFERROR(
GETPIVOTDATA(
"[Base].[Importe]",
TDinamica_R!$A$5,
"[Calendario].[AñoMes]",
"[Calendario].[AñoMes].&amp;[" &amp; TEXT(X$6,"yyyymm")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Y95" s="8">
        <f>IFERROR(
GETPIVOTDATA(
"[Base].[Importe]",
TDinamica_R!$A$5,
"[Calendario].[AñoMes]",
"[Calendario].[AñoMes].&amp;[" &amp; TEXT(Y$6,"yyyymm")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Z95" s="8">
        <f>IFERROR(
GETPIVOTDATA(
"[Base].[Importe]",
TDinamica_R!$A$5,
"[Calendario].[AñoMes]",
"[Calendario].[AñoMes].&amp;[" &amp; TEXT(Z$6,"yyyymm")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A95" s="8">
        <f>IFERROR(
GETPIVOTDATA(
"[Base].[Importe]",
TDinamica_R!$A$5,
"[Calendario].[AñoMes]",
"[Calendario].[AñoMes].&amp;[" &amp; TEXT(AA$6,"yyyymm")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B95" s="8">
        <f>IFERROR(
GETPIVOTDATA(
"[Base].[Importe]",
TDinamica_R!$A$5,
"[Calendario].[AñoMes]",
"[Calendario].[AñoMes].&amp;[" &amp; TEXT(AB$6,"yyyymm")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C95" s="8">
        <f>IFERROR(
GETPIVOTDATA(
"[Base].[Importe]",
TDinamica_R!$A$5,
"[Calendario].[AñoMes]",
"[Calendario].[AñoMes].&amp;[" &amp; TEXT(AC$6,"yyyymm")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D95" s="8">
        <f>IFERROR(
GETPIVOTDATA(
"[Base].[Importe]",
TDinamica_R!$A$5,
"[Calendario].[AñoMes]",
"[Calendario].[AñoMes].&amp;[" &amp; TEXT(AD$6,"yyyymm") &amp; "]",
"[Base].[Metrica]",
"[Base].[Metrica].&amp;[" &amp; $A95 &amp; "]",
"[Base].[SEGMENTO_DESCRIP]",
"[Base].[SEGMENTO_DESCRIP].&amp;[" &amp; $C$6 &amp; "]",
"[Base].[SITUACION]",
"[Base].[SITUACION].&amp;[" &amp; $C95 &amp; "]"
),0)/1000</f>
        <v>265.54773467163409</v>
      </c>
      <c r="AE95" s="8">
        <f>IFERROR(
GETPIVOTDATA(
"[Base].[Importe]",
TDinamica_R!$A$5,
"[Calendario].[AñoMes]",
"[Calendario].[AñoMes].&amp;[" &amp; TEXT(AE$6,"yyyymm")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F95" s="8">
        <f>IFERROR(
GETPIVOTDATA(
"[Base].[Importe]",
TDinamica_R!$A$5,
"[Calendario].[AñoMes]",
"[Calendario].[AñoMes].&amp;[" &amp; TEXT(AF$6,"yyyymm")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G95" s="8">
        <f>IFERROR(
GETPIVOTDATA(
"[Base].[Importe]",
TDinamica_R!$A$5,
"[Calendario].[AñoMes]",
"[Calendario].[AñoMes].&amp;[" &amp; TEXT(AG$6,"yyyymm")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H95" s="8">
        <f>IFERROR(
GETPIVOTDATA(
"[Base].[Importe]",
TDinamica_R!$A$5,
"[Calendario].[AñoMes]",
"[Calendario].[AñoMes].&amp;[" &amp; TEXT(AH$6,"yyyymm")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I95" s="8">
        <f>IFERROR(
GETPIVOTDATA(
"[Base].[Importe]",
TDinamica_R!$A$5,
"[Calendario].[AñoMes]",
"[Calendario].[AñoMes].&amp;[" &amp; TEXT(AI$6,"yyyymm")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J95" s="8">
        <f>IFERROR(
GETPIVOTDATA(
"[Base].[Importe]",
TDinamica_R!$A$5,
"[Calendario].[AñoMes]",
"[Calendario].[AñoMes].&amp;[" &amp; TEXT(AJ$6,"yyyymm")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K95" s="8">
        <f>IFERROR(
GETPIVOTDATA(
"[Base].[Importe]",
TDinamica_R!$A$5,
"[Calendario].[AñoMes]",
"[Calendario].[AñoMes].&amp;[" &amp; TEXT(AK$6,"yyyymm")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L95" s="8">
        <f>IFERROR(
GETPIVOTDATA(
"[Base].[Importe]",
TDinamica_R!$A$5,
"[Calendario].[AñoMes]",
"[Calendario].[AñoMes].&amp;[" &amp; TEXT(AL$6,"yyyymm")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M95" s="8">
        <f>IFERROR(
GETPIVOTDATA(
"[Base].[Importe]",
TDinamica_R!$A$5,
"[Calendario].[AñoMes]",
"[Calendario].[AñoMes].&amp;[" &amp; TEXT(AM$6,"yyyymm")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N95" s="8">
        <f>IFERROR(
GETPIVOTDATA(
"[Base].[Importe]",
TDinamica_R!$A$5,
"[Calendario].[AñoMes]",
"[Calendario].[AñoMes].&amp;[" &amp; TEXT(AN$6,"yyyymm")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O95" s="8">
        <f>IFERROR(
GETPIVOTDATA(
"[Base].[Importe]",
TDinamica_R!$A$5,
"[Calendario].[AñoMes]",
"[Calendario].[AñoMes].&amp;[" &amp; TEXT(AO$6,"yyyymm") &amp; "]",
"[Base].[Metrica]",
"[Base].[Metrica].&amp;[" &amp; $A95 &amp; "]",
"[Base].[SEGMENTO_DESCRIP]",
"[Base].[SEGMENTO_DESCRIP].&amp;[" &amp; $C$6 &amp; "]",
"[Base].[SITUACION]",
"[Base].[SITUACION].&amp;[" &amp; $C95 &amp; "]"
),0)/1000</f>
        <v>47.24404666194458</v>
      </c>
      <c r="AP95" s="8">
        <f>IFERROR(
GETPIVOTDATA(
"[Base].[Importe]",
TDinamica_R!$A$5,
"[Calendario].[AñoMes]",
"[Calendario].[AñoMes].&amp;[" &amp; TEXT(AP$6,"yyyymm") &amp; "]",
"[Base].[Metrica]",
"[Base].[Metrica].&amp;[" &amp; $A95 &amp; "]",
"[Base].[SEGMENTO_DESCRIP]",
"[Base].[SEGMENTO_DESCRIP].&amp;[" &amp; $C$6 &amp; "]",
"[Base].[SITUACION]",
"[Base].[SITUACION].&amp;[" &amp; $C95 &amp; "]"
),0)/1000</f>
        <v>804.51100247159593</v>
      </c>
      <c r="AQ95" s="8">
        <f>IFERROR(
GETPIVOTDATA(
"[Base].[Importe]",
TDinamica_R!$A$5,
"[Calendario].[AñoMes]",
"[Calendario].[AñoMes].&amp;[" &amp; TEXT(AQ$6,"yyyymm")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R95" s="8">
        <f>IFERROR(
GETPIVOTDATA(
"[Base].[Importe]",
TDinamica_R!$A$5,
"[Calendario].[AñoMes]",
"[Calendario].[AñoMes].&amp;[" &amp; TEXT(AR$6,"yyyymm")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S95" s="8">
        <f>IFERROR(
GETPIVOTDATA(
"[Base].[Importe]",
TDinamica_R!$A$5,
"[Calendario].[AñoMes]",
"[Calendario].[AñoMes].&amp;[" &amp; TEXT(AS$6,"yyyymm")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T95" s="8">
        <f>IFERROR(
GETPIVOTDATA(
"[Base].[Importe]",
TDinamica_R!$A$5,
"[Calendario].[AñoMes]",
"[Calendario].[AñoMes].&amp;[" &amp; TEXT(AT$6,"yyyymm")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U95" s="8">
        <f>IFERROR(
GETPIVOTDATA(
"[Base].[Importe]",
TDinamica_R!$A$5,
"[Calendario].[AñoMes]",
"[Calendario].[AñoMes].&amp;[" &amp; TEXT(AU$6,"yyyymm")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V95" s="8">
        <f>IFERROR(
GETPIVOTDATA(
"[Base].[Importe]",
TDinamica_R!$A$5,
"[Calendario].[AñoMes]",
"[Calendario].[AñoMes].&amp;[" &amp; TEXT(AV$6,"yyyymm")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W95" s="8">
        <f>IFERROR(
GETPIVOTDATA(
"[Base].[Importe]",
TDinamica_R!$A$5,
"[Calendario].[AñoMes]",
"[Calendario].[AñoMes].&amp;[" &amp; TEXT(AW$6,"yyyymm")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X95" s="8">
        <f>IFERROR(
GETPIVOTDATA(
"[Base].[Importe]",
TDinamica_R!$A$5,
"[Calendario].[AñoMes]",
"[Calendario].[AñoMes].&amp;[" &amp; TEXT(AX$6,"yyyymm")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Y95" s="8">
        <f>IFERROR(
GETPIVOTDATA(
"[Base].[Importe]",
TDinamica_R!$A$5,
"[Calendario].[AñoMes]",
"[Calendario].[AñoMes].&amp;[" &amp; TEXT(AY$6,"yyyymm")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Z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"[BASE_HIPO_PPTO].[Periodo]","[BASE_HIPO_PPTO].[Periodo].&amp;["&amp;TEXT(AZ$6,"yyyymm")&amp;"]"),
0)/1000</f>
        <v>0</v>
      </c>
      <c r="BA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"[BASE_HIPO_PPTO].[Periodo]","[BASE_HIPO_PPTO].[Periodo].&amp;["&amp;TEXT(BA$6,"yyyymm")&amp;"]"),
0)/1000</f>
        <v>0</v>
      </c>
      <c r="BB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"[BASE_HIPO_PPTO].[Periodo]","[BASE_HIPO_PPTO].[Periodo].&amp;["&amp;TEXT(BB$6,"yyyymm")&amp;"]"),
0)/1000</f>
        <v>0</v>
      </c>
      <c r="BC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"[BASE_HIPO_PPTO].[Periodo]","[BASE_HIPO_PPTO].[Periodo].&amp;["&amp;TEXT(BC$6,"yyyymm")&amp;"]"),
0)/1000</f>
        <v>0</v>
      </c>
      <c r="BD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"[BASE_HIPO_PPTO].[Periodo]","[BASE_HIPO_PPTO].[Periodo].&amp;["&amp;TEXT(BD$6,"yyyymm")&amp;"]"),
0)/1000</f>
        <v>0</v>
      </c>
      <c r="BE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"[BASE_HIPO_PPTO].[Periodo]","[BASE_HIPO_PPTO].[Periodo].&amp;["&amp;TEXT(BE$6,"yyyymm")&amp;"]"),
0)/1000</f>
        <v>0</v>
      </c>
      <c r="BF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"[BASE_HIPO_PPTO].[Periodo]","[BASE_HIPO_PPTO].[Periodo].&amp;["&amp;TEXT(BF$6,"yyyymm")&amp;"]"),
0)/1000</f>
        <v>0</v>
      </c>
      <c r="BG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"[BASE_HIPO_PPTO].[Periodo]","[BASE_HIPO_PPTO].[Periodo].&amp;["&amp;TEXT(BG$6,"yyyymm")&amp;"]"),
0)/1000</f>
        <v>0</v>
      </c>
      <c r="BH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"[BASE_HIPO_PPTO].[Periodo]","[BASE_HIPO_PPTO].[Periodo].&amp;["&amp;TEXT(BH$6,"yyyymm")&amp;"]"),
0)/1000</f>
        <v>0</v>
      </c>
      <c r="BI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"[BASE_HIPO_PPTO].[Periodo]","[BASE_HIPO_PPTO].[Periodo].&amp;["&amp;TEXT(BI$6,"yyyymm")&amp;"]"),
0)/1000</f>
        <v>0</v>
      </c>
      <c r="BJ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"[BASE_HIPO_PPTO].[Periodo]","[BASE_HIPO_PPTO].[Periodo].&amp;["&amp;TEXT(BJ$6,"yyyymm")&amp;"]"),
0)/1000</f>
        <v>0</v>
      </c>
      <c r="BK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"[BASE_HIPO_PPTO].[Periodo]","[BASE_HIPO_PPTO].[Periodo].&amp;["&amp;TEXT(BK$6,"yyyymm")&amp;"]"),
0)/1000</f>
        <v>0</v>
      </c>
      <c r="BO95" s="24">
        <f t="shared" ref="BO95:BT95" si="54">SUMIFS($D95:$BM95,$D$6:$BM$6,"&gt;="&amp;BO$2,$D$6:$BM$6,"&lt;="&amp;BO$6,$D$5:$BM$5,BO$5)</f>
        <v>851.75504913354052</v>
      </c>
      <c r="BP95" s="24">
        <f t="shared" si="54"/>
        <v>0</v>
      </c>
      <c r="BQ95" s="24">
        <f t="shared" si="54"/>
        <v>47.24404666194458</v>
      </c>
      <c r="BR95" s="24">
        <f t="shared" si="54"/>
        <v>265.54773467163409</v>
      </c>
      <c r="BS95" s="24">
        <f t="shared" si="54"/>
        <v>0</v>
      </c>
      <c r="BT95" s="24">
        <f t="shared" si="54"/>
        <v>0</v>
      </c>
    </row>
    <row r="96" spans="1:72" collapsed="1" x14ac:dyDescent="0.25">
      <c r="C96" s="3" t="s">
        <v>82</v>
      </c>
      <c r="D96" s="10">
        <f>SUM(D95:D95)</f>
        <v>0</v>
      </c>
      <c r="E96" s="10">
        <f t="shared" ref="E96:AY96" si="55">SUM(E95:E95)</f>
        <v>0</v>
      </c>
      <c r="F96" s="10">
        <f t="shared" si="55"/>
        <v>0</v>
      </c>
      <c r="G96" s="10">
        <f t="shared" si="55"/>
        <v>0</v>
      </c>
      <c r="H96" s="10">
        <f t="shared" si="55"/>
        <v>0</v>
      </c>
      <c r="I96" s="10">
        <f t="shared" si="55"/>
        <v>0</v>
      </c>
      <c r="J96" s="10">
        <f t="shared" si="55"/>
        <v>0</v>
      </c>
      <c r="K96" s="10">
        <f t="shared" si="55"/>
        <v>0</v>
      </c>
      <c r="L96" s="10">
        <f t="shared" si="55"/>
        <v>0</v>
      </c>
      <c r="M96" s="10">
        <f t="shared" si="55"/>
        <v>0</v>
      </c>
      <c r="N96" s="10">
        <f t="shared" si="55"/>
        <v>0</v>
      </c>
      <c r="O96" s="10">
        <f t="shared" si="55"/>
        <v>0</v>
      </c>
      <c r="P96" s="10">
        <f t="shared" si="55"/>
        <v>0</v>
      </c>
      <c r="Q96" s="10">
        <f t="shared" si="55"/>
        <v>0</v>
      </c>
      <c r="R96" s="10">
        <f t="shared" si="55"/>
        <v>0</v>
      </c>
      <c r="S96" s="10">
        <f t="shared" si="55"/>
        <v>0</v>
      </c>
      <c r="T96" s="10">
        <f t="shared" si="55"/>
        <v>0</v>
      </c>
      <c r="U96" s="10">
        <f t="shared" si="55"/>
        <v>0</v>
      </c>
      <c r="V96" s="10">
        <f t="shared" si="55"/>
        <v>0</v>
      </c>
      <c r="W96" s="10">
        <f t="shared" si="55"/>
        <v>0</v>
      </c>
      <c r="X96" s="10">
        <f t="shared" si="55"/>
        <v>0</v>
      </c>
      <c r="Y96" s="10">
        <f t="shared" si="55"/>
        <v>0</v>
      </c>
      <c r="Z96" s="10">
        <f t="shared" si="55"/>
        <v>0</v>
      </c>
      <c r="AA96" s="10">
        <f t="shared" si="55"/>
        <v>0</v>
      </c>
      <c r="AB96" s="10">
        <f t="shared" si="55"/>
        <v>0</v>
      </c>
      <c r="AC96" s="10">
        <f t="shared" si="55"/>
        <v>0</v>
      </c>
      <c r="AD96" s="10">
        <f t="shared" si="55"/>
        <v>265.54773467163409</v>
      </c>
      <c r="AE96" s="10">
        <f t="shared" si="55"/>
        <v>0</v>
      </c>
      <c r="AF96" s="10">
        <f t="shared" si="55"/>
        <v>0</v>
      </c>
      <c r="AG96" s="10">
        <f t="shared" si="55"/>
        <v>0</v>
      </c>
      <c r="AH96" s="10">
        <f t="shared" si="55"/>
        <v>0</v>
      </c>
      <c r="AI96" s="10">
        <f t="shared" si="55"/>
        <v>0</v>
      </c>
      <c r="AJ96" s="10">
        <f t="shared" si="55"/>
        <v>0</v>
      </c>
      <c r="AK96" s="10">
        <f t="shared" si="55"/>
        <v>0</v>
      </c>
      <c r="AL96" s="10">
        <f t="shared" si="55"/>
        <v>0</v>
      </c>
      <c r="AM96" s="10">
        <f t="shared" si="55"/>
        <v>0</v>
      </c>
      <c r="AN96" s="10">
        <f t="shared" si="55"/>
        <v>0</v>
      </c>
      <c r="AO96" s="10">
        <f t="shared" si="55"/>
        <v>47.24404666194458</v>
      </c>
      <c r="AP96" s="10">
        <f t="shared" si="55"/>
        <v>804.51100247159593</v>
      </c>
      <c r="AQ96" s="10">
        <f t="shared" si="55"/>
        <v>0</v>
      </c>
      <c r="AR96" s="10">
        <f t="shared" si="55"/>
        <v>0</v>
      </c>
      <c r="AS96" s="10">
        <f t="shared" si="55"/>
        <v>0</v>
      </c>
      <c r="AT96" s="10">
        <f t="shared" si="55"/>
        <v>0</v>
      </c>
      <c r="AU96" s="10">
        <f t="shared" si="55"/>
        <v>0</v>
      </c>
      <c r="AV96" s="10">
        <f t="shared" si="55"/>
        <v>0</v>
      </c>
      <c r="AW96" s="10">
        <f t="shared" si="55"/>
        <v>0</v>
      </c>
      <c r="AX96" s="10">
        <f t="shared" si="55"/>
        <v>0</v>
      </c>
      <c r="AY96" s="10">
        <f t="shared" si="55"/>
        <v>0</v>
      </c>
      <c r="AZ96" s="10">
        <f t="shared" ref="AZ96:BK96" si="56">SUM(AZ95)</f>
        <v>0</v>
      </c>
      <c r="BA96" s="10">
        <f t="shared" si="56"/>
        <v>0</v>
      </c>
      <c r="BB96" s="10">
        <f t="shared" si="56"/>
        <v>0</v>
      </c>
      <c r="BC96" s="10">
        <f t="shared" si="56"/>
        <v>0</v>
      </c>
      <c r="BD96" s="10">
        <f t="shared" si="56"/>
        <v>0</v>
      </c>
      <c r="BE96" s="10">
        <f t="shared" si="56"/>
        <v>0</v>
      </c>
      <c r="BF96" s="10">
        <f t="shared" si="56"/>
        <v>0</v>
      </c>
      <c r="BG96" s="10">
        <f t="shared" si="56"/>
        <v>0</v>
      </c>
      <c r="BH96" s="10">
        <f t="shared" si="56"/>
        <v>0</v>
      </c>
      <c r="BI96" s="10">
        <f t="shared" si="56"/>
        <v>0</v>
      </c>
      <c r="BJ96" s="10">
        <f t="shared" si="56"/>
        <v>0</v>
      </c>
      <c r="BK96" s="10">
        <f t="shared" si="56"/>
        <v>0</v>
      </c>
      <c r="BO96" s="23">
        <f>SUM(BO95)</f>
        <v>851.75504913354052</v>
      </c>
      <c r="BP96" s="23">
        <f t="shared" ref="BP96:BT96" si="57">SUM(BP95)</f>
        <v>0</v>
      </c>
      <c r="BQ96" s="23">
        <f t="shared" si="57"/>
        <v>47.24404666194458</v>
      </c>
      <c r="BR96" s="23">
        <f t="shared" si="57"/>
        <v>265.54773467163409</v>
      </c>
      <c r="BS96" s="23">
        <f t="shared" si="57"/>
        <v>0</v>
      </c>
      <c r="BT96" s="23">
        <f t="shared" si="57"/>
        <v>0</v>
      </c>
    </row>
    <row r="98" spans="3:72" x14ac:dyDescent="0.25">
      <c r="C98" s="3" t="s">
        <v>84</v>
      </c>
      <c r="D98" s="10">
        <f t="shared" ref="D98:BK98" si="58">D60+D83+D89+D93+D96</f>
        <v>5079.5246363973265</v>
      </c>
      <c r="E98" s="10">
        <f t="shared" si="58"/>
        <v>1494.8028385155114</v>
      </c>
      <c r="F98" s="10">
        <f t="shared" si="58"/>
        <v>6710.3554317380022</v>
      </c>
      <c r="G98" s="10">
        <f t="shared" si="58"/>
        <v>4777.3790298491176</v>
      </c>
      <c r="H98" s="10">
        <f t="shared" si="58"/>
        <v>2289.9071257489036</v>
      </c>
      <c r="I98" s="10">
        <f t="shared" si="58"/>
        <v>9443.2317848986168</v>
      </c>
      <c r="J98" s="10">
        <f t="shared" si="58"/>
        <v>10533.757482676774</v>
      </c>
      <c r="K98" s="10">
        <f t="shared" si="58"/>
        <v>5425.4103849345129</v>
      </c>
      <c r="L98" s="10">
        <f t="shared" si="58"/>
        <v>1658.9233614639882</v>
      </c>
      <c r="M98" s="10">
        <f t="shared" si="58"/>
        <v>1104.169543195125</v>
      </c>
      <c r="N98" s="10">
        <f t="shared" si="58"/>
        <v>2677.8592219114234</v>
      </c>
      <c r="O98" s="10">
        <f t="shared" si="58"/>
        <v>14577.738492706501</v>
      </c>
      <c r="P98" s="10">
        <f t="shared" si="58"/>
        <v>-1016.4624491011765</v>
      </c>
      <c r="Q98" s="10">
        <f t="shared" si="58"/>
        <v>2224.96626068449</v>
      </c>
      <c r="R98" s="10">
        <f t="shared" si="58"/>
        <v>7497.3141915251281</v>
      </c>
      <c r="S98" s="10">
        <f t="shared" si="58"/>
        <v>-157.39302195476679</v>
      </c>
      <c r="T98" s="10">
        <f t="shared" si="58"/>
        <v>6807.3191079545913</v>
      </c>
      <c r="U98" s="10">
        <f t="shared" si="58"/>
        <v>4751.8238003152846</v>
      </c>
      <c r="V98" s="10">
        <f t="shared" si="58"/>
        <v>5846.2444564031548</v>
      </c>
      <c r="W98" s="10">
        <f t="shared" si="58"/>
        <v>8756.2447107797998</v>
      </c>
      <c r="X98" s="10">
        <f t="shared" si="58"/>
        <v>4834.764202758578</v>
      </c>
      <c r="Y98" s="10">
        <f t="shared" si="58"/>
        <v>-992.5529182889951</v>
      </c>
      <c r="Z98" s="10">
        <f t="shared" si="58"/>
        <v>4976.9938436894581</v>
      </c>
      <c r="AA98" s="10">
        <f t="shared" si="58"/>
        <v>6922.606635440583</v>
      </c>
      <c r="AB98" s="10">
        <f t="shared" si="58"/>
        <v>4488.992946959409</v>
      </c>
      <c r="AC98" s="10">
        <f t="shared" si="58"/>
        <v>330.89099774068603</v>
      </c>
      <c r="AD98" s="10">
        <f t="shared" si="58"/>
        <v>5790.0975422675201</v>
      </c>
      <c r="AE98" s="10">
        <f t="shared" si="58"/>
        <v>1474.3916164890315</v>
      </c>
      <c r="AF98" s="10">
        <f t="shared" si="58"/>
        <v>10782.782258188807</v>
      </c>
      <c r="AG98" s="10">
        <f t="shared" si="58"/>
        <v>1097.6183595733635</v>
      </c>
      <c r="AH98" s="10">
        <f t="shared" si="58"/>
        <v>4114.168683667338</v>
      </c>
      <c r="AI98" s="10">
        <f t="shared" si="58"/>
        <v>3011.2711138995478</v>
      </c>
      <c r="AJ98" s="10">
        <f t="shared" si="58"/>
        <v>1225.7981874916948</v>
      </c>
      <c r="AK98" s="10">
        <f t="shared" si="58"/>
        <v>-341.9747482297758</v>
      </c>
      <c r="AL98" s="10">
        <f t="shared" si="58"/>
        <v>9316.2686831268202</v>
      </c>
      <c r="AM98" s="10">
        <f t="shared" si="58"/>
        <v>20659.783407676234</v>
      </c>
      <c r="AN98" s="10">
        <f t="shared" si="58"/>
        <v>9640.7685975007917</v>
      </c>
      <c r="AO98" s="10">
        <f t="shared" si="58"/>
        <v>5466.3591874668418</v>
      </c>
      <c r="AP98" s="10">
        <f t="shared" si="58"/>
        <v>8036.7651382163276</v>
      </c>
      <c r="AQ98" s="10">
        <f t="shared" si="58"/>
        <v>5953.3009547955498</v>
      </c>
      <c r="AR98" s="10">
        <f t="shared" si="58"/>
        <v>11735.570122467521</v>
      </c>
      <c r="AS98" s="10">
        <f t="shared" si="58"/>
        <v>3354.4127811665107</v>
      </c>
      <c r="AT98" s="10">
        <f t="shared" si="58"/>
        <v>0</v>
      </c>
      <c r="AU98" s="10">
        <f t="shared" si="58"/>
        <v>0</v>
      </c>
      <c r="AV98" s="10">
        <f t="shared" si="58"/>
        <v>0</v>
      </c>
      <c r="AW98" s="10">
        <f t="shared" si="58"/>
        <v>0</v>
      </c>
      <c r="AX98" s="10">
        <f t="shared" si="58"/>
        <v>0</v>
      </c>
      <c r="AY98" s="10">
        <f t="shared" si="58"/>
        <v>0</v>
      </c>
      <c r="AZ98" s="10">
        <f t="shared" si="58"/>
        <v>5150.5628118253408</v>
      </c>
      <c r="BA98" s="10">
        <f t="shared" si="58"/>
        <v>1364.900984189565</v>
      </c>
      <c r="BB98" s="10">
        <f t="shared" si="58"/>
        <v>3656.5180818754156</v>
      </c>
      <c r="BC98" s="10">
        <f t="shared" si="58"/>
        <v>1565.3557503338434</v>
      </c>
      <c r="BD98" s="10">
        <f t="shared" si="58"/>
        <v>5733.4715913764285</v>
      </c>
      <c r="BE98" s="10">
        <f t="shared" si="58"/>
        <v>1493.4500512996785</v>
      </c>
      <c r="BF98" s="10">
        <f t="shared" si="58"/>
        <v>6323.2735316206545</v>
      </c>
      <c r="BG98" s="10">
        <f t="shared" si="58"/>
        <v>4962.2860952339779</v>
      </c>
      <c r="BH98" s="10">
        <f t="shared" si="58"/>
        <v>4095.193508270499</v>
      </c>
      <c r="BI98" s="10">
        <f t="shared" si="58"/>
        <v>5448.2539884492599</v>
      </c>
      <c r="BJ98" s="10">
        <f t="shared" si="58"/>
        <v>4931.7486012554991</v>
      </c>
      <c r="BK98" s="10">
        <f t="shared" si="58"/>
        <v>8038.5466899066887</v>
      </c>
      <c r="BO98" s="23">
        <f>BO60+BO83+BO89+BO93+BO96</f>
        <v>23143.892923183943</v>
      </c>
      <c r="BP98" s="23">
        <f t="shared" ref="BP98:BT98" si="59">BP60+BP83+BP89+BP93+BP96</f>
        <v>10171.981877890317</v>
      </c>
      <c r="BQ98" s="23">
        <f t="shared" si="59"/>
        <v>15107.127784967621</v>
      </c>
      <c r="BR98" s="23">
        <f t="shared" si="59"/>
        <v>10609.981486967601</v>
      </c>
      <c r="BS98" s="23">
        <f t="shared" si="59"/>
        <v>8705.8180031084357</v>
      </c>
      <c r="BT98" s="23">
        <f t="shared" si="59"/>
        <v>13284.682906650834</v>
      </c>
    </row>
    <row r="102" spans="3:72" s="48" customFormat="1" x14ac:dyDescent="0.25">
      <c r="C102" s="46" t="s">
        <v>110</v>
      </c>
      <c r="D102" s="47">
        <f>D11</f>
        <v>5198257.458405681</v>
      </c>
      <c r="E102" s="47">
        <f>IFERROR(AVERAGE(D11:E11),0)</f>
        <v>5204720.2339001307</v>
      </c>
      <c r="F102" s="47">
        <f t="shared" ref="F102:BK102" si="60">IFERROR(AVERAGE(E11:F11),0)</f>
        <v>5226638.8145309296</v>
      </c>
      <c r="G102" s="47">
        <f t="shared" si="60"/>
        <v>5260705.0495650889</v>
      </c>
      <c r="H102" s="47">
        <f t="shared" si="60"/>
        <v>5292341.1450272342</v>
      </c>
      <c r="I102" s="47">
        <f t="shared" si="60"/>
        <v>5317791.2047502045</v>
      </c>
      <c r="J102" s="48">
        <f t="shared" si="60"/>
        <v>5330954.7556447294</v>
      </c>
      <c r="K102" s="48">
        <f t="shared" si="60"/>
        <v>5344665.2207041848</v>
      </c>
      <c r="L102" s="48">
        <f t="shared" si="60"/>
        <v>5376924.4194288589</v>
      </c>
      <c r="M102" s="48">
        <f t="shared" si="60"/>
        <v>5406242.6786076548</v>
      </c>
      <c r="N102" s="48">
        <f t="shared" si="60"/>
        <v>5422735.4104217105</v>
      </c>
      <c r="O102" s="48">
        <f t="shared" si="60"/>
        <v>5431577.6813701857</v>
      </c>
      <c r="P102" s="48">
        <f t="shared" si="60"/>
        <v>5440711.9488323946</v>
      </c>
      <c r="Q102" s="48">
        <f t="shared" si="60"/>
        <v>5459432.5918542482</v>
      </c>
      <c r="R102" s="48">
        <f t="shared" si="60"/>
        <v>5479404.3944990784</v>
      </c>
      <c r="S102" s="48">
        <f t="shared" si="60"/>
        <v>5506356.3113986999</v>
      </c>
      <c r="T102" s="48">
        <f t="shared" si="60"/>
        <v>5532075.10659579</v>
      </c>
      <c r="U102" s="48">
        <f t="shared" si="60"/>
        <v>5549743.9778301055</v>
      </c>
      <c r="V102" s="48">
        <f t="shared" si="60"/>
        <v>5568261.2240141407</v>
      </c>
      <c r="W102" s="47">
        <f t="shared" si="60"/>
        <v>5587665.8209059257</v>
      </c>
      <c r="X102" s="47">
        <f t="shared" si="60"/>
        <v>5610054.897292776</v>
      </c>
      <c r="Y102" s="47">
        <f t="shared" si="60"/>
        <v>5641070.6104328865</v>
      </c>
      <c r="Z102" s="47">
        <f t="shared" si="60"/>
        <v>5674667.4363053795</v>
      </c>
      <c r="AA102" s="47">
        <f t="shared" si="60"/>
        <v>5700705.4805288492</v>
      </c>
      <c r="AB102" s="47">
        <f t="shared" si="60"/>
        <v>5724299.1848912798</v>
      </c>
      <c r="AC102" s="48">
        <f t="shared" si="60"/>
        <v>5757094.4253104106</v>
      </c>
      <c r="AD102" s="48">
        <f t="shared" si="60"/>
        <v>5800688.5094161909</v>
      </c>
      <c r="AE102" s="48">
        <f t="shared" si="60"/>
        <v>5840670.657540109</v>
      </c>
      <c r="AF102" s="48">
        <f t="shared" si="60"/>
        <v>5887243.6310700998</v>
      </c>
      <c r="AG102" s="48">
        <f t="shared" si="60"/>
        <v>5932221.0968118291</v>
      </c>
      <c r="AH102" s="48">
        <f t="shared" si="60"/>
        <v>5971363.2708626091</v>
      </c>
      <c r="AI102" s="48">
        <f t="shared" si="60"/>
        <v>6027334.0598206548</v>
      </c>
      <c r="AJ102" s="48">
        <f t="shared" si="60"/>
        <v>6093873.9626209745</v>
      </c>
      <c r="AK102" s="48">
        <f t="shared" si="60"/>
        <v>6167371.7645167504</v>
      </c>
      <c r="AL102" s="48">
        <f t="shared" si="60"/>
        <v>6243942.46748567</v>
      </c>
      <c r="AM102" s="48">
        <f t="shared" si="60"/>
        <v>6308154.4648006605</v>
      </c>
      <c r="AN102" s="48">
        <f t="shared" si="60"/>
        <v>6371650.7625058908</v>
      </c>
      <c r="AO102" s="48">
        <f t="shared" si="60"/>
        <v>6445861.9350000005</v>
      </c>
      <c r="AP102" s="48">
        <f t="shared" si="60"/>
        <v>6512722.1399999997</v>
      </c>
      <c r="AQ102" s="48">
        <f t="shared" si="60"/>
        <v>6565289.8305209167</v>
      </c>
      <c r="AR102" s="48">
        <f t="shared" si="60"/>
        <v>6624137.7864558473</v>
      </c>
      <c r="AS102" s="48">
        <f t="shared" si="60"/>
        <v>6698557.1419646293</v>
      </c>
      <c r="AT102" s="48">
        <f t="shared" si="60"/>
        <v>3369412.2410296993</v>
      </c>
      <c r="AU102" s="48">
        <f t="shared" si="60"/>
        <v>0</v>
      </c>
      <c r="AV102" s="48">
        <f t="shared" si="60"/>
        <v>0</v>
      </c>
      <c r="AW102" s="48">
        <f t="shared" si="60"/>
        <v>0</v>
      </c>
      <c r="AX102" s="48">
        <f t="shared" si="60"/>
        <v>0</v>
      </c>
      <c r="AY102" s="48">
        <f t="shared" si="60"/>
        <v>0</v>
      </c>
      <c r="AZ102" s="48">
        <f>AZ11</f>
        <v>6348231.2236501975</v>
      </c>
      <c r="BA102" s="48">
        <f t="shared" si="60"/>
        <v>6375438.4711657912</v>
      </c>
      <c r="BB102" s="48">
        <f t="shared" si="60"/>
        <v>6425337.3491248488</v>
      </c>
      <c r="BC102" s="48">
        <f t="shared" si="60"/>
        <v>6473263.884763943</v>
      </c>
      <c r="BD102" s="48">
        <f t="shared" si="60"/>
        <v>6525075.7882878128</v>
      </c>
      <c r="BE102" s="48">
        <f t="shared" si="60"/>
        <v>6580287.35132463</v>
      </c>
      <c r="BF102" s="48">
        <f t="shared" si="60"/>
        <v>6633130.5700214431</v>
      </c>
      <c r="BG102" s="48">
        <f t="shared" si="60"/>
        <v>6689845.2685958389</v>
      </c>
      <c r="BH102" s="48">
        <f t="shared" si="60"/>
        <v>6753707.1872987766</v>
      </c>
      <c r="BI102" s="48">
        <f t="shared" si="60"/>
        <v>6822628.1843458172</v>
      </c>
      <c r="BJ102" s="48">
        <f t="shared" si="60"/>
        <v>6892458.9433836658</v>
      </c>
      <c r="BK102" s="48">
        <f t="shared" si="60"/>
        <v>6952283.5227593426</v>
      </c>
      <c r="BO102" s="48">
        <f>IFERROR(AVERAGEIFS($D11:$BM11,$D$6:$BM$6,"&gt;="&amp;EOMONTH(BO$2,-1),$D$6:$BM$6,"&lt;="&amp;BO$6,$D$5:$BM$5,BO$5,$D11:$BM11,"&lt;&gt;0"),0)</f>
        <v>6442186.4512529457</v>
      </c>
      <c r="BP102" s="48">
        <f>IFERROR(AVERAGEIFS($D11:$BM11,$D$6:$BM$6,"&gt;="&amp;EOMONTH(BP$2,-1),$D$6:$BM$6,"&lt;="&amp;BP$6,$D$5:$BM$5,BP$5,$D11:$BM11,"&lt;&gt;0"),0)</f>
        <v>6399635.3072999641</v>
      </c>
      <c r="BQ102" s="48">
        <f>IFERROR(AVERAGEIFS($D11:$BM11,$D$6:$BM$6,"&gt;="&amp;EOMONTH(BQ$2,-1),$D$6:$BM$6,"&lt;="&amp;BQ$6,$D$5:$BM$5,BQ$5,$D11:$BM11,"&lt;&gt;0"),0)</f>
        <v>6409383.9716705941</v>
      </c>
      <c r="BR102" s="48">
        <f>IFERROR(AVERAGEIFS($D11:$BM11,$D$6:$BM$6,"&gt;="&amp;EOMONTH(BR$2,-1),$D$6:$BM$6,"&lt;="&amp;BR$6,$D$5:$BM$5,BR$5,$D11:$BM11,"&lt;&gt;0"),0)</f>
        <v>5762493.8471537344</v>
      </c>
      <c r="BS102" s="48">
        <f t="shared" ref="BS102:BT102" si="61">IFERROR(AVERAGEIFS($D11:$BM11,$D$6:$BM$6,"&gt;="&amp;EOMONTH(BS$2,-1),$D$6:$BM$6,"&lt;="&amp;BS$6,$D$5:$BM$5,BS$5,$D11:$BM11,"&lt;&gt;0"),0)</f>
        <v>5460058.1716657365</v>
      </c>
      <c r="BT102" s="48">
        <f t="shared" si="61"/>
        <v>5217178.3624891797</v>
      </c>
    </row>
  </sheetData>
  <mergeCells count="4">
    <mergeCell ref="BO1:BT1"/>
    <mergeCell ref="BW1:CB1"/>
    <mergeCell ref="D1:AY1"/>
    <mergeCell ref="AZ1:BK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97214-1D3D-4857-8F9A-2F14974E1858}">
  <dimension ref="A1:CC102"/>
  <sheetViews>
    <sheetView showGridLines="0" zoomScale="80" zoomScaleNormal="80" workbookViewId="0">
      <pane xSplit="3" ySplit="6" topLeftCell="AX7" activePane="bottomRight" state="frozen"/>
      <selection activeCell="D4" sqref="D4"/>
      <selection pane="topRight" activeCell="D4" sqref="D4"/>
      <selection pane="bottomLeft" activeCell="D4" sqref="D4"/>
      <selection pane="bottomRight" activeCell="AZ7" sqref="AZ7:BK100"/>
    </sheetView>
  </sheetViews>
  <sheetFormatPr baseColWidth="10" defaultRowHeight="15" outlineLevelRow="1" outlineLevelCol="1" x14ac:dyDescent="0.25"/>
  <cols>
    <col min="1" max="1" width="7.140625" customWidth="1"/>
    <col min="2" max="2" width="6.28515625" customWidth="1"/>
    <col min="3" max="3" width="22.85546875" bestFit="1" customWidth="1"/>
    <col min="4" max="14" width="11.28515625" hidden="1" customWidth="1" outlineLevel="1"/>
    <col min="15" max="15" width="11.28515625" bestFit="1" customWidth="1" collapsed="1"/>
    <col min="16" max="26" width="11.28515625" hidden="1" customWidth="1" outlineLevel="1"/>
    <col min="27" max="27" width="11.28515625" bestFit="1" customWidth="1" collapsed="1"/>
    <col min="28" max="38" width="11.28515625" hidden="1" customWidth="1" outlineLevel="1"/>
    <col min="39" max="39" width="11.28515625" bestFit="1" customWidth="1" collapsed="1"/>
    <col min="40" max="51" width="10.5703125" customWidth="1"/>
    <col min="52" max="63" width="12.28515625" bestFit="1" customWidth="1"/>
    <col min="77" max="77" width="11.28515625" bestFit="1" customWidth="1"/>
  </cols>
  <sheetData>
    <row r="1" spans="1:81" ht="15.75" x14ac:dyDescent="0.25">
      <c r="D1" s="66" t="s">
        <v>92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6"/>
      <c r="AI1" s="66"/>
      <c r="AJ1" s="66"/>
      <c r="AK1" s="66"/>
      <c r="AL1" s="66"/>
      <c r="AM1" s="66"/>
      <c r="AN1" s="66"/>
      <c r="AO1" s="66"/>
      <c r="AP1" s="66"/>
      <c r="AQ1" s="66"/>
      <c r="AR1" s="66"/>
      <c r="AS1" s="66"/>
      <c r="AT1" s="66"/>
      <c r="AU1" s="66"/>
      <c r="AV1" s="66"/>
      <c r="AW1" s="66"/>
      <c r="AX1" s="66"/>
      <c r="AY1" s="66"/>
      <c r="AZ1" s="67" t="s">
        <v>93</v>
      </c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O1" s="68" t="s">
        <v>90</v>
      </c>
      <c r="BP1" s="68"/>
      <c r="BQ1" s="68"/>
      <c r="BR1" s="68"/>
      <c r="BS1" s="68"/>
      <c r="BT1" s="68"/>
      <c r="BW1" s="68" t="s">
        <v>91</v>
      </c>
      <c r="BX1" s="68"/>
      <c r="BY1" s="68"/>
      <c r="BZ1" s="68"/>
      <c r="CA1" s="68"/>
      <c r="CB1" s="68"/>
    </row>
    <row r="2" spans="1:81" x14ac:dyDescent="0.25">
      <c r="C2" s="13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  <c r="AQ2" s="12"/>
      <c r="AR2" s="12"/>
      <c r="AS2" s="12"/>
      <c r="AT2" s="12"/>
      <c r="AU2" s="12"/>
      <c r="AV2" s="12"/>
      <c r="AW2" s="12"/>
      <c r="AX2" s="12"/>
      <c r="AY2" s="12"/>
      <c r="AZ2" s="12"/>
      <c r="BA2" s="12"/>
      <c r="BB2" s="12"/>
      <c r="BC2" s="12"/>
      <c r="BD2" s="12"/>
      <c r="BE2" s="12"/>
      <c r="BF2" s="12"/>
      <c r="BG2" s="12"/>
      <c r="BH2" s="12"/>
      <c r="BI2" s="12"/>
      <c r="BJ2" s="12"/>
      <c r="BK2" s="12"/>
      <c r="BO2" s="25">
        <f t="shared" ref="BO2:BT2" si="0">DATE(YEAR(BO6),1,1)</f>
        <v>46023</v>
      </c>
      <c r="BP2" s="25">
        <f t="shared" si="0"/>
        <v>46023</v>
      </c>
      <c r="BQ2" s="25">
        <f t="shared" si="0"/>
        <v>46023</v>
      </c>
      <c r="BR2" s="25">
        <f t="shared" si="0"/>
        <v>45658</v>
      </c>
      <c r="BS2" s="25">
        <f t="shared" si="0"/>
        <v>45292</v>
      </c>
      <c r="BT2" s="25">
        <f t="shared" si="0"/>
        <v>44927</v>
      </c>
    </row>
    <row r="3" spans="1:81" x14ac:dyDescent="0.25">
      <c r="C3" s="13" t="s">
        <v>61</v>
      </c>
      <c r="D3" s="12">
        <f>DAY(D6)</f>
        <v>31</v>
      </c>
      <c r="E3" s="12">
        <f t="shared" ref="E3:BK3" si="1">DAY(E6)</f>
        <v>28</v>
      </c>
      <c r="F3" s="12">
        <f t="shared" si="1"/>
        <v>31</v>
      </c>
      <c r="G3" s="12">
        <f t="shared" si="1"/>
        <v>30</v>
      </c>
      <c r="H3" s="12">
        <f t="shared" si="1"/>
        <v>31</v>
      </c>
      <c r="I3" s="12">
        <f t="shared" si="1"/>
        <v>30</v>
      </c>
      <c r="J3" s="12">
        <f t="shared" si="1"/>
        <v>31</v>
      </c>
      <c r="K3" s="12">
        <f t="shared" si="1"/>
        <v>31</v>
      </c>
      <c r="L3" s="12">
        <f t="shared" si="1"/>
        <v>30</v>
      </c>
      <c r="M3" s="12">
        <f t="shared" si="1"/>
        <v>31</v>
      </c>
      <c r="N3" s="12">
        <f t="shared" si="1"/>
        <v>30</v>
      </c>
      <c r="O3" s="12">
        <f t="shared" si="1"/>
        <v>31</v>
      </c>
      <c r="P3" s="12">
        <f t="shared" si="1"/>
        <v>31</v>
      </c>
      <c r="Q3" s="12">
        <f t="shared" si="1"/>
        <v>29</v>
      </c>
      <c r="R3" s="12">
        <f t="shared" si="1"/>
        <v>31</v>
      </c>
      <c r="S3" s="12">
        <f t="shared" si="1"/>
        <v>30</v>
      </c>
      <c r="T3" s="12">
        <f t="shared" si="1"/>
        <v>31</v>
      </c>
      <c r="U3" s="12">
        <f t="shared" si="1"/>
        <v>30</v>
      </c>
      <c r="V3" s="12">
        <f t="shared" si="1"/>
        <v>31</v>
      </c>
      <c r="W3" s="12">
        <f t="shared" si="1"/>
        <v>31</v>
      </c>
      <c r="X3" s="12">
        <f t="shared" si="1"/>
        <v>30</v>
      </c>
      <c r="Y3" s="12">
        <f t="shared" si="1"/>
        <v>31</v>
      </c>
      <c r="Z3" s="12">
        <f t="shared" si="1"/>
        <v>30</v>
      </c>
      <c r="AA3" s="12">
        <f t="shared" si="1"/>
        <v>31</v>
      </c>
      <c r="AB3" s="12">
        <f t="shared" si="1"/>
        <v>31</v>
      </c>
      <c r="AC3" s="12">
        <f t="shared" si="1"/>
        <v>28</v>
      </c>
      <c r="AD3" s="12">
        <f t="shared" si="1"/>
        <v>31</v>
      </c>
      <c r="AE3" s="12">
        <f t="shared" si="1"/>
        <v>30</v>
      </c>
      <c r="AF3" s="12">
        <f t="shared" si="1"/>
        <v>31</v>
      </c>
      <c r="AG3" s="12">
        <f t="shared" si="1"/>
        <v>30</v>
      </c>
      <c r="AH3" s="12">
        <f t="shared" si="1"/>
        <v>31</v>
      </c>
      <c r="AI3" s="12">
        <f t="shared" si="1"/>
        <v>31</v>
      </c>
      <c r="AJ3" s="12">
        <f t="shared" si="1"/>
        <v>30</v>
      </c>
      <c r="AK3" s="12">
        <f t="shared" si="1"/>
        <v>31</v>
      </c>
      <c r="AL3" s="12">
        <f t="shared" si="1"/>
        <v>30</v>
      </c>
      <c r="AM3" s="12">
        <f t="shared" si="1"/>
        <v>31</v>
      </c>
      <c r="AN3" s="12">
        <f t="shared" si="1"/>
        <v>31</v>
      </c>
      <c r="AO3" s="12">
        <f t="shared" si="1"/>
        <v>28</v>
      </c>
      <c r="AP3" s="12">
        <f t="shared" si="1"/>
        <v>31</v>
      </c>
      <c r="AQ3" s="12">
        <f t="shared" si="1"/>
        <v>30</v>
      </c>
      <c r="AR3" s="12">
        <f t="shared" si="1"/>
        <v>31</v>
      </c>
      <c r="AS3" s="12">
        <f t="shared" si="1"/>
        <v>30</v>
      </c>
      <c r="AT3" s="12">
        <f t="shared" si="1"/>
        <v>31</v>
      </c>
      <c r="AU3" s="12">
        <f t="shared" si="1"/>
        <v>31</v>
      </c>
      <c r="AV3" s="12">
        <f t="shared" si="1"/>
        <v>30</v>
      </c>
      <c r="AW3" s="12">
        <f t="shared" si="1"/>
        <v>31</v>
      </c>
      <c r="AX3" s="12">
        <f t="shared" si="1"/>
        <v>30</v>
      </c>
      <c r="AY3" s="12">
        <f t="shared" si="1"/>
        <v>31</v>
      </c>
      <c r="AZ3" s="12">
        <f t="shared" si="1"/>
        <v>31</v>
      </c>
      <c r="BA3" s="12">
        <f t="shared" si="1"/>
        <v>28</v>
      </c>
      <c r="BB3" s="12">
        <f t="shared" si="1"/>
        <v>31</v>
      </c>
      <c r="BC3" s="12">
        <f t="shared" si="1"/>
        <v>30</v>
      </c>
      <c r="BD3" s="12">
        <f t="shared" si="1"/>
        <v>31</v>
      </c>
      <c r="BE3" s="12">
        <f t="shared" si="1"/>
        <v>30</v>
      </c>
      <c r="BF3" s="12">
        <f t="shared" si="1"/>
        <v>31</v>
      </c>
      <c r="BG3" s="12">
        <f t="shared" si="1"/>
        <v>31</v>
      </c>
      <c r="BH3" s="12">
        <f t="shared" si="1"/>
        <v>30</v>
      </c>
      <c r="BI3" s="12">
        <f t="shared" si="1"/>
        <v>31</v>
      </c>
      <c r="BJ3" s="12">
        <f t="shared" si="1"/>
        <v>30</v>
      </c>
      <c r="BK3" s="12">
        <f t="shared" si="1"/>
        <v>31</v>
      </c>
      <c r="BO3" s="12">
        <f>AVERAGEIFS($D3:$BM3,$D$6:$BM$6,"&gt;="&amp;BO$2,$D$6:$BM$6,"&lt;="&amp;BO$6,$D$5:$BM$5,BO$5)</f>
        <v>30</v>
      </c>
      <c r="BP3" s="12">
        <f t="shared" ref="BP3:BT4" si="2">AVERAGEIFS($D3:$BM3,$D$6:$BM$6,"&gt;="&amp;BP$2,$D$6:$BM$6,"&lt;="&amp;BP$6,$D$5:$BM$5,BP$5)</f>
        <v>30</v>
      </c>
      <c r="BQ3" s="12">
        <f t="shared" si="2"/>
        <v>29.5</v>
      </c>
      <c r="BR3" s="12">
        <f t="shared" si="2"/>
        <v>30</v>
      </c>
      <c r="BS3" s="12">
        <f t="shared" si="2"/>
        <v>30.333333333333332</v>
      </c>
      <c r="BT3" s="12">
        <f t="shared" si="2"/>
        <v>30</v>
      </c>
    </row>
    <row r="4" spans="1:81" x14ac:dyDescent="0.25">
      <c r="C4" s="13" t="s">
        <v>62</v>
      </c>
      <c r="D4" s="12">
        <v>30</v>
      </c>
      <c r="E4" s="12">
        <v>30</v>
      </c>
      <c r="F4" s="12">
        <v>30</v>
      </c>
      <c r="G4" s="12">
        <v>30</v>
      </c>
      <c r="H4" s="12">
        <v>30</v>
      </c>
      <c r="I4" s="12">
        <v>30</v>
      </c>
      <c r="J4" s="12">
        <v>30</v>
      </c>
      <c r="K4" s="12">
        <v>30</v>
      </c>
      <c r="L4" s="12">
        <v>30</v>
      </c>
      <c r="M4" s="12">
        <v>30</v>
      </c>
      <c r="N4" s="12">
        <v>30</v>
      </c>
      <c r="O4" s="12">
        <v>30</v>
      </c>
      <c r="P4" s="12">
        <v>30</v>
      </c>
      <c r="Q4" s="12">
        <v>30</v>
      </c>
      <c r="R4" s="12">
        <v>30</v>
      </c>
      <c r="S4" s="12">
        <v>30</v>
      </c>
      <c r="T4" s="12">
        <v>30</v>
      </c>
      <c r="U4" s="12">
        <v>30</v>
      </c>
      <c r="V4" s="12">
        <v>30</v>
      </c>
      <c r="W4" s="12">
        <v>30</v>
      </c>
      <c r="X4" s="12">
        <v>30</v>
      </c>
      <c r="Y4" s="12">
        <v>30</v>
      </c>
      <c r="Z4" s="12">
        <v>30</v>
      </c>
      <c r="AA4" s="12">
        <v>30</v>
      </c>
      <c r="AB4" s="12">
        <v>30</v>
      </c>
      <c r="AC4" s="12">
        <v>30</v>
      </c>
      <c r="AD4" s="12">
        <v>30</v>
      </c>
      <c r="AE4" s="12">
        <v>30</v>
      </c>
      <c r="AF4" s="12">
        <v>30</v>
      </c>
      <c r="AG4" s="12">
        <v>30</v>
      </c>
      <c r="AH4" s="12">
        <v>30</v>
      </c>
      <c r="AI4" s="12">
        <v>30</v>
      </c>
      <c r="AJ4" s="12">
        <v>30</v>
      </c>
      <c r="AK4" s="12">
        <v>30</v>
      </c>
      <c r="AL4" s="12">
        <v>30</v>
      </c>
      <c r="AM4" s="12">
        <v>30</v>
      </c>
      <c r="AN4" s="12">
        <v>30</v>
      </c>
      <c r="AO4" s="12">
        <v>30</v>
      </c>
      <c r="AP4" s="12">
        <v>30</v>
      </c>
      <c r="AQ4" s="12">
        <v>30</v>
      </c>
      <c r="AR4" s="12">
        <v>30</v>
      </c>
      <c r="AS4" s="12">
        <v>30</v>
      </c>
      <c r="AT4" s="12">
        <v>30</v>
      </c>
      <c r="AU4" s="12">
        <v>30</v>
      </c>
      <c r="AV4" s="12">
        <v>30</v>
      </c>
      <c r="AW4" s="12">
        <v>30</v>
      </c>
      <c r="AX4" s="12">
        <v>30</v>
      </c>
      <c r="AY4" s="12">
        <v>30</v>
      </c>
      <c r="AZ4" s="12">
        <v>30</v>
      </c>
      <c r="BA4" s="12">
        <v>30</v>
      </c>
      <c r="BB4" s="12">
        <v>30</v>
      </c>
      <c r="BC4" s="12">
        <v>30</v>
      </c>
      <c r="BD4" s="12">
        <v>30</v>
      </c>
      <c r="BE4" s="12">
        <v>30</v>
      </c>
      <c r="BF4" s="12">
        <v>30</v>
      </c>
      <c r="BG4" s="12">
        <v>30</v>
      </c>
      <c r="BH4" s="12">
        <v>30</v>
      </c>
      <c r="BI4" s="12">
        <v>30</v>
      </c>
      <c r="BJ4" s="12">
        <v>30</v>
      </c>
      <c r="BK4" s="12">
        <v>30</v>
      </c>
      <c r="BO4" s="27">
        <f>AVERAGEIFS($D4:$BM4,$D$6:$BM$6,"&gt;="&amp;BO$2,$D$6:$BM$6,"&lt;="&amp;BO$6,$D$5:$BM$5,BO$5)</f>
        <v>30</v>
      </c>
      <c r="BP4" s="27">
        <f t="shared" si="2"/>
        <v>30</v>
      </c>
      <c r="BQ4" s="27">
        <f t="shared" si="2"/>
        <v>30</v>
      </c>
      <c r="BR4" s="27">
        <f t="shared" si="2"/>
        <v>30</v>
      </c>
      <c r="BS4" s="27">
        <f t="shared" si="2"/>
        <v>30</v>
      </c>
      <c r="BT4" s="27">
        <f t="shared" si="2"/>
        <v>30</v>
      </c>
    </row>
    <row r="5" spans="1:81" ht="15.75" thickBot="1" x14ac:dyDescent="0.3">
      <c r="C5" s="13" t="s">
        <v>86</v>
      </c>
      <c r="D5" s="12" t="s">
        <v>87</v>
      </c>
      <c r="E5" s="12" t="s">
        <v>87</v>
      </c>
      <c r="F5" s="12" t="s">
        <v>87</v>
      </c>
      <c r="G5" s="12" t="s">
        <v>87</v>
      </c>
      <c r="H5" s="12" t="s">
        <v>87</v>
      </c>
      <c r="I5" s="12" t="s">
        <v>87</v>
      </c>
      <c r="J5" s="12" t="s">
        <v>87</v>
      </c>
      <c r="K5" s="12" t="s">
        <v>87</v>
      </c>
      <c r="L5" s="12" t="s">
        <v>87</v>
      </c>
      <c r="M5" s="12" t="s">
        <v>87</v>
      </c>
      <c r="N5" s="12" t="s">
        <v>87</v>
      </c>
      <c r="O5" s="12" t="s">
        <v>87</v>
      </c>
      <c r="P5" s="12" t="s">
        <v>87</v>
      </c>
      <c r="Q5" s="12" t="s">
        <v>87</v>
      </c>
      <c r="R5" s="12" t="s">
        <v>87</v>
      </c>
      <c r="S5" s="12" t="s">
        <v>87</v>
      </c>
      <c r="T5" s="12" t="s">
        <v>87</v>
      </c>
      <c r="U5" s="12" t="s">
        <v>87</v>
      </c>
      <c r="V5" s="12" t="s">
        <v>87</v>
      </c>
      <c r="W5" s="12" t="s">
        <v>87</v>
      </c>
      <c r="X5" s="12" t="s">
        <v>87</v>
      </c>
      <c r="Y5" s="12" t="s">
        <v>87</v>
      </c>
      <c r="Z5" s="12" t="s">
        <v>87</v>
      </c>
      <c r="AA5" s="12" t="s">
        <v>87</v>
      </c>
      <c r="AB5" s="12" t="s">
        <v>87</v>
      </c>
      <c r="AC5" s="12" t="s">
        <v>87</v>
      </c>
      <c r="AD5" s="12" t="s">
        <v>87</v>
      </c>
      <c r="AE5" s="12" t="s">
        <v>87</v>
      </c>
      <c r="AF5" s="12" t="s">
        <v>87</v>
      </c>
      <c r="AG5" s="12" t="s">
        <v>87</v>
      </c>
      <c r="AH5" s="12" t="s">
        <v>87</v>
      </c>
      <c r="AI5" s="12" t="s">
        <v>87</v>
      </c>
      <c r="AJ5" s="12" t="s">
        <v>87</v>
      </c>
      <c r="AK5" s="12" t="s">
        <v>87</v>
      </c>
      <c r="AL5" s="12" t="s">
        <v>87</v>
      </c>
      <c r="AM5" s="12" t="s">
        <v>87</v>
      </c>
      <c r="AN5" s="12" t="s">
        <v>87</v>
      </c>
      <c r="AO5" s="12" t="s">
        <v>87</v>
      </c>
      <c r="AP5" s="12" t="s">
        <v>87</v>
      </c>
      <c r="AQ5" s="12" t="s">
        <v>87</v>
      </c>
      <c r="AR5" s="12" t="s">
        <v>87</v>
      </c>
      <c r="AS5" s="12" t="s">
        <v>87</v>
      </c>
      <c r="AT5" s="12" t="s">
        <v>87</v>
      </c>
      <c r="AU5" s="12" t="s">
        <v>87</v>
      </c>
      <c r="AV5" s="12" t="s">
        <v>87</v>
      </c>
      <c r="AW5" s="12" t="s">
        <v>87</v>
      </c>
      <c r="AX5" s="12" t="s">
        <v>87</v>
      </c>
      <c r="AY5" s="12" t="s">
        <v>87</v>
      </c>
      <c r="AZ5" s="12" t="s">
        <v>88</v>
      </c>
      <c r="BA5" s="12" t="s">
        <v>88</v>
      </c>
      <c r="BB5" s="12" t="s">
        <v>88</v>
      </c>
      <c r="BC5" s="12" t="s">
        <v>88</v>
      </c>
      <c r="BD5" s="12" t="s">
        <v>88</v>
      </c>
      <c r="BE5" s="12" t="s">
        <v>88</v>
      </c>
      <c r="BF5" s="12" t="s">
        <v>88</v>
      </c>
      <c r="BG5" s="12" t="s">
        <v>88</v>
      </c>
      <c r="BH5" s="12" t="s">
        <v>88</v>
      </c>
      <c r="BI5" s="12" t="s">
        <v>88</v>
      </c>
      <c r="BJ5" s="12" t="s">
        <v>88</v>
      </c>
      <c r="BK5" s="12" t="s">
        <v>88</v>
      </c>
      <c r="BO5" s="12" t="s">
        <v>87</v>
      </c>
      <c r="BP5" s="12" t="s">
        <v>88</v>
      </c>
      <c r="BQ5" s="12" t="s">
        <v>87</v>
      </c>
      <c r="BR5" s="12" t="s">
        <v>87</v>
      </c>
      <c r="BS5" s="12" t="s">
        <v>87</v>
      </c>
      <c r="BT5" s="12" t="s">
        <v>87</v>
      </c>
    </row>
    <row r="6" spans="1:81" ht="16.5" thickTop="1" thickBot="1" x14ac:dyDescent="0.3">
      <c r="C6" s="45" t="s">
        <v>46</v>
      </c>
      <c r="D6" s="1">
        <v>44957</v>
      </c>
      <c r="E6" s="1">
        <v>44985</v>
      </c>
      <c r="F6" s="1">
        <v>45016</v>
      </c>
      <c r="G6" s="1">
        <v>45046</v>
      </c>
      <c r="H6" s="1">
        <v>45077</v>
      </c>
      <c r="I6" s="1">
        <v>45107</v>
      </c>
      <c r="J6" s="1">
        <v>45138</v>
      </c>
      <c r="K6" s="1">
        <v>45169</v>
      </c>
      <c r="L6" s="1">
        <v>45199</v>
      </c>
      <c r="M6" s="1">
        <v>45230</v>
      </c>
      <c r="N6" s="1">
        <v>45260</v>
      </c>
      <c r="O6" s="1">
        <v>45291</v>
      </c>
      <c r="P6" s="1">
        <v>45322</v>
      </c>
      <c r="Q6" s="1">
        <v>45351</v>
      </c>
      <c r="R6" s="1">
        <v>45382</v>
      </c>
      <c r="S6" s="1">
        <v>45412</v>
      </c>
      <c r="T6" s="1">
        <v>45443</v>
      </c>
      <c r="U6" s="1">
        <v>45473</v>
      </c>
      <c r="V6" s="1">
        <v>45504</v>
      </c>
      <c r="W6" s="1">
        <v>45535</v>
      </c>
      <c r="X6" s="1">
        <v>45565</v>
      </c>
      <c r="Y6" s="1">
        <v>45596</v>
      </c>
      <c r="Z6" s="1">
        <v>45626</v>
      </c>
      <c r="AA6" s="1">
        <v>45657</v>
      </c>
      <c r="AB6" s="1">
        <v>45688</v>
      </c>
      <c r="AC6" s="1">
        <v>45716</v>
      </c>
      <c r="AD6" s="1">
        <v>45747</v>
      </c>
      <c r="AE6" s="1">
        <v>45777</v>
      </c>
      <c r="AF6" s="1">
        <v>45808</v>
      </c>
      <c r="AG6" s="1">
        <v>45838</v>
      </c>
      <c r="AH6" s="1">
        <v>45869</v>
      </c>
      <c r="AI6" s="1">
        <v>45900</v>
      </c>
      <c r="AJ6" s="1">
        <v>45930</v>
      </c>
      <c r="AK6" s="1">
        <v>45961</v>
      </c>
      <c r="AL6" s="1">
        <v>45991</v>
      </c>
      <c r="AM6" s="1">
        <v>46022</v>
      </c>
      <c r="AN6" s="1">
        <v>46053</v>
      </c>
      <c r="AO6" s="1">
        <v>46081</v>
      </c>
      <c r="AP6" s="1">
        <v>46112</v>
      </c>
      <c r="AQ6" s="1">
        <v>46142</v>
      </c>
      <c r="AR6" s="1">
        <v>46173</v>
      </c>
      <c r="AS6" s="1">
        <v>46203</v>
      </c>
      <c r="AT6" s="1">
        <v>46234</v>
      </c>
      <c r="AU6" s="1">
        <v>46265</v>
      </c>
      <c r="AV6" s="1">
        <v>46295</v>
      </c>
      <c r="AW6" s="1">
        <v>46326</v>
      </c>
      <c r="AX6" s="1">
        <v>46356</v>
      </c>
      <c r="AY6" s="1">
        <v>46387</v>
      </c>
      <c r="AZ6" s="30">
        <v>46053</v>
      </c>
      <c r="BA6" s="30">
        <v>46081</v>
      </c>
      <c r="BB6" s="30">
        <v>46112</v>
      </c>
      <c r="BC6" s="30">
        <v>46142</v>
      </c>
      <c r="BD6" s="30">
        <v>46173</v>
      </c>
      <c r="BE6" s="30">
        <v>46203</v>
      </c>
      <c r="BF6" s="30">
        <v>46234</v>
      </c>
      <c r="BG6" s="30">
        <v>46265</v>
      </c>
      <c r="BH6" s="30">
        <v>46295</v>
      </c>
      <c r="BI6" s="30">
        <v>46326</v>
      </c>
      <c r="BJ6" s="30">
        <v>46356</v>
      </c>
      <c r="BK6" s="30">
        <v>46387</v>
      </c>
      <c r="BO6" s="1">
        <f>Desempeño_Financiero!$B$1</f>
        <v>46112</v>
      </c>
      <c r="BP6" s="22">
        <f>BO6</f>
        <v>46112</v>
      </c>
      <c r="BQ6" s="1">
        <f>EOMONTH(BO6,-1)</f>
        <v>46081</v>
      </c>
      <c r="BR6" s="1">
        <f>EOMONTH(BO6,-12)</f>
        <v>45747</v>
      </c>
      <c r="BS6" s="1">
        <f>EOMONTH(BO6,-24)</f>
        <v>45382</v>
      </c>
      <c r="BT6" s="1">
        <f>EOMONTH(BO6,-36)</f>
        <v>45016</v>
      </c>
      <c r="BW6" s="1">
        <f>BO6</f>
        <v>46112</v>
      </c>
      <c r="BX6" s="22">
        <f t="shared" ref="BX6:CB6" si="3">BP6</f>
        <v>46112</v>
      </c>
      <c r="BY6" s="1">
        <f t="shared" si="3"/>
        <v>46081</v>
      </c>
      <c r="BZ6" s="1">
        <f t="shared" si="3"/>
        <v>45747</v>
      </c>
      <c r="CA6" s="1">
        <f t="shared" si="3"/>
        <v>45382</v>
      </c>
      <c r="CB6" s="1">
        <f t="shared" si="3"/>
        <v>45016</v>
      </c>
      <c r="CC6" s="26"/>
    </row>
    <row r="7" spans="1:81" ht="15.75" thickTop="1" x14ac:dyDescent="0.25"/>
    <row r="8" spans="1:81" hidden="1" outlineLevel="1" x14ac:dyDescent="0.25">
      <c r="A8" s="11" t="s">
        <v>51</v>
      </c>
      <c r="C8" s="2" t="s">
        <v>0</v>
      </c>
      <c r="D8" s="8">
        <f>IFERROR(
GETPIVOTDATA(
"[Base].[Importe]",
TDinamica_R!$A$5,
"[Calendario].[AñoMes]",
"[Calendario].[AñoMes].&amp;[" &amp; TEXT(D$6,"yyyymm") &amp; "]",
"[Base].[Metrica]",
"[Base].[Metrica].&amp;[" &amp; $A8 &amp; "]",
"[Base].[SEGMENTO_DESCRIP]",
"[Base].[SEGMENTO_DESCRIP].&amp;[" &amp; $C$6 &amp; "]",
"[Base].[SITUACION]",
"[Base].[SITUACION].&amp;[" &amp; $C8 &amp; "]"
),0)/1000</f>
        <v>14860.79440828</v>
      </c>
      <c r="E8" s="8">
        <f>IFERROR(
GETPIVOTDATA(
"[Base].[Importe]",
TDinamica_R!$A$5,
"[Calendario].[AñoMes]",
"[Calendario].[AñoMes].&amp;[" &amp; TEXT(E$6,"yyyymm") &amp; "]",
"[Base].[Metrica]",
"[Base].[Metrica].&amp;[" &amp; $A8 &amp; "]",
"[Base].[SEGMENTO_DESCRIP]",
"[Base].[SEGMENTO_DESCRIP].&amp;[" &amp; $C$6 &amp; "]",
"[Base].[SITUACION]",
"[Base].[SITUACION].&amp;[" &amp; $C8 &amp; "]"
),0)/1000</f>
        <v>17089.853438779999</v>
      </c>
      <c r="F8" s="8">
        <f>IFERROR(
GETPIVOTDATA(
"[Base].[Importe]",
TDinamica_R!$A$5,
"[Calendario].[AñoMes]",
"[Calendario].[AñoMes].&amp;[" &amp; TEXT(F$6,"yyyymm") &amp; "]",
"[Base].[Metrica]",
"[Base].[Metrica].&amp;[" &amp; $A8 &amp; "]",
"[Base].[SEGMENTO_DESCRIP]",
"[Base].[SEGMENTO_DESCRIP].&amp;[" &amp; $C$6 &amp; "]",
"[Base].[SITUACION]",
"[Base].[SITUACION].&amp;[" &amp; $C8 &amp; "]"
),0)/1000</f>
        <v>17802.663244740004</v>
      </c>
      <c r="G8" s="8">
        <f>IFERROR(
GETPIVOTDATA(
"[Base].[Importe]",
TDinamica_R!$A$5,
"[Calendario].[AñoMes]",
"[Calendario].[AñoMes].&amp;[" &amp; TEXT(G$6,"yyyymm") &amp; "]",
"[Base].[Metrica]",
"[Base].[Metrica].&amp;[" &amp; $A8 &amp; "]",
"[Base].[SEGMENTO_DESCRIP]",
"[Base].[SEGMENTO_DESCRIP].&amp;[" &amp; $C$6 &amp; "]",
"[Base].[SITUACION]",
"[Base].[SITUACION].&amp;[" &amp; $C8 &amp; "]"
),0)/1000</f>
        <v>17369.855596000001</v>
      </c>
      <c r="H8" s="8">
        <f>IFERROR(
GETPIVOTDATA(
"[Base].[Importe]",
TDinamica_R!$A$5,
"[Calendario].[AñoMes]",
"[Calendario].[AñoMes].&amp;[" &amp; TEXT(H$6,"yyyymm") &amp; "]",
"[Base].[Metrica]",
"[Base].[Metrica].&amp;[" &amp; $A8 &amp; "]",
"[Base].[SEGMENTO_DESCRIP]",
"[Base].[SEGMENTO_DESCRIP].&amp;[" &amp; $C$6 &amp; "]",
"[Base].[SITUACION]",
"[Base].[SITUACION].&amp;[" &amp; $C8 &amp; "]"
),0)/1000</f>
        <v>18144.67536333</v>
      </c>
      <c r="I8" s="8">
        <f>IFERROR(
GETPIVOTDATA(
"[Base].[Importe]",
TDinamica_R!$A$5,
"[Calendario].[AñoMes]",
"[Calendario].[AñoMes].&amp;[" &amp; TEXT(I$6,"yyyymm") &amp; "]",
"[Base].[Metrica]",
"[Base].[Metrica].&amp;[" &amp; $A8 &amp; "]",
"[Base].[SEGMENTO_DESCRIP]",
"[Base].[SEGMENTO_DESCRIP].&amp;[" &amp; $C$6 &amp; "]",
"[Base].[SITUACION]",
"[Base].[SITUACION].&amp;[" &amp; $C8 &amp; "]"
),0)/1000</f>
        <v>17815.676619659997</v>
      </c>
      <c r="J8" s="8">
        <f>IFERROR(
GETPIVOTDATA(
"[Base].[Importe]",
TDinamica_R!$A$5,
"[Calendario].[AñoMes]",
"[Calendario].[AñoMes].&amp;[" &amp; TEXT(J$6,"yyyymm") &amp; "]",
"[Base].[Metrica]",
"[Base].[Metrica].&amp;[" &amp; $A8 &amp; "]",
"[Base].[SEGMENTO_DESCRIP]",
"[Base].[SEGMENTO_DESCRIP].&amp;[" &amp; $C$6 &amp; "]",
"[Base].[SITUACION]",
"[Base].[SITUACION].&amp;[" &amp; $C8 &amp; "]"
),0)/1000</f>
        <v>17060.996732880005</v>
      </c>
      <c r="K8" s="8">
        <f>IFERROR(
GETPIVOTDATA(
"[Base].[Importe]",
TDinamica_R!$A$5,
"[Calendario].[AñoMes]",
"[Calendario].[AñoMes].&amp;[" &amp; TEXT(K$6,"yyyymm") &amp; "]",
"[Base].[Metrica]",
"[Base].[Metrica].&amp;[" &amp; $A8 &amp; "]",
"[Base].[SEGMENTO_DESCRIP]",
"[Base].[SEGMENTO_DESCRIP].&amp;[" &amp; $C$6 &amp; "]",
"[Base].[SITUACION]",
"[Base].[SITUACION].&amp;[" &amp; $C8 &amp; "]"
),0)/1000</f>
        <v>16847.095155700001</v>
      </c>
      <c r="L8" s="8">
        <f>IFERROR(
GETPIVOTDATA(
"[Base].[Importe]",
TDinamica_R!$A$5,
"[Calendario].[AñoMes]",
"[Calendario].[AñoMes].&amp;[" &amp; TEXT(L$6,"yyyymm") &amp; "]",
"[Base].[Metrica]",
"[Base].[Metrica].&amp;[" &amp; $A8 &amp; "]",
"[Base].[SEGMENTO_DESCRIP]",
"[Base].[SEGMENTO_DESCRIP].&amp;[" &amp; $C$6 &amp; "]",
"[Base].[SITUACION]",
"[Base].[SITUACION].&amp;[" &amp; $C8 &amp; "]"
),0)/1000</f>
        <v>15538.967050600004</v>
      </c>
      <c r="M8" s="8">
        <f>IFERROR(
GETPIVOTDATA(
"[Base].[Importe]",
TDinamica_R!$A$5,
"[Calendario].[AñoMes]",
"[Calendario].[AñoMes].&amp;[" &amp; TEXT(M$6,"yyyymm") &amp; "]",
"[Base].[Metrica]",
"[Base].[Metrica].&amp;[" &amp; $A8 &amp; "]",
"[Base].[SEGMENTO_DESCRIP]",
"[Base].[SEGMENTO_DESCRIP].&amp;[" &amp; $C$6 &amp; "]",
"[Base].[SITUACION]",
"[Base].[SITUACION].&amp;[" &amp; $C8 &amp; "]"
),0)/1000</f>
        <v>14056.045634639999</v>
      </c>
      <c r="N8" s="8">
        <f>IFERROR(
GETPIVOTDATA(
"[Base].[Importe]",
TDinamica_R!$A$5,
"[Calendario].[AñoMes]",
"[Calendario].[AñoMes].&amp;[" &amp; TEXT(N$6,"yyyymm") &amp; "]",
"[Base].[Metrica]",
"[Base].[Metrica].&amp;[" &amp; $A8 &amp; "]",
"[Base].[SEGMENTO_DESCRIP]",
"[Base].[SEGMENTO_DESCRIP].&amp;[" &amp; $C$6 &amp; "]",
"[Base].[SITUACION]",
"[Base].[SITUACION].&amp;[" &amp; $C8 &amp; "]"
),0)/1000</f>
        <v>14259.10499118</v>
      </c>
      <c r="O8" s="8">
        <f>IFERROR(
GETPIVOTDATA(
"[Base].[Importe]",
TDinamica_R!$A$5,
"[Calendario].[AñoMes]",
"[Calendario].[AñoMes].&amp;[" &amp; TEXT(O$6,"yyyymm") &amp; "]",
"[Base].[Metrica]",
"[Base].[Metrica].&amp;[" &amp; $A8 &amp; "]",
"[Base].[SEGMENTO_DESCRIP]",
"[Base].[SEGMENTO_DESCRIP].&amp;[" &amp; $C$6 &amp; "]",
"[Base].[SITUACION]",
"[Base].[SITUACION].&amp;[" &amp; $C8 &amp; "]"
),0)/1000</f>
        <v>14848.351827559998</v>
      </c>
      <c r="P8" s="8">
        <f>IFERROR(
GETPIVOTDATA(
"[Base].[Importe]",
TDinamica_R!$A$5,
"[Calendario].[AñoMes]",
"[Calendario].[AñoMes].&amp;[" &amp; TEXT(P$6,"yyyymm") &amp; "]",
"[Base].[Metrica]",
"[Base].[Metrica].&amp;[" &amp; $A8 &amp; "]",
"[Base].[SEGMENTO_DESCRIP]",
"[Base].[SEGMENTO_DESCRIP].&amp;[" &amp; $C$6 &amp; "]",
"[Base].[SITUACION]",
"[Base].[SITUACION].&amp;[" &amp; $C8 &amp; "]"
),0)/1000</f>
        <v>14382.293134280002</v>
      </c>
      <c r="Q8" s="8">
        <f>IFERROR(
GETPIVOTDATA(
"[Base].[Importe]",
TDinamica_R!$A$5,
"[Calendario].[AñoMes]",
"[Calendario].[AñoMes].&amp;[" &amp; TEXT(Q$6,"yyyymm") &amp; "]",
"[Base].[Metrica]",
"[Base].[Metrica].&amp;[" &amp; $A8 &amp; "]",
"[Base].[SEGMENTO_DESCRIP]",
"[Base].[SEGMENTO_DESCRIP].&amp;[" &amp; $C$6 &amp; "]",
"[Base].[SITUACION]",
"[Base].[SITUACION].&amp;[" &amp; $C8 &amp; "]"
),0)/1000</f>
        <v>13252.777842599999</v>
      </c>
      <c r="R8" s="8">
        <f>IFERROR(
GETPIVOTDATA(
"[Base].[Importe]",
TDinamica_R!$A$5,
"[Calendario].[AñoMes]",
"[Calendario].[AñoMes].&amp;[" &amp; TEXT(R$6,"yyyymm") &amp; "]",
"[Base].[Metrica]",
"[Base].[Metrica].&amp;[" &amp; $A8 &amp; "]",
"[Base].[SEGMENTO_DESCRIP]",
"[Base].[SEGMENTO_DESCRIP].&amp;[" &amp; $C$6 &amp; "]",
"[Base].[SITUACION]",
"[Base].[SITUACION].&amp;[" &amp; $C8 &amp; "]"
),0)/1000</f>
        <v>13249.07913692</v>
      </c>
      <c r="S8" s="8">
        <f>IFERROR(
GETPIVOTDATA(
"[Base].[Importe]",
TDinamica_R!$A$5,
"[Calendario].[AñoMes]",
"[Calendario].[AñoMes].&amp;[" &amp; TEXT(S$6,"yyyymm") &amp; "]",
"[Base].[Metrica]",
"[Base].[Metrica].&amp;[" &amp; $A8 &amp; "]",
"[Base].[SEGMENTO_DESCRIP]",
"[Base].[SEGMENTO_DESCRIP].&amp;[" &amp; $C$6 &amp; "]",
"[Base].[SITUACION]",
"[Base].[SITUACION].&amp;[" &amp; $C8 &amp; "]"
),0)/1000</f>
        <v>12655.18743109</v>
      </c>
      <c r="T8" s="8">
        <f>IFERROR(
GETPIVOTDATA(
"[Base].[Importe]",
TDinamica_R!$A$5,
"[Calendario].[AñoMes]",
"[Calendario].[AñoMes].&amp;[" &amp; TEXT(T$6,"yyyymm") &amp; "]",
"[Base].[Metrica]",
"[Base].[Metrica].&amp;[" &amp; $A8 &amp; "]",
"[Base].[SEGMENTO_DESCRIP]",
"[Base].[SEGMENTO_DESCRIP].&amp;[" &amp; $C$6 &amp; "]",
"[Base].[SITUACION]",
"[Base].[SITUACION].&amp;[" &amp; $C8 &amp; "]"
),0)/1000</f>
        <v>13021.36674562</v>
      </c>
      <c r="U8" s="8">
        <f>IFERROR(
GETPIVOTDATA(
"[Base].[Importe]",
TDinamica_R!$A$5,
"[Calendario].[AñoMes]",
"[Calendario].[AñoMes].&amp;[" &amp; TEXT(U$6,"yyyymm") &amp; "]",
"[Base].[Metrica]",
"[Base].[Metrica].&amp;[" &amp; $A8 &amp; "]",
"[Base].[SEGMENTO_DESCRIP]",
"[Base].[SEGMENTO_DESCRIP].&amp;[" &amp; $C$6 &amp; "]",
"[Base].[SITUACION]",
"[Base].[SITUACION].&amp;[" &amp; $C8 &amp; "]"
),0)/1000</f>
        <v>13719.411312469998</v>
      </c>
      <c r="V8" s="8">
        <f>IFERROR(
GETPIVOTDATA(
"[Base].[Importe]",
TDinamica_R!$A$5,
"[Calendario].[AñoMes]",
"[Calendario].[AñoMes].&amp;[" &amp; TEXT(V$6,"yyyymm") &amp; "]",
"[Base].[Metrica]",
"[Base].[Metrica].&amp;[" &amp; $A8 &amp; "]",
"[Base].[SEGMENTO_DESCRIP]",
"[Base].[SEGMENTO_DESCRIP].&amp;[" &amp; $C$6 &amp; "]",
"[Base].[SITUACION]",
"[Base].[SITUACION].&amp;[" &amp; $C8 &amp; "]"
),0)/1000</f>
        <v>14357.1450609</v>
      </c>
      <c r="W8" s="8">
        <f>IFERROR(
GETPIVOTDATA(
"[Base].[Importe]",
TDinamica_R!$A$5,
"[Calendario].[AñoMes]",
"[Calendario].[AñoMes].&amp;[" &amp; TEXT(W$6,"yyyymm") &amp; "]",
"[Base].[Metrica]",
"[Base].[Metrica].&amp;[" &amp; $A8 &amp; "]",
"[Base].[SEGMENTO_DESCRIP]",
"[Base].[SEGMENTO_DESCRIP].&amp;[" &amp; $C$6 &amp; "]",
"[Base].[SITUACION]",
"[Base].[SITUACION].&amp;[" &amp; $C8 &amp; "]"
),0)/1000</f>
        <v>13772.06581484</v>
      </c>
      <c r="X8" s="8">
        <f>IFERROR(
GETPIVOTDATA(
"[Base].[Importe]",
TDinamica_R!$A$5,
"[Calendario].[AñoMes]",
"[Calendario].[AñoMes].&amp;[" &amp; TEXT(X$6,"yyyymm") &amp; "]",
"[Base].[Metrica]",
"[Base].[Metrica].&amp;[" &amp; $A8 &amp; "]",
"[Base].[SEGMENTO_DESCRIP]",
"[Base].[SEGMENTO_DESCRIP].&amp;[" &amp; $C$6 &amp; "]",
"[Base].[SITUACION]",
"[Base].[SITUACION].&amp;[" &amp; $C8 &amp; "]"
),0)/1000</f>
        <v>13175.271219109996</v>
      </c>
      <c r="Y8" s="8">
        <f>IFERROR(
GETPIVOTDATA(
"[Base].[Importe]",
TDinamica_R!$A$5,
"[Calendario].[AñoMes]",
"[Calendario].[AñoMes].&amp;[" &amp; TEXT(Y$6,"yyyymm") &amp; "]",
"[Base].[Metrica]",
"[Base].[Metrica].&amp;[" &amp; $A8 &amp; "]",
"[Base].[SEGMENTO_DESCRIP]",
"[Base].[SEGMENTO_DESCRIP].&amp;[" &amp; $C$6 &amp; "]",
"[Base].[SITUACION]",
"[Base].[SITUACION].&amp;[" &amp; $C8 &amp; "]"
),0)/1000</f>
        <v>13075.968883420004</v>
      </c>
      <c r="Z8" s="8">
        <f>IFERROR(
GETPIVOTDATA(
"[Base].[Importe]",
TDinamica_R!$A$5,
"[Calendario].[AñoMes]",
"[Calendario].[AñoMes].&amp;[" &amp; TEXT(Z$6,"yyyymm") &amp; "]",
"[Base].[Metrica]",
"[Base].[Metrica].&amp;[" &amp; $A8 &amp; "]",
"[Base].[SEGMENTO_DESCRIP]",
"[Base].[SEGMENTO_DESCRIP].&amp;[" &amp; $C$6 &amp; "]",
"[Base].[SITUACION]",
"[Base].[SITUACION].&amp;[" &amp; $C8 &amp; "]"
),0)/1000</f>
        <v>12970.335650839999</v>
      </c>
      <c r="AA8" s="8">
        <f>IFERROR(
GETPIVOTDATA(
"[Base].[Importe]",
TDinamica_R!$A$5,
"[Calendario].[AñoMes]",
"[Calendario].[AñoMes].&amp;[" &amp; TEXT(AA$6,"yyyymm") &amp; "]",
"[Base].[Metrica]",
"[Base].[Metrica].&amp;[" &amp; $A8 &amp; "]",
"[Base].[SEGMENTO_DESCRIP]",
"[Base].[SEGMENTO_DESCRIP].&amp;[" &amp; $C$6 &amp; "]",
"[Base].[SITUACION]",
"[Base].[SITUACION].&amp;[" &amp; $C8 &amp; "]"
),0)/1000</f>
        <v>16261.162032140001</v>
      </c>
      <c r="AB8" s="8">
        <f>IFERROR(
GETPIVOTDATA(
"[Base].[Importe]",
TDinamica_R!$A$5,
"[Calendario].[AñoMes]",
"[Calendario].[AñoMes].&amp;[" &amp; TEXT(AB$6,"yyyymm") &amp; "]",
"[Base].[Metrica]",
"[Base].[Metrica].&amp;[" &amp; $A8 &amp; "]",
"[Base].[SEGMENTO_DESCRIP]",
"[Base].[SEGMENTO_DESCRIP].&amp;[" &amp; $C$6 &amp; "]",
"[Base].[SITUACION]",
"[Base].[SITUACION].&amp;[" &amp; $C8 &amp; "]"
),0)/1000</f>
        <v>15433.776577959999</v>
      </c>
      <c r="AC8" s="8">
        <f>IFERROR(
GETPIVOTDATA(
"[Base].[Importe]",
TDinamica_R!$A$5,
"[Calendario].[AñoMes]",
"[Calendario].[AñoMes].&amp;[" &amp; TEXT(AC$6,"yyyymm") &amp; "]",
"[Base].[Metrica]",
"[Base].[Metrica].&amp;[" &amp; $A8 &amp; "]",
"[Base].[SEGMENTO_DESCRIP]",
"[Base].[SEGMENTO_DESCRIP].&amp;[" &amp; $C$6 &amp; "]",
"[Base].[SITUACION]",
"[Base].[SITUACION].&amp;[" &amp; $C8 &amp; "]"
),0)/1000</f>
        <v>15554.318837069999</v>
      </c>
      <c r="AD8" s="8">
        <f>IFERROR(
GETPIVOTDATA(
"[Base].[Importe]",
TDinamica_R!$A$5,
"[Calendario].[AñoMes]",
"[Calendario].[AñoMes].&amp;[" &amp; TEXT(AD$6,"yyyymm") &amp; "]",
"[Base].[Metrica]",
"[Base].[Metrica].&amp;[" &amp; $A8 &amp; "]",
"[Base].[SEGMENTO_DESCRIP]",
"[Base].[SEGMENTO_DESCRIP].&amp;[" &amp; $C$6 &amp; "]",
"[Base].[SITUACION]",
"[Base].[SITUACION].&amp;[" &amp; $C8 &amp; "]"
),0)/1000</f>
        <v>16671.133212880002</v>
      </c>
      <c r="AE8" s="8">
        <f>IFERROR(
GETPIVOTDATA(
"[Base].[Importe]",
TDinamica_R!$A$5,
"[Calendario].[AñoMes]",
"[Calendario].[AñoMes].&amp;[" &amp; TEXT(AE$6,"yyyymm") &amp; "]",
"[Base].[Metrica]",
"[Base].[Metrica].&amp;[" &amp; $A8 &amp; "]",
"[Base].[SEGMENTO_DESCRIP]",
"[Base].[SEGMENTO_DESCRIP].&amp;[" &amp; $C$6 &amp; "]",
"[Base].[SITUACION]",
"[Base].[SITUACION].&amp;[" &amp; $C8 &amp; "]"
),0)/1000</f>
        <v>15840.287937550003</v>
      </c>
      <c r="AF8" s="8">
        <f>IFERROR(
GETPIVOTDATA(
"[Base].[Importe]",
TDinamica_R!$A$5,
"[Calendario].[AñoMes]",
"[Calendario].[AñoMes].&amp;[" &amp; TEXT(AF$6,"yyyymm") &amp; "]",
"[Base].[Metrica]",
"[Base].[Metrica].&amp;[" &amp; $A8 &amp; "]",
"[Base].[SEGMENTO_DESCRIP]",
"[Base].[SEGMENTO_DESCRIP].&amp;[" &amp; $C$6 &amp; "]",
"[Base].[SITUACION]",
"[Base].[SITUACION].&amp;[" &amp; $C8 &amp; "]"
),0)/1000</f>
        <v>16950.579066319999</v>
      </c>
      <c r="AG8" s="8">
        <f>IFERROR(
GETPIVOTDATA(
"[Base].[Importe]",
TDinamica_R!$A$5,
"[Calendario].[AñoMes]",
"[Calendario].[AñoMes].&amp;[" &amp; TEXT(AG$6,"yyyymm") &amp; "]",
"[Base].[Metrica]",
"[Base].[Metrica].&amp;[" &amp; $A8 &amp; "]",
"[Base].[SEGMENTO_DESCRIP]",
"[Base].[SEGMENTO_DESCRIP].&amp;[" &amp; $C$6 &amp; "]",
"[Base].[SITUACION]",
"[Base].[SITUACION].&amp;[" &amp; $C8 &amp; "]"
),0)/1000</f>
        <v>14647.911923780001</v>
      </c>
      <c r="AH8" s="8">
        <f>IFERROR(
GETPIVOTDATA(
"[Base].[Importe]",
TDinamica_R!$A$5,
"[Calendario].[AñoMes]",
"[Calendario].[AñoMes].&amp;[" &amp; TEXT(AH$6,"yyyymm") &amp; "]",
"[Base].[Metrica]",
"[Base].[Metrica].&amp;[" &amp; $A8 &amp; "]",
"[Base].[SEGMENTO_DESCRIP]",
"[Base].[SEGMENTO_DESCRIP].&amp;[" &amp; $C$6 &amp; "]",
"[Base].[SITUACION]",
"[Base].[SITUACION].&amp;[" &amp; $C8 &amp; "]"
),0)/1000</f>
        <v>15519.053008659997</v>
      </c>
      <c r="AI8" s="8">
        <f>IFERROR(
GETPIVOTDATA(
"[Base].[Importe]",
TDinamica_R!$A$5,
"[Calendario].[AñoMes]",
"[Calendario].[AñoMes].&amp;[" &amp; TEXT(AI$6,"yyyymm") &amp; "]",
"[Base].[Metrica]",
"[Base].[Metrica].&amp;[" &amp; $A8 &amp; "]",
"[Base].[SEGMENTO_DESCRIP]",
"[Base].[SEGMENTO_DESCRIP].&amp;[" &amp; $C$6 &amp; "]",
"[Base].[SITUACION]",
"[Base].[SITUACION].&amp;[" &amp; $C8 &amp; "]"
),0)/1000</f>
        <v>16604.889195749995</v>
      </c>
      <c r="AJ8" s="8">
        <f>IFERROR(
GETPIVOTDATA(
"[Base].[Importe]",
TDinamica_R!$A$5,
"[Calendario].[AñoMes]",
"[Calendario].[AñoMes].&amp;[" &amp; TEXT(AJ$6,"yyyymm") &amp; "]",
"[Base].[Metrica]",
"[Base].[Metrica].&amp;[" &amp; $A8 &amp; "]",
"[Base].[SEGMENTO_DESCRIP]",
"[Base].[SEGMENTO_DESCRIP].&amp;[" &amp; $C$6 &amp; "]",
"[Base].[SITUACION]",
"[Base].[SITUACION].&amp;[" &amp; $C8 &amp; "]"
),0)/1000</f>
        <v>20406.795335499999</v>
      </c>
      <c r="AK8" s="8">
        <f>IFERROR(
GETPIVOTDATA(
"[Base].[Importe]",
TDinamica_R!$A$5,
"[Calendario].[AñoMes]",
"[Calendario].[AñoMes].&amp;[" &amp; TEXT(AK$6,"yyyymm") &amp; "]",
"[Base].[Metrica]",
"[Base].[Metrica].&amp;[" &amp; $A8 &amp; "]",
"[Base].[SEGMENTO_DESCRIP]",
"[Base].[SEGMENTO_DESCRIP].&amp;[" &amp; $C$6 &amp; "]",
"[Base].[SITUACION]",
"[Base].[SITUACION].&amp;[" &amp; $C8 &amp; "]"
),0)/1000</f>
        <v>23434.968159750009</v>
      </c>
      <c r="AL8" s="8">
        <f>IFERROR(
GETPIVOTDATA(
"[Base].[Importe]",
TDinamica_R!$A$5,
"[Calendario].[AñoMes]",
"[Calendario].[AñoMes].&amp;[" &amp; TEXT(AL$6,"yyyymm") &amp; "]",
"[Base].[Metrica]",
"[Base].[Metrica].&amp;[" &amp; $A8 &amp; "]",
"[Base].[SEGMENTO_DESCRIP]",
"[Base].[SEGMENTO_DESCRIP].&amp;[" &amp; $C$6 &amp; "]",
"[Base].[SITUACION]",
"[Base].[SITUACION].&amp;[" &amp; $C8 &amp; "]"
),0)/1000</f>
        <v>27655.990671259995</v>
      </c>
      <c r="AM8" s="8">
        <f>IFERROR(
GETPIVOTDATA(
"[Base].[Importe]",
TDinamica_R!$A$5,
"[Calendario].[AñoMes]",
"[Calendario].[AñoMes].&amp;[" &amp; TEXT(AM$6,"yyyymm") &amp; "]",
"[Base].[Metrica]",
"[Base].[Metrica].&amp;[" &amp; $A8 &amp; "]",
"[Base].[SEGMENTO_DESCRIP]",
"[Base].[SEGMENTO_DESCRIP].&amp;[" &amp; $C$6 &amp; "]",
"[Base].[SITUACION]",
"[Base].[SITUACION].&amp;[" &amp; $C8 &amp; "]"
),0)/1000</f>
        <v>32323.328022190002</v>
      </c>
      <c r="AN8" s="8">
        <f>IFERROR(
GETPIVOTDATA(
"[Base].[Importe]",
TDinamica_R!$A$5,
"[Calendario].[AñoMes]",
"[Calendario].[AñoMes].&amp;[" &amp; TEXT(AN$6,"yyyymm") &amp; "]",
"[Base].[Metrica]",
"[Base].[Metrica].&amp;[" &amp; $A8 &amp; "]",
"[Base].[SEGMENTO_DESCRIP]",
"[Base].[SEGMENTO_DESCRIP].&amp;[" &amp; $C$6 &amp; "]",
"[Base].[SITUACION]",
"[Base].[SITUACION].&amp;[" &amp; $C8 &amp; "]"
),0)/1000</f>
        <v>33218.85</v>
      </c>
      <c r="AO8" s="8">
        <f>IFERROR(
GETPIVOTDATA(
"[Base].[Importe]",
TDinamica_R!$A$5,
"[Calendario].[AñoMes]",
"[Calendario].[AñoMes].&amp;[" &amp; TEXT(AO$6,"yyyymm") &amp; "]",
"[Base].[Metrica]",
"[Base].[Metrica].&amp;[" &amp; $A8 &amp; "]",
"[Base].[SEGMENTO_DESCRIP]",
"[Base].[SEGMENTO_DESCRIP].&amp;[" &amp; $C$6 &amp; "]",
"[Base].[SITUACION]",
"[Base].[SITUACION].&amp;[" &amp; $C8 &amp; "]"
),0)/1000</f>
        <v>34305.699999999997</v>
      </c>
      <c r="AP8" s="8">
        <f>IFERROR(
GETPIVOTDATA(
"[Base].[Importe]",
TDinamica_R!$A$5,
"[Calendario].[AñoMes]",
"[Calendario].[AñoMes].&amp;[" &amp; TEXT(AP$6,"yyyymm") &amp; "]",
"[Base].[Metrica]",
"[Base].[Metrica].&amp;[" &amp; $A8 &amp; "]",
"[Base].[SEGMENTO_DESCRIP]",
"[Base].[SEGMENTO_DESCRIP].&amp;[" &amp; $C$6 &amp; "]",
"[Base].[SITUACION]",
"[Base].[SITUACION].&amp;[" &amp; $C8 &amp; "]"
),0)/1000</f>
        <v>39936.480000000003</v>
      </c>
      <c r="AQ8" s="8">
        <f>IFERROR(
GETPIVOTDATA(
"[Base].[Importe]",
TDinamica_R!$A$5,
"[Calendario].[AñoMes]",
"[Calendario].[AñoMes].&amp;[" &amp; TEXT(AQ$6,"yyyymm") &amp; "]",
"[Base].[Metrica]",
"[Base].[Metrica].&amp;[" &amp; $A8 &amp; "]",
"[Base].[SEGMENTO_DESCRIP]",
"[Base].[SEGMENTO_DESCRIP].&amp;[" &amp; $C$6 &amp; "]",
"[Base].[SITUACION]",
"[Base].[SITUACION].&amp;[" &amp; $C8 &amp; "]"
),0)/1000</f>
        <v>44029.362908859992</v>
      </c>
      <c r="AR8" s="8">
        <f>IFERROR(
GETPIVOTDATA(
"[Base].[Importe]",
TDinamica_R!$A$5,
"[Calendario].[AñoMes]",
"[Calendario].[AñoMes].&amp;[" &amp; TEXT(AR$6,"yyyymm") &amp; "]",
"[Base].[Metrica]",
"[Base].[Metrica].&amp;[" &amp; $A8 &amp; "]",
"[Base].[SEGMENTO_DESCRIP]",
"[Base].[SEGMENTO_DESCRIP].&amp;[" &amp; $C$6 &amp; "]",
"[Base].[SITUACION]",
"[Base].[SITUACION].&amp;[" &amp; $C8 &amp; "]"
),0)/1000</f>
        <v>46427.894297419989</v>
      </c>
      <c r="AS8" s="8">
        <f>IFERROR(
GETPIVOTDATA(
"[Base].[Importe]",
TDinamica_R!$A$5,
"[Calendario].[AñoMes]",
"[Calendario].[AñoMes].&amp;[" &amp; TEXT(AS$6,"yyyymm") &amp; "]",
"[Base].[Metrica]",
"[Base].[Metrica].&amp;[" &amp; $A8 &amp; "]",
"[Base].[SEGMENTO_DESCRIP]",
"[Base].[SEGMENTO_DESCRIP].&amp;[" &amp; $C$6 &amp; "]",
"[Base].[SITUACION]",
"[Base].[SITUACION].&amp;[" &amp; $C8 &amp; "]"
),0)/1000</f>
        <v>52638.86434629999</v>
      </c>
      <c r="AT8" s="8">
        <f>IFERROR(
GETPIVOTDATA(
"[Base].[Importe]",
TDinamica_R!$A$5,
"[Calendario].[AñoMes]",
"[Calendario].[AñoMes].&amp;[" &amp; TEXT(AT$6,"yyyymm")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U8" s="8">
        <f>IFERROR(
GETPIVOTDATA(
"[Base].[Importe]",
TDinamica_R!$A$5,
"[Calendario].[AñoMes]",
"[Calendario].[AñoMes].&amp;[" &amp; TEXT(AU$6,"yyyymm")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V8" s="8">
        <f>IFERROR(
GETPIVOTDATA(
"[Base].[Importe]",
TDinamica_R!$A$5,
"[Calendario].[AñoMes]",
"[Calendario].[AñoMes].&amp;[" &amp; TEXT(AV$6,"yyyymm")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W8" s="8">
        <f>IFERROR(
GETPIVOTDATA(
"[Base].[Importe]",
TDinamica_R!$A$5,
"[Calendario].[AñoMes]",
"[Calendario].[AñoMes].&amp;[" &amp; TEXT(AW$6,"yyyymm")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X8" s="8">
        <f>IFERROR(
GETPIVOTDATA(
"[Base].[Importe]",
TDinamica_R!$A$5,
"[Calendario].[AñoMes]",
"[Calendario].[AñoMes].&amp;[" &amp; TEXT(AX$6,"yyyymm")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Y8" s="8">
        <f>IFERROR(
GETPIVOTDATA(
"[Base].[Importe]",
TDinamica_R!$A$5,
"[Calendario].[AñoMes]",
"[Calendario].[AñoMes].&amp;[" &amp; TEXT(AY$6,"yyyymm") &amp; "]",
"[Base].[Metrica]",
"[Base].[Metrica].&amp;[" &amp; $A8 &amp; "]",
"[Base].[SEGMENTO_DESCRIP]",
"[Base].[SEGMENTO_DESCRIP].&amp;[" &amp; $C$6 &amp; "]",
"[Base].[SITUACION]",
"[Base].[SITUACION].&amp;[" &amp; $C8 &amp; "]"
),0)/1000</f>
        <v>0</v>
      </c>
      <c r="AZ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"[BASE_HIPO_PPTO].[Periodo]","[BASE_HIPO_PPTO].[Periodo].&amp;["&amp;TEXT(AZ$6,"yyyymm")&amp;"]"),
0)/1000</f>
        <v>20351.884764988252</v>
      </c>
      <c r="BA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"[BASE_HIPO_PPTO].[Periodo]","[BASE_HIPO_PPTO].[Periodo].&amp;["&amp;TEXT(BA$6,"yyyymm")&amp;"]"),
0)/1000</f>
        <v>19523.103061655009</v>
      </c>
      <c r="BB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"[BASE_HIPO_PPTO].[Periodo]","[BASE_HIPO_PPTO].[Periodo].&amp;["&amp;TEXT(BB$6,"yyyymm")&amp;"]"),
0)/1000</f>
        <v>18582.997222256705</v>
      </c>
      <c r="BC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"[BASE_HIPO_PPTO].[Periodo]","[BASE_HIPO_PPTO].[Periodo].&amp;["&amp;TEXT(BC$6,"yyyymm")&amp;"]"),
0)/1000</f>
        <v>17673.188827321494</v>
      </c>
      <c r="BD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"[BASE_HIPO_PPTO].[Periodo]","[BASE_HIPO_PPTO].[Periodo].&amp;["&amp;TEXT(BD$6,"yyyymm")&amp;"]"),
0)/1000</f>
        <v>17866.33106596212</v>
      </c>
      <c r="BE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"[BASE_HIPO_PPTO].[Periodo]","[BASE_HIPO_PPTO].[Periodo].&amp;["&amp;TEXT(BE$6,"yyyymm")&amp;"]"),
0)/1000</f>
        <v>18177.154939699889</v>
      </c>
      <c r="BF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"[BASE_HIPO_PPTO].[Periodo]","[BASE_HIPO_PPTO].[Periodo].&amp;["&amp;TEXT(BF$6,"yyyymm")&amp;"]"),
0)/1000</f>
        <v>18791.118779228276</v>
      </c>
      <c r="BG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"[BASE_HIPO_PPTO].[Periodo]","[BASE_HIPO_PPTO].[Periodo].&amp;["&amp;TEXT(BG$6,"yyyymm")&amp;"]"),
0)/1000</f>
        <v>19494.999785893877</v>
      </c>
      <c r="BH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"[BASE_HIPO_PPTO].[Periodo]","[BASE_HIPO_PPTO].[Periodo].&amp;["&amp;TEXT(BH$6,"yyyymm")&amp;"]"),
0)/1000</f>
        <v>20093.950411776972</v>
      </c>
      <c r="BI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"[BASE_HIPO_PPTO].[Periodo]","[BASE_HIPO_PPTO].[Periodo].&amp;["&amp;TEXT(BI$6,"yyyymm")&amp;"]"),
0)/1000</f>
        <v>20621.524769008538</v>
      </c>
      <c r="BJ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"[BASE_HIPO_PPTO].[Periodo]","[BASE_HIPO_PPTO].[Periodo].&amp;["&amp;TEXT(BJ$6,"yyyymm")&amp;"]"),
0)/1000</f>
        <v>21202.598355738341</v>
      </c>
      <c r="BK8" s="8">
        <f>IFERROR(
GETPIVOTDATA(
"[BASE_HIPO_PPTO].[Importe]",
TDinamica_P!$A$5,
"[BASE_HIPO_PPTO].[Metrica]","[BASE_HIPO_PPTO].[Metrica].&amp;["&amp;$A8&amp;"]",
"[BASE_HIPO_PPTO].[SEGMENTO_DESCRIP]","[BASE_HIPO_PPTO].[SEGMENTO_DESCRIP].&amp;["&amp;$C$6&amp;"]",
"[BASE_HIPO_PPTO].[SITUACION]","[BASE_HIPO_PPTO].[SITUACION].&amp;["&amp;$C8&amp;"]",
"[BASE_HIPO_PPTO].[Periodo]","[BASE_HIPO_PPTO].[Periodo].&amp;["&amp;TEXT(BK$6,"yyyymm")&amp;"]"),
0)/1000</f>
        <v>21837.242835822723</v>
      </c>
      <c r="BO8" s="24">
        <f t="shared" ref="BO8:BO10" si="4">_xlfn.XLOOKUP(BO$6,$D$6:$BM$6,$D8:$BM8,,0,1)</f>
        <v>39936.480000000003</v>
      </c>
      <c r="BP8" s="24">
        <f>_xlfn.XLOOKUP(BP$6,$D$6:$BM$6,$D8:$BM8,,0,-1)</f>
        <v>18582.997222256705</v>
      </c>
      <c r="BQ8" s="24">
        <f t="shared" ref="BQ8:BT10" si="5">_xlfn.XLOOKUP(BQ$6,$D$6:$BM$6,$D8:$BM8,,0,1)</f>
        <v>34305.699999999997</v>
      </c>
      <c r="BR8" s="24">
        <f t="shared" si="5"/>
        <v>16671.133212880002</v>
      </c>
      <c r="BS8" s="24">
        <f t="shared" si="5"/>
        <v>13249.07913692</v>
      </c>
      <c r="BT8" s="24">
        <f t="shared" si="5"/>
        <v>17802.663244740004</v>
      </c>
    </row>
    <row r="9" spans="1:81" hidden="1" outlineLevel="1" x14ac:dyDescent="0.25">
      <c r="A9" s="11" t="s">
        <v>51</v>
      </c>
      <c r="C9" s="2" t="s">
        <v>1</v>
      </c>
      <c r="D9" s="8">
        <f>IFERROR(
GETPIVOTDATA(
"[Base].[Importe]",
TDinamica_R!$A$5,
"[Calendario].[AñoMes]",
"[Calendario].[AñoMes].&amp;[" &amp; TEXT(D$6,"yyyymm") &amp; "]",
"[Base].[Metrica]",
"[Base].[Metrica].&amp;[" &amp; $A9 &amp; "]",
"[Base].[SEGMENTO_DESCRIP]",
"[Base].[SEGMENTO_DESCRIP].&amp;[" &amp; $C$6 &amp; "]",
"[Base].[SITUACION]",
"[Base].[SITUACION].&amp;[" &amp; $C9 &amp; "]"
),0)/1000</f>
        <v>48.54137352</v>
      </c>
      <c r="E9" s="8">
        <f>IFERROR(
GETPIVOTDATA(
"[Base].[Importe]",
TDinamica_R!$A$5,
"[Calendario].[AñoMes]",
"[Calendario].[AñoMes].&amp;[" &amp; TEXT(E$6,"yyyymm") &amp; "]",
"[Base].[Metrica]",
"[Base].[Metrica].&amp;[" &amp; $A9 &amp; "]",
"[Base].[SEGMENTO_DESCRIP]",
"[Base].[SEGMENTO_DESCRIP].&amp;[" &amp; $C$6 &amp; "]",
"[Base].[SITUACION]",
"[Base].[SITUACION].&amp;[" &amp; $C9 &amp; "]"
),0)/1000</f>
        <v>15.789159999999999</v>
      </c>
      <c r="F9" s="8">
        <f>IFERROR(
GETPIVOTDATA(
"[Base].[Importe]",
TDinamica_R!$A$5,
"[Calendario].[AñoMes]",
"[Calendario].[AñoMes].&amp;[" &amp; TEXT(F$6,"yyyymm") &amp; "]",
"[Base].[Metrica]",
"[Base].[Metrica].&amp;[" &amp; $A9 &amp; "]",
"[Base].[SEGMENTO_DESCRIP]",
"[Base].[SEGMENTO_DESCRIP].&amp;[" &amp; $C$6 &amp; "]",
"[Base].[SITUACION]",
"[Base].[SITUACION].&amp;[" &amp; $C9 &amp; "]"
),0)/1000</f>
        <v>14.042120000000001</v>
      </c>
      <c r="G9" s="8">
        <f>IFERROR(
GETPIVOTDATA(
"[Base].[Importe]",
TDinamica_R!$A$5,
"[Calendario].[AñoMes]",
"[Calendario].[AñoMes].&amp;[" &amp; TEXT(G$6,"yyyymm") &amp; "]",
"[Base].[Metrica]",
"[Base].[Metrica].&amp;[" &amp; $A9 &amp; "]",
"[Base].[SEGMENTO_DESCRIP]",
"[Base].[SEGMENTO_DESCRIP].&amp;[" &amp; $C$6 &amp; "]",
"[Base].[SITUACION]",
"[Base].[SITUACION].&amp;[" &amp; $C9 &amp; "]"
),0)/1000</f>
        <v>13.1562</v>
      </c>
      <c r="H9" s="8">
        <f>IFERROR(
GETPIVOTDATA(
"[Base].[Importe]",
TDinamica_R!$A$5,
"[Calendario].[AñoMes]",
"[Calendario].[AñoMes].&amp;[" &amp; TEXT(H$6,"yyyymm") &amp; "]",
"[Base].[Metrica]",
"[Base].[Metrica].&amp;[" &amp; $A9 &amp; "]",
"[Base].[SEGMENTO_DESCRIP]",
"[Base].[SEGMENTO_DESCRIP].&amp;[" &amp; $C$6 &amp; "]",
"[Base].[SITUACION]",
"[Base].[SITUACION].&amp;[" &amp; $C9 &amp; "]"
),0)/1000</f>
        <v>12.26675</v>
      </c>
      <c r="I9" s="8">
        <f>IFERROR(
GETPIVOTDATA(
"[Base].[Importe]",
TDinamica_R!$A$5,
"[Calendario].[AñoMes]",
"[Calendario].[AñoMes].&amp;[" &amp; TEXT(I$6,"yyyymm") &amp; "]",
"[Base].[Metrica]",
"[Base].[Metrica].&amp;[" &amp; $A9 &amp; "]",
"[Base].[SEGMENTO_DESCRIP]",
"[Base].[SEGMENTO_DESCRIP].&amp;[" &amp; $C$6 &amp; "]",
"[Base].[SITUACION]",
"[Base].[SITUACION].&amp;[" &amp; $C9 &amp; "]"
),0)/1000</f>
        <v>11.37</v>
      </c>
      <c r="J9" s="8">
        <f>IFERROR(
GETPIVOTDATA(
"[Base].[Importe]",
TDinamica_R!$A$5,
"[Calendario].[AñoMes]",
"[Calendario].[AñoMes].&amp;[" &amp; TEXT(J$6,"yyyymm") &amp; "]",
"[Base].[Metrica]",
"[Base].[Metrica].&amp;[" &amp; $A9 &amp; "]",
"[Base].[SEGMENTO_DESCRIP]",
"[Base].[SEGMENTO_DESCRIP].&amp;[" &amp; $C$6 &amp; "]",
"[Base].[SITUACION]",
"[Base].[SITUACION].&amp;[" &amp; $C9 &amp; "]"
),0)/1000</f>
        <v>10.45682</v>
      </c>
      <c r="K9" s="8">
        <f>IFERROR(
GETPIVOTDATA(
"[Base].[Importe]",
TDinamica_R!$A$5,
"[Calendario].[AñoMes]",
"[Calendario].[AñoMes].&amp;[" &amp; TEXT(K$6,"yyyymm") &amp; "]",
"[Base].[Metrica]",
"[Base].[Metrica].&amp;[" &amp; $A9 &amp; "]",
"[Base].[SEGMENTO_DESCRIP]",
"[Base].[SEGMENTO_DESCRIP].&amp;[" &amp; $C$6 &amp; "]",
"[Base].[SITUACION]",
"[Base].[SITUACION].&amp;[" &amp; $C9 &amp; "]"
),0)/1000</f>
        <v>9.5452099999999991</v>
      </c>
      <c r="L9" s="8">
        <f>IFERROR(
GETPIVOTDATA(
"[Base].[Importe]",
TDinamica_R!$A$5,
"[Calendario].[AñoMes]",
"[Calendario].[AñoMes].&amp;[" &amp; TEXT(L$6,"yyyymm") &amp; "]",
"[Base].[Metrica]",
"[Base].[Metrica].&amp;[" &amp; $A9 &amp; "]",
"[Base].[SEGMENTO_DESCRIP]",
"[Base].[SEGMENTO_DESCRIP].&amp;[" &amp; $C$6 &amp; "]",
"[Base].[SITUACION]",
"[Base].[SITUACION].&amp;[" &amp; $C9 &amp; "]"
),0)/1000</f>
        <v>8.6235800000000005</v>
      </c>
      <c r="M9" s="8">
        <f>IFERROR(
GETPIVOTDATA(
"[Base].[Importe]",
TDinamica_R!$A$5,
"[Calendario].[AñoMes]",
"[Calendario].[AñoMes].&amp;[" &amp; TEXT(M$6,"yyyymm") &amp; "]",
"[Base].[Metrica]",
"[Base].[Metrica].&amp;[" &amp; $A9 &amp; "]",
"[Base].[SEGMENTO_DESCRIP]",
"[Base].[SEGMENTO_DESCRIP].&amp;[" &amp; $C$6 &amp; "]",
"[Base].[SITUACION]",
"[Base].[SITUACION].&amp;[" &amp; $C9 &amp; "]"
),0)/1000</f>
        <v>7.69693</v>
      </c>
      <c r="N9" s="8">
        <f>IFERROR(
GETPIVOTDATA(
"[Base].[Importe]",
TDinamica_R!$A$5,
"[Calendario].[AñoMes]",
"[Calendario].[AñoMes].&amp;[" &amp; TEXT(N$6,"yyyymm") &amp; "]",
"[Base].[Metrica]",
"[Base].[Metrica].&amp;[" &amp; $A9 &amp; "]",
"[Base].[SEGMENTO_DESCRIP]",
"[Base].[SEGMENTO_DESCRIP].&amp;[" &amp; $C$6 &amp; "]",
"[Base].[SITUACION]",
"[Base].[SITUACION].&amp;[" &amp; $C9 &amp; "]"
),0)/1000</f>
        <v>6.7606200000000003</v>
      </c>
      <c r="O9" s="8">
        <f>IFERROR(
GETPIVOTDATA(
"[Base].[Importe]",
TDinamica_R!$A$5,
"[Calendario].[AñoMes]",
"[Calendario].[AñoMes].&amp;[" &amp; TEXT(O$6,"yyyymm") &amp; "]",
"[Base].[Metrica]",
"[Base].[Metrica].&amp;[" &amp; $A9 &amp; "]",
"[Base].[SEGMENTO_DESCRIP]",
"[Base].[SEGMENTO_DESCRIP].&amp;[" &amp; $C$6 &amp; "]",
"[Base].[SITUACION]",
"[Base].[SITUACION].&amp;[" &amp; $C9 &amp; "]"
),0)/1000</f>
        <v>5.8186800000000005</v>
      </c>
      <c r="P9" s="8">
        <f>IFERROR(
GETPIVOTDATA(
"[Base].[Importe]",
TDinamica_R!$A$5,
"[Calendario].[AñoMes]",
"[Calendario].[AñoMes].&amp;[" &amp; TEXT(P$6,"yyyymm") &amp; "]",
"[Base].[Metrica]",
"[Base].[Metrica].&amp;[" &amp; $A9 &amp; "]",
"[Base].[SEGMENTO_DESCRIP]",
"[Base].[SEGMENTO_DESCRIP].&amp;[" &amp; $C$6 &amp; "]",
"[Base].[SITUACION]",
"[Base].[SITUACION].&amp;[" &amp; $C9 &amp; "]"
),0)/1000</f>
        <v>4.8689999999999998</v>
      </c>
      <c r="Q9" s="8">
        <f>IFERROR(
GETPIVOTDATA(
"[Base].[Importe]",
TDinamica_R!$A$5,
"[Calendario].[AñoMes]",
"[Calendario].[AñoMes].&amp;[" &amp; TEXT(Q$6,"yyyymm") &amp; "]",
"[Base].[Metrica]",
"[Base].[Metrica].&amp;[" &amp; $A9 &amp; "]",
"[Base].[SEGMENTO_DESCRIP]",
"[Base].[SEGMENTO_DESCRIP].&amp;[" &amp; $C$6 &amp; "]",
"[Base].[SITUACION]",
"[Base].[SITUACION].&amp;[" &amp; $C9 &amp; "]"
),0)/1000</f>
        <v>3.9102299999999999</v>
      </c>
      <c r="R9" s="8">
        <f>IFERROR(
GETPIVOTDATA(
"[Base].[Importe]",
TDinamica_R!$A$5,
"[Calendario].[AñoMes]",
"[Calendario].[AñoMes].&amp;[" &amp; TEXT(R$6,"yyyymm") &amp; "]",
"[Base].[Metrica]",
"[Base].[Metrica].&amp;[" &amp; $A9 &amp; "]",
"[Base].[SEGMENTO_DESCRIP]",
"[Base].[SEGMENTO_DESCRIP].&amp;[" &amp; $C$6 &amp; "]",
"[Base].[SITUACION]",
"[Base].[SITUACION].&amp;[" &amp; $C9 &amp; "]"
),0)/1000</f>
        <v>2.94489</v>
      </c>
      <c r="S9" s="8">
        <f>IFERROR(
GETPIVOTDATA(
"[Base].[Importe]",
TDinamica_R!$A$5,
"[Calendario].[AñoMes]",
"[Calendario].[AñoMes].&amp;[" &amp; TEXT(S$6,"yyyymm") &amp; "]",
"[Base].[Metrica]",
"[Base].[Metrica].&amp;[" &amp; $A9 &amp; "]",
"[Base].[SEGMENTO_DESCRIP]",
"[Base].[SEGMENTO_DESCRIP].&amp;[" &amp; $C$6 &amp; "]",
"[Base].[SITUACION]",
"[Base].[SITUACION].&amp;[" &amp; $C9 &amp; "]"
),0)/1000</f>
        <v>2.94489</v>
      </c>
      <c r="T9" s="8">
        <f>IFERROR(
GETPIVOTDATA(
"[Base].[Importe]",
TDinamica_R!$A$5,
"[Calendario].[AñoMes]",
"[Calendario].[AñoMes].&amp;[" &amp; TEXT(T$6,"yyyymm")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U9" s="8">
        <f>IFERROR(
GETPIVOTDATA(
"[Base].[Importe]",
TDinamica_R!$A$5,
"[Calendario].[AñoMes]",
"[Calendario].[AñoMes].&amp;[" &amp; TEXT(U$6,"yyyymm")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V9" s="8">
        <f>IFERROR(
GETPIVOTDATA(
"[Base].[Importe]",
TDinamica_R!$A$5,
"[Calendario].[AñoMes]",
"[Calendario].[AñoMes].&amp;[" &amp; TEXT(V$6,"yyyymm")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W9" s="8">
        <f>IFERROR(
GETPIVOTDATA(
"[Base].[Importe]",
TDinamica_R!$A$5,
"[Calendario].[AñoMes]",
"[Calendario].[AñoMes].&amp;[" &amp; TEXT(W$6,"yyyymm")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X9" s="8">
        <f>IFERROR(
GETPIVOTDATA(
"[Base].[Importe]",
TDinamica_R!$A$5,
"[Calendario].[AñoMes]",
"[Calendario].[AñoMes].&amp;[" &amp; TEXT(X$6,"yyyymm")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Y9" s="8">
        <f>IFERROR(
GETPIVOTDATA(
"[Base].[Importe]",
TDinamica_R!$A$5,
"[Calendario].[AñoMes]",
"[Calendario].[AñoMes].&amp;[" &amp; TEXT(Y$6,"yyyymm")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Z9" s="8">
        <f>IFERROR(
GETPIVOTDATA(
"[Base].[Importe]",
TDinamica_R!$A$5,
"[Calendario].[AñoMes]",
"[Calendario].[AñoMes].&amp;[" &amp; TEXT(Z$6,"yyyymm")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A9" s="8">
        <f>IFERROR(
GETPIVOTDATA(
"[Base].[Importe]",
TDinamica_R!$A$5,
"[Calendario].[AñoMes]",
"[Calendario].[AñoMes].&amp;[" &amp; TEXT(AA$6,"yyyymm")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B9" s="8">
        <f>IFERROR(
GETPIVOTDATA(
"[Base].[Importe]",
TDinamica_R!$A$5,
"[Calendario].[AñoMes]",
"[Calendario].[AñoMes].&amp;[" &amp; TEXT(AB$6,"yyyymm")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C9" s="8">
        <f>IFERROR(
GETPIVOTDATA(
"[Base].[Importe]",
TDinamica_R!$A$5,
"[Calendario].[AñoMes]",
"[Calendario].[AñoMes].&amp;[" &amp; TEXT(AC$6,"yyyymm")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D9" s="8">
        <f>IFERROR(
GETPIVOTDATA(
"[Base].[Importe]",
TDinamica_R!$A$5,
"[Calendario].[AñoMes]",
"[Calendario].[AñoMes].&amp;[" &amp; TEXT(AD$6,"yyyymm")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E9" s="8">
        <f>IFERROR(
GETPIVOTDATA(
"[Base].[Importe]",
TDinamica_R!$A$5,
"[Calendario].[AñoMes]",
"[Calendario].[AñoMes].&amp;[" &amp; TEXT(AE$6,"yyyymm")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F9" s="8">
        <f>IFERROR(
GETPIVOTDATA(
"[Base].[Importe]",
TDinamica_R!$A$5,
"[Calendario].[AñoMes]",
"[Calendario].[AñoMes].&amp;[" &amp; TEXT(AF$6,"yyyymm")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G9" s="8">
        <f>IFERROR(
GETPIVOTDATA(
"[Base].[Importe]",
TDinamica_R!$A$5,
"[Calendario].[AñoMes]",
"[Calendario].[AñoMes].&amp;[" &amp; TEXT(AG$6,"yyyymm")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H9" s="8">
        <f>IFERROR(
GETPIVOTDATA(
"[Base].[Importe]",
TDinamica_R!$A$5,
"[Calendario].[AñoMes]",
"[Calendario].[AñoMes].&amp;[" &amp; TEXT(AH$6,"yyyymm")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I9" s="8">
        <f>IFERROR(
GETPIVOTDATA(
"[Base].[Importe]",
TDinamica_R!$A$5,
"[Calendario].[AñoMes]",
"[Calendario].[AñoMes].&amp;[" &amp; TEXT(AI$6,"yyyymm")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J9" s="8">
        <f>IFERROR(
GETPIVOTDATA(
"[Base].[Importe]",
TDinamica_R!$A$5,
"[Calendario].[AñoMes]",
"[Calendario].[AñoMes].&amp;[" &amp; TEXT(AJ$6,"yyyymm")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K9" s="8">
        <f>IFERROR(
GETPIVOTDATA(
"[Base].[Importe]",
TDinamica_R!$A$5,
"[Calendario].[AñoMes]",
"[Calendario].[AñoMes].&amp;[" &amp; TEXT(AK$6,"yyyymm")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L9" s="8">
        <f>IFERROR(
GETPIVOTDATA(
"[Base].[Importe]",
TDinamica_R!$A$5,
"[Calendario].[AñoMes]",
"[Calendario].[AñoMes].&amp;[" &amp; TEXT(AL$6,"yyyymm")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M9" s="8">
        <f>IFERROR(
GETPIVOTDATA(
"[Base].[Importe]",
TDinamica_R!$A$5,
"[Calendario].[AñoMes]",
"[Calendario].[AñoMes].&amp;[" &amp; TEXT(AM$6,"yyyymm")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N9" s="8">
        <f>IFERROR(
GETPIVOTDATA(
"[Base].[Importe]",
TDinamica_R!$A$5,
"[Calendario].[AñoMes]",
"[Calendario].[AñoMes].&amp;[" &amp; TEXT(AN$6,"yyyymm")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O9" s="8">
        <f>IFERROR(
GETPIVOTDATA(
"[Base].[Importe]",
TDinamica_R!$A$5,
"[Calendario].[AñoMes]",
"[Calendario].[AñoMes].&amp;[" &amp; TEXT(AO$6,"yyyymm")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P9" s="8">
        <f>IFERROR(
GETPIVOTDATA(
"[Base].[Importe]",
TDinamica_R!$A$5,
"[Calendario].[AñoMes]",
"[Calendario].[AñoMes].&amp;[" &amp; TEXT(AP$6,"yyyymm")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Q9" s="8">
        <f>IFERROR(
GETPIVOTDATA(
"[Base].[Importe]",
TDinamica_R!$A$5,
"[Calendario].[AñoMes]",
"[Calendario].[AñoMes].&amp;[" &amp; TEXT(AQ$6,"yyyymm")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R9" s="8">
        <f>IFERROR(
GETPIVOTDATA(
"[Base].[Importe]",
TDinamica_R!$A$5,
"[Calendario].[AñoMes]",
"[Calendario].[AñoMes].&amp;[" &amp; TEXT(AR$6,"yyyymm")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S9" s="8">
        <f>IFERROR(
GETPIVOTDATA(
"[Base].[Importe]",
TDinamica_R!$A$5,
"[Calendario].[AñoMes]",
"[Calendario].[AñoMes].&amp;[" &amp; TEXT(AS$6,"yyyymm")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T9" s="8">
        <f>IFERROR(
GETPIVOTDATA(
"[Base].[Importe]",
TDinamica_R!$A$5,
"[Calendario].[AñoMes]",
"[Calendario].[AñoMes].&amp;[" &amp; TEXT(AT$6,"yyyymm")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U9" s="8">
        <f>IFERROR(
GETPIVOTDATA(
"[Base].[Importe]",
TDinamica_R!$A$5,
"[Calendario].[AñoMes]",
"[Calendario].[AñoMes].&amp;[" &amp; TEXT(AU$6,"yyyymm")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V9" s="8">
        <f>IFERROR(
GETPIVOTDATA(
"[Base].[Importe]",
TDinamica_R!$A$5,
"[Calendario].[AñoMes]",
"[Calendario].[AñoMes].&amp;[" &amp; TEXT(AV$6,"yyyymm")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W9" s="8">
        <f>IFERROR(
GETPIVOTDATA(
"[Base].[Importe]",
TDinamica_R!$A$5,
"[Calendario].[AñoMes]",
"[Calendario].[AñoMes].&amp;[" &amp; TEXT(AW$6,"yyyymm")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X9" s="8">
        <f>IFERROR(
GETPIVOTDATA(
"[Base].[Importe]",
TDinamica_R!$A$5,
"[Calendario].[AñoMes]",
"[Calendario].[AñoMes].&amp;[" &amp; TEXT(AX$6,"yyyymm")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Y9" s="8">
        <f>IFERROR(
GETPIVOTDATA(
"[Base].[Importe]",
TDinamica_R!$A$5,
"[Calendario].[AñoMes]",
"[Calendario].[AñoMes].&amp;[" &amp; TEXT(AY$6,"yyyymm") &amp; "]",
"[Base].[Metrica]",
"[Base].[Metrica].&amp;[" &amp; $A9 &amp; "]",
"[Base].[SEGMENTO_DESCRIP]",
"[Base].[SEGMENTO_DESCRIP].&amp;[" &amp; $C$6 &amp; "]",
"[Base].[SITUACION]",
"[Base].[SITUACION].&amp;[" &amp; $C9 &amp; "]"
),0)/1000</f>
        <v>0</v>
      </c>
      <c r="AZ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"[BASE_HIPO_PPTO].[Periodo]","[BASE_HIPO_PPTO].[Periodo].&amp;["&amp;TEXT(AZ$6,"yyyymm")&amp;"]"),
0)/1000</f>
        <v>0</v>
      </c>
      <c r="BA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"[BASE_HIPO_PPTO].[Periodo]","[BASE_HIPO_PPTO].[Periodo].&amp;["&amp;TEXT(BA$6,"yyyymm")&amp;"]"),
0)/1000</f>
        <v>0</v>
      </c>
      <c r="BB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"[BASE_HIPO_PPTO].[Periodo]","[BASE_HIPO_PPTO].[Periodo].&amp;["&amp;TEXT(BB$6,"yyyymm")&amp;"]"),
0)/1000</f>
        <v>0</v>
      </c>
      <c r="BC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"[BASE_HIPO_PPTO].[Periodo]","[BASE_HIPO_PPTO].[Periodo].&amp;["&amp;TEXT(BC$6,"yyyymm")&amp;"]"),
0)/1000</f>
        <v>0</v>
      </c>
      <c r="BD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"[BASE_HIPO_PPTO].[Periodo]","[BASE_HIPO_PPTO].[Periodo].&amp;["&amp;TEXT(BD$6,"yyyymm")&amp;"]"),
0)/1000</f>
        <v>0</v>
      </c>
      <c r="BE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"[BASE_HIPO_PPTO].[Periodo]","[BASE_HIPO_PPTO].[Periodo].&amp;["&amp;TEXT(BE$6,"yyyymm")&amp;"]"),
0)/1000</f>
        <v>0</v>
      </c>
      <c r="BF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"[BASE_HIPO_PPTO].[Periodo]","[BASE_HIPO_PPTO].[Periodo].&amp;["&amp;TEXT(BF$6,"yyyymm")&amp;"]"),
0)/1000</f>
        <v>0</v>
      </c>
      <c r="BG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"[BASE_HIPO_PPTO].[Periodo]","[BASE_HIPO_PPTO].[Periodo].&amp;["&amp;TEXT(BG$6,"yyyymm")&amp;"]"),
0)/1000</f>
        <v>0</v>
      </c>
      <c r="BH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"[BASE_HIPO_PPTO].[Periodo]","[BASE_HIPO_PPTO].[Periodo].&amp;["&amp;TEXT(BH$6,"yyyymm")&amp;"]"),
0)/1000</f>
        <v>0</v>
      </c>
      <c r="BI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"[BASE_HIPO_PPTO].[Periodo]","[BASE_HIPO_PPTO].[Periodo].&amp;["&amp;TEXT(BI$6,"yyyymm")&amp;"]"),
0)/1000</f>
        <v>0</v>
      </c>
      <c r="BJ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"[BASE_HIPO_PPTO].[Periodo]","[BASE_HIPO_PPTO].[Periodo].&amp;["&amp;TEXT(BJ$6,"yyyymm")&amp;"]"),
0)/1000</f>
        <v>0</v>
      </c>
      <c r="BK9" s="8">
        <f>IFERROR(
GETPIVOTDATA(
"[BASE_HIPO_PPTO].[Importe]",
TDinamica_P!$A$5,
"[BASE_HIPO_PPTO].[Metrica]","[BASE_HIPO_PPTO].[Metrica].&amp;["&amp;$A9&amp;"]",
"[BASE_HIPO_PPTO].[SEGMENTO_DESCRIP]","[BASE_HIPO_PPTO].[SEGMENTO_DESCRIP].&amp;["&amp;$C$6&amp;"]",
"[BASE_HIPO_PPTO].[SITUACION]","[BASE_HIPO_PPTO].[SITUACION].&amp;["&amp;$C9&amp;"]",
"[BASE_HIPO_PPTO].[Periodo]","[BASE_HIPO_PPTO].[Periodo].&amp;["&amp;TEXT(BK$6,"yyyymm")&amp;"]"),
0)/1000</f>
        <v>0</v>
      </c>
      <c r="BO9" s="24">
        <f t="shared" si="4"/>
        <v>0</v>
      </c>
      <c r="BP9" s="24">
        <f t="shared" ref="BP9:BP10" si="6">_xlfn.XLOOKUP(BP$6,$D$6:$BM$6,$D9:$BM9,,0,-1)</f>
        <v>0</v>
      </c>
      <c r="BQ9" s="24">
        <f t="shared" si="5"/>
        <v>0</v>
      </c>
      <c r="BR9" s="24">
        <f t="shared" si="5"/>
        <v>0</v>
      </c>
      <c r="BS9" s="24">
        <f t="shared" si="5"/>
        <v>2.94489</v>
      </c>
      <c r="BT9" s="24">
        <f t="shared" si="5"/>
        <v>14.042120000000001</v>
      </c>
    </row>
    <row r="10" spans="1:81" ht="14.45" hidden="1" customHeight="1" outlineLevel="1" x14ac:dyDescent="0.25">
      <c r="A10" s="11" t="s">
        <v>51</v>
      </c>
      <c r="C10" s="2" t="s">
        <v>45</v>
      </c>
      <c r="D10" s="8">
        <f>IFERROR(
GETPIVOTDATA(
"[Base].[Importe]",
TDinamica_R!$A$5,
"[Calendario].[AñoMes]",
"[Calendario].[AñoMes].&amp;[" &amp; TEXT(D$6,"yyyymm") &amp; "]",
"[Base].[Metrica]",
"[Base].[Metrica].&amp;[" &amp; $A10 &amp; "]",
"[Base].[SEGMENTO_DESCRIP]",
"[Base].[SEGMENTO_DESCRIP].&amp;[" &amp; $C$6 &amp; "]",
"[Base].[SITUACION]",
"[Base].[SITUACION].&amp;[" &amp; $C10 &amp; "]"
),0)/1000</f>
        <v>2906.2062528999995</v>
      </c>
      <c r="E10" s="8">
        <f>IFERROR(
GETPIVOTDATA(
"[Base].[Importe]",
TDinamica_R!$A$5,
"[Calendario].[AñoMes]",
"[Calendario].[AñoMes].&amp;[" &amp; TEXT(E$6,"yyyymm") &amp; "]",
"[Base].[Metrica]",
"[Base].[Metrica].&amp;[" &amp; $A10 &amp; "]",
"[Base].[SEGMENTO_DESCRIP]",
"[Base].[SEGMENTO_DESCRIP].&amp;[" &amp; $C$6 &amp; "]",
"[Base].[SITUACION]",
"[Base].[SITUACION].&amp;[" &amp; $C10 &amp; "]"
),0)/1000</f>
        <v>2982.2549102600001</v>
      </c>
      <c r="F10" s="8">
        <f>IFERROR(
GETPIVOTDATA(
"[Base].[Importe]",
TDinamica_R!$A$5,
"[Calendario].[AñoMes]",
"[Calendario].[AñoMes].&amp;[" &amp; TEXT(F$6,"yyyymm") &amp; "]",
"[Base].[Metrica]",
"[Base].[Metrica].&amp;[" &amp; $A10 &amp; "]",
"[Base].[SEGMENTO_DESCRIP]",
"[Base].[SEGMENTO_DESCRIP].&amp;[" &amp; $C$6 &amp; "]",
"[Base].[SITUACION]",
"[Base].[SITUACION].&amp;[" &amp; $C10 &amp; "]"
),0)/1000</f>
        <v>2724.5507710999996</v>
      </c>
      <c r="G10" s="8">
        <f>IFERROR(
GETPIVOTDATA(
"[Base].[Importe]",
TDinamica_R!$A$5,
"[Calendario].[AñoMes]",
"[Calendario].[AñoMes].&amp;[" &amp; TEXT(G$6,"yyyymm") &amp; "]",
"[Base].[Metrica]",
"[Base].[Metrica].&amp;[" &amp; $A10 &amp; "]",
"[Base].[SEGMENTO_DESCRIP]",
"[Base].[SEGMENTO_DESCRIP].&amp;[" &amp; $C$6 &amp; "]",
"[Base].[SITUACION]",
"[Base].[SITUACION].&amp;[" &amp; $C10 &amp; "]"
),0)/1000</f>
        <v>2239.3223229999999</v>
      </c>
      <c r="H10" s="8">
        <f>IFERROR(
GETPIVOTDATA(
"[Base].[Importe]",
TDinamica_R!$A$5,
"[Calendario].[AñoMes]",
"[Calendario].[AñoMes].&amp;[" &amp; TEXT(H$6,"yyyymm") &amp; "]",
"[Base].[Metrica]",
"[Base].[Metrica].&amp;[" &amp; $A10 &amp; "]",
"[Base].[SEGMENTO_DESCRIP]",
"[Base].[SEGMENTO_DESCRIP].&amp;[" &amp; $C$6 &amp; "]",
"[Base].[SITUACION]",
"[Base].[SITUACION].&amp;[" &amp; $C10 &amp; "]"
),0)/1000</f>
        <v>2005.67141537</v>
      </c>
      <c r="I10" s="8">
        <f>IFERROR(
GETPIVOTDATA(
"[Base].[Importe]",
TDinamica_R!$A$5,
"[Calendario].[AñoMes]",
"[Calendario].[AñoMes].&amp;[" &amp; TEXT(I$6,"yyyymm") &amp; "]",
"[Base].[Metrica]",
"[Base].[Metrica].&amp;[" &amp; $A10 &amp; "]",
"[Base].[SEGMENTO_DESCRIP]",
"[Base].[SEGMENTO_DESCRIP].&amp;[" &amp; $C$6 &amp; "]",
"[Base].[SITUACION]",
"[Base].[SITUACION].&amp;[" &amp; $C10 &amp; "]"
),0)/1000</f>
        <v>1388.3220614800002</v>
      </c>
      <c r="J10" s="8">
        <f>IFERROR(
GETPIVOTDATA(
"[Base].[Importe]",
TDinamica_R!$A$5,
"[Calendario].[AñoMes]",
"[Calendario].[AñoMes].&amp;[" &amp; TEXT(J$6,"yyyymm") &amp; "]",
"[Base].[Metrica]",
"[Base].[Metrica].&amp;[" &amp; $A10 &amp; "]",
"[Base].[SEGMENTO_DESCRIP]",
"[Base].[SEGMENTO_DESCRIP].&amp;[" &amp; $C$6 &amp; "]",
"[Base].[SITUACION]",
"[Base].[SITUACION].&amp;[" &amp; $C10 &amp; "]"
),0)/1000</f>
        <v>1321.42121688</v>
      </c>
      <c r="K10" s="8">
        <f>IFERROR(
GETPIVOTDATA(
"[Base].[Importe]",
TDinamica_R!$A$5,
"[Calendario].[AñoMes]",
"[Calendario].[AñoMes].&amp;[" &amp; TEXT(K$6,"yyyymm") &amp; "]",
"[Base].[Metrica]",
"[Base].[Metrica].&amp;[" &amp; $A10 &amp; "]",
"[Base].[SEGMENTO_DESCRIP]",
"[Base].[SEGMENTO_DESCRIP].&amp;[" &amp; $C$6 &amp; "]",
"[Base].[SITUACION]",
"[Base].[SITUACION].&amp;[" &amp; $C10 &amp; "]"
),0)/1000</f>
        <v>1249.4151575000001</v>
      </c>
      <c r="L10" s="8">
        <f>IFERROR(
GETPIVOTDATA(
"[Base].[Importe]",
TDinamica_R!$A$5,
"[Calendario].[AñoMes]",
"[Calendario].[AñoMes].&amp;[" &amp; TEXT(L$6,"yyyymm") &amp; "]",
"[Base].[Metrica]",
"[Base].[Metrica].&amp;[" &amp; $A10 &amp; "]",
"[Base].[SEGMENTO_DESCRIP]",
"[Base].[SEGMENTO_DESCRIP].&amp;[" &amp; $C$6 &amp; "]",
"[Base].[SITUACION]",
"[Base].[SITUACION].&amp;[" &amp; $C10 &amp; "]"
),0)/1000</f>
        <v>1241.5189663900003</v>
      </c>
      <c r="M10" s="8">
        <f>IFERROR(
GETPIVOTDATA(
"[Base].[Importe]",
TDinamica_R!$A$5,
"[Calendario].[AñoMes]",
"[Calendario].[AñoMes].&amp;[" &amp; TEXT(M$6,"yyyymm") &amp; "]",
"[Base].[Metrica]",
"[Base].[Metrica].&amp;[" &amp; $A10 &amp; "]",
"[Base].[SEGMENTO_DESCRIP]",
"[Base].[SEGMENTO_DESCRIP].&amp;[" &amp; $C$6 &amp; "]",
"[Base].[SITUACION]",
"[Base].[SITUACION].&amp;[" &amp; $C10 &amp; "]"
),0)/1000</f>
        <v>1413.0177867399998</v>
      </c>
      <c r="N10" s="8">
        <f>IFERROR(
GETPIVOTDATA(
"[Base].[Importe]",
TDinamica_R!$A$5,
"[Calendario].[AñoMes]",
"[Calendario].[AñoMes].&amp;[" &amp; TEXT(N$6,"yyyymm") &amp; "]",
"[Base].[Metrica]",
"[Base].[Metrica].&amp;[" &amp; $A10 &amp; "]",
"[Base].[SEGMENTO_DESCRIP]",
"[Base].[SEGMENTO_DESCRIP].&amp;[" &amp; $C$6 &amp; "]",
"[Base].[SITUACION]",
"[Base].[SITUACION].&amp;[" &amp; $C10 &amp; "]"
),0)/1000</f>
        <v>1173.6770645600002</v>
      </c>
      <c r="O10" s="8">
        <f>IFERROR(
GETPIVOTDATA(
"[Base].[Importe]",
TDinamica_R!$A$5,
"[Calendario].[AñoMes]",
"[Calendario].[AñoMes].&amp;[" &amp; TEXT(O$6,"yyyymm") &amp; "]",
"[Base].[Metrica]",
"[Base].[Metrica].&amp;[" &amp; $A10 &amp; "]",
"[Base].[SEGMENTO_DESCRIP]",
"[Base].[SEGMENTO_DESCRIP].&amp;[" &amp; $C$6 &amp; "]",
"[Base].[SITUACION]",
"[Base].[SITUACION].&amp;[" &amp; $C10 &amp; "]"
),0)/1000</f>
        <v>1214.4993863899999</v>
      </c>
      <c r="P10" s="8">
        <f>IFERROR(
GETPIVOTDATA(
"[Base].[Importe]",
TDinamica_R!$A$5,
"[Calendario].[AñoMes]",
"[Calendario].[AñoMes].&amp;[" &amp; TEXT(P$6,"yyyymm") &amp; "]",
"[Base].[Metrica]",
"[Base].[Metrica].&amp;[" &amp; $A10 &amp; "]",
"[Base].[SEGMENTO_DESCRIP]",
"[Base].[SEGMENTO_DESCRIP].&amp;[" &amp; $C$6 &amp; "]",
"[Base].[SITUACION]",
"[Base].[SITUACION].&amp;[" &amp; $C10 &amp; "]"
),0)/1000</f>
        <v>1309.2804566799998</v>
      </c>
      <c r="Q10" s="8">
        <f>IFERROR(
GETPIVOTDATA(
"[Base].[Importe]",
TDinamica_R!$A$5,
"[Calendario].[AñoMes]",
"[Calendario].[AñoMes].&amp;[" &amp; TEXT(Q$6,"yyyymm") &amp; "]",
"[Base].[Metrica]",
"[Base].[Metrica].&amp;[" &amp; $A10 &amp; "]",
"[Base].[SEGMENTO_DESCRIP]",
"[Base].[SEGMENTO_DESCRIP].&amp;[" &amp; $C$6 &amp; "]",
"[Base].[SITUACION]",
"[Base].[SITUACION].&amp;[" &amp; $C10 &amp; "]"
),0)/1000</f>
        <v>1736.4157826000001</v>
      </c>
      <c r="R10" s="8">
        <f>IFERROR(
GETPIVOTDATA(
"[Base].[Importe]",
TDinamica_R!$A$5,
"[Calendario].[AñoMes]",
"[Calendario].[AñoMes].&amp;[" &amp; TEXT(R$6,"yyyymm") &amp; "]",
"[Base].[Metrica]",
"[Base].[Metrica].&amp;[" &amp; $A10 &amp; "]",
"[Base].[SEGMENTO_DESCRIP]",
"[Base].[SEGMENTO_DESCRIP].&amp;[" &amp; $C$6 &amp; "]",
"[Base].[SITUACION]",
"[Base].[SITUACION].&amp;[" &amp; $C10 &amp; "]"
),0)/1000</f>
        <v>1146.6601119000002</v>
      </c>
      <c r="S10" s="8">
        <f>IFERROR(
GETPIVOTDATA(
"[Base].[Importe]",
TDinamica_R!$A$5,
"[Calendario].[AñoMes]",
"[Calendario].[AñoMes].&amp;[" &amp; TEXT(S$6,"yyyymm") &amp; "]",
"[Base].[Metrica]",
"[Base].[Metrica].&amp;[" &amp; $A10 &amp; "]",
"[Base].[SEGMENTO_DESCRIP]",
"[Base].[SEGMENTO_DESCRIP].&amp;[" &amp; $C$6 &amp; "]",
"[Base].[SITUACION]",
"[Base].[SITUACION].&amp;[" &amp; $C10 &amp; "]"
),0)/1000</f>
        <v>1006.9990113499999</v>
      </c>
      <c r="T10" s="8">
        <f>IFERROR(
GETPIVOTDATA(
"[Base].[Importe]",
TDinamica_R!$A$5,
"[Calendario].[AñoMes]",
"[Calendario].[AñoMes].&amp;[" &amp; TEXT(T$6,"yyyymm") &amp; "]",
"[Base].[Metrica]",
"[Base].[Metrica].&amp;[" &amp; $A10 &amp; "]",
"[Base].[SEGMENTO_DESCRIP]",
"[Base].[SEGMENTO_DESCRIP].&amp;[" &amp; $C$6 &amp; "]",
"[Base].[SITUACION]",
"[Base].[SITUACION].&amp;[" &amp; $C10 &amp; "]"
),0)/1000</f>
        <v>1014.2377129</v>
      </c>
      <c r="U10" s="8">
        <f>IFERROR(
GETPIVOTDATA(
"[Base].[Importe]",
TDinamica_R!$A$5,
"[Calendario].[AñoMes]",
"[Calendario].[AñoMes].&amp;[" &amp; TEXT(U$6,"yyyymm") &amp; "]",
"[Base].[Metrica]",
"[Base].[Metrica].&amp;[" &amp; $A10 &amp; "]",
"[Base].[SEGMENTO_DESCRIP]",
"[Base].[SEGMENTO_DESCRIP].&amp;[" &amp; $C$6 &amp; "]",
"[Base].[SITUACION]",
"[Base].[SITUACION].&amp;[" &amp; $C10 &amp; "]"
),0)/1000</f>
        <v>1010.8555</v>
      </c>
      <c r="V10" s="8">
        <f>IFERROR(
GETPIVOTDATA(
"[Base].[Importe]",
TDinamica_R!$A$5,
"[Calendario].[AñoMes]",
"[Calendario].[AñoMes].&amp;[" &amp; TEXT(V$6,"yyyymm") &amp; "]",
"[Base].[Metrica]",
"[Base].[Metrica].&amp;[" &amp; $A10 &amp; "]",
"[Base].[SEGMENTO_DESCRIP]",
"[Base].[SEGMENTO_DESCRIP].&amp;[" &amp; $C$6 &amp; "]",
"[Base].[SITUACION]",
"[Base].[SITUACION].&amp;[" &amp; $C10 &amp; "]"
),0)/1000</f>
        <v>1093.3143699999998</v>
      </c>
      <c r="W10" s="8">
        <f>IFERROR(
GETPIVOTDATA(
"[Base].[Importe]",
TDinamica_R!$A$5,
"[Calendario].[AñoMes]",
"[Calendario].[AñoMes].&amp;[" &amp; TEXT(W$6,"yyyymm") &amp; "]",
"[Base].[Metrica]",
"[Base].[Metrica].&amp;[" &amp; $A10 &amp; "]",
"[Base].[SEGMENTO_DESCRIP]",
"[Base].[SEGMENTO_DESCRIP].&amp;[" &amp; $C$6 &amp; "]",
"[Base].[SITUACION]",
"[Base].[SITUACION].&amp;[" &amp; $C10 &amp; "]"
),0)/1000</f>
        <v>1008.72876</v>
      </c>
      <c r="X10" s="8">
        <f>IFERROR(
GETPIVOTDATA(
"[Base].[Importe]",
TDinamica_R!$A$5,
"[Calendario].[AñoMes]",
"[Calendario].[AñoMes].&amp;[" &amp; TEXT(X$6,"yyyymm") &amp; "]",
"[Base].[Metrica]",
"[Base].[Metrica].&amp;[" &amp; $A10 &amp; "]",
"[Base].[SEGMENTO_DESCRIP]",
"[Base].[SEGMENTO_DESCRIP].&amp;[" &amp; $C$6 &amp; "]",
"[Base].[SITUACION]",
"[Base].[SITUACION].&amp;[" &amp; $C10 &amp; "]"
),0)/1000</f>
        <v>1007.34122</v>
      </c>
      <c r="Y10" s="8">
        <f>IFERROR(
GETPIVOTDATA(
"[Base].[Importe]",
TDinamica_R!$A$5,
"[Calendario].[AñoMes]",
"[Calendario].[AñoMes].&amp;[" &amp; TEXT(Y$6,"yyyymm") &amp; "]",
"[Base].[Metrica]",
"[Base].[Metrica].&amp;[" &amp; $A10 &amp; "]",
"[Base].[SEGMENTO_DESCRIP]",
"[Base].[SEGMENTO_DESCRIP].&amp;[" &amp; $C$6 &amp; "]",
"[Base].[SITUACION]",
"[Base].[SITUACION].&amp;[" &amp; $C10 &amp; "]"
),0)/1000</f>
        <v>795.44174999999996</v>
      </c>
      <c r="Z10" s="8">
        <f>IFERROR(
GETPIVOTDATA(
"[Base].[Importe]",
TDinamica_R!$A$5,
"[Calendario].[AñoMes]",
"[Calendario].[AñoMes].&amp;[" &amp; TEXT(Z$6,"yyyymm") &amp; "]",
"[Base].[Metrica]",
"[Base].[Metrica].&amp;[" &amp; $A10 &amp; "]",
"[Base].[SEGMENTO_DESCRIP]",
"[Base].[SEGMENTO_DESCRIP].&amp;[" &amp; $C$6 &amp; "]",
"[Base].[SITUACION]",
"[Base].[SITUACION].&amp;[" &amp; $C10 &amp; "]"
),0)/1000</f>
        <v>765.60711000000003</v>
      </c>
      <c r="AA10" s="8">
        <f>IFERROR(
GETPIVOTDATA(
"[Base].[Importe]",
TDinamica_R!$A$5,
"[Calendario].[AñoMes]",
"[Calendario].[AñoMes].&amp;[" &amp; TEXT(AA$6,"yyyymm") &amp; "]",
"[Base].[Metrica]",
"[Base].[Metrica].&amp;[" &amp; $A10 &amp; "]",
"[Base].[SEGMENTO_DESCRIP]",
"[Base].[SEGMENTO_DESCRIP].&amp;[" &amp; $C$6 &amp; "]",
"[Base].[SITUACION]",
"[Base].[SITUACION].&amp;[" &amp; $C10 &amp; "]"
),0)/1000</f>
        <v>763.85411999999985</v>
      </c>
      <c r="AB10" s="8">
        <f>IFERROR(
GETPIVOTDATA(
"[Base].[Importe]",
TDinamica_R!$A$5,
"[Calendario].[AñoMes]",
"[Calendario].[AñoMes].&amp;[" &amp; TEXT(AB$6,"yyyymm") &amp; "]",
"[Base].[Metrica]",
"[Base].[Metrica].&amp;[" &amp; $A10 &amp; "]",
"[Base].[SEGMENTO_DESCRIP]",
"[Base].[SEGMENTO_DESCRIP].&amp;[" &amp; $C$6 &amp; "]",
"[Base].[SITUACION]",
"[Base].[SITUACION].&amp;[" &amp; $C10 &amp; "]"
),0)/1000</f>
        <v>830.92117999999994</v>
      </c>
      <c r="AC10" s="8">
        <f>IFERROR(
GETPIVOTDATA(
"[Base].[Importe]",
TDinamica_R!$A$5,
"[Calendario].[AñoMes]",
"[Calendario].[AñoMes].&amp;[" &amp; TEXT(AC$6,"yyyymm") &amp; "]",
"[Base].[Metrica]",
"[Base].[Metrica].&amp;[" &amp; $A10 &amp; "]",
"[Base].[SEGMENTO_DESCRIP]",
"[Base].[SEGMENTO_DESCRIP].&amp;[" &amp; $C$6 &amp; "]",
"[Base].[SITUACION]",
"[Base].[SITUACION].&amp;[" &amp; $C10 &amp; "]"
),0)/1000</f>
        <v>761.02591999999993</v>
      </c>
      <c r="AD10" s="8">
        <f>IFERROR(
GETPIVOTDATA(
"[Base].[Importe]",
TDinamica_R!$A$5,
"[Calendario].[AñoMes]",
"[Calendario].[AñoMes].&amp;[" &amp; TEXT(AD$6,"yyyymm") &amp; "]",
"[Base].[Metrica]",
"[Base].[Metrica].&amp;[" &amp; $A10 &amp; "]",
"[Base].[SEGMENTO_DESCRIP]",
"[Base].[SEGMENTO_DESCRIP].&amp;[" &amp; $C$6 &amp; "]",
"[Base].[SITUACION]",
"[Base].[SITUACION].&amp;[" &amp; $C10 &amp; "]"
),0)/1000</f>
        <v>757.66972999999996</v>
      </c>
      <c r="AE10" s="8">
        <f>IFERROR(
GETPIVOTDATA(
"[Base].[Importe]",
TDinamica_R!$A$5,
"[Calendario].[AñoMes]",
"[Calendario].[AñoMes].&amp;[" &amp; TEXT(AE$6,"yyyymm") &amp; "]",
"[Base].[Metrica]",
"[Base].[Metrica].&amp;[" &amp; $A10 &amp; "]",
"[Base].[SEGMENTO_DESCRIP]",
"[Base].[SEGMENTO_DESCRIP].&amp;[" &amp; $C$6 &amp; "]",
"[Base].[SITUACION]",
"[Base].[SITUACION].&amp;[" &amp; $C10 &amp; "]"
),0)/1000</f>
        <v>756.02313000000004</v>
      </c>
      <c r="AF10" s="8">
        <f>IFERROR(
GETPIVOTDATA(
"[Base].[Importe]",
TDinamica_R!$A$5,
"[Calendario].[AñoMes]",
"[Calendario].[AñoMes].&amp;[" &amp; TEXT(AF$6,"yyyymm") &amp; "]",
"[Base].[Metrica]",
"[Base].[Metrica].&amp;[" &amp; $A10 &amp; "]",
"[Base].[SEGMENTO_DESCRIP]",
"[Base].[SEGMENTO_DESCRIP].&amp;[" &amp; $C$6 &amp; "]",
"[Base].[SITUACION]",
"[Base].[SITUACION].&amp;[" &amp; $C10 &amp; "]"
),0)/1000</f>
        <v>752.78789999999992</v>
      </c>
      <c r="AG10" s="8">
        <f>IFERROR(
GETPIVOTDATA(
"[Base].[Importe]",
TDinamica_R!$A$5,
"[Calendario].[AñoMes]",
"[Calendario].[AñoMes].&amp;[" &amp; TEXT(AG$6,"yyyymm") &amp; "]",
"[Base].[Metrica]",
"[Base].[Metrica].&amp;[" &amp; $A10 &amp; "]",
"[Base].[SEGMENTO_DESCRIP]",
"[Base].[SEGMENTO_DESCRIP].&amp;[" &amp; $C$6 &amp; "]",
"[Base].[SITUACION]",
"[Base].[SITUACION].&amp;[" &amp; $C10 &amp; "]"
),0)/1000</f>
        <v>751.28174999999987</v>
      </c>
      <c r="AH10" s="8">
        <f>IFERROR(
GETPIVOTDATA(
"[Base].[Importe]",
TDinamica_R!$A$5,
"[Calendario].[AñoMes]",
"[Calendario].[AñoMes].&amp;[" &amp; TEXT(AH$6,"yyyymm") &amp; "]",
"[Base].[Metrica]",
"[Base].[Metrica].&amp;[" &amp; $A10 &amp; "]",
"[Base].[SEGMENTO_DESCRIP]",
"[Base].[SEGMENTO_DESCRIP].&amp;[" &amp; $C$6 &amp; "]",
"[Base].[SITUACION]",
"[Base].[SITUACION].&amp;[" &amp; $C10 &amp; "]"
),0)/1000</f>
        <v>994.15553</v>
      </c>
      <c r="AI10" s="8">
        <f>IFERROR(
GETPIVOTDATA(
"[Base].[Importe]",
TDinamica_R!$A$5,
"[Calendario].[AñoMes]",
"[Calendario].[AñoMes].&amp;[" &amp; TEXT(AI$6,"yyyymm") &amp; "]",
"[Base].[Metrica]",
"[Base].[Metrica].&amp;[" &amp; $A10 &amp; "]",
"[Base].[SEGMENTO_DESCRIP]",
"[Base].[SEGMENTO_DESCRIP].&amp;[" &amp; $C$6 &amp; "]",
"[Base].[SITUACION]",
"[Base].[SITUACION].&amp;[" &amp; $C10 &amp; "]"
),0)/1000</f>
        <v>992.59147999999993</v>
      </c>
      <c r="AJ10" s="8">
        <f>IFERROR(
GETPIVOTDATA(
"[Base].[Importe]",
TDinamica_R!$A$5,
"[Calendario].[AñoMes]",
"[Calendario].[AñoMes].&amp;[" &amp; TEXT(AJ$6,"yyyymm") &amp; "]",
"[Base].[Metrica]",
"[Base].[Metrica].&amp;[" &amp; $A10 &amp; "]",
"[Base].[SEGMENTO_DESCRIP]",
"[Base].[SEGMENTO_DESCRIP].&amp;[" &amp; $C$6 &amp; "]",
"[Base].[SITUACION]",
"[Base].[SITUACION].&amp;[" &amp; $C10 &amp; "]"
),0)/1000</f>
        <v>744.57515999999998</v>
      </c>
      <c r="AK10" s="8">
        <f>IFERROR(
GETPIVOTDATA(
"[Base].[Importe]",
TDinamica_R!$A$5,
"[Calendario].[AñoMes]",
"[Calendario].[AñoMes].&amp;[" &amp; TEXT(AK$6,"yyyymm") &amp; "]",
"[Base].[Metrica]",
"[Base].[Metrica].&amp;[" &amp; $A10 &amp; "]",
"[Base].[SEGMENTO_DESCRIP]",
"[Base].[SEGMENTO_DESCRIP].&amp;[" &amp; $C$6 &amp; "]",
"[Base].[SITUACION]",
"[Base].[SITUACION].&amp;[" &amp; $C10 &amp; "]"
),0)/1000</f>
        <v>569.73182999999995</v>
      </c>
      <c r="AL10" s="8">
        <f>IFERROR(
GETPIVOTDATA(
"[Base].[Importe]",
TDinamica_R!$A$5,
"[Calendario].[AñoMes]",
"[Calendario].[AñoMes].&amp;[" &amp; TEXT(AL$6,"yyyymm") &amp; "]",
"[Base].[Metrica]",
"[Base].[Metrica].&amp;[" &amp; $A10 &amp; "]",
"[Base].[SEGMENTO_DESCRIP]",
"[Base].[SEGMENTO_DESCRIP].&amp;[" &amp; $C$6 &amp; "]",
"[Base].[SITUACION]",
"[Base].[SITUACION].&amp;[" &amp; $C10 &amp; "]"
),0)/1000</f>
        <v>497.77923999999996</v>
      </c>
      <c r="AM10" s="8">
        <f>IFERROR(
GETPIVOTDATA(
"[Base].[Importe]",
TDinamica_R!$A$5,
"[Calendario].[AñoMes]",
"[Calendario].[AñoMes].&amp;[" &amp; TEXT(AM$6,"yyyymm") &amp; "]",
"[Base].[Metrica]",
"[Base].[Metrica].&amp;[" &amp; $A10 &amp; "]",
"[Base].[SEGMENTO_DESCRIP]",
"[Base].[SEGMENTO_DESCRIP].&amp;[" &amp; $C$6 &amp; "]",
"[Base].[SITUACION]",
"[Base].[SITUACION].&amp;[" &amp; $C10 &amp; "]"
),0)/1000</f>
        <v>496.78491999999994</v>
      </c>
      <c r="AN10" s="8">
        <f>IFERROR(
GETPIVOTDATA(
"[Base].[Importe]",
TDinamica_R!$A$5,
"[Calendario].[AñoMes]",
"[Calendario].[AñoMes].&amp;[" &amp; TEXT(AN$6,"yyyymm") &amp; "]",
"[Base].[Metrica]",
"[Base].[Metrica].&amp;[" &amp; $A10 &amp; "]",
"[Base].[SEGMENTO_DESCRIP]",
"[Base].[SEGMENTO_DESCRIP].&amp;[" &amp; $C$6 &amp; "]",
"[Base].[SITUACION]",
"[Base].[SITUACION].&amp;[" &amp; $C10 &amp; "]"
),0)/1000</f>
        <v>499.14</v>
      </c>
      <c r="AO10" s="8">
        <f>IFERROR(
GETPIVOTDATA(
"[Base].[Importe]",
TDinamica_R!$A$5,
"[Calendario].[AñoMes]",
"[Calendario].[AñoMes].&amp;[" &amp; TEXT(AO$6,"yyyymm") &amp; "]",
"[Base].[Metrica]",
"[Base].[Metrica].&amp;[" &amp; $A10 &amp; "]",
"[Base].[SEGMENTO_DESCRIP]",
"[Base].[SEGMENTO_DESCRIP].&amp;[" &amp; $C$6 &amp; "]",
"[Base].[SITUACION]",
"[Base].[SITUACION].&amp;[" &amp; $C10 &amp; "]"
),0)/1000</f>
        <v>498.67</v>
      </c>
      <c r="AP10" s="8">
        <f>IFERROR(
GETPIVOTDATA(
"[Base].[Importe]",
TDinamica_R!$A$5,
"[Calendario].[AñoMes]",
"[Calendario].[AñoMes].&amp;[" &amp; TEXT(AP$6,"yyyymm") &amp; "]",
"[Base].[Metrica]",
"[Base].[Metrica].&amp;[" &amp; $A10 &amp; "]",
"[Base].[SEGMENTO_DESCRIP]",
"[Base].[SEGMENTO_DESCRIP].&amp;[" &amp; $C$6 &amp; "]",
"[Base].[SITUACION]",
"[Base].[SITUACION].&amp;[" &amp; $C10 &amp; "]"
),0)/1000</f>
        <v>944.6</v>
      </c>
      <c r="AQ10" s="8">
        <f>IFERROR(
GETPIVOTDATA(
"[Base].[Importe]",
TDinamica_R!$A$5,
"[Calendario].[AñoMes]",
"[Calendario].[AñoMes].&amp;[" &amp; TEXT(AQ$6,"yyyymm") &amp; "]",
"[Base].[Metrica]",
"[Base].[Metrica].&amp;[" &amp; $A10 &amp; "]",
"[Base].[SEGMENTO_DESCRIP]",
"[Base].[SEGMENTO_DESCRIP].&amp;[" &amp; $C$6 &amp; "]",
"[Base].[SITUACION]",
"[Base].[SITUACION].&amp;[" &amp; $C10 &amp; "]"
),0)/1000</f>
        <v>1110.70066</v>
      </c>
      <c r="AR10" s="8">
        <f>IFERROR(
GETPIVOTDATA(
"[Base].[Importe]",
TDinamica_R!$A$5,
"[Calendario].[AñoMes]",
"[Calendario].[AñoMes].&amp;[" &amp; TEXT(AR$6,"yyyymm") &amp; "]",
"[Base].[Metrica]",
"[Base].[Metrica].&amp;[" &amp; $A10 &amp; "]",
"[Base].[SEGMENTO_DESCRIP]",
"[Base].[SEGMENTO_DESCRIP].&amp;[" &amp; $C$6 &amp; "]",
"[Base].[SITUACION]",
"[Base].[SITUACION].&amp;[" &amp; $C10 &amp; "]"
),0)/1000</f>
        <v>1109.8151699999999</v>
      </c>
      <c r="AS10" s="8">
        <f>IFERROR(
GETPIVOTDATA(
"[Base].[Importe]",
TDinamica_R!$A$5,
"[Calendario].[AñoMes]",
"[Calendario].[AñoMes].&amp;[" &amp; TEXT(AS$6,"yyyymm") &amp; "]",
"[Base].[Metrica]",
"[Base].[Metrica].&amp;[" &amp; $A10 &amp; "]",
"[Base].[SEGMENTO_DESCRIP]",
"[Base].[SEGMENTO_DESCRIP].&amp;[" &amp; $C$6 &amp; "]",
"[Base].[SITUACION]",
"[Base].[SITUACION].&amp;[" &amp; $C10 &amp; "]"
),0)/1000</f>
        <v>1589.1227799999997</v>
      </c>
      <c r="AT10" s="8">
        <f>IFERROR(
GETPIVOTDATA(
"[Base].[Importe]",
TDinamica_R!$A$5,
"[Calendario].[AñoMes]",
"[Calendario].[AñoMes].&amp;[" &amp; TEXT(AT$6,"yyyymm")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U10" s="8">
        <f>IFERROR(
GETPIVOTDATA(
"[Base].[Importe]",
TDinamica_R!$A$5,
"[Calendario].[AñoMes]",
"[Calendario].[AñoMes].&amp;[" &amp; TEXT(AU$6,"yyyymm")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V10" s="8">
        <f>IFERROR(
GETPIVOTDATA(
"[Base].[Importe]",
TDinamica_R!$A$5,
"[Calendario].[AñoMes]",
"[Calendario].[AñoMes].&amp;[" &amp; TEXT(AV$6,"yyyymm")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W10" s="8">
        <f>IFERROR(
GETPIVOTDATA(
"[Base].[Importe]",
TDinamica_R!$A$5,
"[Calendario].[AñoMes]",
"[Calendario].[AñoMes].&amp;[" &amp; TEXT(AW$6,"yyyymm")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X10" s="8">
        <f>IFERROR(
GETPIVOTDATA(
"[Base].[Importe]",
TDinamica_R!$A$5,
"[Calendario].[AñoMes]",
"[Calendario].[AñoMes].&amp;[" &amp; TEXT(AX$6,"yyyymm")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Y10" s="8">
        <f>IFERROR(
GETPIVOTDATA(
"[Base].[Importe]",
TDinamica_R!$A$5,
"[Calendario].[AñoMes]",
"[Calendario].[AñoMes].&amp;[" &amp; TEXT(AY$6,"yyyymm") &amp; "]",
"[Base].[Metrica]",
"[Base].[Metrica].&amp;[" &amp; $A10 &amp; "]",
"[Base].[SEGMENTO_DESCRIP]",
"[Base].[SEGMENTO_DESCRIP].&amp;[" &amp; $C$6 &amp; "]",
"[Base].[SITUACION]",
"[Base].[SITUACION].&amp;[" &amp; $C10 &amp; "]"
),0)/1000</f>
        <v>0</v>
      </c>
      <c r="AZ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"[BASE_HIPO_PPTO].[Periodo]","[BASE_HIPO_PPTO].[Periodo].&amp;["&amp;TEXT(AZ$6,"yyyymm")&amp;"]"),
0)/1000</f>
        <v>718.82291954008747</v>
      </c>
      <c r="BA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"[BASE_HIPO_PPTO].[Periodo]","[BASE_HIPO_PPTO].[Periodo].&amp;["&amp;TEXT(BA$6,"yyyymm")&amp;"]"),
0)/1000</f>
        <v>598.24827998108071</v>
      </c>
      <c r="BB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"[BASE_HIPO_PPTO].[Periodo]","[BASE_HIPO_PPTO].[Periodo].&amp;["&amp;TEXT(BB$6,"yyyymm")&amp;"]"),
0)/1000</f>
        <v>551.99998813850459</v>
      </c>
      <c r="BC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"[BASE_HIPO_PPTO].[Periodo]","[BASE_HIPO_PPTO].[Periodo].&amp;["&amp;TEXT(BC$6,"yyyymm")&amp;"]"),
0)/1000</f>
        <v>488.93168727610794</v>
      </c>
      <c r="BD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"[BASE_HIPO_PPTO].[Periodo]","[BASE_HIPO_PPTO].[Periodo].&amp;["&amp;TEXT(BD$6,"yyyymm")&amp;"]"),
0)/1000</f>
        <v>472.83672179767007</v>
      </c>
      <c r="BE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"[BASE_HIPO_PPTO].[Periodo]","[BASE_HIPO_PPTO].[Periodo].&amp;["&amp;TEXT(BE$6,"yyyymm")&amp;"]"),
0)/1000</f>
        <v>478.61517478083226</v>
      </c>
      <c r="BF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"[BASE_HIPO_PPTO].[Periodo]","[BASE_HIPO_PPTO].[Periodo].&amp;["&amp;TEXT(BF$6,"yyyymm")&amp;"]"),
0)/1000</f>
        <v>471.7839721422759</v>
      </c>
      <c r="BG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"[BASE_HIPO_PPTO].[Periodo]","[BASE_HIPO_PPTO].[Periodo].&amp;["&amp;TEXT(BG$6,"yyyymm")&amp;"]"),
0)/1000</f>
        <v>465.52590611922193</v>
      </c>
      <c r="BH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"[BASE_HIPO_PPTO].[Periodo]","[BASE_HIPO_PPTO].[Periodo].&amp;["&amp;TEXT(BH$6,"yyyymm")&amp;"]"),
0)/1000</f>
        <v>456.07531608837934</v>
      </c>
      <c r="BI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"[BASE_HIPO_PPTO].[Periodo]","[BASE_HIPO_PPTO].[Periodo].&amp;["&amp;TEXT(BI$6,"yyyymm")&amp;"]"),
0)/1000</f>
        <v>449.40617520847013</v>
      </c>
      <c r="BJ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"[BASE_HIPO_PPTO].[Periodo]","[BASE_HIPO_PPTO].[Periodo].&amp;["&amp;TEXT(BJ$6,"yyyymm")&amp;"]"),
0)/1000</f>
        <v>447.67148980090411</v>
      </c>
      <c r="BK10" s="8">
        <f>IFERROR(
GETPIVOTDATA(
"[BASE_HIPO_PPTO].[Importe]",
TDinamica_P!$A$5,
"[BASE_HIPO_PPTO].[Metrica]","[BASE_HIPO_PPTO].[Metrica].&amp;["&amp;$A10&amp;"]",
"[BASE_HIPO_PPTO].[SEGMENTO_DESCRIP]","[BASE_HIPO_PPTO].[SEGMENTO_DESCRIP].&amp;["&amp;$C$6&amp;"]",
"[BASE_HIPO_PPTO].[SITUACION]","[BASE_HIPO_PPTO].[SITUACION].&amp;["&amp;$C10&amp;"]",
"[BASE_HIPO_PPTO].[Periodo]","[BASE_HIPO_PPTO].[Periodo].&amp;["&amp;TEXT(BK$6,"yyyymm")&amp;"]"),
0)/1000</f>
        <v>444.6741073309139</v>
      </c>
      <c r="BO10" s="24">
        <f t="shared" si="4"/>
        <v>944.6</v>
      </c>
      <c r="BP10" s="24">
        <f t="shared" si="6"/>
        <v>551.99998813850459</v>
      </c>
      <c r="BQ10" s="24">
        <f t="shared" si="5"/>
        <v>498.67</v>
      </c>
      <c r="BR10" s="24">
        <f t="shared" si="5"/>
        <v>757.66972999999996</v>
      </c>
      <c r="BS10" s="24">
        <f t="shared" si="5"/>
        <v>1146.6601119000002</v>
      </c>
      <c r="BT10" s="24">
        <f t="shared" si="5"/>
        <v>2724.5507710999996</v>
      </c>
    </row>
    <row r="11" spans="1:81" collapsed="1" x14ac:dyDescent="0.25">
      <c r="C11" s="3" t="s">
        <v>2</v>
      </c>
      <c r="D11" s="10">
        <f>SUM(D8:D10)</f>
        <v>17815.5420347</v>
      </c>
      <c r="E11" s="10">
        <f t="shared" ref="E11:AY11" si="7">SUM(E8:E10)</f>
        <v>20087.897509039998</v>
      </c>
      <c r="F11" s="10">
        <f t="shared" si="7"/>
        <v>20541.256135840002</v>
      </c>
      <c r="G11" s="10">
        <f t="shared" si="7"/>
        <v>19622.334119000003</v>
      </c>
      <c r="H11" s="10">
        <f t="shared" si="7"/>
        <v>20162.6135287</v>
      </c>
      <c r="I11" s="10">
        <f t="shared" si="7"/>
        <v>19215.368681139997</v>
      </c>
      <c r="J11" s="10">
        <f t="shared" si="7"/>
        <v>18392.874769760005</v>
      </c>
      <c r="K11" s="10">
        <f t="shared" si="7"/>
        <v>18106.055523200001</v>
      </c>
      <c r="L11" s="10">
        <f t="shared" si="7"/>
        <v>16789.109596990005</v>
      </c>
      <c r="M11" s="10">
        <f t="shared" si="7"/>
        <v>15476.760351379999</v>
      </c>
      <c r="N11" s="10">
        <f t="shared" si="7"/>
        <v>15439.54267574</v>
      </c>
      <c r="O11" s="10">
        <f t="shared" si="7"/>
        <v>16068.669893949998</v>
      </c>
      <c r="P11" s="10">
        <f t="shared" si="7"/>
        <v>15696.442590960003</v>
      </c>
      <c r="Q11" s="10">
        <f t="shared" si="7"/>
        <v>14993.103855199999</v>
      </c>
      <c r="R11" s="10">
        <f t="shared" si="7"/>
        <v>14398.684138820001</v>
      </c>
      <c r="S11" s="10">
        <f t="shared" si="7"/>
        <v>13665.131332440002</v>
      </c>
      <c r="T11" s="10">
        <f t="shared" si="7"/>
        <v>14035.60445852</v>
      </c>
      <c r="U11" s="10">
        <f t="shared" si="7"/>
        <v>14730.266812469998</v>
      </c>
      <c r="V11" s="10">
        <f t="shared" si="7"/>
        <v>15450.4594309</v>
      </c>
      <c r="W11" s="10">
        <f t="shared" si="7"/>
        <v>14780.79457484</v>
      </c>
      <c r="X11" s="10">
        <f t="shared" si="7"/>
        <v>14182.612439109997</v>
      </c>
      <c r="Y11" s="10">
        <f t="shared" si="7"/>
        <v>13871.410633420004</v>
      </c>
      <c r="Z11" s="10">
        <f t="shared" si="7"/>
        <v>13735.94276084</v>
      </c>
      <c r="AA11" s="10">
        <f t="shared" si="7"/>
        <v>17025.01615214</v>
      </c>
      <c r="AB11" s="10">
        <f t="shared" si="7"/>
        <v>16264.697757959999</v>
      </c>
      <c r="AC11" s="10">
        <f t="shared" si="7"/>
        <v>16315.344757069999</v>
      </c>
      <c r="AD11" s="10">
        <f t="shared" si="7"/>
        <v>17428.802942880004</v>
      </c>
      <c r="AE11" s="10">
        <f t="shared" si="7"/>
        <v>16596.311067550003</v>
      </c>
      <c r="AF11" s="10">
        <f t="shared" si="7"/>
        <v>17703.366966319998</v>
      </c>
      <c r="AG11" s="10">
        <f t="shared" si="7"/>
        <v>15399.193673780001</v>
      </c>
      <c r="AH11" s="10">
        <f t="shared" si="7"/>
        <v>16513.208538659997</v>
      </c>
      <c r="AI11" s="10">
        <f t="shared" si="7"/>
        <v>17597.480675749994</v>
      </c>
      <c r="AJ11" s="10">
        <f t="shared" si="7"/>
        <v>21151.370495499999</v>
      </c>
      <c r="AK11" s="10">
        <f t="shared" si="7"/>
        <v>24004.69998975001</v>
      </c>
      <c r="AL11" s="10">
        <f t="shared" si="7"/>
        <v>28153.769911259995</v>
      </c>
      <c r="AM11" s="10">
        <f t="shared" si="7"/>
        <v>32820.112942190004</v>
      </c>
      <c r="AN11" s="10">
        <f t="shared" si="7"/>
        <v>33717.99</v>
      </c>
      <c r="AO11" s="10">
        <f t="shared" si="7"/>
        <v>34804.369999999995</v>
      </c>
      <c r="AP11" s="10">
        <f t="shared" si="7"/>
        <v>40881.08</v>
      </c>
      <c r="AQ11" s="10">
        <f t="shared" si="7"/>
        <v>45140.063568859994</v>
      </c>
      <c r="AR11" s="10">
        <f t="shared" si="7"/>
        <v>47537.709467419991</v>
      </c>
      <c r="AS11" s="10">
        <f t="shared" si="7"/>
        <v>54227.987126299988</v>
      </c>
      <c r="AT11" s="10">
        <f t="shared" si="7"/>
        <v>0</v>
      </c>
      <c r="AU11" s="10">
        <f t="shared" si="7"/>
        <v>0</v>
      </c>
      <c r="AV11" s="10">
        <f t="shared" si="7"/>
        <v>0</v>
      </c>
      <c r="AW11" s="10">
        <f t="shared" si="7"/>
        <v>0</v>
      </c>
      <c r="AX11" s="10">
        <f t="shared" si="7"/>
        <v>0</v>
      </c>
      <c r="AY11" s="10">
        <f t="shared" si="7"/>
        <v>0</v>
      </c>
      <c r="AZ11" s="10">
        <f t="shared" ref="AZ11:BK11" si="8">SUM(AZ8:AZ10)</f>
        <v>21070.707684528341</v>
      </c>
      <c r="BA11" s="10">
        <f t="shared" si="8"/>
        <v>20121.351341636091</v>
      </c>
      <c r="BB11" s="10">
        <f t="shared" si="8"/>
        <v>19134.99721039521</v>
      </c>
      <c r="BC11" s="10">
        <f t="shared" si="8"/>
        <v>18162.120514597602</v>
      </c>
      <c r="BD11" s="10">
        <f t="shared" si="8"/>
        <v>18339.16778775979</v>
      </c>
      <c r="BE11" s="10">
        <f t="shared" si="8"/>
        <v>18655.770114480722</v>
      </c>
      <c r="BF11" s="10">
        <f t="shared" si="8"/>
        <v>19262.902751370551</v>
      </c>
      <c r="BG11" s="10">
        <f t="shared" si="8"/>
        <v>19960.5256920131</v>
      </c>
      <c r="BH11" s="10">
        <f t="shared" si="8"/>
        <v>20550.025727865352</v>
      </c>
      <c r="BI11" s="10">
        <f t="shared" si="8"/>
        <v>21070.930944217009</v>
      </c>
      <c r="BJ11" s="10">
        <f t="shared" si="8"/>
        <v>21650.269845539246</v>
      </c>
      <c r="BK11" s="10">
        <f t="shared" si="8"/>
        <v>22281.916943153636</v>
      </c>
      <c r="BO11" s="23">
        <f>SUM(BO8:BO10)</f>
        <v>40881.08</v>
      </c>
      <c r="BP11" s="23">
        <f>SUM(BP8:BP10)</f>
        <v>19134.99721039521</v>
      </c>
      <c r="BQ11" s="23">
        <f t="shared" ref="BQ11:BT11" si="9">SUM(BQ8:BQ10)</f>
        <v>34804.369999999995</v>
      </c>
      <c r="BR11" s="23">
        <f t="shared" si="9"/>
        <v>17428.802942880004</v>
      </c>
      <c r="BS11" s="23">
        <f t="shared" si="9"/>
        <v>14398.684138820001</v>
      </c>
      <c r="BT11" s="23">
        <f t="shared" si="9"/>
        <v>20541.256135840002</v>
      </c>
    </row>
    <row r="14" spans="1:81" hidden="1" outlineLevel="1" x14ac:dyDescent="0.25">
      <c r="A14" s="11" t="s">
        <v>52</v>
      </c>
      <c r="C14" s="2" t="s">
        <v>0</v>
      </c>
      <c r="D14" s="8">
        <f>IFERROR(
GETPIVOTDATA(
"[Base].[Importe]",
TDinamica_R!$A$5,
"[Calendario].[AñoMes]",
"[Calendario].[AñoMes].&amp;[" &amp; TEXT(D$6,"yyyymm") &amp; "]",
"[Base].[Metrica]",
"[Base].[Metrica].&amp;[" &amp; $A14 &amp; "]",
"[Base].[SEGMENTO_DESCRIP]",
"[Base].[SEGMENTO_DESCRIP].&amp;[" &amp; $C$6 &amp; "]",
"[Base].[SITUACION]",
"[Base].[SITUACION].&amp;[" &amp; $C14 &amp; "]"
),0)/1000</f>
        <v>14971.289310279999</v>
      </c>
      <c r="E14" s="8">
        <f>IFERROR(
GETPIVOTDATA(
"[Base].[Importe]",
TDinamica_R!$A$5,
"[Calendario].[AñoMes]",
"[Calendario].[AñoMes].&amp;[" &amp; TEXT(E$6,"yyyymm") &amp; "]",
"[Base].[Metrica]",
"[Base].[Metrica].&amp;[" &amp; $A14 &amp; "]",
"[Base].[SEGMENTO_DESCRIP]",
"[Base].[SEGMENTO_DESCRIP].&amp;[" &amp; $C$6 &amp; "]",
"[Base].[SITUACION]",
"[Base].[SITUACION].&amp;[" &amp; $C14 &amp; "]"
),0)/1000</f>
        <v>14742.981547479998</v>
      </c>
      <c r="F14" s="8">
        <f>IFERROR(
GETPIVOTDATA(
"[Base].[Importe]",
TDinamica_R!$A$5,
"[Calendario].[AñoMes]",
"[Calendario].[AñoMes].&amp;[" &amp; TEXT(F$6,"yyyymm") &amp; "]",
"[Base].[Metrica]",
"[Base].[Metrica].&amp;[" &amp; $A14 &amp; "]",
"[Base].[SEGMENTO_DESCRIP]",
"[Base].[SEGMENTO_DESCRIP].&amp;[" &amp; $C$6 &amp; "]",
"[Base].[SITUACION]",
"[Base].[SITUACION].&amp;[" &amp; $C14 &amp; "]"
),0)/1000</f>
        <v>17059.547930799999</v>
      </c>
      <c r="G14" s="8">
        <f>IFERROR(
GETPIVOTDATA(
"[Base].[Importe]",
TDinamica_R!$A$5,
"[Calendario].[AñoMes]",
"[Calendario].[AñoMes].&amp;[" &amp; TEXT(G$6,"yyyymm") &amp; "]",
"[Base].[Metrica]",
"[Base].[Metrica].&amp;[" &amp; $A14 &amp; "]",
"[Base].[SEGMENTO_DESCRIP]",
"[Base].[SEGMENTO_DESCRIP].&amp;[" &amp; $C$6 &amp; "]",
"[Base].[SITUACION]",
"[Base].[SITUACION].&amp;[" &amp; $C14 &amp; "]"
),0)/1000</f>
        <v>17145.24590482</v>
      </c>
      <c r="H14" s="8">
        <f>IFERROR(
GETPIVOTDATA(
"[Base].[Importe]",
TDinamica_R!$A$5,
"[Calendario].[AñoMes]",
"[Calendario].[AñoMes].&amp;[" &amp; TEXT(H$6,"yyyymm") &amp; "]",
"[Base].[Metrica]",
"[Base].[Metrica].&amp;[" &amp; $A14 &amp; "]",
"[Base].[SEGMENTO_DESCRIP]",
"[Base].[SEGMENTO_DESCRIP].&amp;[" &amp; $C$6 &amp; "]",
"[Base].[SITUACION]",
"[Base].[SITUACION].&amp;[" &amp; $C14 &amp; "]"
),0)/1000</f>
        <v>17191.810899240001</v>
      </c>
      <c r="I14" s="8">
        <f>IFERROR(
GETPIVOTDATA(
"[Base].[Importe]",
TDinamica_R!$A$5,
"[Calendario].[AñoMes]",
"[Calendario].[AñoMes].&amp;[" &amp; TEXT(I$6,"yyyymm") &amp; "]",
"[Base].[Metrica]",
"[Base].[Metrica].&amp;[" &amp; $A14 &amp; "]",
"[Base].[SEGMENTO_DESCRIP]",
"[Base].[SEGMENTO_DESCRIP].&amp;[" &amp; $C$6 &amp; "]",
"[Base].[SITUACION]",
"[Base].[SITUACION].&amp;[" &amp; $C14 &amp; "]"
),0)/1000</f>
        <v>16205.368650500004</v>
      </c>
      <c r="J14" s="8">
        <f>IFERROR(
GETPIVOTDATA(
"[Base].[Importe]",
TDinamica_R!$A$5,
"[Calendario].[AñoMes]",
"[Calendario].[AñoMes].&amp;[" &amp; TEXT(J$6,"yyyymm") &amp; "]",
"[Base].[Metrica]",
"[Base].[Metrica].&amp;[" &amp; $A14 &amp; "]",
"[Base].[SEGMENTO_DESCRIP]",
"[Base].[SEGMENTO_DESCRIP].&amp;[" &amp; $C$6 &amp; "]",
"[Base].[SITUACION]",
"[Base].[SITUACION].&amp;[" &amp; $C14 &amp; "]"
),0)/1000</f>
        <v>16960.382112239997</v>
      </c>
      <c r="K14" s="8">
        <f>IFERROR(
GETPIVOTDATA(
"[Base].[Importe]",
TDinamica_R!$A$5,
"[Calendario].[AñoMes]",
"[Calendario].[AñoMes].&amp;[" &amp; TEXT(K$6,"yyyymm") &amp; "]",
"[Base].[Metrica]",
"[Base].[Metrica].&amp;[" &amp; $A14 &amp; "]",
"[Base].[SEGMENTO_DESCRIP]",
"[Base].[SEGMENTO_DESCRIP].&amp;[" &amp; $C$6 &amp; "]",
"[Base].[SITUACION]",
"[Base].[SITUACION].&amp;[" &amp; $C14 &amp; "]"
),0)/1000</f>
        <v>16799.624526159998</v>
      </c>
      <c r="L14" s="8">
        <f>IFERROR(
GETPIVOTDATA(
"[Base].[Importe]",
TDinamica_R!$A$5,
"[Calendario].[AñoMes]",
"[Calendario].[AñoMes].&amp;[" &amp; TEXT(L$6,"yyyymm") &amp; "]",
"[Base].[Metrica]",
"[Base].[Metrica].&amp;[" &amp; $A14 &amp; "]",
"[Base].[SEGMENTO_DESCRIP]",
"[Base].[SEGMENTO_DESCRIP].&amp;[" &amp; $C$6 &amp; "]",
"[Base].[SITUACION]",
"[Base].[SITUACION].&amp;[" &amp; $C14 &amp; "]"
),0)/1000</f>
        <v>15581.821431509998</v>
      </c>
      <c r="M14" s="8">
        <f>IFERROR(
GETPIVOTDATA(
"[Base].[Importe]",
TDinamica_R!$A$5,
"[Calendario].[AñoMes]",
"[Calendario].[AñoMes].&amp;[" &amp; TEXT(M$6,"yyyymm") &amp; "]",
"[Base].[Metrica]",
"[Base].[Metrica].&amp;[" &amp; $A14 &amp; "]",
"[Base].[SEGMENTO_DESCRIP]",
"[Base].[SEGMENTO_DESCRIP].&amp;[" &amp; $C$6 &amp; "]",
"[Base].[SITUACION]",
"[Base].[SITUACION].&amp;[" &amp; $C14 &amp; "]"
),0)/1000</f>
        <v>14169.089471699997</v>
      </c>
      <c r="N14" s="8">
        <f>IFERROR(
GETPIVOTDATA(
"[Base].[Importe]",
TDinamica_R!$A$5,
"[Calendario].[AñoMes]",
"[Calendario].[AñoMes].&amp;[" &amp; TEXT(N$6,"yyyymm") &amp; "]",
"[Base].[Metrica]",
"[Base].[Metrica].&amp;[" &amp; $A14 &amp; "]",
"[Base].[SEGMENTO_DESCRIP]",
"[Base].[SEGMENTO_DESCRIP].&amp;[" &amp; $C$6 &amp; "]",
"[Base].[SITUACION]",
"[Base].[SITUACION].&amp;[" &amp; $C14 &amp; "]"
),0)/1000</f>
        <v>13688.2389339</v>
      </c>
      <c r="O14" s="8">
        <f>IFERROR(
GETPIVOTDATA(
"[Base].[Importe]",
TDinamica_R!$A$5,
"[Calendario].[AñoMes]",
"[Calendario].[AñoMes].&amp;[" &amp; TEXT(O$6,"yyyymm") &amp; "]",
"[Base].[Metrica]",
"[Base].[Metrica].&amp;[" &amp; $A14 &amp; "]",
"[Base].[SEGMENTO_DESCRIP]",
"[Base].[SEGMENTO_DESCRIP].&amp;[" &amp; $C$6 &amp; "]",
"[Base].[SITUACION]",
"[Base].[SITUACION].&amp;[" &amp; $C14 &amp; "]"
),0)/1000</f>
        <v>14291.680819370002</v>
      </c>
      <c r="P14" s="8">
        <f>IFERROR(
GETPIVOTDATA(
"[Base].[Importe]",
TDinamica_R!$A$5,
"[Calendario].[AñoMes]",
"[Calendario].[AñoMes].&amp;[" &amp; TEXT(P$6,"yyyymm") &amp; "]",
"[Base].[Metrica]",
"[Base].[Metrica].&amp;[" &amp; $A14 &amp; "]",
"[Base].[SEGMENTO_DESCRIP]",
"[Base].[SEGMENTO_DESCRIP].&amp;[" &amp; $C$6 &amp; "]",
"[Base].[SITUACION]",
"[Base].[SITUACION].&amp;[" &amp; $C14 &amp; "]"
),0)/1000</f>
        <v>14700.3838633</v>
      </c>
      <c r="Q14" s="8">
        <f>IFERROR(
GETPIVOTDATA(
"[Base].[Importe]",
TDinamica_R!$A$5,
"[Calendario].[AñoMes]",
"[Calendario].[AñoMes].&amp;[" &amp; TEXT(Q$6,"yyyymm") &amp; "]",
"[Base].[Metrica]",
"[Base].[Metrica].&amp;[" &amp; $A14 &amp; "]",
"[Base].[SEGMENTO_DESCRIP]",
"[Base].[SEGMENTO_DESCRIP].&amp;[" &amp; $C$6 &amp; "]",
"[Base].[SITUACION]",
"[Base].[SITUACION].&amp;[" &amp; $C14 &amp; "]"
),0)/1000</f>
        <v>13821.724936480005</v>
      </c>
      <c r="R14" s="8">
        <f>IFERROR(
GETPIVOTDATA(
"[Base].[Importe]",
TDinamica_R!$A$5,
"[Calendario].[AñoMes]",
"[Calendario].[AñoMes].&amp;[" &amp; TEXT(R$6,"yyyymm") &amp; "]",
"[Base].[Metrica]",
"[Base].[Metrica].&amp;[" &amp; $A14 &amp; "]",
"[Base].[SEGMENTO_DESCRIP]",
"[Base].[SEGMENTO_DESCRIP].&amp;[" &amp; $C$6 &amp; "]",
"[Base].[SITUACION]",
"[Base].[SITUACION].&amp;[" &amp; $C14 &amp; "]"
),0)/1000</f>
        <v>13191.3759703</v>
      </c>
      <c r="S14" s="8">
        <f>IFERROR(
GETPIVOTDATA(
"[Base].[Importe]",
TDinamica_R!$A$5,
"[Calendario].[AñoMes]",
"[Calendario].[AñoMes].&amp;[" &amp; TEXT(S$6,"yyyymm") &amp; "]",
"[Base].[Metrica]",
"[Base].[Metrica].&amp;[" &amp; $A14 &amp; "]",
"[Base].[SEGMENTO_DESCRIP]",
"[Base].[SEGMENTO_DESCRIP].&amp;[" &amp; $C$6 &amp; "]",
"[Base].[SITUACION]",
"[Base].[SITUACION].&amp;[" &amp; $C14 &amp; "]"
),0)/1000</f>
        <v>12416.87549464</v>
      </c>
      <c r="T14" s="8">
        <f>IFERROR(
GETPIVOTDATA(
"[Base].[Importe]",
TDinamica_R!$A$5,
"[Calendario].[AñoMes]",
"[Calendario].[AñoMes].&amp;[" &amp; TEXT(T$6,"yyyymm") &amp; "]",
"[Base].[Metrica]",
"[Base].[Metrica].&amp;[" &amp; $A14 &amp; "]",
"[Base].[SEGMENTO_DESCRIP]",
"[Base].[SEGMENTO_DESCRIP].&amp;[" &amp; $C$6 &amp; "]",
"[Base].[SITUACION]",
"[Base].[SITUACION].&amp;[" &amp; $C14 &amp; "]"
),0)/1000</f>
        <v>12570.460517000005</v>
      </c>
      <c r="U14" s="8">
        <f>IFERROR(
GETPIVOTDATA(
"[Base].[Importe]",
TDinamica_R!$A$5,
"[Calendario].[AñoMes]",
"[Calendario].[AñoMes].&amp;[" &amp; TEXT(U$6,"yyyymm") &amp; "]",
"[Base].[Metrica]",
"[Base].[Metrica].&amp;[" &amp; $A14 &amp; "]",
"[Base].[SEGMENTO_DESCRIP]",
"[Base].[SEGMENTO_DESCRIP].&amp;[" &amp; $C$6 &amp; "]",
"[Base].[SITUACION]",
"[Base].[SITUACION].&amp;[" &amp; $C14 &amp; "]"
),0)/1000</f>
        <v>13463.767251959998</v>
      </c>
      <c r="V14" s="8">
        <f>IFERROR(
GETPIVOTDATA(
"[Base].[Importe]",
TDinamica_R!$A$5,
"[Calendario].[AñoMes]",
"[Calendario].[AñoMes].&amp;[" &amp; TEXT(V$6,"yyyymm") &amp; "]",
"[Base].[Metrica]",
"[Base].[Metrica].&amp;[" &amp; $A14 &amp; "]",
"[Base].[SEGMENTO_DESCRIP]",
"[Base].[SEGMENTO_DESCRIP].&amp;[" &amp; $C$6 &amp; "]",
"[Base].[SITUACION]",
"[Base].[SITUACION].&amp;[" &amp; $C14 &amp; "]"
),0)/1000</f>
        <v>14041.591835719999</v>
      </c>
      <c r="W14" s="8">
        <f>IFERROR(
GETPIVOTDATA(
"[Base].[Importe]",
TDinamica_R!$A$5,
"[Calendario].[AñoMes]",
"[Calendario].[AñoMes].&amp;[" &amp; TEXT(W$6,"yyyymm") &amp; "]",
"[Base].[Metrica]",
"[Base].[Metrica].&amp;[" &amp; $A14 &amp; "]",
"[Base].[SEGMENTO_DESCRIP]",
"[Base].[SEGMENTO_DESCRIP].&amp;[" &amp; $C$6 &amp; "]",
"[Base].[SITUACION]",
"[Base].[SITUACION].&amp;[" &amp; $C14 &amp; "]"
),0)/1000</f>
        <v>13935.728349609999</v>
      </c>
      <c r="X14" s="8">
        <f>IFERROR(
GETPIVOTDATA(
"[Base].[Importe]",
TDinamica_R!$A$5,
"[Calendario].[AñoMes]",
"[Calendario].[AñoMes].&amp;[" &amp; TEXT(X$6,"yyyymm") &amp; "]",
"[Base].[Metrica]",
"[Base].[Metrica].&amp;[" &amp; $A14 &amp; "]",
"[Base].[SEGMENTO_DESCRIP]",
"[Base].[SEGMENTO_DESCRIP].&amp;[" &amp; $C$6 &amp; "]",
"[Base].[SITUACION]",
"[Base].[SITUACION].&amp;[" &amp; $C14 &amp; "]"
),0)/1000</f>
        <v>13226.914110979998</v>
      </c>
      <c r="Y14" s="8">
        <f>IFERROR(
GETPIVOTDATA(
"[Base].[Importe]",
TDinamica_R!$A$5,
"[Calendario].[AñoMes]",
"[Calendario].[AñoMes].&amp;[" &amp; TEXT(Y$6,"yyyymm") &amp; "]",
"[Base].[Metrica]",
"[Base].[Metrica].&amp;[" &amp; $A14 &amp; "]",
"[Base].[SEGMENTO_DESCRIP]",
"[Base].[SEGMENTO_DESCRIP].&amp;[" &amp; $C$6 &amp; "]",
"[Base].[SITUACION]",
"[Base].[SITUACION].&amp;[" &amp; $C14 &amp; "]"
),0)/1000</f>
        <v>12846.76217428</v>
      </c>
      <c r="Z14" s="8">
        <f>IFERROR(
GETPIVOTDATA(
"[Base].[Importe]",
TDinamica_R!$A$5,
"[Calendario].[AñoMes]",
"[Calendario].[AñoMes].&amp;[" &amp; TEXT(Z$6,"yyyymm") &amp; "]",
"[Base].[Metrica]",
"[Base].[Metrica].&amp;[" &amp; $A14 &amp; "]",
"[Base].[SEGMENTO_DESCRIP]",
"[Base].[SEGMENTO_DESCRIP].&amp;[" &amp; $C$6 &amp; "]",
"[Base].[SITUACION]",
"[Base].[SITUACION].&amp;[" &amp; $C14 &amp; "]"
),0)/1000</f>
        <v>13035.360153260001</v>
      </c>
      <c r="AA14" s="8">
        <f>IFERROR(
GETPIVOTDATA(
"[Base].[Importe]",
TDinamica_R!$A$5,
"[Calendario].[AñoMes]",
"[Calendario].[AñoMes].&amp;[" &amp; TEXT(AA$6,"yyyymm") &amp; "]",
"[Base].[Metrica]",
"[Base].[Metrica].&amp;[" &amp; $A14 &amp; "]",
"[Base].[SEGMENTO_DESCRIP]",
"[Base].[SEGMENTO_DESCRIP].&amp;[" &amp; $C$6 &amp; "]",
"[Base].[SITUACION]",
"[Base].[SITUACION].&amp;[" &amp; $C14 &amp; "]"
),0)/1000</f>
        <v>13914.170306100001</v>
      </c>
      <c r="AB14" s="8">
        <f>IFERROR(
GETPIVOTDATA(
"[Base].[Importe]",
TDinamica_R!$A$5,
"[Calendario].[AñoMes]",
"[Calendario].[AñoMes].&amp;[" &amp; TEXT(AB$6,"yyyymm") &amp; "]",
"[Base].[Metrica]",
"[Base].[Metrica].&amp;[" &amp; $A14 &amp; "]",
"[Base].[SEGMENTO_DESCRIP]",
"[Base].[SEGMENTO_DESCRIP].&amp;[" &amp; $C$6 &amp; "]",
"[Base].[SITUACION]",
"[Base].[SITUACION].&amp;[" &amp; $C14 &amp; "]"
),0)/1000</f>
        <v>15541.20868706</v>
      </c>
      <c r="AC14" s="8">
        <f>IFERROR(
GETPIVOTDATA(
"[Base].[Importe]",
TDinamica_R!$A$5,
"[Calendario].[AñoMes]",
"[Calendario].[AñoMes].&amp;[" &amp; TEXT(AC$6,"yyyymm") &amp; "]",
"[Base].[Metrica]",
"[Base].[Metrica].&amp;[" &amp; $A14 &amp; "]",
"[Base].[SEGMENTO_DESCRIP]",
"[Base].[SEGMENTO_DESCRIP].&amp;[" &amp; $C$6 &amp; "]",
"[Base].[SITUACION]",
"[Base].[SITUACION].&amp;[" &amp; $C14 &amp; "]"
),0)/1000</f>
        <v>15143.008521000002</v>
      </c>
      <c r="AD14" s="8">
        <f>IFERROR(
GETPIVOTDATA(
"[Base].[Importe]",
TDinamica_R!$A$5,
"[Calendario].[AñoMes]",
"[Calendario].[AñoMes].&amp;[" &amp; TEXT(AD$6,"yyyymm") &amp; "]",
"[Base].[Metrica]",
"[Base].[Metrica].&amp;[" &amp; $A14 &amp; "]",
"[Base].[SEGMENTO_DESCRIP]",
"[Base].[SEGMENTO_DESCRIP].&amp;[" &amp; $C$6 &amp; "]",
"[Base].[SITUACION]",
"[Base].[SITUACION].&amp;[" &amp; $C14 &amp; "]"
),0)/1000</f>
        <v>15686.579063940002</v>
      </c>
      <c r="AE14" s="8">
        <f>IFERROR(
GETPIVOTDATA(
"[Base].[Importe]",
TDinamica_R!$A$5,
"[Calendario].[AñoMes]",
"[Calendario].[AñoMes].&amp;[" &amp; TEXT(AE$6,"yyyymm") &amp; "]",
"[Base].[Metrica]",
"[Base].[Metrica].&amp;[" &amp; $A14 &amp; "]",
"[Base].[SEGMENTO_DESCRIP]",
"[Base].[SEGMENTO_DESCRIP].&amp;[" &amp; $C$6 &amp; "]",
"[Base].[SITUACION]",
"[Base].[SITUACION].&amp;[" &amp; $C14 &amp; "]"
),0)/1000</f>
        <v>14855.971976270001</v>
      </c>
      <c r="AF14" s="8">
        <f>IFERROR(
GETPIVOTDATA(
"[Base].[Importe]",
TDinamica_R!$A$5,
"[Calendario].[AñoMes]",
"[Calendario].[AñoMes].&amp;[" &amp; TEXT(AF$6,"yyyymm") &amp; "]",
"[Base].[Metrica]",
"[Base].[Metrica].&amp;[" &amp; $A14 &amp; "]",
"[Base].[SEGMENTO_DESCRIP]",
"[Base].[SEGMENTO_DESCRIP].&amp;[" &amp; $C$6 &amp; "]",
"[Base].[SITUACION]",
"[Base].[SITUACION].&amp;[" &amp; $C14 &amp; "]"
),0)/1000</f>
        <v>15923.9955028</v>
      </c>
      <c r="AG14" s="8">
        <f>IFERROR(
GETPIVOTDATA(
"[Base].[Importe]",
TDinamica_R!$A$5,
"[Calendario].[AñoMes]",
"[Calendario].[AñoMes].&amp;[" &amp; TEXT(AG$6,"yyyymm") &amp; "]",
"[Base].[Metrica]",
"[Base].[Metrica].&amp;[" &amp; $A14 &amp; "]",
"[Base].[SEGMENTO_DESCRIP]",
"[Base].[SEGMENTO_DESCRIP].&amp;[" &amp; $C$6 &amp; "]",
"[Base].[SITUACION]",
"[Base].[SITUACION].&amp;[" &amp; $C14 &amp; "]"
),0)/1000</f>
        <v>14353.845599600003</v>
      </c>
      <c r="AH14" s="8">
        <f>IFERROR(
GETPIVOTDATA(
"[Base].[Importe]",
TDinamica_R!$A$5,
"[Calendario].[AñoMes]",
"[Calendario].[AñoMes].&amp;[" &amp; TEXT(AH$6,"yyyymm") &amp; "]",
"[Base].[Metrica]",
"[Base].[Metrica].&amp;[" &amp; $A14 &amp; "]",
"[Base].[SEGMENTO_DESCRIP]",
"[Base].[SEGMENTO_DESCRIP].&amp;[" &amp; $C$6 &amp; "]",
"[Base].[SITUACION]",
"[Base].[SITUACION].&amp;[" &amp; $C14 &amp; "]"
),0)/1000</f>
        <v>14830.281655180002</v>
      </c>
      <c r="AI14" s="8">
        <f>IFERROR(
GETPIVOTDATA(
"[Base].[Importe]",
TDinamica_R!$A$5,
"[Calendario].[AñoMes]",
"[Calendario].[AñoMes].&amp;[" &amp; TEXT(AI$6,"yyyymm") &amp; "]",
"[Base].[Metrica]",
"[Base].[Metrica].&amp;[" &amp; $A14 &amp; "]",
"[Base].[SEGMENTO_DESCRIP]",
"[Base].[SEGMENTO_DESCRIP].&amp;[" &amp; $C$6 &amp; "]",
"[Base].[SITUACION]",
"[Base].[SITUACION].&amp;[" &amp; $C14 &amp; "]"
),0)/1000</f>
        <v>15982.481830600002</v>
      </c>
      <c r="AJ14" s="8">
        <f>IFERROR(
GETPIVOTDATA(
"[Base].[Importe]",
TDinamica_R!$A$5,
"[Calendario].[AñoMes]",
"[Calendario].[AñoMes].&amp;[" &amp; TEXT(AJ$6,"yyyymm") &amp; "]",
"[Base].[Metrica]",
"[Base].[Metrica].&amp;[" &amp; $A14 &amp; "]",
"[Base].[SEGMENTO_DESCRIP]",
"[Base].[SEGMENTO_DESCRIP].&amp;[" &amp; $C$6 &amp; "]",
"[Base].[SITUACION]",
"[Base].[SITUACION].&amp;[" &amp; $C14 &amp; "]"
),0)/1000</f>
        <v>18014.025384870001</v>
      </c>
      <c r="AK14" s="8">
        <f>IFERROR(
GETPIVOTDATA(
"[Base].[Importe]",
TDinamica_R!$A$5,
"[Calendario].[AñoMes]",
"[Calendario].[AñoMes].&amp;[" &amp; TEXT(AK$6,"yyyymm") &amp; "]",
"[Base].[Metrica]",
"[Base].[Metrica].&amp;[" &amp; $A14 &amp; "]",
"[Base].[SEGMENTO_DESCRIP]",
"[Base].[SEGMENTO_DESCRIP].&amp;[" &amp; $C$6 &amp; "]",
"[Base].[SITUACION]",
"[Base].[SITUACION].&amp;[" &amp; $C14 &amp; "]"
),0)/1000</f>
        <v>21429.483575080001</v>
      </c>
      <c r="AL14" s="8">
        <f>IFERROR(
GETPIVOTDATA(
"[Base].[Importe]",
TDinamica_R!$A$5,
"[Calendario].[AñoMes]",
"[Calendario].[AñoMes].&amp;[" &amp; TEXT(AL$6,"yyyymm") &amp; "]",
"[Base].[Metrica]",
"[Base].[Metrica].&amp;[" &amp; $A14 &amp; "]",
"[Base].[SEGMENTO_DESCRIP]",
"[Base].[SEGMENTO_DESCRIP].&amp;[" &amp; $C$6 &amp; "]",
"[Base].[SITUACION]",
"[Base].[SITUACION].&amp;[" &amp; $C14 &amp; "]"
),0)/1000</f>
        <v>24377.227865559998</v>
      </c>
      <c r="AM14" s="8">
        <f>IFERROR(
GETPIVOTDATA(
"[Base].[Importe]",
TDinamica_R!$A$5,
"[Calendario].[AñoMes]",
"[Calendario].[AñoMes].&amp;[" &amp; TEXT(AM$6,"yyyymm") &amp; "]",
"[Base].[Metrica]",
"[Base].[Metrica].&amp;[" &amp; $A14 &amp; "]",
"[Base].[SEGMENTO_DESCRIP]",
"[Base].[SEGMENTO_DESCRIP].&amp;[" &amp; $C$6 &amp; "]",
"[Base].[SITUACION]",
"[Base].[SITUACION].&amp;[" &amp; $C14 &amp; "]"
),0)/1000</f>
        <v>28571.302004240002</v>
      </c>
      <c r="AN14" s="8">
        <f>IFERROR(
GETPIVOTDATA(
"[Base].[Importe]",
TDinamica_R!$A$5,
"[Calendario].[AñoMes]",
"[Calendario].[AñoMes].&amp;[" &amp; TEXT(AN$6,"yyyymm") &amp; "]",
"[Base].[Metrica]",
"[Base].[Metrica].&amp;[" &amp; $A14 &amp; "]",
"[Base].[SEGMENTO_DESCRIP]",
"[Base].[SEGMENTO_DESCRIP].&amp;[" &amp; $C$6 &amp; "]",
"[Base].[SITUACION]",
"[Base].[SITUACION].&amp;[" &amp; $C14 &amp; "]"
),0)/1000</f>
        <v>32758.55</v>
      </c>
      <c r="AO14" s="8">
        <f>IFERROR(
GETPIVOTDATA(
"[Base].[Importe]",
TDinamica_R!$A$5,
"[Calendario].[AñoMes]",
"[Calendario].[AñoMes].&amp;[" &amp; TEXT(AO$6,"yyyymm") &amp; "]",
"[Base].[Metrica]",
"[Base].[Metrica].&amp;[" &amp; $A14 &amp; "]",
"[Base].[SEGMENTO_DESCRIP]",
"[Base].[SEGMENTO_DESCRIP].&amp;[" &amp; $C$6 &amp; "]",
"[Base].[SITUACION]",
"[Base].[SITUACION].&amp;[" &amp; $C14 &amp; "]"
),0)/1000</f>
        <v>33316.81</v>
      </c>
      <c r="AP14" s="8">
        <f>IFERROR(
GETPIVOTDATA(
"[Base].[Importe]",
TDinamica_R!$A$5,
"[Calendario].[AñoMes]",
"[Calendario].[AñoMes].&amp;[" &amp; TEXT(AP$6,"yyyymm") &amp; "]",
"[Base].[Metrica]",
"[Base].[Metrica].&amp;[" &amp; $A14 &amp; "]",
"[Base].[SEGMENTO_DESCRIP]",
"[Base].[SEGMENTO_DESCRIP].&amp;[" &amp; $C$6 &amp; "]",
"[Base].[SITUACION]",
"[Base].[SITUACION].&amp;[" &amp; $C14 &amp; "]"
),0)/1000</f>
        <v>35711.050000000003</v>
      </c>
      <c r="AQ14" s="8">
        <f>IFERROR(
GETPIVOTDATA(
"[Base].[Importe]",
TDinamica_R!$A$5,
"[Calendario].[AñoMes]",
"[Calendario].[AñoMes].&amp;[" &amp; TEXT(AQ$6,"yyyymm") &amp; "]",
"[Base].[Metrica]",
"[Base].[Metrica].&amp;[" &amp; $A14 &amp; "]",
"[Base].[SEGMENTO_DESCRIP]",
"[Base].[SEGMENTO_DESCRIP].&amp;[" &amp; $C$6 &amp; "]",
"[Base].[SITUACION]",
"[Base].[SITUACION].&amp;[" &amp; $C14 &amp; "]"
),0)/1000</f>
        <v>41651.386416460009</v>
      </c>
      <c r="AR14" s="8">
        <f>IFERROR(
GETPIVOTDATA(
"[Base].[Importe]",
TDinamica_R!$A$5,
"[Calendario].[AñoMes]",
"[Calendario].[AñoMes].&amp;[" &amp; TEXT(AR$6,"yyyymm") &amp; "]",
"[Base].[Metrica]",
"[Base].[Metrica].&amp;[" &amp; $A14 &amp; "]",
"[Base].[SEGMENTO_DESCRIP]",
"[Base].[SEGMENTO_DESCRIP].&amp;[" &amp; $C$6 &amp; "]",
"[Base].[SITUACION]",
"[Base].[SITUACION].&amp;[" &amp; $C14 &amp; "]"
),0)/1000</f>
        <v>44617.084432640004</v>
      </c>
      <c r="AS14" s="8">
        <f>IFERROR(
GETPIVOTDATA(
"[Base].[Importe]",
TDinamica_R!$A$5,
"[Calendario].[AñoMes]",
"[Calendario].[AñoMes].&amp;[" &amp; TEXT(AS$6,"yyyymm") &amp; "]",
"[Base].[Metrica]",
"[Base].[Metrica].&amp;[" &amp; $A14 &amp; "]",
"[Base].[SEGMENTO_DESCRIP]",
"[Base].[SEGMENTO_DESCRIP].&amp;[" &amp; $C$6 &amp; "]",
"[Base].[SITUACION]",
"[Base].[SITUACION].&amp;[" &amp; $C14 &amp; "]"
),0)/1000</f>
        <v>48045.390773450003</v>
      </c>
      <c r="AT14" s="8">
        <f>IFERROR(
GETPIVOTDATA(
"[Base].[Importe]",
TDinamica_R!$A$5,
"[Calendario].[AñoMes]",
"[Calendario].[AñoMes].&amp;[" &amp; TEXT(AT$6,"yyyymm")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U14" s="8">
        <f>IFERROR(
GETPIVOTDATA(
"[Base].[Importe]",
TDinamica_R!$A$5,
"[Calendario].[AñoMes]",
"[Calendario].[AñoMes].&amp;[" &amp; TEXT(AU$6,"yyyymm")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V14" s="8">
        <f>IFERROR(
GETPIVOTDATA(
"[Base].[Importe]",
TDinamica_R!$A$5,
"[Calendario].[AñoMes]",
"[Calendario].[AñoMes].&amp;[" &amp; TEXT(AV$6,"yyyymm")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W14" s="8">
        <f>IFERROR(
GETPIVOTDATA(
"[Base].[Importe]",
TDinamica_R!$A$5,
"[Calendario].[AñoMes]",
"[Calendario].[AñoMes].&amp;[" &amp; TEXT(AW$6,"yyyymm")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X14" s="8">
        <f>IFERROR(
GETPIVOTDATA(
"[Base].[Importe]",
TDinamica_R!$A$5,
"[Calendario].[AñoMes]",
"[Calendario].[AñoMes].&amp;[" &amp; TEXT(AX$6,"yyyymm")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Y14" s="8">
        <f>IFERROR(
GETPIVOTDATA(
"[Base].[Importe]",
TDinamica_R!$A$5,
"[Calendario].[AñoMes]",
"[Calendario].[AñoMes].&amp;[" &amp; TEXT(AY$6,"yyyymm") &amp; "]",
"[Base].[Metrica]",
"[Base].[Metrica].&amp;[" &amp; $A14 &amp; "]",
"[Base].[SEGMENTO_DESCRIP]",
"[Base].[SEGMENTO_DESCRIP].&amp;[" &amp; $C$6 &amp; "]",
"[Base].[SITUACION]",
"[Base].[SITUACION].&amp;[" &amp; $C14 &amp; "]"
),0)/1000</f>
        <v>0</v>
      </c>
      <c r="AZ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"[BASE_HIPO_PPTO].[Periodo]","[BASE_HIPO_PPTO].[Periodo].&amp;["&amp;TEXT(AZ$6,"yyyymm")&amp;"]"),
0)/1000</f>
        <v>19032.959000774914</v>
      </c>
      <c r="BA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"[BASE_HIPO_PPTO].[Periodo]","[BASE_HIPO_PPTO].[Periodo].&amp;["&amp;TEXT(BA$6,"yyyymm")&amp;"]"),
0)/1000</f>
        <v>18214.492358094903</v>
      </c>
      <c r="BB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"[BASE_HIPO_PPTO].[Periodo]","[BASE_HIPO_PPTO].[Periodo].&amp;["&amp;TEXT(BB$6,"yyyymm")&amp;"]"),
0)/1000</f>
        <v>17270.946653632567</v>
      </c>
      <c r="BC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"[BASE_HIPO_PPTO].[Periodo]","[BASE_HIPO_PPTO].[Periodo].&amp;["&amp;TEXT(BC$6,"yyyymm")&amp;"]"),
0)/1000</f>
        <v>16557.097576351891</v>
      </c>
      <c r="BD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"[BASE_HIPO_PPTO].[Periodo]","[BASE_HIPO_PPTO].[Periodo].&amp;["&amp;TEXT(BD$6,"yyyymm")&amp;"]"),
0)/1000</f>
        <v>16723.086522372167</v>
      </c>
      <c r="BE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"[BASE_HIPO_PPTO].[Periodo]","[BASE_HIPO_PPTO].[Periodo].&amp;["&amp;TEXT(BE$6,"yyyymm")&amp;"]"),
0)/1000</f>
        <v>17000.508578376324</v>
      </c>
      <c r="BF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"[BASE_HIPO_PPTO].[Periodo]","[BASE_HIPO_PPTO].[Periodo].&amp;["&amp;TEXT(BF$6,"yyyymm")&amp;"]"),
0)/1000</f>
        <v>17555.761166590335</v>
      </c>
      <c r="BG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"[BASE_HIPO_PPTO].[Periodo]","[BASE_HIPO_PPTO].[Periodo].&amp;["&amp;TEXT(BG$6,"yyyymm")&amp;"]"),
0)/1000</f>
        <v>18211.366196354335</v>
      </c>
      <c r="BH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"[BASE_HIPO_PPTO].[Periodo]","[BASE_HIPO_PPTO].[Periodo].&amp;["&amp;TEXT(BH$6,"yyyymm")&amp;"]"),
0)/1000</f>
        <v>18775.706358894458</v>
      </c>
      <c r="BI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"[BASE_HIPO_PPTO].[Periodo]","[BASE_HIPO_PPTO].[Periodo].&amp;["&amp;TEXT(BI$6,"yyyymm")&amp;"]"),
0)/1000</f>
        <v>19286.286948270506</v>
      </c>
      <c r="BJ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"[BASE_HIPO_PPTO].[Periodo]","[BASE_HIPO_PPTO].[Periodo].&amp;["&amp;TEXT(BJ$6,"yyyymm")&amp;"]"),
0)/1000</f>
        <v>19824.26992086634</v>
      </c>
      <c r="BK14" s="8">
        <f>IFERROR(
GETPIVOTDATA(
"[BASE_HIPO_PPTO].[Importe]",
TDinamica_P!$A$5,
"[BASE_HIPO_PPTO].[Metrica]","[BASE_HIPO_PPTO].[Metrica].&amp;["&amp;$A14&amp;"]",
"[BASE_HIPO_PPTO].[SEGMENTO_DESCRIP]","[BASE_HIPO_PPTO].[SEGMENTO_DESCRIP].&amp;["&amp;$C$6&amp;"]",
"[BASE_HIPO_PPTO].[SITUACION]","[BASE_HIPO_PPTO].[SITUACION].&amp;["&amp;$C14&amp;"]",
"[BASE_HIPO_PPTO].[Periodo]","[BASE_HIPO_PPTO].[Periodo].&amp;["&amp;TEXT(BK$6,"yyyymm")&amp;"]"),
0)/1000</f>
        <v>20414.123803545837</v>
      </c>
      <c r="BO14" s="24">
        <f t="shared" ref="BO14:BT16" si="10">IFERROR(AVERAGEIFS($D14:$BM14,$D$6:$BM$6,"&gt;="&amp;BO$2,$D$6:$BM$6,"&lt;="&amp;BO$6,$D$5:$BM$5,BO$5,$D14:$BM14,"&lt;&gt;0"),0)</f>
        <v>33928.803333333337</v>
      </c>
      <c r="BP14" s="24">
        <f t="shared" si="10"/>
        <v>18172.799337500794</v>
      </c>
      <c r="BQ14" s="24">
        <f t="shared" si="10"/>
        <v>33037.68</v>
      </c>
      <c r="BR14" s="24">
        <f t="shared" si="10"/>
        <v>15456.932090666667</v>
      </c>
      <c r="BS14" s="24">
        <f t="shared" si="10"/>
        <v>13904.49492336</v>
      </c>
      <c r="BT14" s="24">
        <f t="shared" si="10"/>
        <v>15591.272929519999</v>
      </c>
      <c r="BW14" s="24">
        <f t="shared" ref="BW14:CB16" si="11">SUMIFS($D14:$BM14,$D$6:$BM$6,"&gt;="&amp;BO$2,$D$6:$BM$6,"&lt;="&amp;BO$6,$D$5:$BM$5,BO$5)</f>
        <v>101786.41</v>
      </c>
      <c r="BX14" s="24">
        <f t="shared" si="11"/>
        <v>54518.398012502381</v>
      </c>
      <c r="BY14" s="24">
        <f t="shared" si="11"/>
        <v>66075.360000000001</v>
      </c>
      <c r="BZ14" s="24">
        <f t="shared" si="11"/>
        <v>46370.796272</v>
      </c>
      <c r="CA14" s="24">
        <f t="shared" si="11"/>
        <v>41713.484770080002</v>
      </c>
      <c r="CB14" s="24">
        <f t="shared" si="11"/>
        <v>46773.818788559998</v>
      </c>
    </row>
    <row r="15" spans="1:81" hidden="1" outlineLevel="1" x14ac:dyDescent="0.25">
      <c r="A15" s="11" t="s">
        <v>52</v>
      </c>
      <c r="C15" s="2" t="s">
        <v>1</v>
      </c>
      <c r="D15" s="8">
        <f>IFERROR(
GETPIVOTDATA(
"[Base].[Importe]",
TDinamica_R!$A$5,
"[Calendario].[AñoMes]",
"[Calendario].[AñoMes].&amp;[" &amp; TEXT(D$6,"yyyymm") &amp; "]",
"[Base].[Metrica]",
"[Base].[Metrica].&amp;[" &amp; $A15 &amp; "]",
"[Base].[SEGMENTO_DESCRIP]",
"[Base].[SEGMENTO_DESCRIP].&amp;[" &amp; $C$6 &amp; "]",
"[Base].[SITUACION]",
"[Base].[SITUACION].&amp;[" &amp; $C15 &amp; "]"
),0)/1000</f>
        <v>50.387792929999996</v>
      </c>
      <c r="E15" s="8">
        <f>IFERROR(
GETPIVOTDATA(
"[Base].[Importe]",
TDinamica_R!$A$5,
"[Calendario].[AñoMes]",
"[Calendario].[AñoMes].&amp;[" &amp; TEXT(E$6,"yyyymm") &amp; "]",
"[Base].[Metrica]",
"[Base].[Metrica].&amp;[" &amp; $A15 &amp; "]",
"[Base].[SEGMENTO_DESCRIP]",
"[Base].[SEGMENTO_DESCRIP].&amp;[" &amp; $C$6 &amp; "]",
"[Base].[SITUACION]",
"[Base].[SITUACION].&amp;[" &amp; $C15 &amp; "]"
),0)/1000</f>
        <v>33.302967700000004</v>
      </c>
      <c r="F15" s="8">
        <f>IFERROR(
GETPIVOTDATA(
"[Base].[Importe]",
TDinamica_R!$A$5,
"[Calendario].[AñoMes]",
"[Calendario].[AñoMes].&amp;[" &amp; TEXT(F$6,"yyyymm") &amp; "]",
"[Base].[Metrica]",
"[Base].[Metrica].&amp;[" &amp; $A15 &amp; "]",
"[Base].[SEGMENTO_DESCRIP]",
"[Base].[SEGMENTO_DESCRIP].&amp;[" &amp; $C$6 &amp; "]",
"[Base].[SITUACION]",
"[Base].[SITUACION].&amp;[" &amp; $C15 &amp; "]"
),0)/1000</f>
        <v>14.634840000000001</v>
      </c>
      <c r="G15" s="8">
        <f>IFERROR(
GETPIVOTDATA(
"[Base].[Importe]",
TDinamica_R!$A$5,
"[Calendario].[AñoMes]",
"[Calendario].[AñoMes].&amp;[" &amp; TEXT(G$6,"yyyymm") &amp; "]",
"[Base].[Metrica]",
"[Base].[Metrica].&amp;[" &amp; $A15 &amp; "]",
"[Base].[SEGMENTO_DESCRIP]",
"[Base].[SEGMENTO_DESCRIP].&amp;[" &amp; $C$6 &amp; "]",
"[Base].[SITUACION]",
"[Base].[SITUACION].&amp;[" &amp; $C15 &amp; "]"
),0)/1000</f>
        <v>25.893882679999997</v>
      </c>
      <c r="H15" s="8">
        <f>IFERROR(
GETPIVOTDATA(
"[Base].[Importe]",
TDinamica_R!$A$5,
"[Calendario].[AñoMes]",
"[Calendario].[AñoMes].&amp;[" &amp; TEXT(H$6,"yyyymm") &amp; "]",
"[Base].[Metrica]",
"[Base].[Metrica].&amp;[" &amp; $A15 &amp; "]",
"[Base].[SEGMENTO_DESCRIP]",
"[Base].[SEGMENTO_DESCRIP].&amp;[" &amp; $C$6 &amp; "]",
"[Base].[SITUACION]",
"[Base].[SITUACION].&amp;[" &amp; $C15 &amp; "]"
),0)/1000</f>
        <v>12.754479999999999</v>
      </c>
      <c r="I15" s="8">
        <f>IFERROR(
GETPIVOTDATA(
"[Base].[Importe]",
TDinamica_R!$A$5,
"[Calendario].[AñoMes]",
"[Calendario].[AñoMes].&amp;[" &amp; TEXT(I$6,"yyyymm") &amp; "]",
"[Base].[Metrica]",
"[Base].[Metrica].&amp;[" &amp; $A15 &amp; "]",
"[Base].[SEGMENTO_DESCRIP]",
"[Base].[SEGMENTO_DESCRIP].&amp;[" &amp; $C$6 &amp; "]",
"[Base].[SITUACION]",
"[Base].[SITUACION].&amp;[" &amp; $C15 &amp; "]"
),0)/1000</f>
        <v>11.81833</v>
      </c>
      <c r="J15" s="8">
        <f>IFERROR(
GETPIVOTDATA(
"[Base].[Importe]",
TDinamica_R!$A$5,
"[Calendario].[AñoMes]",
"[Calendario].[AñoMes].&amp;[" &amp; TEXT(J$6,"yyyymm") &amp; "]",
"[Base].[Metrica]",
"[Base].[Metrica].&amp;[" &amp; $A15 &amp; "]",
"[Base].[SEGMENTO_DESCRIP]",
"[Base].[SEGMENTO_DESCRIP].&amp;[" &amp; $C$6 &amp; "]",
"[Base].[SITUACION]",
"[Base].[SITUACION].&amp;[" &amp; $C15 &amp; "]"
),0)/1000</f>
        <v>11.01648</v>
      </c>
      <c r="K15" s="8">
        <f>IFERROR(
GETPIVOTDATA(
"[Base].[Importe]",
TDinamica_R!$A$5,
"[Calendario].[AñoMes]",
"[Calendario].[AñoMes].&amp;[" &amp; TEXT(K$6,"yyyymm") &amp; "]",
"[Base].[Metrica]",
"[Base].[Metrica].&amp;[" &amp; $A15 &amp; "]",
"[Base].[SEGMENTO_DESCRIP]",
"[Base].[SEGMENTO_DESCRIP].&amp;[" &amp; $C$6 &amp; "]",
"[Base].[SITUACION]",
"[Base].[SITUACION].&amp;[" &amp; $C15 &amp; "]"
),0)/1000</f>
        <v>10.04509</v>
      </c>
      <c r="L15" s="8">
        <f>IFERROR(
GETPIVOTDATA(
"[Base].[Importe]",
TDinamica_R!$A$5,
"[Calendario].[AñoMes]",
"[Calendario].[AñoMes].&amp;[" &amp; TEXT(L$6,"yyyymm") &amp; "]",
"[Base].[Metrica]",
"[Base].[Metrica].&amp;[" &amp; $A15 &amp; "]",
"[Base].[SEGMENTO_DESCRIP]",
"[Base].[SEGMENTO_DESCRIP].&amp;[" &amp; $C$6 &amp; "]",
"[Base].[SITUACION]",
"[Base].[SITUACION].&amp;[" &amp; $C15 &amp; "]"
),0)/1000</f>
        <v>9.1955899999999993</v>
      </c>
      <c r="M15" s="8">
        <f>IFERROR(
GETPIVOTDATA(
"[Base].[Importe]",
TDinamica_R!$A$5,
"[Calendario].[AñoMes]",
"[Calendario].[AñoMes].&amp;[" &amp; TEXT(M$6,"yyyymm") &amp; "]",
"[Base].[Metrica]",
"[Base].[Metrica].&amp;[" &amp; $A15 &amp; "]",
"[Base].[SEGMENTO_DESCRIP]",
"[Base].[SEGMENTO_DESCRIP].&amp;[" &amp; $C$6 &amp; "]",
"[Base].[SITUACION]",
"[Base].[SITUACION].&amp;[" &amp; $C15 &amp; "]"
),0)/1000</f>
        <v>8.2350100000000008</v>
      </c>
      <c r="N15" s="8">
        <f>IFERROR(
GETPIVOTDATA(
"[Base].[Importe]",
TDinamica_R!$A$5,
"[Calendario].[AñoMes]",
"[Calendario].[AñoMes].&amp;[" &amp; TEXT(N$6,"yyyymm") &amp; "]",
"[Base].[Metrica]",
"[Base].[Metrica].&amp;[" &amp; $A15 &amp; "]",
"[Base].[SEGMENTO_DESCRIP]",
"[Base].[SEGMENTO_DESCRIP].&amp;[" &amp; $C$6 &amp; "]",
"[Base].[SITUACION]",
"[Base].[SITUACION].&amp;[" &amp; $C15 &amp; "]"
),0)/1000</f>
        <v>7.2599600000000004</v>
      </c>
      <c r="O15" s="8">
        <f>IFERROR(
GETPIVOTDATA(
"[Base].[Importe]",
TDinamica_R!$A$5,
"[Calendario].[AñoMes]",
"[Calendario].[AñoMes].&amp;[" &amp; TEXT(O$6,"yyyymm") &amp; "]",
"[Base].[Metrica]",
"[Base].[Metrica].&amp;[" &amp; $A15 &amp; "]",
"[Base].[SEGMENTO_DESCRIP]",
"[Base].[SEGMENTO_DESCRIP].&amp;[" &amp; $C$6 &amp; "]",
"[Base].[SITUACION]",
"[Base].[SITUACION].&amp;[" &amp; $C15 &amp; "]"
),0)/1000</f>
        <v>6.2440299999999995</v>
      </c>
      <c r="P15" s="8">
        <f>IFERROR(
GETPIVOTDATA(
"[Base].[Importe]",
TDinamica_R!$A$5,
"[Calendario].[AñoMes]",
"[Calendario].[AñoMes].&amp;[" &amp; TEXT(P$6,"yyyymm") &amp; "]",
"[Base].[Metrica]",
"[Base].[Metrica].&amp;[" &amp; $A15 &amp; "]",
"[Base].[SEGMENTO_DESCRIP]",
"[Base].[SEGMENTO_DESCRIP].&amp;[" &amp; $C$6 &amp; "]",
"[Base].[SITUACION]",
"[Base].[SITUACION].&amp;[" &amp; $C15 &amp; "]"
),0)/1000</f>
        <v>5.0833999999999993</v>
      </c>
      <c r="Q15" s="8">
        <f>IFERROR(
GETPIVOTDATA(
"[Base].[Importe]",
TDinamica_R!$A$5,
"[Calendario].[AñoMes]",
"[Calendario].[AñoMes].&amp;[" &amp; TEXT(Q$6,"yyyymm") &amp; "]",
"[Base].[Metrica]",
"[Base].[Metrica].&amp;[" &amp; $A15 &amp; "]",
"[Base].[SEGMENTO_DESCRIP]",
"[Base].[SEGMENTO_DESCRIP].&amp;[" &amp; $C$6 &amp; "]",
"[Base].[SITUACION]",
"[Base].[SITUACION].&amp;[" &amp; $C15 &amp; "]"
),0)/1000</f>
        <v>4.4061000000000003</v>
      </c>
      <c r="R15" s="8">
        <f>IFERROR(
GETPIVOTDATA(
"[Base].[Importe]",
TDinamica_R!$A$5,
"[Calendario].[AñoMes]",
"[Calendario].[AñoMes].&amp;[" &amp; TEXT(R$6,"yyyymm") &amp; "]",
"[Base].[Metrica]",
"[Base].[Metrica].&amp;[" &amp; $A15 &amp; "]",
"[Base].[SEGMENTO_DESCRIP]",
"[Base].[SEGMENTO_DESCRIP].&amp;[" &amp; $C$6 &amp; "]",
"[Base].[SITUACION]",
"[Base].[SITUACION].&amp;[" &amp; $C15 &amp; "]"
),0)/1000</f>
        <v>3.3808000000000002</v>
      </c>
      <c r="S15" s="8">
        <f>IFERROR(
GETPIVOTDATA(
"[Base].[Importe]",
TDinamica_R!$A$5,
"[Calendario].[AñoMes]",
"[Calendario].[AñoMes].&amp;[" &amp; TEXT(S$6,"yyyymm") &amp; "]",
"[Base].[Metrica]",
"[Base].[Metrica].&amp;[" &amp; $A15 &amp; "]",
"[Base].[SEGMENTO_DESCRIP]",
"[Base].[SEGMENTO_DESCRIP].&amp;[" &amp; $C$6 &amp; "]",
"[Base].[SITUACION]",
"[Base].[SITUACION].&amp;[" &amp; $C15 &amp; "]"
),0)/1000</f>
        <v>2.94489</v>
      </c>
      <c r="T15" s="8">
        <f>IFERROR(
GETPIVOTDATA(
"[Base].[Importe]",
TDinamica_R!$A$5,
"[Calendario].[AñoMes]",
"[Calendario].[AñoMes].&amp;[" &amp; TEXT(T$6,"yyyymm") &amp; "]",
"[Base].[Metrica]",
"[Base].[Metrica].&amp;[" &amp; $A15 &amp; "]",
"[Base].[SEGMENTO_DESCRIP]",
"[Base].[SEGMENTO_DESCRIP].&amp;[" &amp; $C$6 &amp; "]",
"[Base].[SITUACION]",
"[Base].[SITUACION].&amp;[" &amp; $C15 &amp; "]"
),0)/1000</f>
        <v>0.38067000000000001</v>
      </c>
      <c r="U15" s="8">
        <f>IFERROR(
GETPIVOTDATA(
"[Base].[Importe]",
TDinamica_R!$A$5,
"[Calendario].[AñoMes]",
"[Calendario].[AñoMes].&amp;[" &amp; TEXT(U$6,"yyyymm")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V15" s="8">
        <f>IFERROR(
GETPIVOTDATA(
"[Base].[Importe]",
TDinamica_R!$A$5,
"[Calendario].[AñoMes]",
"[Calendario].[AñoMes].&amp;[" &amp; TEXT(V$6,"yyyymm")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W15" s="8">
        <f>IFERROR(
GETPIVOTDATA(
"[Base].[Importe]",
TDinamica_R!$A$5,
"[Calendario].[AñoMes]",
"[Calendario].[AñoMes].&amp;[" &amp; TEXT(W$6,"yyyymm")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X15" s="8">
        <f>IFERROR(
GETPIVOTDATA(
"[Base].[Importe]",
TDinamica_R!$A$5,
"[Calendario].[AñoMes]",
"[Calendario].[AñoMes].&amp;[" &amp; TEXT(X$6,"yyyymm")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Y15" s="8">
        <f>IFERROR(
GETPIVOTDATA(
"[Base].[Importe]",
TDinamica_R!$A$5,
"[Calendario].[AñoMes]",
"[Calendario].[AñoMes].&amp;[" &amp; TEXT(Y$6,"yyyymm")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Z15" s="8">
        <f>IFERROR(
GETPIVOTDATA(
"[Base].[Importe]",
TDinamica_R!$A$5,
"[Calendario].[AñoMes]",
"[Calendario].[AñoMes].&amp;[" &amp; TEXT(Z$6,"yyyymm")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A15" s="8">
        <f>IFERROR(
GETPIVOTDATA(
"[Base].[Importe]",
TDinamica_R!$A$5,
"[Calendario].[AñoMes]",
"[Calendario].[AñoMes].&amp;[" &amp; TEXT(AA$6,"yyyymm")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B15" s="8">
        <f>IFERROR(
GETPIVOTDATA(
"[Base].[Importe]",
TDinamica_R!$A$5,
"[Calendario].[AñoMes]",
"[Calendario].[AñoMes].&amp;[" &amp; TEXT(AB$6,"yyyymm")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C15" s="8">
        <f>IFERROR(
GETPIVOTDATA(
"[Base].[Importe]",
TDinamica_R!$A$5,
"[Calendario].[AñoMes]",
"[Calendario].[AñoMes].&amp;[" &amp; TEXT(AC$6,"yyyymm")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D15" s="8">
        <f>IFERROR(
GETPIVOTDATA(
"[Base].[Importe]",
TDinamica_R!$A$5,
"[Calendario].[AñoMes]",
"[Calendario].[AñoMes].&amp;[" &amp; TEXT(AD$6,"yyyymm")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E15" s="8">
        <f>IFERROR(
GETPIVOTDATA(
"[Base].[Importe]",
TDinamica_R!$A$5,
"[Calendario].[AñoMes]",
"[Calendario].[AñoMes].&amp;[" &amp; TEXT(AE$6,"yyyymm")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F15" s="8">
        <f>IFERROR(
GETPIVOTDATA(
"[Base].[Importe]",
TDinamica_R!$A$5,
"[Calendario].[AñoMes]",
"[Calendario].[AñoMes].&amp;[" &amp; TEXT(AF$6,"yyyymm")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G15" s="8">
        <f>IFERROR(
GETPIVOTDATA(
"[Base].[Importe]",
TDinamica_R!$A$5,
"[Calendario].[AñoMes]",
"[Calendario].[AñoMes].&amp;[" &amp; TEXT(AG$6,"yyyymm")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H15" s="8">
        <f>IFERROR(
GETPIVOTDATA(
"[Base].[Importe]",
TDinamica_R!$A$5,
"[Calendario].[AñoMes]",
"[Calendario].[AñoMes].&amp;[" &amp; TEXT(AH$6,"yyyymm")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I15" s="8">
        <f>IFERROR(
GETPIVOTDATA(
"[Base].[Importe]",
TDinamica_R!$A$5,
"[Calendario].[AñoMes]",
"[Calendario].[AñoMes].&amp;[" &amp; TEXT(AI$6,"yyyymm")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J15" s="8">
        <f>IFERROR(
GETPIVOTDATA(
"[Base].[Importe]",
TDinamica_R!$A$5,
"[Calendario].[AñoMes]",
"[Calendario].[AñoMes].&amp;[" &amp; TEXT(AJ$6,"yyyymm")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K15" s="8">
        <f>IFERROR(
GETPIVOTDATA(
"[Base].[Importe]",
TDinamica_R!$A$5,
"[Calendario].[AñoMes]",
"[Calendario].[AñoMes].&amp;[" &amp; TEXT(AK$6,"yyyymm")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L15" s="8">
        <f>IFERROR(
GETPIVOTDATA(
"[Base].[Importe]",
TDinamica_R!$A$5,
"[Calendario].[AñoMes]",
"[Calendario].[AñoMes].&amp;[" &amp; TEXT(AL$6,"yyyymm")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M15" s="8">
        <f>IFERROR(
GETPIVOTDATA(
"[Base].[Importe]",
TDinamica_R!$A$5,
"[Calendario].[AñoMes]",
"[Calendario].[AñoMes].&amp;[" &amp; TEXT(AM$6,"yyyymm")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N15" s="8">
        <f>IFERROR(
GETPIVOTDATA(
"[Base].[Importe]",
TDinamica_R!$A$5,
"[Calendario].[AñoMes]",
"[Calendario].[AñoMes].&amp;[" &amp; TEXT(AN$6,"yyyymm")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O15" s="8">
        <f>IFERROR(
GETPIVOTDATA(
"[Base].[Importe]",
TDinamica_R!$A$5,
"[Calendario].[AñoMes]",
"[Calendario].[AñoMes].&amp;[" &amp; TEXT(AO$6,"yyyymm")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P15" s="8">
        <f>IFERROR(
GETPIVOTDATA(
"[Base].[Importe]",
TDinamica_R!$A$5,
"[Calendario].[AñoMes]",
"[Calendario].[AñoMes].&amp;[" &amp; TEXT(AP$6,"yyyymm")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Q15" s="8">
        <f>IFERROR(
GETPIVOTDATA(
"[Base].[Importe]",
TDinamica_R!$A$5,
"[Calendario].[AñoMes]",
"[Calendario].[AñoMes].&amp;[" &amp; TEXT(AQ$6,"yyyymm")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R15" s="8">
        <f>IFERROR(
GETPIVOTDATA(
"[Base].[Importe]",
TDinamica_R!$A$5,
"[Calendario].[AñoMes]",
"[Calendario].[AñoMes].&amp;[" &amp; TEXT(AR$6,"yyyymm")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S15" s="8">
        <f>IFERROR(
GETPIVOTDATA(
"[Base].[Importe]",
TDinamica_R!$A$5,
"[Calendario].[AñoMes]",
"[Calendario].[AñoMes].&amp;[" &amp; TEXT(AS$6,"yyyymm")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T15" s="8">
        <f>IFERROR(
GETPIVOTDATA(
"[Base].[Importe]",
TDinamica_R!$A$5,
"[Calendario].[AñoMes]",
"[Calendario].[AñoMes].&amp;[" &amp; TEXT(AT$6,"yyyymm")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U15" s="8">
        <f>IFERROR(
GETPIVOTDATA(
"[Base].[Importe]",
TDinamica_R!$A$5,
"[Calendario].[AñoMes]",
"[Calendario].[AñoMes].&amp;[" &amp; TEXT(AU$6,"yyyymm")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V15" s="8">
        <f>IFERROR(
GETPIVOTDATA(
"[Base].[Importe]",
TDinamica_R!$A$5,
"[Calendario].[AñoMes]",
"[Calendario].[AñoMes].&amp;[" &amp; TEXT(AV$6,"yyyymm")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W15" s="8">
        <f>IFERROR(
GETPIVOTDATA(
"[Base].[Importe]",
TDinamica_R!$A$5,
"[Calendario].[AñoMes]",
"[Calendario].[AñoMes].&amp;[" &amp; TEXT(AW$6,"yyyymm")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X15" s="8">
        <f>IFERROR(
GETPIVOTDATA(
"[Base].[Importe]",
TDinamica_R!$A$5,
"[Calendario].[AñoMes]",
"[Calendario].[AñoMes].&amp;[" &amp; TEXT(AX$6,"yyyymm")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Y15" s="8">
        <f>IFERROR(
GETPIVOTDATA(
"[Base].[Importe]",
TDinamica_R!$A$5,
"[Calendario].[AñoMes]",
"[Calendario].[AñoMes].&amp;[" &amp; TEXT(AY$6,"yyyymm") &amp; "]",
"[Base].[Metrica]",
"[Base].[Metrica].&amp;[" &amp; $A15 &amp; "]",
"[Base].[SEGMENTO_DESCRIP]",
"[Base].[SEGMENTO_DESCRIP].&amp;[" &amp; $C$6 &amp; "]",
"[Base].[SITUACION]",
"[Base].[SITUACION].&amp;[" &amp; $C15 &amp; "]"
),0)/1000</f>
        <v>0</v>
      </c>
      <c r="AZ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"[BASE_HIPO_PPTO].[Periodo]","[BASE_HIPO_PPTO].[Periodo].&amp;["&amp;TEXT(AZ$6,"yyyymm")&amp;"]"),
0)/1000</f>
        <v>0</v>
      </c>
      <c r="BA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"[BASE_HIPO_PPTO].[Periodo]","[BASE_HIPO_PPTO].[Periodo].&amp;["&amp;TEXT(BA$6,"yyyymm")&amp;"]"),
0)/1000</f>
        <v>0</v>
      </c>
      <c r="BB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"[BASE_HIPO_PPTO].[Periodo]","[BASE_HIPO_PPTO].[Periodo].&amp;["&amp;TEXT(BB$6,"yyyymm")&amp;"]"),
0)/1000</f>
        <v>0</v>
      </c>
      <c r="BC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"[BASE_HIPO_PPTO].[Periodo]","[BASE_HIPO_PPTO].[Periodo].&amp;["&amp;TEXT(BC$6,"yyyymm")&amp;"]"),
0)/1000</f>
        <v>0</v>
      </c>
      <c r="BD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"[BASE_HIPO_PPTO].[Periodo]","[BASE_HIPO_PPTO].[Periodo].&amp;["&amp;TEXT(BD$6,"yyyymm")&amp;"]"),
0)/1000</f>
        <v>0</v>
      </c>
      <c r="BE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"[BASE_HIPO_PPTO].[Periodo]","[BASE_HIPO_PPTO].[Periodo].&amp;["&amp;TEXT(BE$6,"yyyymm")&amp;"]"),
0)/1000</f>
        <v>0</v>
      </c>
      <c r="BF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"[BASE_HIPO_PPTO].[Periodo]","[BASE_HIPO_PPTO].[Periodo].&amp;["&amp;TEXT(BF$6,"yyyymm")&amp;"]"),
0)/1000</f>
        <v>0</v>
      </c>
      <c r="BG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"[BASE_HIPO_PPTO].[Periodo]","[BASE_HIPO_PPTO].[Periodo].&amp;["&amp;TEXT(BG$6,"yyyymm")&amp;"]"),
0)/1000</f>
        <v>0</v>
      </c>
      <c r="BH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"[BASE_HIPO_PPTO].[Periodo]","[BASE_HIPO_PPTO].[Periodo].&amp;["&amp;TEXT(BH$6,"yyyymm")&amp;"]"),
0)/1000</f>
        <v>0</v>
      </c>
      <c r="BI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"[BASE_HIPO_PPTO].[Periodo]","[BASE_HIPO_PPTO].[Periodo].&amp;["&amp;TEXT(BI$6,"yyyymm")&amp;"]"),
0)/1000</f>
        <v>0</v>
      </c>
      <c r="BJ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"[BASE_HIPO_PPTO].[Periodo]","[BASE_HIPO_PPTO].[Periodo].&amp;["&amp;TEXT(BJ$6,"yyyymm")&amp;"]"),
0)/1000</f>
        <v>0</v>
      </c>
      <c r="BK15" s="8">
        <f>IFERROR(
GETPIVOTDATA(
"[BASE_HIPO_PPTO].[Importe]",
TDinamica_P!$A$5,
"[BASE_HIPO_PPTO].[Metrica]","[BASE_HIPO_PPTO].[Metrica].&amp;["&amp;$A15&amp;"]",
"[BASE_HIPO_PPTO].[SEGMENTO_DESCRIP]","[BASE_HIPO_PPTO].[SEGMENTO_DESCRIP].&amp;["&amp;$C$6&amp;"]",
"[BASE_HIPO_PPTO].[SITUACION]","[BASE_HIPO_PPTO].[SITUACION].&amp;["&amp;$C15&amp;"]",
"[BASE_HIPO_PPTO].[Periodo]","[BASE_HIPO_PPTO].[Periodo].&amp;["&amp;TEXT(BK$6,"yyyymm")&amp;"]"),
0)/1000</f>
        <v>0</v>
      </c>
      <c r="BO15" s="24">
        <f t="shared" si="10"/>
        <v>0</v>
      </c>
      <c r="BP15" s="24">
        <f t="shared" si="10"/>
        <v>0</v>
      </c>
      <c r="BQ15" s="24">
        <f t="shared" si="10"/>
        <v>0</v>
      </c>
      <c r="BR15" s="24">
        <f t="shared" si="10"/>
        <v>0</v>
      </c>
      <c r="BS15" s="24">
        <f t="shared" si="10"/>
        <v>4.2900999999999998</v>
      </c>
      <c r="BT15" s="24">
        <f t="shared" si="10"/>
        <v>32.775200210000001</v>
      </c>
      <c r="BW15" s="24">
        <f t="shared" si="11"/>
        <v>0</v>
      </c>
      <c r="BX15" s="24">
        <f t="shared" si="11"/>
        <v>0</v>
      </c>
      <c r="BY15" s="24">
        <f t="shared" si="11"/>
        <v>0</v>
      </c>
      <c r="BZ15" s="24">
        <f t="shared" si="11"/>
        <v>0</v>
      </c>
      <c r="CA15" s="24">
        <f t="shared" si="11"/>
        <v>12.8703</v>
      </c>
      <c r="CB15" s="24">
        <f t="shared" si="11"/>
        <v>98.325600629999997</v>
      </c>
    </row>
    <row r="16" spans="1:81" hidden="1" outlineLevel="1" x14ac:dyDescent="0.25">
      <c r="A16" s="11" t="s">
        <v>52</v>
      </c>
      <c r="C16" s="2" t="s">
        <v>45</v>
      </c>
      <c r="D16" s="8">
        <f>IFERROR(
GETPIVOTDATA(
"[Base].[Importe]",
TDinamica_R!$A$5,
"[Calendario].[AñoMes]",
"[Calendario].[AñoMes].&amp;[" &amp; TEXT(D$6,"yyyymm") &amp; "]",
"[Base].[Metrica]",
"[Base].[Metrica].&amp;[" &amp; $A16 &amp; "]",
"[Base].[SEGMENTO_DESCRIP]",
"[Base].[SEGMENTO_DESCRIP].&amp;[" &amp; $C$6 &amp; "]",
"[Base].[SITUACION]",
"[Base].[SITUACION].&amp;[" &amp; $C16 &amp; "]"
),0)/1000</f>
        <v>2925.8451331700003</v>
      </c>
      <c r="E16" s="8">
        <f>IFERROR(
GETPIVOTDATA(
"[Base].[Importe]",
TDinamica_R!$A$5,
"[Calendario].[AñoMes]",
"[Calendario].[AñoMes].&amp;[" &amp; TEXT(E$6,"yyyymm") &amp; "]",
"[Base].[Metrica]",
"[Base].[Metrica].&amp;[" &amp; $A16 &amp; "]",
"[Base].[SEGMENTO_DESCRIP]",
"[Base].[SEGMENTO_DESCRIP].&amp;[" &amp; $C$6 &amp; "]",
"[Base].[SITUACION]",
"[Base].[SITUACION].&amp;[" &amp; $C16 &amp; "]"
),0)/1000</f>
        <v>2904.3097234799998</v>
      </c>
      <c r="F16" s="8">
        <f>IFERROR(
GETPIVOTDATA(
"[Base].[Importe]",
TDinamica_R!$A$5,
"[Calendario].[AñoMes]",
"[Calendario].[AñoMes].&amp;[" &amp; TEXT(F$6,"yyyymm") &amp; "]",
"[Base].[Metrica]",
"[Base].[Metrica].&amp;[" &amp; $A16 &amp; "]",
"[Base].[SEGMENTO_DESCRIP]",
"[Base].[SEGMENTO_DESCRIP].&amp;[" &amp; $C$6 &amp; "]",
"[Base].[SITUACION]",
"[Base].[SITUACION].&amp;[" &amp; $C16 &amp; "]"
),0)/1000</f>
        <v>2925.1767834000002</v>
      </c>
      <c r="G16" s="8">
        <f>IFERROR(
GETPIVOTDATA(
"[Base].[Importe]",
TDinamica_R!$A$5,
"[Calendario].[AñoMes]",
"[Calendario].[AñoMes].&amp;[" &amp; TEXT(G$6,"yyyymm") &amp; "]",
"[Base].[Metrica]",
"[Base].[Metrica].&amp;[" &amp; $A16 &amp; "]",
"[Base].[SEGMENTO_DESCRIP]",
"[Base].[SEGMENTO_DESCRIP].&amp;[" &amp; $C$6 &amp; "]",
"[Base].[SITUACION]",
"[Base].[SITUACION].&amp;[" &amp; $C16 &amp; "]"
),0)/1000</f>
        <v>2549.8602114800005</v>
      </c>
      <c r="H16" s="8">
        <f>IFERROR(
GETPIVOTDATA(
"[Base].[Importe]",
TDinamica_R!$A$5,
"[Calendario].[AñoMes]",
"[Calendario].[AñoMes].&amp;[" &amp; TEXT(H$6,"yyyymm") &amp; "]",
"[Base].[Metrica]",
"[Base].[Metrica].&amp;[" &amp; $A16 &amp; "]",
"[Base].[SEGMENTO_DESCRIP]",
"[Base].[SEGMENTO_DESCRIP].&amp;[" &amp; $C$6 &amp; "]",
"[Base].[SITUACION]",
"[Base].[SITUACION].&amp;[" &amp; $C16 &amp; "]"
),0)/1000</f>
        <v>2120.7835284000003</v>
      </c>
      <c r="I16" s="8">
        <f>IFERROR(
GETPIVOTDATA(
"[Base].[Importe]",
TDinamica_R!$A$5,
"[Calendario].[AñoMes]",
"[Calendario].[AñoMes].&amp;[" &amp; TEXT(I$6,"yyyymm") &amp; "]",
"[Base].[Metrica]",
"[Base].[Metrica].&amp;[" &amp; $A16 &amp; "]",
"[Base].[SEGMENTO_DESCRIP]",
"[Base].[SEGMENTO_DESCRIP].&amp;[" &amp; $C$6 &amp; "]",
"[Base].[SITUACION]",
"[Base].[SITUACION].&amp;[" &amp; $C16 &amp; "]"
),0)/1000</f>
        <v>1821.4668535000001</v>
      </c>
      <c r="J16" s="8">
        <f>IFERROR(
GETPIVOTDATA(
"[Base].[Importe]",
TDinamica_R!$A$5,
"[Calendario].[AñoMes]",
"[Calendario].[AñoMes].&amp;[" &amp; TEXT(J$6,"yyyymm") &amp; "]",
"[Base].[Metrica]",
"[Base].[Metrica].&amp;[" &amp; $A16 &amp; "]",
"[Base].[SEGMENTO_DESCRIP]",
"[Base].[SEGMENTO_DESCRIP].&amp;[" &amp; $C$6 &amp; "]",
"[Base].[SITUACION]",
"[Base].[SITUACION].&amp;[" &amp; $C16 &amp; "]"
),0)/1000</f>
        <v>1351.5255471100002</v>
      </c>
      <c r="K16" s="8">
        <f>IFERROR(
GETPIVOTDATA(
"[Base].[Importe]",
TDinamica_R!$A$5,
"[Calendario].[AñoMes]",
"[Calendario].[AñoMes].&amp;[" &amp; TEXT(K$6,"yyyymm") &amp; "]",
"[Base].[Metrica]",
"[Base].[Metrica].&amp;[" &amp; $A16 &amp; "]",
"[Base].[SEGMENTO_DESCRIP]",
"[Base].[SEGMENTO_DESCRIP].&amp;[" &amp; $C$6 &amp; "]",
"[Base].[SITUACION]",
"[Base].[SITUACION].&amp;[" &amp; $C16 &amp; "]"
),0)/1000</f>
        <v>1254.5257985600001</v>
      </c>
      <c r="L16" s="8">
        <f>IFERROR(
GETPIVOTDATA(
"[Base].[Importe]",
TDinamica_R!$A$5,
"[Calendario].[AñoMes]",
"[Calendario].[AñoMes].&amp;[" &amp; TEXT(L$6,"yyyymm") &amp; "]",
"[Base].[Metrica]",
"[Base].[Metrica].&amp;[" &amp; $A16 &amp; "]",
"[Base].[SEGMENTO_DESCRIP]",
"[Base].[SEGMENTO_DESCRIP].&amp;[" &amp; $C$6 &amp; "]",
"[Base].[SITUACION]",
"[Base].[SITUACION].&amp;[" &amp; $C16 &amp; "]"
),0)/1000</f>
        <v>1247.6019667199998</v>
      </c>
      <c r="M16" s="8">
        <f>IFERROR(
GETPIVOTDATA(
"[Base].[Importe]",
TDinamica_R!$A$5,
"[Calendario].[AñoMes]",
"[Calendario].[AñoMes].&amp;[" &amp; TEXT(M$6,"yyyymm") &amp; "]",
"[Base].[Metrica]",
"[Base].[Metrica].&amp;[" &amp; $A16 &amp; "]",
"[Base].[SEGMENTO_DESCRIP]",
"[Base].[SEGMENTO_DESCRIP].&amp;[" &amp; $C$6 &amp; "]",
"[Base].[SITUACION]",
"[Base].[SITUACION].&amp;[" &amp; $C16 &amp; "]"
),0)/1000</f>
        <v>1249.8266975499998</v>
      </c>
      <c r="N16" s="8">
        <f>IFERROR(
GETPIVOTDATA(
"[Base].[Importe]",
TDinamica_R!$A$5,
"[Calendario].[AñoMes]",
"[Calendario].[AñoMes].&amp;[" &amp; TEXT(N$6,"yyyymm") &amp; "]",
"[Base].[Metrica]",
"[Base].[Metrica].&amp;[" &amp; $A16 &amp; "]",
"[Base].[SEGMENTO_DESCRIP]",
"[Base].[SEGMENTO_DESCRIP].&amp;[" &amp; $C$6 &amp; "]",
"[Base].[SITUACION]",
"[Base].[SITUACION].&amp;[" &amp; $C16 &amp; "]"
),0)/1000</f>
        <v>1396.5108908399998</v>
      </c>
      <c r="O16" s="8">
        <f>IFERROR(
GETPIVOTDATA(
"[Base].[Importe]",
TDinamica_R!$A$5,
"[Calendario].[AñoMes]",
"[Calendario].[AñoMes].&amp;[" &amp; TEXT(O$6,"yyyymm") &amp; "]",
"[Base].[Metrica]",
"[Base].[Metrica].&amp;[" &amp; $A16 &amp; "]",
"[Base].[SEGMENTO_DESCRIP]",
"[Base].[SEGMENTO_DESCRIP].&amp;[" &amp; $C$6 &amp; "]",
"[Base].[SITUACION]",
"[Base].[SITUACION].&amp;[" &amp; $C16 &amp; "]"
),0)/1000</f>
        <v>1209.4240656400002</v>
      </c>
      <c r="P16" s="8">
        <f>IFERROR(
GETPIVOTDATA(
"[Base].[Importe]",
TDinamica_R!$A$5,
"[Calendario].[AñoMes]",
"[Calendario].[AñoMes].&amp;[" &amp; TEXT(P$6,"yyyymm") &amp; "]",
"[Base].[Metrica]",
"[Base].[Metrica].&amp;[" &amp; $A16 &amp; "]",
"[Base].[SEGMENTO_DESCRIP]",
"[Base].[SEGMENTO_DESCRIP].&amp;[" &amp; $C$6 &amp; "]",
"[Base].[SITUACION]",
"[Base].[SITUACION].&amp;[" &amp; $C16 &amp; "]"
),0)/1000</f>
        <v>1187.5106087199999</v>
      </c>
      <c r="Q16" s="8">
        <f>IFERROR(
GETPIVOTDATA(
"[Base].[Importe]",
TDinamica_R!$A$5,
"[Calendario].[AñoMes]",
"[Calendario].[AñoMes].&amp;[" &amp; TEXT(Q$6,"yyyymm") &amp; "]",
"[Base].[Metrica]",
"[Base].[Metrica].&amp;[" &amp; $A16 &amp; "]",
"[Base].[SEGMENTO_DESCRIP]",
"[Base].[SEGMENTO_DESCRIP].&amp;[" &amp; $C$6 &amp; "]",
"[Base].[SITUACION]",
"[Base].[SITUACION].&amp;[" &amp; $C16 &amp; "]"
),0)/1000</f>
        <v>1324.6112129199998</v>
      </c>
      <c r="R16" s="8">
        <f>IFERROR(
GETPIVOTDATA(
"[Base].[Importe]",
TDinamica_R!$A$5,
"[Calendario].[AñoMes]",
"[Calendario].[AñoMes].&amp;[" &amp; TEXT(R$6,"yyyymm") &amp; "]",
"[Base].[Metrica]",
"[Base].[Metrica].&amp;[" &amp; $A16 &amp; "]",
"[Base].[SEGMENTO_DESCRIP]",
"[Base].[SEGMENTO_DESCRIP].&amp;[" &amp; $C$6 &amp; "]",
"[Base].[SITUACION]",
"[Base].[SITUACION].&amp;[" &amp; $C16 &amp; "]"
),0)/1000</f>
        <v>1377.9374760799997</v>
      </c>
      <c r="S16" s="8">
        <f>IFERROR(
GETPIVOTDATA(
"[Base].[Importe]",
TDinamica_R!$A$5,
"[Calendario].[AñoMes]",
"[Calendario].[AñoMes].&amp;[" &amp; TEXT(S$6,"yyyymm") &amp; "]",
"[Base].[Metrica]",
"[Base].[Metrica].&amp;[" &amp; $A16 &amp; "]",
"[Base].[SEGMENTO_DESCRIP]",
"[Base].[SEGMENTO_DESCRIP].&amp;[" &amp; $C$6 &amp; "]",
"[Base].[SITUACION]",
"[Base].[SITUACION].&amp;[" &amp; $C16 &amp; "]"
),0)/1000</f>
        <v>1112.2575824799999</v>
      </c>
      <c r="T16" s="8">
        <f>IFERROR(
GETPIVOTDATA(
"[Base].[Importe]",
TDinamica_R!$A$5,
"[Calendario].[AñoMes]",
"[Calendario].[AñoMes].&amp;[" &amp; TEXT(T$6,"yyyymm") &amp; "]",
"[Base].[Metrica]",
"[Base].[Metrica].&amp;[" &amp; $A16 &amp; "]",
"[Base].[SEGMENTO_DESCRIP]",
"[Base].[SEGMENTO_DESCRIP].&amp;[" &amp; $C$6 &amp; "]",
"[Base].[SITUACION]",
"[Base].[SITUACION].&amp;[" &amp; $C16 &amp; "]"
),0)/1000</f>
        <v>963.51341400000001</v>
      </c>
      <c r="U16" s="8">
        <f>IFERROR(
GETPIVOTDATA(
"[Base].[Importe]",
TDinamica_R!$A$5,
"[Calendario].[AñoMes]",
"[Calendario].[AñoMes].&amp;[" &amp; TEXT(U$6,"yyyymm") &amp; "]",
"[Base].[Metrica]",
"[Base].[Metrica].&amp;[" &amp; $A16 &amp; "]",
"[Base].[SEGMENTO_DESCRIP]",
"[Base].[SEGMENTO_DESCRIP].&amp;[" &amp; $C$6 &amp; "]",
"[Base].[SITUACION]",
"[Base].[SITUACION].&amp;[" &amp; $C16 &amp; "]"
),0)/1000</f>
        <v>1011.5285958200001</v>
      </c>
      <c r="V16" s="8">
        <f>IFERROR(
GETPIVOTDATA(
"[Base].[Importe]",
TDinamica_R!$A$5,
"[Calendario].[AñoMes]",
"[Calendario].[AñoMes].&amp;[" &amp; TEXT(V$6,"yyyymm") &amp; "]",
"[Base].[Metrica]",
"[Base].[Metrica].&amp;[" &amp; $A16 &amp; "]",
"[Base].[SEGMENTO_DESCRIP]",
"[Base].[SEGMENTO_DESCRIP].&amp;[" &amp; $C$6 &amp; "]",
"[Base].[SITUACION]",
"[Base].[SITUACION].&amp;[" &amp; $C16 &amp; "]"
),0)/1000</f>
        <v>1031.8671199999999</v>
      </c>
      <c r="W16" s="8">
        <f>IFERROR(
GETPIVOTDATA(
"[Base].[Importe]",
TDinamica_R!$A$5,
"[Calendario].[AñoMes]",
"[Calendario].[AñoMes].&amp;[" &amp; TEXT(W$6,"yyyymm") &amp; "]",
"[Base].[Metrica]",
"[Base].[Metrica].&amp;[" &amp; $A16 &amp; "]",
"[Base].[SEGMENTO_DESCRIP]",
"[Base].[SEGMENTO_DESCRIP].&amp;[" &amp; $C$6 &amp; "]",
"[Base].[SITUACION]",
"[Base].[SITUACION].&amp;[" &amp; $C16 &amp; "]"
),0)/1000</f>
        <v>1019.7306000000001</v>
      </c>
      <c r="X16" s="8">
        <f>IFERROR(
GETPIVOTDATA(
"[Base].[Importe]",
TDinamica_R!$A$5,
"[Calendario].[AñoMes]",
"[Calendario].[AñoMes].&amp;[" &amp; TEXT(X$6,"yyyymm") &amp; "]",
"[Base].[Metrica]",
"[Base].[Metrica].&amp;[" &amp; $A16 &amp; "]",
"[Base].[SEGMENTO_DESCRIP]",
"[Base].[SEGMENTO_DESCRIP].&amp;[" &amp; $C$6 &amp; "]",
"[Base].[SITUACION]",
"[Base].[SITUACION].&amp;[" &amp; $C16 &amp; "]"
),0)/1000</f>
        <v>1008.0256699999999</v>
      </c>
      <c r="Y16" s="8">
        <f>IFERROR(
GETPIVOTDATA(
"[Base].[Importe]",
TDinamica_R!$A$5,
"[Calendario].[AñoMes]",
"[Calendario].[AñoMes].&amp;[" &amp; TEXT(Y$6,"yyyymm") &amp; "]",
"[Base].[Metrica]",
"[Base].[Metrica].&amp;[" &amp; $A16 &amp; "]",
"[Base].[SEGMENTO_DESCRIP]",
"[Base].[SEGMENTO_DESCRIP].&amp;[" &amp; $C$6 &amp; "]",
"[Base].[SITUACION]",
"[Base].[SITUACION].&amp;[" &amp; $C16 &amp; "]"
),0)/1000</f>
        <v>872.10301000000015</v>
      </c>
      <c r="Z16" s="8">
        <f>IFERROR(
GETPIVOTDATA(
"[Base].[Importe]",
TDinamica_R!$A$5,
"[Calendario].[AñoMes]",
"[Calendario].[AñoMes].&amp;[" &amp; TEXT(Z$6,"yyyymm") &amp; "]",
"[Base].[Metrica]",
"[Base].[Metrica].&amp;[" &amp; $A16 &amp; "]",
"[Base].[SEGMENTO_DESCRIP]",
"[Base].[SEGMENTO_DESCRIP].&amp;[" &amp; $C$6 &amp; "]",
"[Base].[SITUACION]",
"[Base].[SITUACION].&amp;[" &amp; $C16 &amp; "]"
),0)/1000</f>
        <v>774.18268999999998</v>
      </c>
      <c r="AA16" s="8">
        <f>IFERROR(
GETPIVOTDATA(
"[Base].[Importe]",
TDinamica_R!$A$5,
"[Calendario].[AñoMes]",
"[Calendario].[AñoMes].&amp;[" &amp; TEXT(AA$6,"yyyymm") &amp; "]",
"[Base].[Metrica]",
"[Base].[Metrica].&amp;[" &amp; $A16 &amp; "]",
"[Base].[SEGMENTO_DESCRIP]",
"[Base].[SEGMENTO_DESCRIP].&amp;[" &amp; $C$6 &amp; "]",
"[Base].[SITUACION]",
"[Base].[SITUACION].&amp;[" &amp; $C16 &amp; "]"
),0)/1000</f>
        <v>734.06812000000002</v>
      </c>
      <c r="AB16" s="8">
        <f>IFERROR(
GETPIVOTDATA(
"[Base].[Importe]",
TDinamica_R!$A$5,
"[Calendario].[AñoMes]",
"[Calendario].[AñoMes].&amp;[" &amp; TEXT(AB$6,"yyyymm") &amp; "]",
"[Base].[Metrica]",
"[Base].[Metrica].&amp;[" &amp; $A16 &amp; "]",
"[Base].[SEGMENTO_DESCRIP]",
"[Base].[SEGMENTO_DESCRIP].&amp;[" &amp; $C$6 &amp; "]",
"[Base].[SITUACION]",
"[Base].[SITUACION].&amp;[" &amp; $C16 &amp; "]"
),0)/1000</f>
        <v>781.01712999999984</v>
      </c>
      <c r="AC16" s="8">
        <f>IFERROR(
GETPIVOTDATA(
"[Base].[Importe]",
TDinamica_R!$A$5,
"[Calendario].[AñoMes]",
"[Calendario].[AñoMes].&amp;[" &amp; TEXT(AC$6,"yyyymm") &amp; "]",
"[Base].[Metrica]",
"[Base].[Metrica].&amp;[" &amp; $A16 &amp; "]",
"[Base].[SEGMENTO_DESCRIP]",
"[Base].[SEGMENTO_DESCRIP].&amp;[" &amp; $C$6 &amp; "]",
"[Base].[SITUACION]",
"[Base].[SITUACION].&amp;[" &amp; $C16 &amp; "]"
),0)/1000</f>
        <v>776.81022999999993</v>
      </c>
      <c r="AD16" s="8">
        <f>IFERROR(
GETPIVOTDATA(
"[Base].[Importe]",
TDinamica_R!$A$5,
"[Calendario].[AñoMes]",
"[Calendario].[AñoMes].&amp;[" &amp; TEXT(AD$6,"yyyymm") &amp; "]",
"[Base].[Metrica]",
"[Base].[Metrica].&amp;[" &amp; $A16 &amp; "]",
"[Base].[SEGMENTO_DESCRIP]",
"[Base].[SEGMENTO_DESCRIP].&amp;[" &amp; $C$6 &amp; "]",
"[Base].[SITUACION]",
"[Base].[SITUACION].&amp;[" &amp; $C16 &amp; "]"
),0)/1000</f>
        <v>759.02900999999997</v>
      </c>
      <c r="AE16" s="8">
        <f>IFERROR(
GETPIVOTDATA(
"[Base].[Importe]",
TDinamica_R!$A$5,
"[Calendario].[AñoMes]",
"[Calendario].[AñoMes].&amp;[" &amp; TEXT(AE$6,"yyyymm") &amp; "]",
"[Base].[Metrica]",
"[Base].[Metrica].&amp;[" &amp; $A16 &amp; "]",
"[Base].[SEGMENTO_DESCRIP]",
"[Base].[SEGMENTO_DESCRIP].&amp;[" &amp; $C$6 &amp; "]",
"[Base].[SITUACION]",
"[Base].[SITUACION].&amp;[" &amp; $C16 &amp; "]"
),0)/1000</f>
        <v>756.91765999999996</v>
      </c>
      <c r="AF16" s="8">
        <f>IFERROR(
GETPIVOTDATA(
"[Base].[Importe]",
TDinamica_R!$A$5,
"[Calendario].[AñoMes]",
"[Calendario].[AñoMes].&amp;[" &amp; TEXT(AF$6,"yyyymm") &amp; "]",
"[Base].[Metrica]",
"[Base].[Metrica].&amp;[" &amp; $A16 &amp; "]",
"[Base].[SEGMENTO_DESCRIP]",
"[Base].[SEGMENTO_DESCRIP].&amp;[" &amp; $C$6 &amp; "]",
"[Base].[SITUACION]",
"[Base].[SITUACION].&amp;[" &amp; $C16 &amp; "]"
),0)/1000</f>
        <v>754.18123999999989</v>
      </c>
      <c r="AG16" s="8">
        <f>IFERROR(
GETPIVOTDATA(
"[Base].[Importe]",
TDinamica_R!$A$5,
"[Calendario].[AñoMes]",
"[Calendario].[AñoMes].&amp;[" &amp; TEXT(AG$6,"yyyymm") &amp; "]",
"[Base].[Metrica]",
"[Base].[Metrica].&amp;[" &amp; $A16 &amp; "]",
"[Base].[SEGMENTO_DESCRIP]",
"[Base].[SEGMENTO_DESCRIP].&amp;[" &amp; $C$6 &amp; "]",
"[Base].[SITUACION]",
"[Base].[SITUACION].&amp;[" &amp; $C16 &amp; "]"
),0)/1000</f>
        <v>752.14944000000003</v>
      </c>
      <c r="AH16" s="8">
        <f>IFERROR(
GETPIVOTDATA(
"[Base].[Importe]",
TDinamica_R!$A$5,
"[Calendario].[AñoMes]",
"[Calendario].[AñoMes].&amp;[" &amp; TEXT(AH$6,"yyyymm") &amp; "]",
"[Base].[Metrica]",
"[Base].[Metrica].&amp;[" &amp; $A16 &amp; "]",
"[Base].[SEGMENTO_DESCRIP]",
"[Base].[SEGMENTO_DESCRIP].&amp;[" &amp; $C$6 &amp; "]",
"[Base].[SITUACION]",
"[Base].[SITUACION].&amp;[" &amp; $C16 &amp; "]"
),0)/1000</f>
        <v>765.95240000000001</v>
      </c>
      <c r="AI16" s="8">
        <f>IFERROR(
GETPIVOTDATA(
"[Base].[Importe]",
TDinamica_R!$A$5,
"[Calendario].[AñoMes]",
"[Calendario].[AñoMes].&amp;[" &amp; TEXT(AI$6,"yyyymm") &amp; "]",
"[Base].[Metrica]",
"[Base].[Metrica].&amp;[" &amp; $A16 &amp; "]",
"[Base].[SEGMENTO_DESCRIP]",
"[Base].[SEGMENTO_DESCRIP].&amp;[" &amp; $C$6 &amp; "]",
"[Base].[SITUACION]",
"[Base].[SITUACION].&amp;[" &amp; $C16 &amp; "]"
),0)/1000</f>
        <v>769.72239999999988</v>
      </c>
      <c r="AJ16" s="8">
        <f>IFERROR(
GETPIVOTDATA(
"[Base].[Importe]",
TDinamica_R!$A$5,
"[Calendario].[AñoMes]",
"[Calendario].[AñoMes].&amp;[" &amp; TEXT(AJ$6,"yyyymm") &amp; "]",
"[Base].[Metrica]",
"[Base].[Metrica].&amp;[" &amp; $A16 &amp; "]",
"[Base].[SEGMENTO_DESCRIP]",
"[Base].[SEGMENTO_DESCRIP].&amp;[" &amp; $C$6 &amp; "]",
"[Base].[SITUACION]",
"[Base].[SITUACION].&amp;[" &amp; $C16 &amp; "]"
),0)/1000</f>
        <v>686.80392000000006</v>
      </c>
      <c r="AK16" s="8">
        <f>IFERROR(
GETPIVOTDATA(
"[Base].[Importe]",
TDinamica_R!$A$5,
"[Calendario].[AñoMes]",
"[Calendario].[AñoMes].&amp;[" &amp; TEXT(AK$6,"yyyymm") &amp; "]",
"[Base].[Metrica]",
"[Base].[Metrica].&amp;[" &amp; $A16 &amp; "]",
"[Base].[SEGMENTO_DESCRIP]",
"[Base].[SEGMENTO_DESCRIP].&amp;[" &amp; $C$6 &amp; "]",
"[Base].[SITUACION]",
"[Base].[SITUACION].&amp;[" &amp; $C16 &amp; "]"
),0)/1000</f>
        <v>527.89919999999995</v>
      </c>
      <c r="AL16" s="8">
        <f>IFERROR(
GETPIVOTDATA(
"[Base].[Importe]",
TDinamica_R!$A$5,
"[Calendario].[AñoMes]",
"[Calendario].[AñoMes].&amp;[" &amp; TEXT(AL$6,"yyyymm") &amp; "]",
"[Base].[Metrica]",
"[Base].[Metrica].&amp;[" &amp; $A16 &amp; "]",
"[Base].[SEGMENTO_DESCRIP]",
"[Base].[SEGMENTO_DESCRIP].&amp;[" &amp; $C$6 &amp; "]",
"[Base].[SITUACION]",
"[Base].[SITUACION].&amp;[" &amp; $C16 &amp; "]"
),0)/1000</f>
        <v>528.87100999999996</v>
      </c>
      <c r="AM16" s="8">
        <f>IFERROR(
GETPIVOTDATA(
"[Base].[Importe]",
TDinamica_R!$A$5,
"[Calendario].[AñoMes]",
"[Calendario].[AñoMes].&amp;[" &amp; TEXT(AM$6,"yyyymm") &amp; "]",
"[Base].[Metrica]",
"[Base].[Metrica].&amp;[" &amp; $A16 &amp; "]",
"[Base].[SEGMENTO_DESCRIP]",
"[Base].[SEGMENTO_DESCRIP].&amp;[" &amp; $C$6 &amp; "]",
"[Base].[SITUACION]",
"[Base].[SITUACION].&amp;[" &amp; $C16 &amp; "]"
),0)/1000</f>
        <v>510.37524999999999</v>
      </c>
      <c r="AN16" s="8">
        <f>IFERROR(
GETPIVOTDATA(
"[Base].[Importe]",
TDinamica_R!$A$5,
"[Calendario].[AñoMes]",
"[Calendario].[AñoMes].&amp;[" &amp; TEXT(AN$6,"yyyymm") &amp; "]",
"[Base].[Metrica]",
"[Base].[Metrica].&amp;[" &amp; $A16 &amp; "]",
"[Base].[SEGMENTO_DESCRIP]",
"[Base].[SEGMENTO_DESCRIP].&amp;[" &amp; $C$6 &amp; "]",
"[Base].[SITUACION]",
"[Base].[SITUACION].&amp;[" &amp; $C16 &amp; "]"
),0)/1000</f>
        <v>507.73</v>
      </c>
      <c r="AO16" s="8">
        <f>IFERROR(
GETPIVOTDATA(
"[Base].[Importe]",
TDinamica_R!$A$5,
"[Calendario].[AñoMes]",
"[Calendario].[AñoMes].&amp;[" &amp; TEXT(AO$6,"yyyymm") &amp; "]",
"[Base].[Metrica]",
"[Base].[Metrica].&amp;[" &amp; $A16 &amp; "]",
"[Base].[SEGMENTO_DESCRIP]",
"[Base].[SEGMENTO_DESCRIP].&amp;[" &amp; $C$6 &amp; "]",
"[Base].[SITUACION]",
"[Base].[SITUACION].&amp;[" &amp; $C16 &amp; "]"
),0)/1000</f>
        <v>506.17</v>
      </c>
      <c r="AP16" s="8">
        <f>IFERROR(
GETPIVOTDATA(
"[Base].[Importe]",
TDinamica_R!$A$5,
"[Calendario].[AñoMes]",
"[Calendario].[AñoMes].&amp;[" &amp; TEXT(AP$6,"yyyymm") &amp; "]",
"[Base].[Metrica]",
"[Base].[Metrica].&amp;[" &amp; $A16 &amp; "]",
"[Base].[SEGMENTO_DESCRIP]",
"[Base].[SEGMENTO_DESCRIP].&amp;[" &amp; $C$6 &amp; "]",
"[Base].[SITUACION]",
"[Base].[SITUACION].&amp;[" &amp; $C16 &amp; "]"
),0)/1000</f>
        <v>937.68</v>
      </c>
      <c r="AQ16" s="8">
        <f>IFERROR(
GETPIVOTDATA(
"[Base].[Importe]",
TDinamica_R!$A$5,
"[Calendario].[AñoMes]",
"[Calendario].[AñoMes].&amp;[" &amp; TEXT(AQ$6,"yyyymm") &amp; "]",
"[Base].[Metrica]",
"[Base].[Metrica].&amp;[" &amp; $A16 &amp; "]",
"[Base].[SEGMENTO_DESCRIP]",
"[Base].[SEGMENTO_DESCRIP].&amp;[" &amp; $C$6 &amp; "]",
"[Base].[SITUACION]",
"[Base].[SITUACION].&amp;[" &amp; $C16 &amp; "]"
),0)/1000</f>
        <v>963.26346000000012</v>
      </c>
      <c r="AR16" s="8">
        <f>IFERROR(
GETPIVOTDATA(
"[Base].[Importe]",
TDinamica_R!$A$5,
"[Calendario].[AñoMes]",
"[Calendario].[AñoMes].&amp;[" &amp; TEXT(AR$6,"yyyymm") &amp; "]",
"[Base].[Metrica]",
"[Base].[Metrica].&amp;[" &amp; $A16 &amp; "]",
"[Base].[SEGMENTO_DESCRIP]",
"[Base].[SEGMENTO_DESCRIP].&amp;[" &amp; $C$6 &amp; "]",
"[Base].[SITUACION]",
"[Base].[SITUACION].&amp;[" &amp; $C16 &amp; "]"
),0)/1000</f>
        <v>1012.4278300000001</v>
      </c>
      <c r="AS16" s="8">
        <f>IFERROR(
GETPIVOTDATA(
"[Base].[Importe]",
TDinamica_R!$A$5,
"[Calendario].[AñoMes]",
"[Calendario].[AñoMes].&amp;[" &amp; TEXT(AS$6,"yyyymm") &amp; "]",
"[Base].[Metrica]",
"[Base].[Metrica].&amp;[" &amp; $A16 &amp; "]",
"[Base].[SEGMENTO_DESCRIP]",
"[Base].[SEGMENTO_DESCRIP].&amp;[" &amp; $C$6 &amp; "]",
"[Base].[SITUACION]",
"[Base].[SITUACION].&amp;[" &amp; $C16 &amp; "]"
),0)/1000</f>
        <v>1116.3345200000001</v>
      </c>
      <c r="AT16" s="8">
        <f>IFERROR(
GETPIVOTDATA(
"[Base].[Importe]",
TDinamica_R!$A$5,
"[Calendario].[AñoMes]",
"[Calendario].[AñoMes].&amp;[" &amp; TEXT(AT$6,"yyyymm")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U16" s="8">
        <f>IFERROR(
GETPIVOTDATA(
"[Base].[Importe]",
TDinamica_R!$A$5,
"[Calendario].[AñoMes]",
"[Calendario].[AñoMes].&amp;[" &amp; TEXT(AU$6,"yyyymm")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V16" s="8">
        <f>IFERROR(
GETPIVOTDATA(
"[Base].[Importe]",
TDinamica_R!$A$5,
"[Calendario].[AñoMes]",
"[Calendario].[AñoMes].&amp;[" &amp; TEXT(AV$6,"yyyymm")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W16" s="8">
        <f>IFERROR(
GETPIVOTDATA(
"[Base].[Importe]",
TDinamica_R!$A$5,
"[Calendario].[AñoMes]",
"[Calendario].[AñoMes].&amp;[" &amp; TEXT(AW$6,"yyyymm")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X16" s="8">
        <f>IFERROR(
GETPIVOTDATA(
"[Base].[Importe]",
TDinamica_R!$A$5,
"[Calendario].[AñoMes]",
"[Calendario].[AñoMes].&amp;[" &amp; TEXT(AX$6,"yyyymm")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Y16" s="8">
        <f>IFERROR(
GETPIVOTDATA(
"[Base].[Importe]",
TDinamica_R!$A$5,
"[Calendario].[AñoMes]",
"[Calendario].[AñoMes].&amp;[" &amp; TEXT(AY$6,"yyyymm") &amp; "]",
"[Base].[Metrica]",
"[Base].[Metrica].&amp;[" &amp; $A16 &amp; "]",
"[Base].[SEGMENTO_DESCRIP]",
"[Base].[SEGMENTO_DESCRIP].&amp;[" &amp; $C$6 &amp; "]",
"[Base].[SITUACION]",
"[Base].[SITUACION].&amp;[" &amp; $C16 &amp; "]"
),0)/1000</f>
        <v>0</v>
      </c>
      <c r="AZ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"[BASE_HIPO_PPTO].[Periodo]","[BASE_HIPO_PPTO].[Periodo].&amp;["&amp;TEXT(AZ$6,"yyyymm")&amp;"]"),
0)/1000</f>
        <v>672.87287451140389</v>
      </c>
      <c r="BA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"[BASE_HIPO_PPTO].[Periodo]","[BASE_HIPO_PPTO].[Periodo].&amp;["&amp;TEXT(BA$6,"yyyymm")&amp;"]"),
0)/1000</f>
        <v>560.14718058915594</v>
      </c>
      <c r="BB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"[BASE_HIPO_PPTO].[Periodo]","[BASE_HIPO_PPTO].[Periodo].&amp;["&amp;TEXT(BB$6,"yyyymm")&amp;"]"),
0)/1000</f>
        <v>515.85210036918511</v>
      </c>
      <c r="BC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"[BASE_HIPO_PPTO].[Periodo]","[BASE_HIPO_PPTO].[Periodo].&amp;["&amp;TEXT(BC$6,"yyyymm")&amp;"]"),
0)/1000</f>
        <v>459.00608549665731</v>
      </c>
      <c r="BD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"[BASE_HIPO_PPTO].[Periodo]","[BASE_HIPO_PPTO].[Periodo].&amp;["&amp;TEXT(BD$6,"yyyymm")&amp;"]"),
0)/1000</f>
        <v>443.70972054966524</v>
      </c>
      <c r="BE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"[BASE_HIPO_PPTO].[Periodo]","[BASE_HIPO_PPTO].[Periodo].&amp;["&amp;TEXT(BE$6,"yyyymm")&amp;"]"),
0)/1000</f>
        <v>448.71755065662501</v>
      </c>
      <c r="BF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"[BASE_HIPO_PPTO].[Periodo]","[BASE_HIPO_PPTO].[Periodo].&amp;["&amp;TEXT(BF$6,"yyyymm")&amp;"]"),
0)/1000</f>
        <v>441.98702620061363</v>
      </c>
      <c r="BG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"[BASE_HIPO_PPTO].[Periodo]","[BASE_HIPO_PPTO].[Periodo].&amp;["&amp;TEXT(BG$6,"yyyymm")&amp;"]"),
0)/1000</f>
        <v>436.27413334638049</v>
      </c>
      <c r="BH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"[BASE_HIPO_PPTO].[Periodo]","[BASE_HIPO_PPTO].[Periodo].&amp;["&amp;TEXT(BH$6,"yyyymm")&amp;"]"),
0)/1000</f>
        <v>427.45517493513995</v>
      </c>
      <c r="BI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"[BASE_HIPO_PPTO].[Periodo]","[BASE_HIPO_PPTO].[Periodo].&amp;["&amp;TEXT(BI$6,"yyyymm")&amp;"]"),
0)/1000</f>
        <v>421.37430907709256</v>
      </c>
      <c r="BJ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"[BASE_HIPO_PPTO].[Periodo]","[BASE_HIPO_PPTO].[Periodo].&amp;["&amp;TEXT(BJ$6,"yyyymm")&amp;"]"),
0)/1000</f>
        <v>419.66551733301588</v>
      </c>
      <c r="BK16" s="8">
        <f>IFERROR(
GETPIVOTDATA(
"[BASE_HIPO_PPTO].[Importe]",
TDinamica_P!$A$5,
"[BASE_HIPO_PPTO].[Metrica]","[BASE_HIPO_PPTO].[Metrica].&amp;["&amp;$A16&amp;"]",
"[BASE_HIPO_PPTO].[SEGMENTO_DESCRIP]","[BASE_HIPO_PPTO].[SEGMENTO_DESCRIP].&amp;["&amp;$C$6&amp;"]",
"[BASE_HIPO_PPTO].[SITUACION]","[BASE_HIPO_PPTO].[SITUACION].&amp;["&amp;$C16&amp;"]",
"[BASE_HIPO_PPTO].[Periodo]","[BASE_HIPO_PPTO].[Periodo].&amp;["&amp;TEXT(BK$6,"yyyymm")&amp;"]"),
0)/1000</f>
        <v>416.78571105256077</v>
      </c>
      <c r="BO16" s="24">
        <f t="shared" si="10"/>
        <v>650.52666666666664</v>
      </c>
      <c r="BP16" s="24">
        <f t="shared" si="10"/>
        <v>582.95738515658161</v>
      </c>
      <c r="BQ16" s="24">
        <f t="shared" si="10"/>
        <v>506.95000000000005</v>
      </c>
      <c r="BR16" s="24">
        <f t="shared" si="10"/>
        <v>772.28545666666651</v>
      </c>
      <c r="BS16" s="24">
        <f t="shared" si="10"/>
        <v>1296.6864325733331</v>
      </c>
      <c r="BT16" s="24">
        <f t="shared" si="10"/>
        <v>2918.4438800166668</v>
      </c>
      <c r="BW16" s="24">
        <f t="shared" si="11"/>
        <v>1951.58</v>
      </c>
      <c r="BX16" s="24">
        <f t="shared" si="11"/>
        <v>1748.8721554697449</v>
      </c>
      <c r="BY16" s="24">
        <f t="shared" si="11"/>
        <v>1013.9000000000001</v>
      </c>
      <c r="BZ16" s="24">
        <f t="shared" si="11"/>
        <v>2316.8563699999995</v>
      </c>
      <c r="CA16" s="24">
        <f t="shared" si="11"/>
        <v>3890.0592977199994</v>
      </c>
      <c r="CB16" s="24">
        <f t="shared" si="11"/>
        <v>8755.3316400500007</v>
      </c>
    </row>
    <row r="17" spans="1:80" collapsed="1" x14ac:dyDescent="0.25">
      <c r="C17" s="3" t="s">
        <v>56</v>
      </c>
      <c r="D17" s="10">
        <f>SUM(D14:D16)</f>
        <v>17947.522236379999</v>
      </c>
      <c r="E17" s="10">
        <f t="shared" ref="E17:AY17" si="12">SUM(E14:E16)</f>
        <v>17680.594238659996</v>
      </c>
      <c r="F17" s="10">
        <f t="shared" si="12"/>
        <v>19999.359554199997</v>
      </c>
      <c r="G17" s="10">
        <f t="shared" si="12"/>
        <v>19720.999998980002</v>
      </c>
      <c r="H17" s="10">
        <f t="shared" si="12"/>
        <v>19325.34890764</v>
      </c>
      <c r="I17" s="10">
        <f t="shared" si="12"/>
        <v>18038.653834000004</v>
      </c>
      <c r="J17" s="10">
        <f t="shared" si="12"/>
        <v>18322.924139349994</v>
      </c>
      <c r="K17" s="10">
        <f t="shared" si="12"/>
        <v>18064.195414719998</v>
      </c>
      <c r="L17" s="10">
        <f t="shared" si="12"/>
        <v>16838.618988229995</v>
      </c>
      <c r="M17" s="10">
        <f t="shared" si="12"/>
        <v>15427.151179249997</v>
      </c>
      <c r="N17" s="10">
        <f t="shared" si="12"/>
        <v>15092.009784739999</v>
      </c>
      <c r="O17" s="10">
        <f t="shared" si="12"/>
        <v>15507.348915010001</v>
      </c>
      <c r="P17" s="10">
        <f t="shared" si="12"/>
        <v>15892.977872019999</v>
      </c>
      <c r="Q17" s="10">
        <f t="shared" si="12"/>
        <v>15150.742249400004</v>
      </c>
      <c r="R17" s="10">
        <f t="shared" si="12"/>
        <v>14572.694246380001</v>
      </c>
      <c r="S17" s="10">
        <f t="shared" si="12"/>
        <v>13532.077967120002</v>
      </c>
      <c r="T17" s="10">
        <f t="shared" si="12"/>
        <v>13534.354601000006</v>
      </c>
      <c r="U17" s="10">
        <f t="shared" si="12"/>
        <v>14475.295847779998</v>
      </c>
      <c r="V17" s="10">
        <f t="shared" si="12"/>
        <v>15073.458955719998</v>
      </c>
      <c r="W17" s="10">
        <f t="shared" si="12"/>
        <v>14955.45894961</v>
      </c>
      <c r="X17" s="10">
        <f t="shared" si="12"/>
        <v>14234.939780979998</v>
      </c>
      <c r="Y17" s="10">
        <f t="shared" si="12"/>
        <v>13718.865184280001</v>
      </c>
      <c r="Z17" s="10">
        <f t="shared" si="12"/>
        <v>13809.54284326</v>
      </c>
      <c r="AA17" s="10">
        <f t="shared" si="12"/>
        <v>14648.238426100001</v>
      </c>
      <c r="AB17" s="10">
        <f t="shared" si="12"/>
        <v>16322.22581706</v>
      </c>
      <c r="AC17" s="10">
        <f t="shared" si="12"/>
        <v>15919.818751000001</v>
      </c>
      <c r="AD17" s="10">
        <f t="shared" si="12"/>
        <v>16445.608073940002</v>
      </c>
      <c r="AE17" s="10">
        <f t="shared" si="12"/>
        <v>15612.88963627</v>
      </c>
      <c r="AF17" s="10">
        <f t="shared" si="12"/>
        <v>16678.176742800002</v>
      </c>
      <c r="AG17" s="10">
        <f t="shared" si="12"/>
        <v>15105.995039600002</v>
      </c>
      <c r="AH17" s="10">
        <f t="shared" si="12"/>
        <v>15596.234055180003</v>
      </c>
      <c r="AI17" s="10">
        <f t="shared" si="12"/>
        <v>16752.2042306</v>
      </c>
      <c r="AJ17" s="10">
        <f t="shared" si="12"/>
        <v>18700.82930487</v>
      </c>
      <c r="AK17" s="10">
        <f t="shared" si="12"/>
        <v>21957.382775080001</v>
      </c>
      <c r="AL17" s="10">
        <f t="shared" si="12"/>
        <v>24906.098875559997</v>
      </c>
      <c r="AM17" s="10">
        <f t="shared" si="12"/>
        <v>29081.677254240003</v>
      </c>
      <c r="AN17" s="10">
        <f t="shared" si="12"/>
        <v>33266.28</v>
      </c>
      <c r="AO17" s="10">
        <f t="shared" si="12"/>
        <v>33822.979999999996</v>
      </c>
      <c r="AP17" s="10">
        <f t="shared" si="12"/>
        <v>36648.730000000003</v>
      </c>
      <c r="AQ17" s="10">
        <f t="shared" si="12"/>
        <v>42614.649876460011</v>
      </c>
      <c r="AR17" s="10">
        <f t="shared" si="12"/>
        <v>45629.512262640004</v>
      </c>
      <c r="AS17" s="10">
        <f t="shared" si="12"/>
        <v>49161.725293449999</v>
      </c>
      <c r="AT17" s="10">
        <f t="shared" si="12"/>
        <v>0</v>
      </c>
      <c r="AU17" s="10">
        <f t="shared" si="12"/>
        <v>0</v>
      </c>
      <c r="AV17" s="10">
        <f t="shared" si="12"/>
        <v>0</v>
      </c>
      <c r="AW17" s="10">
        <f t="shared" si="12"/>
        <v>0</v>
      </c>
      <c r="AX17" s="10">
        <f t="shared" si="12"/>
        <v>0</v>
      </c>
      <c r="AY17" s="10">
        <f t="shared" si="12"/>
        <v>0</v>
      </c>
      <c r="AZ17" s="10">
        <f t="shared" ref="AZ17:BK17" si="13">SUM(AZ14:AZ16)</f>
        <v>19705.831875286316</v>
      </c>
      <c r="BA17" s="10">
        <f t="shared" si="13"/>
        <v>18774.63953868406</v>
      </c>
      <c r="BB17" s="10">
        <f t="shared" si="13"/>
        <v>17786.798754001753</v>
      </c>
      <c r="BC17" s="10">
        <f t="shared" si="13"/>
        <v>17016.103661848549</v>
      </c>
      <c r="BD17" s="10">
        <f t="shared" si="13"/>
        <v>17166.796242921831</v>
      </c>
      <c r="BE17" s="10">
        <f t="shared" si="13"/>
        <v>17449.226129032948</v>
      </c>
      <c r="BF17" s="10">
        <f t="shared" si="13"/>
        <v>17997.74819279095</v>
      </c>
      <c r="BG17" s="10">
        <f t="shared" si="13"/>
        <v>18647.640329700716</v>
      </c>
      <c r="BH17" s="10">
        <f t="shared" si="13"/>
        <v>19203.1615338296</v>
      </c>
      <c r="BI17" s="10">
        <f t="shared" si="13"/>
        <v>19707.661257347598</v>
      </c>
      <c r="BJ17" s="10">
        <f t="shared" si="13"/>
        <v>20243.935438199354</v>
      </c>
      <c r="BK17" s="10">
        <f t="shared" si="13"/>
        <v>20830.909514598399</v>
      </c>
      <c r="BO17" s="23">
        <f>SUM(BO14:BO16)</f>
        <v>34579.33</v>
      </c>
      <c r="BP17" s="23">
        <f t="shared" ref="BP17:BT17" si="14">SUM(BP14:BP16)</f>
        <v>18755.756722657374</v>
      </c>
      <c r="BQ17" s="23">
        <f t="shared" si="14"/>
        <v>33544.629999999997</v>
      </c>
      <c r="BR17" s="23">
        <f t="shared" si="14"/>
        <v>16229.217547333334</v>
      </c>
      <c r="BS17" s="23">
        <f t="shared" si="14"/>
        <v>15205.471455933333</v>
      </c>
      <c r="BT17" s="23">
        <f t="shared" si="14"/>
        <v>18542.492009746667</v>
      </c>
      <c r="BW17" s="23">
        <f>SUM(BW14:BW16)</f>
        <v>103737.99</v>
      </c>
      <c r="BX17" s="23">
        <f t="shared" ref="BX17:CB17" si="15">SUM(BX14:BX16)</f>
        <v>56267.270167972129</v>
      </c>
      <c r="BY17" s="23">
        <f t="shared" si="15"/>
        <v>67089.259999999995</v>
      </c>
      <c r="BZ17" s="23">
        <f t="shared" si="15"/>
        <v>48687.652642000001</v>
      </c>
      <c r="CA17" s="23">
        <f t="shared" si="15"/>
        <v>45616.414367800004</v>
      </c>
      <c r="CB17" s="23">
        <f t="shared" si="15"/>
        <v>55627.476029240002</v>
      </c>
    </row>
    <row r="18" spans="1:80" x14ac:dyDescent="0.25"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</row>
    <row r="19" spans="1:80" x14ac:dyDescent="0.25"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</row>
    <row r="20" spans="1:80" hidden="1" outlineLevel="1" x14ac:dyDescent="0.25">
      <c r="A20" s="11"/>
      <c r="C20" s="2" t="s">
        <v>0</v>
      </c>
      <c r="D20" s="14">
        <f>IFERROR(((1+D38/D14)^(360/D$3))-1,0)</f>
        <v>8.223760290228066E-2</v>
      </c>
      <c r="E20" s="14">
        <f t="shared" ref="E20:AY23" si="16">IFERROR(((1+E38/E14)^(360/E$3))-1,0)</f>
        <v>8.1422244437779234E-2</v>
      </c>
      <c r="F20" s="14">
        <f t="shared" si="16"/>
        <v>8.3812692424417135E-2</v>
      </c>
      <c r="G20" s="14">
        <f t="shared" si="16"/>
        <v>8.2290826505261316E-2</v>
      </c>
      <c r="H20" s="14">
        <f t="shared" si="16"/>
        <v>7.999706604790191E-2</v>
      </c>
      <c r="I20" s="14">
        <f t="shared" si="16"/>
        <v>8.1567381460289745E-2</v>
      </c>
      <c r="J20" s="14">
        <f t="shared" si="16"/>
        <v>8.1659604956045406E-2</v>
      </c>
      <c r="K20" s="14">
        <f t="shared" si="16"/>
        <v>8.3604825404931304E-2</v>
      </c>
      <c r="L20" s="14">
        <f t="shared" si="16"/>
        <v>8.3124958116457925E-2</v>
      </c>
      <c r="M20" s="14">
        <f t="shared" si="16"/>
        <v>7.4098856591572115E-2</v>
      </c>
      <c r="N20" s="14">
        <f t="shared" si="16"/>
        <v>8.0377619979266512E-2</v>
      </c>
      <c r="O20" s="14">
        <f t="shared" si="16"/>
        <v>8.1172436305218199E-2</v>
      </c>
      <c r="P20" s="14">
        <f t="shared" si="16"/>
        <v>7.955066940638833E-2</v>
      </c>
      <c r="Q20" s="14">
        <f t="shared" si="16"/>
        <v>7.8976087933013694E-2</v>
      </c>
      <c r="R20" s="14">
        <f t="shared" si="16"/>
        <v>8.323410465086245E-2</v>
      </c>
      <c r="S20" s="14">
        <f t="shared" si="16"/>
        <v>7.8925860179787755E-2</v>
      </c>
      <c r="T20" s="14">
        <f t="shared" si="16"/>
        <v>7.8110512473284821E-2</v>
      </c>
      <c r="U20" s="14">
        <f t="shared" si="16"/>
        <v>8.1506031045519123E-2</v>
      </c>
      <c r="V20" s="14">
        <f t="shared" si="16"/>
        <v>8.3006786032804536E-2</v>
      </c>
      <c r="W20" s="14">
        <f t="shared" si="16"/>
        <v>8.2025627994842365E-2</v>
      </c>
      <c r="X20" s="14">
        <f t="shared" si="16"/>
        <v>8.2661265193513245E-2</v>
      </c>
      <c r="Y20" s="14">
        <f t="shared" si="16"/>
        <v>7.8299112477020927E-2</v>
      </c>
      <c r="Z20" s="14">
        <f t="shared" si="16"/>
        <v>8.2567047330041277E-2</v>
      </c>
      <c r="AA20" s="14">
        <f t="shared" si="16"/>
        <v>8.2104244246056668E-2</v>
      </c>
      <c r="AB20" s="14">
        <f t="shared" si="16"/>
        <v>7.8489966557936164E-2</v>
      </c>
      <c r="AC20" s="14">
        <f t="shared" si="16"/>
        <v>7.9884663058682692E-2</v>
      </c>
      <c r="AD20" s="14">
        <f t="shared" si="16"/>
        <v>8.1284198182017375E-2</v>
      </c>
      <c r="AE20" s="14">
        <f t="shared" si="16"/>
        <v>8.2213026433706204E-2</v>
      </c>
      <c r="AF20" s="14">
        <f t="shared" si="16"/>
        <v>8.0824494392329305E-2</v>
      </c>
      <c r="AG20" s="14">
        <f t="shared" si="16"/>
        <v>8.3091813912359314E-2</v>
      </c>
      <c r="AH20" s="14">
        <f t="shared" si="16"/>
        <v>7.9610179947860571E-2</v>
      </c>
      <c r="AI20" s="14">
        <f t="shared" si="16"/>
        <v>8.423230638977719E-2</v>
      </c>
      <c r="AJ20" s="14">
        <f t="shared" si="16"/>
        <v>8.0517267631244893E-2</v>
      </c>
      <c r="AK20" s="14">
        <f t="shared" si="16"/>
        <v>8.1071323248614213E-2</v>
      </c>
      <c r="AL20" s="14">
        <f t="shared" si="16"/>
        <v>8.5137238806340054E-2</v>
      </c>
      <c r="AM20" s="14">
        <f t="shared" si="16"/>
        <v>7.7905372439405873E-2</v>
      </c>
      <c r="AN20" s="14">
        <f t="shared" si="16"/>
        <v>8.1561149705845049E-2</v>
      </c>
      <c r="AO20" s="14">
        <f t="shared" si="16"/>
        <v>8.0925644838511168E-2</v>
      </c>
      <c r="AP20" s="14">
        <f t="shared" si="16"/>
        <v>7.8564432562203246E-2</v>
      </c>
      <c r="AQ20" s="14">
        <f t="shared" si="16"/>
        <v>8.0380354458644776E-2</v>
      </c>
      <c r="AR20" s="14">
        <f t="shared" si="16"/>
        <v>8.0867943830099653E-2</v>
      </c>
      <c r="AS20" s="14">
        <f t="shared" si="16"/>
        <v>7.8217052890380279E-2</v>
      </c>
      <c r="AT20" s="14">
        <f t="shared" si="16"/>
        <v>0</v>
      </c>
      <c r="AU20" s="14">
        <f t="shared" si="16"/>
        <v>0</v>
      </c>
      <c r="AV20" s="14">
        <f t="shared" si="16"/>
        <v>0</v>
      </c>
      <c r="AW20" s="14">
        <f t="shared" si="16"/>
        <v>0</v>
      </c>
      <c r="AX20" s="14">
        <f t="shared" si="16"/>
        <v>0</v>
      </c>
      <c r="AY20" s="14">
        <f t="shared" si="16"/>
        <v>0</v>
      </c>
      <c r="AZ20" s="14">
        <f t="shared" ref="AZ20:BK20" si="17">IFERROR(((1+AZ38/AZ14)^(360/AZ$3))-1,0)</f>
        <v>7.8758862233559546E-2</v>
      </c>
      <c r="BA20" s="14">
        <f t="shared" si="17"/>
        <v>8.2457478004861917E-2</v>
      </c>
      <c r="BB20" s="14">
        <f t="shared" si="17"/>
        <v>8.2787370499437074E-2</v>
      </c>
      <c r="BC20" s="14">
        <f t="shared" si="17"/>
        <v>8.265932147524313E-2</v>
      </c>
      <c r="BD20" s="14">
        <f t="shared" si="17"/>
        <v>8.2669174521726729E-2</v>
      </c>
      <c r="BE20" s="14">
        <f t="shared" si="17"/>
        <v>8.3693861437192263E-2</v>
      </c>
      <c r="BF20" s="14">
        <f t="shared" si="17"/>
        <v>8.0793525935611399E-2</v>
      </c>
      <c r="BG20" s="14">
        <f t="shared" si="17"/>
        <v>8.4857704150379298E-2</v>
      </c>
      <c r="BH20" s="14">
        <f t="shared" si="17"/>
        <v>8.2718516769504813E-2</v>
      </c>
      <c r="BI20" s="14">
        <f t="shared" si="17"/>
        <v>8.0036716841036304E-2</v>
      </c>
      <c r="BJ20" s="14">
        <f t="shared" si="17"/>
        <v>8.3102785002891366E-2</v>
      </c>
      <c r="BK20" s="14">
        <f t="shared" si="17"/>
        <v>8.1631799105291725E-2</v>
      </c>
      <c r="BO20" s="28">
        <f>IFERROR(((1+BO38/BW14)^(360/BO$3))-1,0)</f>
        <v>8.0331235219001762E-2</v>
      </c>
      <c r="BP20" s="28">
        <f t="shared" ref="BP20:BT23" si="18">IFERROR(((1+BP38/BX14)^(360/BP$3))-1,0)</f>
        <v>8.1223543983496738E-2</v>
      </c>
      <c r="BQ20" s="28">
        <f t="shared" si="18"/>
        <v>8.1221345924327615E-2</v>
      </c>
      <c r="BR20" s="28">
        <f t="shared" si="18"/>
        <v>7.9947070699188272E-2</v>
      </c>
      <c r="BS20" s="28">
        <f t="shared" si="18"/>
        <v>8.0568923677583282E-2</v>
      </c>
      <c r="BT20" s="28">
        <f t="shared" si="18"/>
        <v>8.2746953890392883E-2</v>
      </c>
    </row>
    <row r="21" spans="1:80" hidden="1" outlineLevel="1" x14ac:dyDescent="0.25">
      <c r="A21" s="11"/>
      <c r="C21" s="2" t="s">
        <v>1</v>
      </c>
      <c r="D21" s="14">
        <f t="shared" ref="D21:S23" si="19">IFERROR(((1+D39/D15)^(360/D$3))-1,0)</f>
        <v>0</v>
      </c>
      <c r="E21" s="14">
        <f t="shared" si="19"/>
        <v>0</v>
      </c>
      <c r="F21" s="14">
        <f t="shared" si="19"/>
        <v>0</v>
      </c>
      <c r="G21" s="14">
        <f t="shared" si="19"/>
        <v>0</v>
      </c>
      <c r="H21" s="14">
        <f t="shared" si="19"/>
        <v>0</v>
      </c>
      <c r="I21" s="14">
        <f t="shared" si="19"/>
        <v>0</v>
      </c>
      <c r="J21" s="14">
        <f t="shared" si="19"/>
        <v>0</v>
      </c>
      <c r="K21" s="14">
        <f t="shared" si="19"/>
        <v>0</v>
      </c>
      <c r="L21" s="14">
        <f t="shared" si="19"/>
        <v>0</v>
      </c>
      <c r="M21" s="14">
        <f t="shared" si="19"/>
        <v>0</v>
      </c>
      <c r="N21" s="14">
        <f t="shared" si="19"/>
        <v>0</v>
      </c>
      <c r="O21" s="14">
        <f t="shared" si="19"/>
        <v>0</v>
      </c>
      <c r="P21" s="14">
        <f t="shared" si="19"/>
        <v>0</v>
      </c>
      <c r="Q21" s="14">
        <f t="shared" si="19"/>
        <v>0</v>
      </c>
      <c r="R21" s="14">
        <f t="shared" si="19"/>
        <v>0</v>
      </c>
      <c r="S21" s="14">
        <f t="shared" si="19"/>
        <v>0</v>
      </c>
      <c r="T21" s="14">
        <f t="shared" si="16"/>
        <v>0</v>
      </c>
      <c r="U21" s="14">
        <f t="shared" si="16"/>
        <v>0</v>
      </c>
      <c r="V21" s="14">
        <f t="shared" si="16"/>
        <v>0</v>
      </c>
      <c r="W21" s="14">
        <f t="shared" si="16"/>
        <v>0</v>
      </c>
      <c r="X21" s="14">
        <f t="shared" si="16"/>
        <v>0</v>
      </c>
      <c r="Y21" s="14">
        <f t="shared" si="16"/>
        <v>0</v>
      </c>
      <c r="Z21" s="14">
        <f t="shared" si="16"/>
        <v>0</v>
      </c>
      <c r="AA21" s="14">
        <f t="shared" si="16"/>
        <v>0</v>
      </c>
      <c r="AB21" s="14">
        <f t="shared" si="16"/>
        <v>0</v>
      </c>
      <c r="AC21" s="14">
        <f t="shared" si="16"/>
        <v>0</v>
      </c>
      <c r="AD21" s="14">
        <f t="shared" si="16"/>
        <v>0</v>
      </c>
      <c r="AE21" s="14">
        <f t="shared" si="16"/>
        <v>0</v>
      </c>
      <c r="AF21" s="14">
        <f t="shared" si="16"/>
        <v>0</v>
      </c>
      <c r="AG21" s="14">
        <f t="shared" si="16"/>
        <v>0</v>
      </c>
      <c r="AH21" s="14">
        <f t="shared" si="16"/>
        <v>0</v>
      </c>
      <c r="AI21" s="14">
        <f t="shared" si="16"/>
        <v>0</v>
      </c>
      <c r="AJ21" s="14">
        <f t="shared" si="16"/>
        <v>0</v>
      </c>
      <c r="AK21" s="14">
        <f t="shared" si="16"/>
        <v>0</v>
      </c>
      <c r="AL21" s="14">
        <f t="shared" si="16"/>
        <v>0</v>
      </c>
      <c r="AM21" s="14">
        <f t="shared" si="16"/>
        <v>0</v>
      </c>
      <c r="AN21" s="14">
        <f t="shared" si="16"/>
        <v>0</v>
      </c>
      <c r="AO21" s="14">
        <f t="shared" si="16"/>
        <v>0</v>
      </c>
      <c r="AP21" s="14">
        <f t="shared" si="16"/>
        <v>0</v>
      </c>
      <c r="AQ21" s="14">
        <f t="shared" si="16"/>
        <v>0</v>
      </c>
      <c r="AR21" s="14">
        <f t="shared" si="16"/>
        <v>0</v>
      </c>
      <c r="AS21" s="14">
        <f t="shared" si="16"/>
        <v>0</v>
      </c>
      <c r="AT21" s="14">
        <f t="shared" si="16"/>
        <v>0</v>
      </c>
      <c r="AU21" s="14">
        <f t="shared" si="16"/>
        <v>0</v>
      </c>
      <c r="AV21" s="14">
        <f t="shared" si="16"/>
        <v>0</v>
      </c>
      <c r="AW21" s="14">
        <f t="shared" si="16"/>
        <v>0</v>
      </c>
      <c r="AX21" s="14">
        <f t="shared" si="16"/>
        <v>0</v>
      </c>
      <c r="AY21" s="14">
        <f t="shared" si="16"/>
        <v>0</v>
      </c>
      <c r="AZ21" s="14">
        <f t="shared" ref="AZ21:BK21" si="20">IFERROR(((1+AZ39/AZ15)^(360/AZ$3))-1,0)</f>
        <v>0</v>
      </c>
      <c r="BA21" s="14">
        <f t="shared" si="20"/>
        <v>0</v>
      </c>
      <c r="BB21" s="14">
        <f t="shared" si="20"/>
        <v>0</v>
      </c>
      <c r="BC21" s="14">
        <f t="shared" si="20"/>
        <v>0</v>
      </c>
      <c r="BD21" s="14">
        <f t="shared" si="20"/>
        <v>0</v>
      </c>
      <c r="BE21" s="14">
        <f t="shared" si="20"/>
        <v>0</v>
      </c>
      <c r="BF21" s="14">
        <f t="shared" si="20"/>
        <v>0</v>
      </c>
      <c r="BG21" s="14">
        <f t="shared" si="20"/>
        <v>0</v>
      </c>
      <c r="BH21" s="14">
        <f t="shared" si="20"/>
        <v>0</v>
      </c>
      <c r="BI21" s="14">
        <f t="shared" si="20"/>
        <v>0</v>
      </c>
      <c r="BJ21" s="14">
        <f t="shared" si="20"/>
        <v>0</v>
      </c>
      <c r="BK21" s="14">
        <f t="shared" si="20"/>
        <v>0</v>
      </c>
      <c r="BO21" s="28">
        <f t="shared" ref="BO21:BO23" si="21">IFERROR(((1+BO39/BW15)^(360/BO$3))-1,0)</f>
        <v>0</v>
      </c>
      <c r="BP21" s="28">
        <f t="shared" si="18"/>
        <v>0</v>
      </c>
      <c r="BQ21" s="28">
        <f t="shared" si="18"/>
        <v>0</v>
      </c>
      <c r="BR21" s="28">
        <f t="shared" si="18"/>
        <v>0</v>
      </c>
      <c r="BS21" s="28">
        <f t="shared" si="18"/>
        <v>0</v>
      </c>
      <c r="BT21" s="28">
        <f t="shared" si="18"/>
        <v>0</v>
      </c>
    </row>
    <row r="22" spans="1:80" hidden="1" outlineLevel="1" x14ac:dyDescent="0.25">
      <c r="A22" s="11"/>
      <c r="C22" s="2" t="s">
        <v>45</v>
      </c>
      <c r="D22" s="14">
        <f t="shared" si="19"/>
        <v>2.8203949079434576E-2</v>
      </c>
      <c r="E22" s="14">
        <f t="shared" si="16"/>
        <v>0.12453785453728283</v>
      </c>
      <c r="F22" s="14">
        <f t="shared" si="16"/>
        <v>1.2939669847028101E-2</v>
      </c>
      <c r="G22" s="14">
        <f t="shared" si="16"/>
        <v>5.5027493704975505E-2</v>
      </c>
      <c r="H22" s="14">
        <f t="shared" si="16"/>
        <v>3.3938269576939017E-2</v>
      </c>
      <c r="I22" s="14">
        <f t="shared" si="16"/>
        <v>0.78781235682177697</v>
      </c>
      <c r="J22" s="14">
        <f t="shared" si="16"/>
        <v>8.1952289121480337E-2</v>
      </c>
      <c r="K22" s="14">
        <f t="shared" si="16"/>
        <v>0.13668702542066091</v>
      </c>
      <c r="L22" s="14">
        <f t="shared" si="16"/>
        <v>4.2647213942294044</v>
      </c>
      <c r="M22" s="14">
        <f t="shared" si="16"/>
        <v>4.7609067087440504E-2</v>
      </c>
      <c r="N22" s="14">
        <f t="shared" si="16"/>
        <v>0.12582320754186771</v>
      </c>
      <c r="O22" s="14">
        <f t="shared" si="16"/>
        <v>5.4303648698682538E-2</v>
      </c>
      <c r="P22" s="14">
        <f t="shared" si="16"/>
        <v>5.4619041899950815E-2</v>
      </c>
      <c r="Q22" s="14">
        <f t="shared" si="16"/>
        <v>3.2900600366105204E-2</v>
      </c>
      <c r="R22" s="14">
        <f t="shared" si="16"/>
        <v>0.21342741404654708</v>
      </c>
      <c r="S22" s="14">
        <f t="shared" si="16"/>
        <v>0.20637991498900488</v>
      </c>
      <c r="T22" s="14">
        <f t="shared" si="16"/>
        <v>4.1407141400935599E-2</v>
      </c>
      <c r="U22" s="14">
        <f t="shared" si="16"/>
        <v>9.6187302185123391E-2</v>
      </c>
      <c r="V22" s="14">
        <f t="shared" si="16"/>
        <v>9.6551157273377486E-2</v>
      </c>
      <c r="W22" s="14">
        <f t="shared" si="16"/>
        <v>5.2164811327882088E-2</v>
      </c>
      <c r="X22" s="14">
        <f t="shared" si="16"/>
        <v>4.8466089580049942E-2</v>
      </c>
      <c r="Y22" s="14">
        <f t="shared" si="16"/>
        <v>0.20781425526567165</v>
      </c>
      <c r="Z22" s="14">
        <f t="shared" si="16"/>
        <v>0.17210656166525706</v>
      </c>
      <c r="AA22" s="14">
        <f t="shared" si="16"/>
        <v>2.9997699194429961E-2</v>
      </c>
      <c r="AB22" s="14">
        <f t="shared" si="16"/>
        <v>9.026294318293715E-3</v>
      </c>
      <c r="AC22" s="14">
        <f t="shared" si="16"/>
        <v>8.1044030855973004E-2</v>
      </c>
      <c r="AD22" s="14">
        <f t="shared" si="16"/>
        <v>3.5960669691670777E-2</v>
      </c>
      <c r="AE22" s="14">
        <f t="shared" si="16"/>
        <v>4.4486884600410503E-2</v>
      </c>
      <c r="AF22" s="14">
        <f t="shared" si="16"/>
        <v>5.9123057273345658E-2</v>
      </c>
      <c r="AG22" s="14">
        <f t="shared" si="16"/>
        <v>1.9641483034430696E-2</v>
      </c>
      <c r="AH22" s="14">
        <f t="shared" si="16"/>
        <v>2.4642230183044012E-2</v>
      </c>
      <c r="AI22" s="14">
        <f t="shared" si="16"/>
        <v>6.7643160392477863E-2</v>
      </c>
      <c r="AJ22" s="14">
        <f t="shared" si="16"/>
        <v>6.5026949518434574E-2</v>
      </c>
      <c r="AK22" s="14">
        <f t="shared" si="16"/>
        <v>0.22499243792851487</v>
      </c>
      <c r="AL22" s="14">
        <f t="shared" si="16"/>
        <v>8.5921950933732338E-2</v>
      </c>
      <c r="AM22" s="14">
        <f t="shared" si="16"/>
        <v>0.10002860999075835</v>
      </c>
      <c r="AN22" s="14">
        <f t="shared" si="16"/>
        <v>0.17287570745455061</v>
      </c>
      <c r="AO22" s="14">
        <f t="shared" si="16"/>
        <v>4.5626578798468431E-2</v>
      </c>
      <c r="AP22" s="14">
        <f t="shared" si="16"/>
        <v>0.11786631656535995</v>
      </c>
      <c r="AQ22" s="14">
        <f t="shared" si="16"/>
        <v>5.9639639510476572E-2</v>
      </c>
      <c r="AR22" s="14">
        <f t="shared" si="16"/>
        <v>4.4181054858213775E-2</v>
      </c>
      <c r="AS22" s="14">
        <f t="shared" si="16"/>
        <v>8.0229571400045607E-2</v>
      </c>
      <c r="AT22" s="14">
        <f t="shared" si="16"/>
        <v>0</v>
      </c>
      <c r="AU22" s="14">
        <f t="shared" si="16"/>
        <v>0</v>
      </c>
      <c r="AV22" s="14">
        <f t="shared" si="16"/>
        <v>0</v>
      </c>
      <c r="AW22" s="14">
        <f t="shared" si="16"/>
        <v>0</v>
      </c>
      <c r="AX22" s="14">
        <f t="shared" si="16"/>
        <v>0</v>
      </c>
      <c r="AY22" s="14">
        <f t="shared" si="16"/>
        <v>0</v>
      </c>
      <c r="AZ22" s="14">
        <f t="shared" ref="AZ22:BK22" si="22">IFERROR(((1+AZ40/AZ16)^(360/AZ$3))-1,0)</f>
        <v>6.8430888947749402E-2</v>
      </c>
      <c r="BA22" s="14">
        <f t="shared" si="22"/>
        <v>8.253122148957126E-2</v>
      </c>
      <c r="BB22" s="14">
        <f t="shared" si="22"/>
        <v>8.527798664933206E-2</v>
      </c>
      <c r="BC22" s="14">
        <f t="shared" si="22"/>
        <v>9.1323001840376783E-2</v>
      </c>
      <c r="BD22" s="14">
        <f t="shared" si="22"/>
        <v>9.5466084243537086E-2</v>
      </c>
      <c r="BE22" s="14">
        <f t="shared" si="22"/>
        <v>9.7056922490675435E-2</v>
      </c>
      <c r="BF22" s="14">
        <f t="shared" si="22"/>
        <v>9.846458650181833E-2</v>
      </c>
      <c r="BG22" s="14">
        <f t="shared" si="22"/>
        <v>0.10906142867484081</v>
      </c>
      <c r="BH22" s="14">
        <f t="shared" si="22"/>
        <v>0.11209266706637466</v>
      </c>
      <c r="BI22" s="14">
        <f t="shared" si="22"/>
        <v>0.11313560924456612</v>
      </c>
      <c r="BJ22" s="14">
        <f t="shared" si="22"/>
        <v>0.12157351651538817</v>
      </c>
      <c r="BK22" s="14">
        <f t="shared" si="22"/>
        <v>0.12405244165955964</v>
      </c>
      <c r="BO22" s="28">
        <f t="shared" si="21"/>
        <v>0.11524222463530154</v>
      </c>
      <c r="BP22" s="28">
        <f t="shared" si="18"/>
        <v>7.7848751524462134E-2</v>
      </c>
      <c r="BQ22" s="28">
        <f t="shared" si="18"/>
        <v>0.11094845130898623</v>
      </c>
      <c r="BR22" s="28">
        <f t="shared" si="18"/>
        <v>4.0295306334861225E-2</v>
      </c>
      <c r="BS22" s="28">
        <f t="shared" si="18"/>
        <v>0.10229692978505733</v>
      </c>
      <c r="BT22" s="28">
        <f t="shared" si="18"/>
        <v>5.1750786689283235E-2</v>
      </c>
    </row>
    <row r="23" spans="1:80" collapsed="1" x14ac:dyDescent="0.25">
      <c r="C23" s="3" t="s">
        <v>59</v>
      </c>
      <c r="D23" s="15">
        <f t="shared" si="19"/>
        <v>7.301808353667516E-2</v>
      </c>
      <c r="E23" s="15">
        <f t="shared" si="16"/>
        <v>8.8238443271825728E-2</v>
      </c>
      <c r="F23" s="15">
        <f t="shared" si="16"/>
        <v>7.310824156504836E-2</v>
      </c>
      <c r="G23" s="15">
        <f t="shared" si="16"/>
        <v>7.8618118269484283E-2</v>
      </c>
      <c r="H23" s="15">
        <f t="shared" si="16"/>
        <v>7.4798059042091358E-2</v>
      </c>
      <c r="I23" s="15">
        <f t="shared" si="16"/>
        <v>0.13891374040070481</v>
      </c>
      <c r="J23" s="15">
        <f t="shared" si="16"/>
        <v>8.163031437819801E-2</v>
      </c>
      <c r="K23" s="15">
        <f t="shared" si="16"/>
        <v>8.7168388716442946E-2</v>
      </c>
      <c r="L23" s="15">
        <f t="shared" si="16"/>
        <v>0.22676348934215995</v>
      </c>
      <c r="M23" s="15">
        <f t="shared" si="16"/>
        <v>7.1889441743980154E-2</v>
      </c>
      <c r="N23" s="15">
        <f t="shared" si="16"/>
        <v>8.447092246319432E-2</v>
      </c>
      <c r="O23" s="15">
        <f t="shared" si="16"/>
        <v>7.9020845825510833E-2</v>
      </c>
      <c r="P23" s="15">
        <f t="shared" si="16"/>
        <v>7.7643043140164236E-2</v>
      </c>
      <c r="Q23" s="15">
        <f t="shared" si="16"/>
        <v>7.4849943905764604E-2</v>
      </c>
      <c r="R23" s="15">
        <f t="shared" si="16"/>
        <v>9.4953793677377885E-2</v>
      </c>
      <c r="S23" s="15">
        <f t="shared" si="16"/>
        <v>8.8898285145792233E-2</v>
      </c>
      <c r="T23" s="15">
        <f t="shared" si="16"/>
        <v>7.5456755785859198E-2</v>
      </c>
      <c r="U23" s="15">
        <f t="shared" si="16"/>
        <v>8.2526065533202964E-2</v>
      </c>
      <c r="V23" s="15">
        <f t="shared" si="16"/>
        <v>8.3929080086263319E-2</v>
      </c>
      <c r="W23" s="15">
        <f t="shared" si="16"/>
        <v>7.9965241278062038E-2</v>
      </c>
      <c r="X23" s="15">
        <f t="shared" si="16"/>
        <v>8.0206562458835728E-2</v>
      </c>
      <c r="Y23" s="15">
        <f t="shared" si="16"/>
        <v>8.6138245101292199E-2</v>
      </c>
      <c r="Z23" s="15">
        <f t="shared" si="16"/>
        <v>8.7415880056589623E-2</v>
      </c>
      <c r="AA23" s="15">
        <f t="shared" si="16"/>
        <v>7.9436750394890066E-2</v>
      </c>
      <c r="AB23" s="15">
        <f t="shared" si="16"/>
        <v>7.5069062120939778E-2</v>
      </c>
      <c r="AC23" s="15">
        <f t="shared" si="16"/>
        <v>7.9941207983788232E-2</v>
      </c>
      <c r="AD23" s="15">
        <f t="shared" si="16"/>
        <v>7.9153090534745063E-2</v>
      </c>
      <c r="AE23" s="15">
        <f t="shared" si="16"/>
        <v>8.0355623811822374E-2</v>
      </c>
      <c r="AF23" s="15">
        <f t="shared" si="16"/>
        <v>7.9834457168846962E-2</v>
      </c>
      <c r="AG23" s="15">
        <f t="shared" si="16"/>
        <v>7.9848843730662811E-2</v>
      </c>
      <c r="AH23" s="15">
        <f t="shared" si="16"/>
        <v>7.684893671208215E-2</v>
      </c>
      <c r="AI23" s="15">
        <f t="shared" si="16"/>
        <v>8.3464942719157609E-2</v>
      </c>
      <c r="AJ23" s="15">
        <f t="shared" si="16"/>
        <v>7.9944738939033977E-2</v>
      </c>
      <c r="AK23" s="15">
        <f t="shared" si="16"/>
        <v>8.4341803324331277E-2</v>
      </c>
      <c r="AL23" s="15">
        <f t="shared" si="16"/>
        <v>8.5153896450229638E-2</v>
      </c>
      <c r="AM23" s="15">
        <f t="shared" si="16"/>
        <v>7.8290097490366195E-2</v>
      </c>
      <c r="AN23" s="15">
        <f t="shared" si="16"/>
        <v>8.2904570673442368E-2</v>
      </c>
      <c r="AO23" s="15">
        <f t="shared" si="16"/>
        <v>8.0389382366031104E-2</v>
      </c>
      <c r="AP23" s="15">
        <f t="shared" si="16"/>
        <v>7.9554045710025445E-2</v>
      </c>
      <c r="AQ23" s="15">
        <f t="shared" si="16"/>
        <v>7.9907448856870511E-2</v>
      </c>
      <c r="AR23" s="15">
        <f t="shared" si="16"/>
        <v>8.0041318676617124E-2</v>
      </c>
      <c r="AS23" s="15">
        <f t="shared" si="16"/>
        <v>7.8262713772842218E-2</v>
      </c>
      <c r="AT23" s="15">
        <f t="shared" si="16"/>
        <v>0</v>
      </c>
      <c r="AU23" s="15">
        <f t="shared" si="16"/>
        <v>0</v>
      </c>
      <c r="AV23" s="15">
        <f t="shared" si="16"/>
        <v>0</v>
      </c>
      <c r="AW23" s="15">
        <f t="shared" si="16"/>
        <v>0</v>
      </c>
      <c r="AX23" s="15">
        <f t="shared" si="16"/>
        <v>0</v>
      </c>
      <c r="AY23" s="15">
        <f t="shared" si="16"/>
        <v>0</v>
      </c>
      <c r="AZ23" s="15">
        <f t="shared" ref="AZ23:BK23" si="23">IFERROR(((1+AZ41/AZ17)^(360/AZ$3))-1,0)</f>
        <v>7.8404705405684672E-2</v>
      </c>
      <c r="BA23" s="15">
        <f t="shared" si="23"/>
        <v>8.2459678097498879E-2</v>
      </c>
      <c r="BB23" s="15">
        <f t="shared" si="23"/>
        <v>8.2859529647424823E-2</v>
      </c>
      <c r="BC23" s="15">
        <f t="shared" si="23"/>
        <v>8.2892192736329751E-2</v>
      </c>
      <c r="BD23" s="15">
        <f t="shared" si="23"/>
        <v>8.2998208506590787E-2</v>
      </c>
      <c r="BE23" s="15">
        <f t="shared" si="23"/>
        <v>8.4035623147060479E-2</v>
      </c>
      <c r="BF23" s="15">
        <f t="shared" si="23"/>
        <v>8.122435989389043E-2</v>
      </c>
      <c r="BG23" s="15">
        <f t="shared" si="23"/>
        <v>8.541840700083303E-2</v>
      </c>
      <c r="BH23" s="15">
        <f t="shared" si="23"/>
        <v>8.3364558702997416E-2</v>
      </c>
      <c r="BI23" s="15">
        <f t="shared" si="23"/>
        <v>8.0734897754671575E-2</v>
      </c>
      <c r="BJ23" s="15">
        <f t="shared" si="23"/>
        <v>8.3887864587698813E-2</v>
      </c>
      <c r="BK23" s="15">
        <f t="shared" si="23"/>
        <v>8.246600648353164E-2</v>
      </c>
      <c r="BO23" s="29">
        <f t="shared" si="21"/>
        <v>8.0978647813120697E-2</v>
      </c>
      <c r="BP23" s="29">
        <f t="shared" si="18"/>
        <v>8.1118504630145027E-2</v>
      </c>
      <c r="BQ23" s="29">
        <f t="shared" si="18"/>
        <v>8.1665114253739679E-2</v>
      </c>
      <c r="BR23" s="29">
        <f t="shared" si="18"/>
        <v>7.8029241582082021E-2</v>
      </c>
      <c r="BS23" s="29">
        <f t="shared" si="18"/>
        <v>8.238283849288619E-2</v>
      </c>
      <c r="BT23" s="29">
        <f t="shared" si="18"/>
        <v>7.7662518569030725E-2</v>
      </c>
    </row>
    <row r="26" spans="1:80" hidden="1" outlineLevel="1" x14ac:dyDescent="0.25">
      <c r="A26" s="11"/>
      <c r="C26" s="2" t="s">
        <v>0</v>
      </c>
      <c r="D26" s="14">
        <f>-IFERROR(((1-D44/D14)^(360/D$4))-1,0)</f>
        <v>-5.4948883248429725E-2</v>
      </c>
      <c r="E26" s="14">
        <f t="shared" ref="E26:AY29" si="24">-IFERROR(((1-E44/E14)^(360/E$4))-1,0)</f>
        <v>-5.5116782555580501E-2</v>
      </c>
      <c r="F26" s="14">
        <f t="shared" si="24"/>
        <v>-5.8953203664621201E-2</v>
      </c>
      <c r="G26" s="14">
        <f t="shared" si="24"/>
        <v>-5.9473907143500204E-2</v>
      </c>
      <c r="H26" s="14">
        <f t="shared" si="24"/>
        <v>-5.9514471634965149E-2</v>
      </c>
      <c r="I26" s="14">
        <f t="shared" si="24"/>
        <v>-5.7813510073797314E-2</v>
      </c>
      <c r="J26" s="14">
        <f t="shared" si="24"/>
        <v>-5.8802575838648785E-2</v>
      </c>
      <c r="K26" s="14">
        <f t="shared" si="24"/>
        <v>-5.8807053633590511E-2</v>
      </c>
      <c r="L26" s="14">
        <f t="shared" si="24"/>
        <v>-5.7712237915896303E-2</v>
      </c>
      <c r="M26" s="14">
        <f t="shared" si="24"/>
        <v>-5.6415001873682424E-2</v>
      </c>
      <c r="N26" s="14">
        <f t="shared" si="24"/>
        <v>-5.6094628816085956E-2</v>
      </c>
      <c r="O26" s="14">
        <f t="shared" si="24"/>
        <v>-5.679723108182011E-2</v>
      </c>
      <c r="P26" s="14">
        <f t="shared" si="24"/>
        <v>-5.7602658374342974E-2</v>
      </c>
      <c r="Q26" s="14">
        <f t="shared" si="24"/>
        <v>-5.6967512151326005E-2</v>
      </c>
      <c r="R26" s="14">
        <f t="shared" si="24"/>
        <v>-5.6682898123881609E-2</v>
      </c>
      <c r="S26" s="14">
        <f t="shared" si="24"/>
        <v>-5.6211060134073509E-2</v>
      </c>
      <c r="T26" s="14">
        <f t="shared" si="24"/>
        <v>-5.6737228065840473E-2</v>
      </c>
      <c r="U26" s="14">
        <f t="shared" si="24"/>
        <v>-5.7116737296941444E-2</v>
      </c>
      <c r="V26" s="14">
        <f t="shared" si="24"/>
        <v>-5.7736238010199337E-2</v>
      </c>
      <c r="W26" s="14">
        <f t="shared" si="24"/>
        <v>-5.8973488615432279E-2</v>
      </c>
      <c r="X26" s="14">
        <f t="shared" si="24"/>
        <v>-5.7858777323202437E-2</v>
      </c>
      <c r="Y26" s="14">
        <f t="shared" si="24"/>
        <v>-5.7297844269805553E-2</v>
      </c>
      <c r="Z26" s="14">
        <f t="shared" si="24"/>
        <v>-5.7617482000525744E-2</v>
      </c>
      <c r="AA26" s="14">
        <f t="shared" si="24"/>
        <v>-5.8330123697746705E-2</v>
      </c>
      <c r="AB26" s="14">
        <f t="shared" si="24"/>
        <v>-5.9546692524197198E-2</v>
      </c>
      <c r="AC26" s="14">
        <f t="shared" si="24"/>
        <v>-5.9268264521952219E-2</v>
      </c>
      <c r="AD26" s="14">
        <f t="shared" si="24"/>
        <v>-5.9768325334002004E-2</v>
      </c>
      <c r="AE26" s="14">
        <f t="shared" si="24"/>
        <v>-5.9139031409788601E-2</v>
      </c>
      <c r="AF26" s="14">
        <f t="shared" si="24"/>
        <v>-5.98820617666731E-2</v>
      </c>
      <c r="AG26" s="14">
        <f t="shared" si="24"/>
        <v>-5.8809683608974428E-2</v>
      </c>
      <c r="AH26" s="14">
        <f t="shared" si="24"/>
        <v>-5.9377941714688687E-2</v>
      </c>
      <c r="AI26" s="14">
        <f t="shared" si="24"/>
        <v>-5.9429225557453336E-2</v>
      </c>
      <c r="AJ26" s="14">
        <f t="shared" si="24"/>
        <v>-5.9913349265737992E-2</v>
      </c>
      <c r="AK26" s="14">
        <f t="shared" si="24"/>
        <v>-5.9878102917853671E-2</v>
      </c>
      <c r="AL26" s="14">
        <f t="shared" si="24"/>
        <v>-5.9902646556583949E-2</v>
      </c>
      <c r="AM26" s="14">
        <f t="shared" si="24"/>
        <v>-5.9795005882353758E-2</v>
      </c>
      <c r="AN26" s="14">
        <f t="shared" si="24"/>
        <v>-5.9385845819337035E-2</v>
      </c>
      <c r="AO26" s="14">
        <f t="shared" si="24"/>
        <v>-5.9221200294811815E-2</v>
      </c>
      <c r="AP26" s="14">
        <f t="shared" si="24"/>
        <v>-5.9059361967196189E-2</v>
      </c>
      <c r="AQ26" s="14">
        <f t="shared" si="24"/>
        <v>-5.8436778034735237E-2</v>
      </c>
      <c r="AR26" s="14">
        <f t="shared" si="24"/>
        <v>-5.8881066926047554E-2</v>
      </c>
      <c r="AS26" s="14">
        <f t="shared" si="24"/>
        <v>-5.9130283334410727E-2</v>
      </c>
      <c r="AT26" s="14">
        <f t="shared" si="24"/>
        <v>0</v>
      </c>
      <c r="AU26" s="14">
        <f t="shared" si="24"/>
        <v>0</v>
      </c>
      <c r="AV26" s="14">
        <f t="shared" si="24"/>
        <v>0</v>
      </c>
      <c r="AW26" s="14">
        <f t="shared" si="24"/>
        <v>0</v>
      </c>
      <c r="AX26" s="14">
        <f t="shared" si="24"/>
        <v>0</v>
      </c>
      <c r="AY26" s="14">
        <f t="shared" si="24"/>
        <v>0</v>
      </c>
      <c r="AZ26" s="14">
        <f t="shared" ref="AZ26:BK26" si="25">-IFERROR(((1-AZ44/AZ14)^(360/AZ$4))-1,0)</f>
        <v>-6.2712200719335254E-2</v>
      </c>
      <c r="BA26" s="14">
        <f t="shared" si="25"/>
        <v>-6.2563042535486835E-2</v>
      </c>
      <c r="BB26" s="14">
        <f t="shared" si="25"/>
        <v>-6.2707399655315799E-2</v>
      </c>
      <c r="BC26" s="14">
        <f t="shared" si="25"/>
        <v>-6.2766253690925922E-2</v>
      </c>
      <c r="BD26" s="14">
        <f t="shared" si="25"/>
        <v>-6.3078097026988633E-2</v>
      </c>
      <c r="BE26" s="14">
        <f t="shared" si="25"/>
        <v>-6.3399616090332733E-2</v>
      </c>
      <c r="BF26" s="14">
        <f t="shared" si="25"/>
        <v>-6.4151119266753209E-2</v>
      </c>
      <c r="BG26" s="14">
        <f t="shared" si="25"/>
        <v>-6.4770821382492016E-2</v>
      </c>
      <c r="BH26" s="14">
        <f t="shared" si="25"/>
        <v>-6.530134829998846E-2</v>
      </c>
      <c r="BI26" s="14">
        <f t="shared" si="25"/>
        <v>-6.5768373176667616E-2</v>
      </c>
      <c r="BJ26" s="14">
        <f t="shared" si="25"/>
        <v>-6.6184331686563125E-2</v>
      </c>
      <c r="BK26" s="14">
        <f t="shared" si="25"/>
        <v>-6.6532537896191402E-2</v>
      </c>
      <c r="BO26" s="28">
        <f>-IFERROR(((1-BO44/BW14)^(360/BO$4))-1,0)</f>
        <v>-5.9217401592140506E-2</v>
      </c>
      <c r="BP26" s="28">
        <f t="shared" ref="BP26:BT29" si="26">-IFERROR(((1-BP44/BX14)^(360/BP$4))-1,0)</f>
        <v>-6.2660844249470937E-2</v>
      </c>
      <c r="BQ26" s="28">
        <f t="shared" si="26"/>
        <v>-5.930282459336933E-2</v>
      </c>
      <c r="BR26" s="28">
        <f t="shared" si="26"/>
        <v>-5.95307252963857E-2</v>
      </c>
      <c r="BS26" s="28">
        <f t="shared" si="26"/>
        <v>-5.7101275424353837E-2</v>
      </c>
      <c r="BT26" s="28">
        <f t="shared" si="26"/>
        <v>-5.6460731189316604E-2</v>
      </c>
    </row>
    <row r="27" spans="1:80" hidden="1" outlineLevel="1" x14ac:dyDescent="0.25">
      <c r="A27" s="11"/>
      <c r="C27" s="2" t="s">
        <v>1</v>
      </c>
      <c r="D27" s="14">
        <f t="shared" ref="D27:S29" si="27">-IFERROR(((1-D45/D15)^(360/D$4))-1,0)</f>
        <v>-4.0592859094353395E-2</v>
      </c>
      <c r="E27" s="14">
        <f t="shared" si="27"/>
        <v>-4.1865782202138435E-2</v>
      </c>
      <c r="F27" s="14">
        <f t="shared" si="27"/>
        <v>-4.5845286730560098E-2</v>
      </c>
      <c r="G27" s="14">
        <f t="shared" si="27"/>
        <v>-4.2279378288088365E-2</v>
      </c>
      <c r="H27" s="14">
        <f t="shared" si="27"/>
        <v>-4.5852279419595687E-2</v>
      </c>
      <c r="I27" s="14">
        <f t="shared" si="27"/>
        <v>-4.5845940173433242E-2</v>
      </c>
      <c r="J27" s="14">
        <f t="shared" si="27"/>
        <v>-4.5846980756711453E-2</v>
      </c>
      <c r="K27" s="14">
        <f t="shared" si="27"/>
        <v>-4.5841379133126248E-2</v>
      </c>
      <c r="L27" s="14">
        <f t="shared" si="27"/>
        <v>-4.5853530456265279E-2</v>
      </c>
      <c r="M27" s="14">
        <f t="shared" si="27"/>
        <v>-4.5846767311053638E-2</v>
      </c>
      <c r="N27" s="14">
        <f t="shared" si="27"/>
        <v>-4.5845356585655139E-2</v>
      </c>
      <c r="O27" s="14">
        <f t="shared" si="27"/>
        <v>-4.5849485660050204E-2</v>
      </c>
      <c r="P27" s="14">
        <f t="shared" si="27"/>
        <v>-4.5859267893811229E-2</v>
      </c>
      <c r="Q27" s="14">
        <f t="shared" si="27"/>
        <v>-4.5846530540118779E-2</v>
      </c>
      <c r="R27" s="14">
        <f t="shared" si="27"/>
        <v>-4.5947222358966977E-2</v>
      </c>
      <c r="S27" s="14">
        <f t="shared" si="27"/>
        <v>-4.584073527923449E-2</v>
      </c>
      <c r="T27" s="14">
        <f t="shared" si="24"/>
        <v>-4.602153827001243E-2</v>
      </c>
      <c r="U27" s="14">
        <f t="shared" si="24"/>
        <v>0</v>
      </c>
      <c r="V27" s="14">
        <f t="shared" si="24"/>
        <v>0</v>
      </c>
      <c r="W27" s="14">
        <f t="shared" si="24"/>
        <v>0</v>
      </c>
      <c r="X27" s="14">
        <f t="shared" si="24"/>
        <v>0</v>
      </c>
      <c r="Y27" s="14">
        <f t="shared" si="24"/>
        <v>0</v>
      </c>
      <c r="Z27" s="14">
        <f t="shared" si="24"/>
        <v>0</v>
      </c>
      <c r="AA27" s="14">
        <f t="shared" si="24"/>
        <v>0</v>
      </c>
      <c r="AB27" s="14">
        <f t="shared" si="24"/>
        <v>0</v>
      </c>
      <c r="AC27" s="14">
        <f t="shared" si="24"/>
        <v>0</v>
      </c>
      <c r="AD27" s="14">
        <f t="shared" si="24"/>
        <v>0</v>
      </c>
      <c r="AE27" s="14">
        <f t="shared" si="24"/>
        <v>0</v>
      </c>
      <c r="AF27" s="14">
        <f t="shared" si="24"/>
        <v>0</v>
      </c>
      <c r="AG27" s="14">
        <f t="shared" si="24"/>
        <v>0</v>
      </c>
      <c r="AH27" s="14">
        <f t="shared" si="24"/>
        <v>0</v>
      </c>
      <c r="AI27" s="14">
        <f t="shared" si="24"/>
        <v>0</v>
      </c>
      <c r="AJ27" s="14">
        <f t="shared" si="24"/>
        <v>0</v>
      </c>
      <c r="AK27" s="14">
        <f t="shared" si="24"/>
        <v>0</v>
      </c>
      <c r="AL27" s="14">
        <f t="shared" si="24"/>
        <v>0</v>
      </c>
      <c r="AM27" s="14">
        <f t="shared" si="24"/>
        <v>0</v>
      </c>
      <c r="AN27" s="14">
        <f t="shared" si="24"/>
        <v>0</v>
      </c>
      <c r="AO27" s="14">
        <f t="shared" si="24"/>
        <v>0</v>
      </c>
      <c r="AP27" s="14">
        <f t="shared" si="24"/>
        <v>0</v>
      </c>
      <c r="AQ27" s="14">
        <f t="shared" si="24"/>
        <v>0</v>
      </c>
      <c r="AR27" s="14">
        <f t="shared" si="24"/>
        <v>0</v>
      </c>
      <c r="AS27" s="14">
        <f t="shared" si="24"/>
        <v>0</v>
      </c>
      <c r="AT27" s="14">
        <f t="shared" si="24"/>
        <v>0</v>
      </c>
      <c r="AU27" s="14">
        <f t="shared" si="24"/>
        <v>0</v>
      </c>
      <c r="AV27" s="14">
        <f t="shared" si="24"/>
        <v>0</v>
      </c>
      <c r="AW27" s="14">
        <f t="shared" si="24"/>
        <v>0</v>
      </c>
      <c r="AX27" s="14">
        <f t="shared" si="24"/>
        <v>0</v>
      </c>
      <c r="AY27" s="14">
        <f t="shared" si="24"/>
        <v>0</v>
      </c>
      <c r="AZ27" s="14">
        <f t="shared" ref="AZ27:BK27" si="28">-IFERROR(((1-AZ45/AZ15)^(360/AZ$4))-1,0)</f>
        <v>0</v>
      </c>
      <c r="BA27" s="14">
        <f t="shared" si="28"/>
        <v>0</v>
      </c>
      <c r="BB27" s="14">
        <f t="shared" si="28"/>
        <v>0</v>
      </c>
      <c r="BC27" s="14">
        <f t="shared" si="28"/>
        <v>0</v>
      </c>
      <c r="BD27" s="14">
        <f t="shared" si="28"/>
        <v>0</v>
      </c>
      <c r="BE27" s="14">
        <f t="shared" si="28"/>
        <v>0</v>
      </c>
      <c r="BF27" s="14">
        <f t="shared" si="28"/>
        <v>0</v>
      </c>
      <c r="BG27" s="14">
        <f t="shared" si="28"/>
        <v>0</v>
      </c>
      <c r="BH27" s="14">
        <f t="shared" si="28"/>
        <v>0</v>
      </c>
      <c r="BI27" s="14">
        <f t="shared" si="28"/>
        <v>0</v>
      </c>
      <c r="BJ27" s="14">
        <f t="shared" si="28"/>
        <v>0</v>
      </c>
      <c r="BK27" s="14">
        <f t="shared" si="28"/>
        <v>0</v>
      </c>
      <c r="BO27" s="28">
        <f t="shared" ref="BO27:BO29" si="29">-IFERROR(((1-BO45/BW15)^(360/BO$4))-1,0)</f>
        <v>0</v>
      </c>
      <c r="BP27" s="28">
        <f t="shared" si="26"/>
        <v>0</v>
      </c>
      <c r="BQ27" s="28">
        <f t="shared" si="26"/>
        <v>0</v>
      </c>
      <c r="BR27" s="28">
        <f t="shared" si="26"/>
        <v>0</v>
      </c>
      <c r="BS27" s="28">
        <f t="shared" si="26"/>
        <v>-4.587801062776542E-2</v>
      </c>
      <c r="BT27" s="28">
        <f t="shared" si="26"/>
        <v>-4.1804375362731294E-2</v>
      </c>
    </row>
    <row r="28" spans="1:80" hidden="1" outlineLevel="1" x14ac:dyDescent="0.25">
      <c r="A28" s="11"/>
      <c r="C28" s="2" t="s">
        <v>45</v>
      </c>
      <c r="D28" s="14">
        <f t="shared" si="27"/>
        <v>-7.1405430135426551E-2</v>
      </c>
      <c r="E28" s="14">
        <f t="shared" si="24"/>
        <v>-7.1213269212072827E-2</v>
      </c>
      <c r="F28" s="14">
        <f t="shared" si="24"/>
        <v>-6.8358598287258765E-2</v>
      </c>
      <c r="G28" s="14">
        <f t="shared" si="24"/>
        <v>-7.3909117372489952E-2</v>
      </c>
      <c r="H28" s="14">
        <f t="shared" si="24"/>
        <v>-7.8181068630844619E-2</v>
      </c>
      <c r="I28" s="14">
        <f t="shared" si="24"/>
        <v>-7.4815775323017197E-2</v>
      </c>
      <c r="J28" s="14">
        <f t="shared" si="24"/>
        <v>-7.7443928964988196E-2</v>
      </c>
      <c r="K28" s="14">
        <f t="shared" si="24"/>
        <v>-7.8232150071187334E-2</v>
      </c>
      <c r="L28" s="14">
        <f t="shared" si="24"/>
        <v>-7.8231690985633762E-2</v>
      </c>
      <c r="M28" s="14">
        <f t="shared" si="24"/>
        <v>-7.873562812847501E-2</v>
      </c>
      <c r="N28" s="14">
        <f t="shared" si="24"/>
        <v>-7.8518581212987382E-2</v>
      </c>
      <c r="O28" s="14">
        <f t="shared" si="24"/>
        <v>-8.0576419513486819E-2</v>
      </c>
      <c r="P28" s="14">
        <f t="shared" si="24"/>
        <v>-8.0273998161024096E-2</v>
      </c>
      <c r="Q28" s="14">
        <f t="shared" si="24"/>
        <v>-7.8447199872990092E-2</v>
      </c>
      <c r="R28" s="14">
        <f t="shared" si="24"/>
        <v>-7.8662956592087108E-2</v>
      </c>
      <c r="S28" s="14">
        <f t="shared" si="24"/>
        <v>-7.9276937718669727E-2</v>
      </c>
      <c r="T28" s="14">
        <f t="shared" si="24"/>
        <v>-6.3804299065098213E-2</v>
      </c>
      <c r="U28" s="14">
        <f t="shared" si="24"/>
        <v>-5.4534069422799591E-2</v>
      </c>
      <c r="V28" s="14">
        <f t="shared" si="24"/>
        <v>-5.5273524169203059E-2</v>
      </c>
      <c r="W28" s="14">
        <f t="shared" si="24"/>
        <v>-5.4284489969669947E-2</v>
      </c>
      <c r="X28" s="14">
        <f t="shared" si="24"/>
        <v>-4.8899152691803005E-2</v>
      </c>
      <c r="Y28" s="14">
        <f t="shared" si="24"/>
        <v>-4.7043879842547875E-2</v>
      </c>
      <c r="Z28" s="14">
        <f t="shared" si="24"/>
        <v>-4.3148107782830181E-2</v>
      </c>
      <c r="AA28" s="14">
        <f t="shared" si="24"/>
        <v>-3.9985630038276598E-2</v>
      </c>
      <c r="AB28" s="14">
        <f t="shared" si="24"/>
        <v>-4.1960128013140086E-2</v>
      </c>
      <c r="AC28" s="14">
        <f t="shared" si="24"/>
        <v>-4.1218711107019468E-2</v>
      </c>
      <c r="AD28" s="14">
        <f t="shared" si="24"/>
        <v>-4.1605667311982453E-2</v>
      </c>
      <c r="AE28" s="14">
        <f t="shared" si="24"/>
        <v>-4.0890232853651787E-2</v>
      </c>
      <c r="AF28" s="14">
        <f t="shared" si="24"/>
        <v>-4.0864550145261802E-2</v>
      </c>
      <c r="AG28" s="14">
        <f t="shared" si="24"/>
        <v>-4.0827853141910397E-2</v>
      </c>
      <c r="AH28" s="14">
        <f t="shared" si="24"/>
        <v>-4.1209101395241809E-2</v>
      </c>
      <c r="AI28" s="14">
        <f t="shared" si="24"/>
        <v>-4.1207997267084684E-2</v>
      </c>
      <c r="AJ28" s="14">
        <f t="shared" si="24"/>
        <v>-4.0629971844182045E-2</v>
      </c>
      <c r="AK28" s="14">
        <f t="shared" si="24"/>
        <v>-4.3170335737961363E-2</v>
      </c>
      <c r="AL28" s="14">
        <f t="shared" si="24"/>
        <v>-4.4616642030311793E-2</v>
      </c>
      <c r="AM28" s="14">
        <f t="shared" si="24"/>
        <v>-4.25230526021394E-2</v>
      </c>
      <c r="AN28" s="14">
        <f t="shared" si="24"/>
        <v>-4.381622061548196E-2</v>
      </c>
      <c r="AO28" s="14">
        <f t="shared" si="24"/>
        <v>-4.239643456537534E-2</v>
      </c>
      <c r="AP28" s="14">
        <f t="shared" si="24"/>
        <v>-5.3557139457426794E-2</v>
      </c>
      <c r="AQ28" s="14">
        <f t="shared" si="24"/>
        <v>-5.3124008079254326E-2</v>
      </c>
      <c r="AR28" s="14">
        <f t="shared" si="24"/>
        <v>-6.0946443353802504E-2</v>
      </c>
      <c r="AS28" s="14">
        <f t="shared" si="24"/>
        <v>-4.8283023279691584E-2</v>
      </c>
      <c r="AT28" s="14">
        <f t="shared" si="24"/>
        <v>0</v>
      </c>
      <c r="AU28" s="14">
        <f t="shared" si="24"/>
        <v>0</v>
      </c>
      <c r="AV28" s="14">
        <f t="shared" si="24"/>
        <v>0</v>
      </c>
      <c r="AW28" s="14">
        <f t="shared" si="24"/>
        <v>0</v>
      </c>
      <c r="AX28" s="14">
        <f t="shared" si="24"/>
        <v>0</v>
      </c>
      <c r="AY28" s="14">
        <f t="shared" si="24"/>
        <v>0</v>
      </c>
      <c r="AZ28" s="14">
        <f t="shared" ref="AZ28:BK28" si="30">-IFERROR(((1-AZ46/AZ16)^(360/AZ$4))-1,0)</f>
        <v>-4.5443243175852244E-2</v>
      </c>
      <c r="BA28" s="14">
        <f t="shared" si="30"/>
        <v>-5.2384860702425984E-2</v>
      </c>
      <c r="BB28" s="14">
        <f t="shared" si="30"/>
        <v>-5.41256978461786E-2</v>
      </c>
      <c r="BC28" s="14">
        <f t="shared" si="30"/>
        <v>-5.8089753309911174E-2</v>
      </c>
      <c r="BD28" s="14">
        <f t="shared" si="30"/>
        <v>-6.1368521621970373E-2</v>
      </c>
      <c r="BE28" s="14">
        <f t="shared" si="30"/>
        <v>-6.2235120224370499E-2</v>
      </c>
      <c r="BF28" s="14">
        <f t="shared" si="30"/>
        <v>-6.6018549926099901E-2</v>
      </c>
      <c r="BG28" s="14">
        <f t="shared" si="30"/>
        <v>-7.0101235181603272E-2</v>
      </c>
      <c r="BH28" s="14">
        <f t="shared" si="30"/>
        <v>-7.438413330101068E-2</v>
      </c>
      <c r="BI28" s="14">
        <f t="shared" si="30"/>
        <v>-7.8062208022843693E-2</v>
      </c>
      <c r="BJ28" s="14">
        <f t="shared" si="30"/>
        <v>-8.1121478621821952E-2</v>
      </c>
      <c r="BK28" s="14">
        <f t="shared" si="30"/>
        <v>-8.4647725599755308E-2</v>
      </c>
      <c r="BO28" s="28">
        <f t="shared" si="29"/>
        <v>-4.811618792827943E-2</v>
      </c>
      <c r="BP28" s="28">
        <f t="shared" si="26"/>
        <v>-5.0221122329452639E-2</v>
      </c>
      <c r="BQ28" s="28">
        <f t="shared" si="26"/>
        <v>-4.3107198410561764E-2</v>
      </c>
      <c r="BR28" s="28">
        <f t="shared" si="26"/>
        <v>-4.1595374954070286E-2</v>
      </c>
      <c r="BS28" s="28">
        <f t="shared" si="26"/>
        <v>-7.9081019480263581E-2</v>
      </c>
      <c r="BT28" s="28">
        <f t="shared" si="26"/>
        <v>-7.0322900243754205E-2</v>
      </c>
    </row>
    <row r="29" spans="1:80" collapsed="1" x14ac:dyDescent="0.25">
      <c r="C29" s="3" t="s">
        <v>60</v>
      </c>
      <c r="D29" s="15">
        <f t="shared" si="27"/>
        <v>-5.7575107643373258E-2</v>
      </c>
      <c r="E29" s="15">
        <f t="shared" si="24"/>
        <v>-5.7720404244174572E-2</v>
      </c>
      <c r="F29" s="15">
        <f t="shared" si="24"/>
        <v>-6.0314455885396523E-2</v>
      </c>
      <c r="G29" s="15">
        <f t="shared" si="24"/>
        <v>-6.1307483822277131E-2</v>
      </c>
      <c r="H29" s="15">
        <f t="shared" si="24"/>
        <v>-6.153930625188142E-2</v>
      </c>
      <c r="I29" s="15">
        <f t="shared" si="24"/>
        <v>-5.9511173478863588E-2</v>
      </c>
      <c r="J29" s="15">
        <f t="shared" si="24"/>
        <v>-6.0159579819712539E-2</v>
      </c>
      <c r="K29" s="15">
        <f t="shared" si="24"/>
        <v>-6.0138395076503537E-2</v>
      </c>
      <c r="L29" s="15">
        <f t="shared" si="24"/>
        <v>-5.9213672671698081E-2</v>
      </c>
      <c r="M29" s="15">
        <f t="shared" si="24"/>
        <v>-5.8201739186342527E-2</v>
      </c>
      <c r="N29" s="15">
        <f t="shared" si="24"/>
        <v>-5.8146536610164778E-2</v>
      </c>
      <c r="O29" s="15">
        <f t="shared" si="24"/>
        <v>-5.862994950626077E-2</v>
      </c>
      <c r="P29" s="15">
        <f t="shared" si="24"/>
        <v>-5.9277662928550079E-2</v>
      </c>
      <c r="Q29" s="15">
        <f t="shared" si="24"/>
        <v>-5.8826434524199778E-2</v>
      </c>
      <c r="R29" s="15">
        <f t="shared" si="24"/>
        <v>-5.8741024814639609E-2</v>
      </c>
      <c r="S29" s="15">
        <f t="shared" si="24"/>
        <v>-5.8087483661852568E-2</v>
      </c>
      <c r="T29" s="15">
        <f t="shared" si="24"/>
        <v>-5.7238604913217861E-2</v>
      </c>
      <c r="U29" s="15">
        <f t="shared" si="24"/>
        <v>-5.6936073118254216E-2</v>
      </c>
      <c r="V29" s="15">
        <f t="shared" si="24"/>
        <v>-5.7567482899113065E-2</v>
      </c>
      <c r="W29" s="15">
        <f t="shared" si="24"/>
        <v>-5.8653165282411157E-2</v>
      </c>
      <c r="X29" s="15">
        <f t="shared" si="24"/>
        <v>-5.7222014512034125E-2</v>
      </c>
      <c r="Y29" s="15">
        <f t="shared" si="24"/>
        <v>-5.6643273944813499E-2</v>
      </c>
      <c r="Z29" s="15">
        <f t="shared" si="24"/>
        <v>-5.6801465555982977E-2</v>
      </c>
      <c r="AA29" s="15">
        <f t="shared" si="24"/>
        <v>-5.7403811432829244E-2</v>
      </c>
      <c r="AB29" s="15">
        <f t="shared" si="24"/>
        <v>-5.8699017325262393E-2</v>
      </c>
      <c r="AC29" s="15">
        <f t="shared" si="24"/>
        <v>-5.8380920215151288E-2</v>
      </c>
      <c r="AD29" s="15">
        <f t="shared" si="24"/>
        <v>-5.8923698715824591E-2</v>
      </c>
      <c r="AE29" s="15">
        <f t="shared" si="24"/>
        <v>-5.8247603709484341E-2</v>
      </c>
      <c r="AF29" s="15">
        <f t="shared" si="24"/>
        <v>-5.9015267294353579E-2</v>
      </c>
      <c r="AG29" s="15">
        <f t="shared" si="24"/>
        <v>-5.7907648734652373E-2</v>
      </c>
      <c r="AH29" s="15">
        <f t="shared" si="24"/>
        <v>-5.8478903134892013E-2</v>
      </c>
      <c r="AI29" s="15">
        <f t="shared" si="24"/>
        <v>-5.8585639974020998E-2</v>
      </c>
      <c r="AJ29" s="15">
        <f t="shared" si="24"/>
        <v>-5.919939631989779E-2</v>
      </c>
      <c r="AK29" s="15">
        <f t="shared" si="24"/>
        <v>-5.9473553913240274E-2</v>
      </c>
      <c r="AL29" s="15">
        <f t="shared" si="24"/>
        <v>-5.957593498079472E-2</v>
      </c>
      <c r="AM29" s="15">
        <f t="shared" si="24"/>
        <v>-5.9489640250822262E-2</v>
      </c>
      <c r="AN29" s="15">
        <f t="shared" si="24"/>
        <v>-5.9146621684197376E-2</v>
      </c>
      <c r="AO29" s="15">
        <f t="shared" si="24"/>
        <v>-5.8967589099018447E-2</v>
      </c>
      <c r="AP29" s="15">
        <f t="shared" si="24"/>
        <v>-5.8918256543014635E-2</v>
      </c>
      <c r="AQ29" s="15">
        <f t="shared" si="24"/>
        <v>-5.8316417051437197E-2</v>
      </c>
      <c r="AR29" s="15">
        <f t="shared" si="24"/>
        <v>-5.892685349761817E-2</v>
      </c>
      <c r="AS29" s="15">
        <f t="shared" si="24"/>
        <v>-5.8882833020833747E-2</v>
      </c>
      <c r="AT29" s="15">
        <f t="shared" si="24"/>
        <v>0</v>
      </c>
      <c r="AU29" s="15">
        <f t="shared" si="24"/>
        <v>0</v>
      </c>
      <c r="AV29" s="15">
        <f t="shared" si="24"/>
        <v>0</v>
      </c>
      <c r="AW29" s="15">
        <f t="shared" si="24"/>
        <v>0</v>
      </c>
      <c r="AX29" s="15">
        <f t="shared" si="24"/>
        <v>0</v>
      </c>
      <c r="AY29" s="15">
        <f t="shared" si="24"/>
        <v>0</v>
      </c>
      <c r="AZ29" s="15">
        <f t="shared" ref="AZ29:BK29" si="31">-IFERROR(((1-AZ47/AZ17)^(360/AZ$4))-1,0)</f>
        <v>-6.2118251375126388E-2</v>
      </c>
      <c r="BA29" s="15">
        <f t="shared" si="31"/>
        <v>-6.2258072032645773E-2</v>
      </c>
      <c r="BB29" s="15">
        <f t="shared" si="31"/>
        <v>-6.2457614404712869E-2</v>
      </c>
      <c r="BC29" s="15">
        <f t="shared" si="31"/>
        <v>-6.2639857760143247E-2</v>
      </c>
      <c r="BD29" s="15">
        <f t="shared" si="31"/>
        <v>-6.3033877918179604E-2</v>
      </c>
      <c r="BE29" s="15">
        <f t="shared" si="31"/>
        <v>-6.3369655711420503E-2</v>
      </c>
      <c r="BF29" s="15">
        <f t="shared" si="31"/>
        <v>-6.4196943515159033E-2</v>
      </c>
      <c r="BG29" s="15">
        <f t="shared" si="31"/>
        <v>-6.4895251444801572E-2</v>
      </c>
      <c r="BH29" s="15">
        <f t="shared" si="31"/>
        <v>-6.5502759347686457E-2</v>
      </c>
      <c r="BI29" s="15">
        <f t="shared" si="31"/>
        <v>-6.6029880500487748E-2</v>
      </c>
      <c r="BJ29" s="15">
        <f t="shared" si="31"/>
        <v>-6.6492055155459528E-2</v>
      </c>
      <c r="BK29" s="15">
        <f t="shared" si="31"/>
        <v>-6.6892251556154525E-2</v>
      </c>
      <c r="BO29" s="29">
        <f t="shared" si="29"/>
        <v>-5.9007568129786137E-2</v>
      </c>
      <c r="BP29" s="29">
        <f t="shared" si="26"/>
        <v>-6.2272173848763934E-2</v>
      </c>
      <c r="BQ29" s="29">
        <f t="shared" si="26"/>
        <v>-5.9056359126667513E-2</v>
      </c>
      <c r="BR29" s="29">
        <f t="shared" si="26"/>
        <v>-5.8670877409802369E-2</v>
      </c>
      <c r="BS29" s="29">
        <f t="shared" si="26"/>
        <v>-5.8956335138841576E-2</v>
      </c>
      <c r="BT29" s="29">
        <f t="shared" si="26"/>
        <v>-5.8605437022591245E-2</v>
      </c>
    </row>
    <row r="32" spans="1:80" hidden="1" outlineLevel="1" x14ac:dyDescent="0.25">
      <c r="A32" s="11"/>
      <c r="C32" s="2" t="s">
        <v>0</v>
      </c>
      <c r="D32" s="14">
        <f>D20+D26</f>
        <v>2.7288719653850935E-2</v>
      </c>
      <c r="E32" s="14">
        <f t="shared" ref="E32:AY32" si="32">E20+E26</f>
        <v>2.6305461882198733E-2</v>
      </c>
      <c r="F32" s="14">
        <f t="shared" si="32"/>
        <v>2.4859488759795934E-2</v>
      </c>
      <c r="G32" s="14">
        <f t="shared" si="32"/>
        <v>2.2816919361761112E-2</v>
      </c>
      <c r="H32" s="14">
        <f t="shared" si="32"/>
        <v>2.0482594412936761E-2</v>
      </c>
      <c r="I32" s="14">
        <f t="shared" si="32"/>
        <v>2.3753871386492431E-2</v>
      </c>
      <c r="J32" s="14">
        <f t="shared" si="32"/>
        <v>2.2857029117396621E-2</v>
      </c>
      <c r="K32" s="14">
        <f t="shared" si="32"/>
        <v>2.4797771771340793E-2</v>
      </c>
      <c r="L32" s="14">
        <f t="shared" si="32"/>
        <v>2.5412720200561623E-2</v>
      </c>
      <c r="M32" s="14">
        <f t="shared" si="32"/>
        <v>1.7683854717889691E-2</v>
      </c>
      <c r="N32" s="14">
        <f t="shared" si="32"/>
        <v>2.4282991163180556E-2</v>
      </c>
      <c r="O32" s="14">
        <f t="shared" si="32"/>
        <v>2.4375205223398089E-2</v>
      </c>
      <c r="P32" s="14">
        <f t="shared" si="32"/>
        <v>2.1948011032045356E-2</v>
      </c>
      <c r="Q32" s="14">
        <f t="shared" si="32"/>
        <v>2.2008575781687689E-2</v>
      </c>
      <c r="R32" s="14">
        <f t="shared" si="32"/>
        <v>2.6551206526980842E-2</v>
      </c>
      <c r="S32" s="14">
        <f t="shared" si="32"/>
        <v>2.2714800045714245E-2</v>
      </c>
      <c r="T32" s="14">
        <f t="shared" si="32"/>
        <v>2.1373284407444348E-2</v>
      </c>
      <c r="U32" s="14">
        <f t="shared" si="32"/>
        <v>2.4389293748577678E-2</v>
      </c>
      <c r="V32" s="14">
        <f t="shared" si="32"/>
        <v>2.5270548022605199E-2</v>
      </c>
      <c r="W32" s="14">
        <f t="shared" si="32"/>
        <v>2.3052139379410086E-2</v>
      </c>
      <c r="X32" s="14">
        <f t="shared" si="32"/>
        <v>2.4802487870310808E-2</v>
      </c>
      <c r="Y32" s="14">
        <f t="shared" si="32"/>
        <v>2.1001268207215373E-2</v>
      </c>
      <c r="Z32" s="14">
        <f t="shared" si="32"/>
        <v>2.4949565329515533E-2</v>
      </c>
      <c r="AA32" s="14">
        <f t="shared" si="32"/>
        <v>2.3774120548309963E-2</v>
      </c>
      <c r="AB32" s="14">
        <f t="shared" si="32"/>
        <v>1.8943274033738966E-2</v>
      </c>
      <c r="AC32" s="14">
        <f t="shared" si="32"/>
        <v>2.0616398536730474E-2</v>
      </c>
      <c r="AD32" s="14">
        <f t="shared" si="32"/>
        <v>2.1515872848015372E-2</v>
      </c>
      <c r="AE32" s="14">
        <f t="shared" si="32"/>
        <v>2.3073995023917604E-2</v>
      </c>
      <c r="AF32" s="14">
        <f t="shared" si="32"/>
        <v>2.0942432625656204E-2</v>
      </c>
      <c r="AG32" s="14">
        <f t="shared" si="32"/>
        <v>2.4282130303384886E-2</v>
      </c>
      <c r="AH32" s="14">
        <f t="shared" si="32"/>
        <v>2.0232238233171884E-2</v>
      </c>
      <c r="AI32" s="14">
        <f t="shared" si="32"/>
        <v>2.4803080832323854E-2</v>
      </c>
      <c r="AJ32" s="14">
        <f t="shared" si="32"/>
        <v>2.0603918365506901E-2</v>
      </c>
      <c r="AK32" s="14">
        <f t="shared" si="32"/>
        <v>2.1193220330760543E-2</v>
      </c>
      <c r="AL32" s="14">
        <f t="shared" si="32"/>
        <v>2.5234592249756105E-2</v>
      </c>
      <c r="AM32" s="14">
        <f t="shared" si="32"/>
        <v>1.8110366557052116E-2</v>
      </c>
      <c r="AN32" s="14">
        <f t="shared" si="32"/>
        <v>2.2175303886508013E-2</v>
      </c>
      <c r="AO32" s="14">
        <f t="shared" si="32"/>
        <v>2.1704444543699353E-2</v>
      </c>
      <c r="AP32" s="14">
        <f t="shared" si="32"/>
        <v>1.9505070595007057E-2</v>
      </c>
      <c r="AQ32" s="14">
        <f t="shared" si="32"/>
        <v>2.1943576423909539E-2</v>
      </c>
      <c r="AR32" s="14">
        <f t="shared" si="32"/>
        <v>2.1986876904052099E-2</v>
      </c>
      <c r="AS32" s="14">
        <f t="shared" si="32"/>
        <v>1.9086769555969552E-2</v>
      </c>
      <c r="AT32" s="14">
        <f t="shared" si="32"/>
        <v>0</v>
      </c>
      <c r="AU32" s="14">
        <f t="shared" si="32"/>
        <v>0</v>
      </c>
      <c r="AV32" s="14">
        <f t="shared" si="32"/>
        <v>0</v>
      </c>
      <c r="AW32" s="14">
        <f t="shared" si="32"/>
        <v>0</v>
      </c>
      <c r="AX32" s="14">
        <f t="shared" si="32"/>
        <v>0</v>
      </c>
      <c r="AY32" s="14">
        <f t="shared" si="32"/>
        <v>0</v>
      </c>
      <c r="AZ32" s="14">
        <f t="shared" ref="AZ32:BK32" si="33">AZ20+AZ26</f>
        <v>1.6046661514224292E-2</v>
      </c>
      <c r="BA32" s="14">
        <f t="shared" si="33"/>
        <v>1.9894435469375082E-2</v>
      </c>
      <c r="BB32" s="14">
        <f t="shared" si="33"/>
        <v>2.0079970844121275E-2</v>
      </c>
      <c r="BC32" s="14">
        <f t="shared" si="33"/>
        <v>1.9893067784317209E-2</v>
      </c>
      <c r="BD32" s="14">
        <f t="shared" si="33"/>
        <v>1.9591077494738096E-2</v>
      </c>
      <c r="BE32" s="14">
        <f t="shared" si="33"/>
        <v>2.029424534685953E-2</v>
      </c>
      <c r="BF32" s="14">
        <f t="shared" si="33"/>
        <v>1.664240666885819E-2</v>
      </c>
      <c r="BG32" s="14">
        <f t="shared" si="33"/>
        <v>2.0086882767887282E-2</v>
      </c>
      <c r="BH32" s="14">
        <f t="shared" si="33"/>
        <v>1.7417168469516353E-2</v>
      </c>
      <c r="BI32" s="14">
        <f t="shared" si="33"/>
        <v>1.4268343664368688E-2</v>
      </c>
      <c r="BJ32" s="14">
        <f t="shared" si="33"/>
        <v>1.6918453316328241E-2</v>
      </c>
      <c r="BK32" s="14">
        <f t="shared" si="33"/>
        <v>1.5099261209100323E-2</v>
      </c>
      <c r="BO32" s="28">
        <f>BO20+BO26</f>
        <v>2.1113833626861256E-2</v>
      </c>
      <c r="BP32" s="28">
        <f t="shared" ref="BP32:BT32" si="34">BP20+BP26</f>
        <v>1.85626997340258E-2</v>
      </c>
      <c r="BQ32" s="28">
        <f t="shared" si="34"/>
        <v>2.1918521330958285E-2</v>
      </c>
      <c r="BR32" s="28">
        <f t="shared" si="34"/>
        <v>2.0416345402802571E-2</v>
      </c>
      <c r="BS32" s="28">
        <f t="shared" si="34"/>
        <v>2.3467648253229445E-2</v>
      </c>
      <c r="BT32" s="28">
        <f t="shared" si="34"/>
        <v>2.6286222701076278E-2</v>
      </c>
    </row>
    <row r="33" spans="1:72" hidden="1" outlineLevel="1" x14ac:dyDescent="0.25">
      <c r="A33" s="11"/>
      <c r="C33" s="2" t="s">
        <v>1</v>
      </c>
      <c r="D33" s="14">
        <f t="shared" ref="D33:AY35" si="35">D21+D27</f>
        <v>-4.0592859094353395E-2</v>
      </c>
      <c r="E33" s="14">
        <f t="shared" si="35"/>
        <v>-4.1865782202138435E-2</v>
      </c>
      <c r="F33" s="14">
        <f t="shared" si="35"/>
        <v>-4.5845286730560098E-2</v>
      </c>
      <c r="G33" s="14">
        <f t="shared" si="35"/>
        <v>-4.2279378288088365E-2</v>
      </c>
      <c r="H33" s="14">
        <f t="shared" si="35"/>
        <v>-4.5852279419595687E-2</v>
      </c>
      <c r="I33" s="14">
        <f t="shared" si="35"/>
        <v>-4.5845940173433242E-2</v>
      </c>
      <c r="J33" s="14">
        <f t="shared" si="35"/>
        <v>-4.5846980756711453E-2</v>
      </c>
      <c r="K33" s="14">
        <f t="shared" si="35"/>
        <v>-4.5841379133126248E-2</v>
      </c>
      <c r="L33" s="14">
        <f t="shared" si="35"/>
        <v>-4.5853530456265279E-2</v>
      </c>
      <c r="M33" s="14">
        <f t="shared" si="35"/>
        <v>-4.5846767311053638E-2</v>
      </c>
      <c r="N33" s="14">
        <f t="shared" si="35"/>
        <v>-4.5845356585655139E-2</v>
      </c>
      <c r="O33" s="14">
        <f t="shared" si="35"/>
        <v>-4.5849485660050204E-2</v>
      </c>
      <c r="P33" s="14">
        <f t="shared" si="35"/>
        <v>-4.5859267893811229E-2</v>
      </c>
      <c r="Q33" s="14">
        <f t="shared" si="35"/>
        <v>-4.5846530540118779E-2</v>
      </c>
      <c r="R33" s="14">
        <f t="shared" si="35"/>
        <v>-4.5947222358966977E-2</v>
      </c>
      <c r="S33" s="14">
        <f t="shared" si="35"/>
        <v>-4.584073527923449E-2</v>
      </c>
      <c r="T33" s="14">
        <f t="shared" si="35"/>
        <v>-4.602153827001243E-2</v>
      </c>
      <c r="U33" s="14">
        <f t="shared" si="35"/>
        <v>0</v>
      </c>
      <c r="V33" s="14">
        <f t="shared" si="35"/>
        <v>0</v>
      </c>
      <c r="W33" s="14">
        <f t="shared" si="35"/>
        <v>0</v>
      </c>
      <c r="X33" s="14">
        <f t="shared" si="35"/>
        <v>0</v>
      </c>
      <c r="Y33" s="14">
        <f t="shared" si="35"/>
        <v>0</v>
      </c>
      <c r="Z33" s="14">
        <f t="shared" si="35"/>
        <v>0</v>
      </c>
      <c r="AA33" s="14">
        <f t="shared" si="35"/>
        <v>0</v>
      </c>
      <c r="AB33" s="14">
        <f t="shared" si="35"/>
        <v>0</v>
      </c>
      <c r="AC33" s="14">
        <f t="shared" si="35"/>
        <v>0</v>
      </c>
      <c r="AD33" s="14">
        <f t="shared" si="35"/>
        <v>0</v>
      </c>
      <c r="AE33" s="14">
        <f t="shared" si="35"/>
        <v>0</v>
      </c>
      <c r="AF33" s="14">
        <f t="shared" si="35"/>
        <v>0</v>
      </c>
      <c r="AG33" s="14">
        <f t="shared" si="35"/>
        <v>0</v>
      </c>
      <c r="AH33" s="14">
        <f t="shared" si="35"/>
        <v>0</v>
      </c>
      <c r="AI33" s="14">
        <f t="shared" si="35"/>
        <v>0</v>
      </c>
      <c r="AJ33" s="14">
        <f t="shared" si="35"/>
        <v>0</v>
      </c>
      <c r="AK33" s="14">
        <f t="shared" si="35"/>
        <v>0</v>
      </c>
      <c r="AL33" s="14">
        <f t="shared" si="35"/>
        <v>0</v>
      </c>
      <c r="AM33" s="14">
        <f t="shared" si="35"/>
        <v>0</v>
      </c>
      <c r="AN33" s="14">
        <f t="shared" si="35"/>
        <v>0</v>
      </c>
      <c r="AO33" s="14">
        <f t="shared" si="35"/>
        <v>0</v>
      </c>
      <c r="AP33" s="14">
        <f t="shared" si="35"/>
        <v>0</v>
      </c>
      <c r="AQ33" s="14">
        <f t="shared" si="35"/>
        <v>0</v>
      </c>
      <c r="AR33" s="14">
        <f t="shared" si="35"/>
        <v>0</v>
      </c>
      <c r="AS33" s="14">
        <f t="shared" si="35"/>
        <v>0</v>
      </c>
      <c r="AT33" s="14">
        <f t="shared" si="35"/>
        <v>0</v>
      </c>
      <c r="AU33" s="14">
        <f t="shared" si="35"/>
        <v>0</v>
      </c>
      <c r="AV33" s="14">
        <f t="shared" si="35"/>
        <v>0</v>
      </c>
      <c r="AW33" s="14">
        <f t="shared" si="35"/>
        <v>0</v>
      </c>
      <c r="AX33" s="14">
        <f t="shared" si="35"/>
        <v>0</v>
      </c>
      <c r="AY33" s="14">
        <f t="shared" si="35"/>
        <v>0</v>
      </c>
      <c r="AZ33" s="14">
        <f t="shared" ref="AZ33:BK33" si="36">AZ21+AZ27</f>
        <v>0</v>
      </c>
      <c r="BA33" s="14">
        <f t="shared" si="36"/>
        <v>0</v>
      </c>
      <c r="BB33" s="14">
        <f t="shared" si="36"/>
        <v>0</v>
      </c>
      <c r="BC33" s="14">
        <f t="shared" si="36"/>
        <v>0</v>
      </c>
      <c r="BD33" s="14">
        <f t="shared" si="36"/>
        <v>0</v>
      </c>
      <c r="BE33" s="14">
        <f t="shared" si="36"/>
        <v>0</v>
      </c>
      <c r="BF33" s="14">
        <f t="shared" si="36"/>
        <v>0</v>
      </c>
      <c r="BG33" s="14">
        <f t="shared" si="36"/>
        <v>0</v>
      </c>
      <c r="BH33" s="14">
        <f t="shared" si="36"/>
        <v>0</v>
      </c>
      <c r="BI33" s="14">
        <f t="shared" si="36"/>
        <v>0</v>
      </c>
      <c r="BJ33" s="14">
        <f t="shared" si="36"/>
        <v>0</v>
      </c>
      <c r="BK33" s="14">
        <f t="shared" si="36"/>
        <v>0</v>
      </c>
      <c r="BO33" s="28">
        <f t="shared" ref="BO33:BT35" si="37">BO21+BO27</f>
        <v>0</v>
      </c>
      <c r="BP33" s="28">
        <f t="shared" si="37"/>
        <v>0</v>
      </c>
      <c r="BQ33" s="28">
        <f t="shared" si="37"/>
        <v>0</v>
      </c>
      <c r="BR33" s="28">
        <f t="shared" si="37"/>
        <v>0</v>
      </c>
      <c r="BS33" s="28">
        <f t="shared" si="37"/>
        <v>-4.587801062776542E-2</v>
      </c>
      <c r="BT33" s="28">
        <f t="shared" si="37"/>
        <v>-4.1804375362731294E-2</v>
      </c>
    </row>
    <row r="34" spans="1:72" hidden="1" outlineLevel="1" x14ac:dyDescent="0.25">
      <c r="A34" s="11"/>
      <c r="C34" s="2" t="s">
        <v>45</v>
      </c>
      <c r="D34" s="14">
        <f t="shared" si="35"/>
        <v>-4.3201481055991975E-2</v>
      </c>
      <c r="E34" s="14">
        <f t="shared" si="35"/>
        <v>5.3324585325210005E-2</v>
      </c>
      <c r="F34" s="14">
        <f t="shared" si="35"/>
        <v>-5.5418928440230664E-2</v>
      </c>
      <c r="G34" s="14">
        <f t="shared" si="35"/>
        <v>-1.8881623667514447E-2</v>
      </c>
      <c r="H34" s="14">
        <f t="shared" si="35"/>
        <v>-4.4242799053905602E-2</v>
      </c>
      <c r="I34" s="14">
        <f t="shared" si="35"/>
        <v>0.71299658149875977</v>
      </c>
      <c r="J34" s="14">
        <f t="shared" si="35"/>
        <v>4.5083601564921416E-3</v>
      </c>
      <c r="K34" s="14">
        <f t="shared" si="35"/>
        <v>5.8454875349473578E-2</v>
      </c>
      <c r="L34" s="14">
        <f t="shared" si="35"/>
        <v>4.1864897032437707</v>
      </c>
      <c r="M34" s="14">
        <f t="shared" si="35"/>
        <v>-3.1126561041034506E-2</v>
      </c>
      <c r="N34" s="14">
        <f t="shared" si="35"/>
        <v>4.7304626328880328E-2</v>
      </c>
      <c r="O34" s="14">
        <f t="shared" si="35"/>
        <v>-2.627277081480428E-2</v>
      </c>
      <c r="P34" s="14">
        <f t="shared" si="35"/>
        <v>-2.5654956261073281E-2</v>
      </c>
      <c r="Q34" s="14">
        <f t="shared" si="35"/>
        <v>-4.5546599506884888E-2</v>
      </c>
      <c r="R34" s="14">
        <f t="shared" si="35"/>
        <v>0.13476445745445997</v>
      </c>
      <c r="S34" s="14">
        <f t="shared" si="35"/>
        <v>0.12710297727033515</v>
      </c>
      <c r="T34" s="14">
        <f t="shared" si="35"/>
        <v>-2.2397157664162615E-2</v>
      </c>
      <c r="U34" s="14">
        <f t="shared" si="35"/>
        <v>4.16532327623238E-2</v>
      </c>
      <c r="V34" s="14">
        <f t="shared" si="35"/>
        <v>4.1277633104174427E-2</v>
      </c>
      <c r="W34" s="14">
        <f t="shared" si="35"/>
        <v>-2.1196786417878588E-3</v>
      </c>
      <c r="X34" s="14">
        <f t="shared" si="35"/>
        <v>-4.3306311175306256E-4</v>
      </c>
      <c r="Y34" s="14">
        <f t="shared" si="35"/>
        <v>0.16077037542312378</v>
      </c>
      <c r="Z34" s="14">
        <f t="shared" si="35"/>
        <v>0.12895845388242688</v>
      </c>
      <c r="AA34" s="14">
        <f t="shared" si="35"/>
        <v>-9.9879308438466374E-3</v>
      </c>
      <c r="AB34" s="14">
        <f t="shared" si="35"/>
        <v>-3.2933833694846371E-2</v>
      </c>
      <c r="AC34" s="14">
        <f t="shared" si="35"/>
        <v>3.9825319748953536E-2</v>
      </c>
      <c r="AD34" s="14">
        <f t="shared" si="35"/>
        <v>-5.6449976203116758E-3</v>
      </c>
      <c r="AE34" s="14">
        <f t="shared" si="35"/>
        <v>3.5966517467587167E-3</v>
      </c>
      <c r="AF34" s="14">
        <f t="shared" si="35"/>
        <v>1.8258507128083856E-2</v>
      </c>
      <c r="AG34" s="14">
        <f t="shared" si="35"/>
        <v>-2.1186370107479702E-2</v>
      </c>
      <c r="AH34" s="14">
        <f t="shared" si="35"/>
        <v>-1.6566871212197798E-2</v>
      </c>
      <c r="AI34" s="14">
        <f t="shared" si="35"/>
        <v>2.643516312539318E-2</v>
      </c>
      <c r="AJ34" s="14">
        <f t="shared" si="35"/>
        <v>2.4396977674252529E-2</v>
      </c>
      <c r="AK34" s="14">
        <f t="shared" si="35"/>
        <v>0.1818221021905535</v>
      </c>
      <c r="AL34" s="14">
        <f t="shared" si="35"/>
        <v>4.1305308903420546E-2</v>
      </c>
      <c r="AM34" s="14">
        <f t="shared" si="35"/>
        <v>5.7505557388618955E-2</v>
      </c>
      <c r="AN34" s="14">
        <f t="shared" si="35"/>
        <v>0.12905948683906865</v>
      </c>
      <c r="AO34" s="14">
        <f t="shared" si="35"/>
        <v>3.2301442330930907E-3</v>
      </c>
      <c r="AP34" s="14">
        <f t="shared" si="35"/>
        <v>6.4309177107933158E-2</v>
      </c>
      <c r="AQ34" s="14">
        <f t="shared" si="35"/>
        <v>6.5156314312222463E-3</v>
      </c>
      <c r="AR34" s="14">
        <f t="shared" si="35"/>
        <v>-1.6765388495588729E-2</v>
      </c>
      <c r="AS34" s="14">
        <f t="shared" si="35"/>
        <v>3.1946548120354024E-2</v>
      </c>
      <c r="AT34" s="14">
        <f t="shared" si="35"/>
        <v>0</v>
      </c>
      <c r="AU34" s="14">
        <f t="shared" si="35"/>
        <v>0</v>
      </c>
      <c r="AV34" s="14">
        <f t="shared" si="35"/>
        <v>0</v>
      </c>
      <c r="AW34" s="14">
        <f t="shared" si="35"/>
        <v>0</v>
      </c>
      <c r="AX34" s="14">
        <f t="shared" si="35"/>
        <v>0</v>
      </c>
      <c r="AY34" s="14">
        <f t="shared" si="35"/>
        <v>0</v>
      </c>
      <c r="AZ34" s="14">
        <f t="shared" ref="AZ34:BK34" si="38">AZ22+AZ28</f>
        <v>2.2987645771897158E-2</v>
      </c>
      <c r="BA34" s="14">
        <f t="shared" si="38"/>
        <v>3.0146360787145277E-2</v>
      </c>
      <c r="BB34" s="14">
        <f t="shared" si="38"/>
        <v>3.1152288803153461E-2</v>
      </c>
      <c r="BC34" s="14">
        <f t="shared" si="38"/>
        <v>3.3233248530465609E-2</v>
      </c>
      <c r="BD34" s="14">
        <f t="shared" si="38"/>
        <v>3.4097562621566713E-2</v>
      </c>
      <c r="BE34" s="14">
        <f t="shared" si="38"/>
        <v>3.4821802266304935E-2</v>
      </c>
      <c r="BF34" s="14">
        <f t="shared" si="38"/>
        <v>3.2446036575718429E-2</v>
      </c>
      <c r="BG34" s="14">
        <f t="shared" si="38"/>
        <v>3.8960193493237538E-2</v>
      </c>
      <c r="BH34" s="14">
        <f t="shared" si="38"/>
        <v>3.7708533765363983E-2</v>
      </c>
      <c r="BI34" s="14">
        <f t="shared" si="38"/>
        <v>3.5073401221722422E-2</v>
      </c>
      <c r="BJ34" s="14">
        <f t="shared" si="38"/>
        <v>4.0452037893566217E-2</v>
      </c>
      <c r="BK34" s="14">
        <f t="shared" si="38"/>
        <v>3.9404716059804334E-2</v>
      </c>
      <c r="BO34" s="28">
        <f t="shared" si="37"/>
        <v>6.7126036707022108E-2</v>
      </c>
      <c r="BP34" s="28">
        <f t="shared" si="37"/>
        <v>2.7627629195009495E-2</v>
      </c>
      <c r="BQ34" s="28">
        <f t="shared" si="37"/>
        <v>6.7841252898424464E-2</v>
      </c>
      <c r="BR34" s="28">
        <f t="shared" si="37"/>
        <v>-1.3000686192090605E-3</v>
      </c>
      <c r="BS34" s="28">
        <f t="shared" si="37"/>
        <v>2.3215910304793752E-2</v>
      </c>
      <c r="BT34" s="28">
        <f t="shared" si="37"/>
        <v>-1.857211355447097E-2</v>
      </c>
    </row>
    <row r="35" spans="1:72" collapsed="1" x14ac:dyDescent="0.25">
      <c r="C35" s="3" t="s">
        <v>63</v>
      </c>
      <c r="D35" s="15">
        <f t="shared" si="35"/>
        <v>1.5442975893301902E-2</v>
      </c>
      <c r="E35" s="15">
        <f t="shared" si="35"/>
        <v>3.0518039027651156E-2</v>
      </c>
      <c r="F35" s="15">
        <f t="shared" si="35"/>
        <v>1.2793785679651837E-2</v>
      </c>
      <c r="G35" s="15">
        <f t="shared" si="35"/>
        <v>1.7310634447207152E-2</v>
      </c>
      <c r="H35" s="15">
        <f t="shared" si="35"/>
        <v>1.3258752790209938E-2</v>
      </c>
      <c r="I35" s="15">
        <f t="shared" si="35"/>
        <v>7.9402566921841222E-2</v>
      </c>
      <c r="J35" s="15">
        <f t="shared" si="35"/>
        <v>2.1470734558485471E-2</v>
      </c>
      <c r="K35" s="15">
        <f t="shared" si="35"/>
        <v>2.7029993639939409E-2</v>
      </c>
      <c r="L35" s="15">
        <f t="shared" si="35"/>
        <v>0.16754981667046187</v>
      </c>
      <c r="M35" s="15">
        <f t="shared" si="35"/>
        <v>1.3687702557637627E-2</v>
      </c>
      <c r="N35" s="15">
        <f t="shared" si="35"/>
        <v>2.6324385853029542E-2</v>
      </c>
      <c r="O35" s="15">
        <f t="shared" si="35"/>
        <v>2.0390896319250063E-2</v>
      </c>
      <c r="P35" s="15">
        <f t="shared" si="35"/>
        <v>1.8365380211614157E-2</v>
      </c>
      <c r="Q35" s="15">
        <f t="shared" si="35"/>
        <v>1.6023509381564827E-2</v>
      </c>
      <c r="R35" s="15">
        <f t="shared" si="35"/>
        <v>3.6212768862738276E-2</v>
      </c>
      <c r="S35" s="15">
        <f t="shared" si="35"/>
        <v>3.0810801483939665E-2</v>
      </c>
      <c r="T35" s="15">
        <f t="shared" si="35"/>
        <v>1.8218150872641337E-2</v>
      </c>
      <c r="U35" s="15">
        <f t="shared" si="35"/>
        <v>2.5589992414948748E-2</v>
      </c>
      <c r="V35" s="15">
        <f t="shared" si="35"/>
        <v>2.6361597187150254E-2</v>
      </c>
      <c r="W35" s="15">
        <f t="shared" si="35"/>
        <v>2.1312075995650881E-2</v>
      </c>
      <c r="X35" s="15">
        <f t="shared" si="35"/>
        <v>2.2984547946801603E-2</v>
      </c>
      <c r="Y35" s="15">
        <f t="shared" si="35"/>
        <v>2.94949711564787E-2</v>
      </c>
      <c r="Z35" s="15">
        <f t="shared" si="35"/>
        <v>3.0614414500606646E-2</v>
      </c>
      <c r="AA35" s="15">
        <f t="shared" si="35"/>
        <v>2.2032938962060822E-2</v>
      </c>
      <c r="AB35" s="15">
        <f t="shared" si="35"/>
        <v>1.6370044795677385E-2</v>
      </c>
      <c r="AC35" s="15">
        <f t="shared" si="35"/>
        <v>2.1560287768636943E-2</v>
      </c>
      <c r="AD35" s="15">
        <f t="shared" si="35"/>
        <v>2.0229391818920472E-2</v>
      </c>
      <c r="AE35" s="15">
        <f t="shared" si="35"/>
        <v>2.2108020102338033E-2</v>
      </c>
      <c r="AF35" s="15">
        <f t="shared" si="35"/>
        <v>2.0819189874493382E-2</v>
      </c>
      <c r="AG35" s="15">
        <f t="shared" si="35"/>
        <v>2.1941194996010438E-2</v>
      </c>
      <c r="AH35" s="15">
        <f t="shared" si="35"/>
        <v>1.8370033577190137E-2</v>
      </c>
      <c r="AI35" s="15">
        <f t="shared" si="35"/>
        <v>2.4879302745136611E-2</v>
      </c>
      <c r="AJ35" s="15">
        <f t="shared" si="35"/>
        <v>2.0745342619136187E-2</v>
      </c>
      <c r="AK35" s="15">
        <f t="shared" si="35"/>
        <v>2.4868249411091004E-2</v>
      </c>
      <c r="AL35" s="15">
        <f t="shared" si="35"/>
        <v>2.5577961469434918E-2</v>
      </c>
      <c r="AM35" s="15">
        <f t="shared" si="35"/>
        <v>1.8800457239543933E-2</v>
      </c>
      <c r="AN35" s="15">
        <f t="shared" si="35"/>
        <v>2.3757948989244992E-2</v>
      </c>
      <c r="AO35" s="15">
        <f t="shared" si="35"/>
        <v>2.1421793267012657E-2</v>
      </c>
      <c r="AP35" s="15">
        <f t="shared" si="35"/>
        <v>2.063578916701081E-2</v>
      </c>
      <c r="AQ35" s="15">
        <f t="shared" si="35"/>
        <v>2.1591031805433314E-2</v>
      </c>
      <c r="AR35" s="15">
        <f t="shared" si="35"/>
        <v>2.1114465178998953E-2</v>
      </c>
      <c r="AS35" s="15">
        <f t="shared" si="35"/>
        <v>1.9379880752008471E-2</v>
      </c>
      <c r="AT35" s="15">
        <f t="shared" si="35"/>
        <v>0</v>
      </c>
      <c r="AU35" s="15">
        <f t="shared" si="35"/>
        <v>0</v>
      </c>
      <c r="AV35" s="15">
        <f t="shared" si="35"/>
        <v>0</v>
      </c>
      <c r="AW35" s="15">
        <f t="shared" si="35"/>
        <v>0</v>
      </c>
      <c r="AX35" s="15">
        <f t="shared" si="35"/>
        <v>0</v>
      </c>
      <c r="AY35" s="15">
        <f t="shared" si="35"/>
        <v>0</v>
      </c>
      <c r="AZ35" s="15">
        <f t="shared" ref="AZ35:BK35" si="39">AZ23+AZ29</f>
        <v>1.6286454030558284E-2</v>
      </c>
      <c r="BA35" s="15">
        <f t="shared" si="39"/>
        <v>2.0201606064853106E-2</v>
      </c>
      <c r="BB35" s="15">
        <f t="shared" si="39"/>
        <v>2.0401915242711954E-2</v>
      </c>
      <c r="BC35" s="15">
        <f t="shared" si="39"/>
        <v>2.0252334976186503E-2</v>
      </c>
      <c r="BD35" s="15">
        <f t="shared" si="39"/>
        <v>1.9964330588411183E-2</v>
      </c>
      <c r="BE35" s="15">
        <f t="shared" si="39"/>
        <v>2.0665967435639976E-2</v>
      </c>
      <c r="BF35" s="15">
        <f t="shared" si="39"/>
        <v>1.7027416378731397E-2</v>
      </c>
      <c r="BG35" s="15">
        <f t="shared" si="39"/>
        <v>2.0523155556031458E-2</v>
      </c>
      <c r="BH35" s="15">
        <f t="shared" si="39"/>
        <v>1.7861799355310959E-2</v>
      </c>
      <c r="BI35" s="15">
        <f t="shared" si="39"/>
        <v>1.4705017254183828E-2</v>
      </c>
      <c r="BJ35" s="15">
        <f t="shared" si="39"/>
        <v>1.7395809432239284E-2</v>
      </c>
      <c r="BK35" s="15">
        <f t="shared" si="39"/>
        <v>1.5573754927377115E-2</v>
      </c>
      <c r="BO35" s="29">
        <f t="shared" si="37"/>
        <v>2.197107968333456E-2</v>
      </c>
      <c r="BP35" s="29">
        <f t="shared" si="37"/>
        <v>1.8846330781381093E-2</v>
      </c>
      <c r="BQ35" s="29">
        <f t="shared" si="37"/>
        <v>2.2608755127072167E-2</v>
      </c>
      <c r="BR35" s="29">
        <f t="shared" si="37"/>
        <v>1.9358364172279652E-2</v>
      </c>
      <c r="BS35" s="29">
        <f t="shared" si="37"/>
        <v>2.3426503354044614E-2</v>
      </c>
      <c r="BT35" s="29">
        <f t="shared" si="37"/>
        <v>1.905708154643948E-2</v>
      </c>
    </row>
    <row r="38" spans="1:72" hidden="1" outlineLevel="1" x14ac:dyDescent="0.25">
      <c r="A38" s="11" t="s">
        <v>55</v>
      </c>
      <c r="C38" s="2" t="s">
        <v>0</v>
      </c>
      <c r="D38" s="8">
        <f>IFERROR(
GETPIVOTDATA(
"[Base].[Importe]",
TDinamica_R!$A$5,
"[Calendario].[AñoMes]",
"[Calendario].[AñoMes].&amp;[" &amp; TEXT(D$6,"yyyymm") &amp; "]",
"[Base].[Metrica]",
"[Base].[Metrica].&amp;[" &amp; $A38 &amp; "]",
"[Base].[SEGMENTO_DESCRIP]",
"[Base].[SEGMENTO_DESCRIP].&amp;[" &amp; $C$6 &amp; "]",
"[Base].[SITUACION]",
"[Base].[SITUACION].&amp;[" &amp; $C38 &amp; "]"
),0)/1000</f>
        <v>102.23347658</v>
      </c>
      <c r="E38" s="8">
        <f>IFERROR(
GETPIVOTDATA(
"[Base].[Importe]",
TDinamica_R!$A$5,
"[Calendario].[AñoMes]",
"[Calendario].[AñoMes].&amp;[" &amp; TEXT(E$6,"yyyymm") &amp; "]",
"[Base].[Metrica]",
"[Base].[Metrica].&amp;[" &amp; $A38 &amp; "]",
"[Base].[SEGMENTO_DESCRIP]",
"[Base].[SEGMENTO_DESCRIP].&amp;[" &amp; $C$6 &amp; "]",
"[Base].[SITUACION]",
"[Base].[SITUACION].&amp;[" &amp; $C38 &amp; "]"
),0)/1000</f>
        <v>90.032251619999997</v>
      </c>
      <c r="F38" s="8">
        <f>IFERROR(
GETPIVOTDATA(
"[Base].[Importe]",
TDinamica_R!$A$5,
"[Calendario].[AñoMes]",
"[Calendario].[AñoMes].&amp;[" &amp; TEXT(F$6,"yyyymm") &amp; "]",
"[Base].[Metrica]",
"[Base].[Metrica].&amp;[" &amp; $A38 &amp; "]",
"[Base].[SEGMENTO_DESCRIP]",
"[Base].[SEGMENTO_DESCRIP].&amp;[" &amp; $C$6 &amp; "]",
"[Base].[SITUACION]",
"[Base].[SITUACION].&amp;[" &amp; $C38 &amp; "]"
),0)/1000</f>
        <v>118.64461086</v>
      </c>
      <c r="G38" s="8">
        <f>IFERROR(
GETPIVOTDATA(
"[Base].[Importe]",
TDinamica_R!$A$5,
"[Calendario].[AñoMes]",
"[Calendario].[AñoMes].&amp;[" &amp; TEXT(G$6,"yyyymm") &amp; "]",
"[Base].[Metrica]",
"[Base].[Metrica].&amp;[" &amp; $A38 &amp; "]",
"[Base].[SEGMENTO_DESCRIP]",
"[Base].[SEGMENTO_DESCRIP].&amp;[" &amp; $C$6 &amp; "]",
"[Base].[SITUACION]",
"[Base].[SITUACION].&amp;[" &amp; $C38 &amp; "]"
),0)/1000</f>
        <v>113.36018222999999</v>
      </c>
      <c r="H38" s="8">
        <f>IFERROR(
GETPIVOTDATA(
"[Base].[Importe]",
TDinamica_R!$A$5,
"[Calendario].[AñoMes]",
"[Calendario].[AñoMes].&amp;[" &amp; TEXT(H$6,"yyyymm") &amp; "]",
"[Base].[Metrica]",
"[Base].[Metrica].&amp;[" &amp; $A38 &amp; "]",
"[Base].[SEGMENTO_DESCRIP]",
"[Base].[SEGMENTO_DESCRIP].&amp;[" &amp; $C$6 &amp; "]",
"[Base].[SITUACION]",
"[Base].[SITUACION].&amp;[" &amp; $C38 &amp; "]"
),0)/1000</f>
        <v>114.30789961999999</v>
      </c>
      <c r="I38" s="8">
        <f>IFERROR(
GETPIVOTDATA(
"[Base].[Importe]",
TDinamica_R!$A$5,
"[Calendario].[AñoMes]",
"[Calendario].[AñoMes].&amp;[" &amp; TEXT(I$6,"yyyymm") &amp; "]",
"[Base].[Metrica]",
"[Base].[Metrica].&amp;[" &amp; $A38 &amp; "]",
"[Base].[SEGMENTO_DESCRIP]",
"[Base].[SEGMENTO_DESCRIP].&amp;[" &amp; $C$6 &amp; "]",
"[Base].[SITUACION]",
"[Base].[SITUACION].&amp;[" &amp; $C38 &amp; "]"
),0)/1000</f>
        <v>106.23700502999999</v>
      </c>
      <c r="J38" s="8">
        <f>IFERROR(
GETPIVOTDATA(
"[Base].[Importe]",
TDinamica_R!$A$5,
"[Calendario].[AñoMes]",
"[Calendario].[AñoMes].&amp;[" &amp; TEXT(J$6,"yyyymm") &amp; "]",
"[Base].[Metrica]",
"[Base].[Metrica].&amp;[" &amp; $A38 &amp; "]",
"[Base].[SEGMENTO_DESCRIP]",
"[Base].[SEGMENTO_DESCRIP].&amp;[" &amp; $C$6 &amp; "]",
"[Base].[SITUACION]",
"[Base].[SITUACION].&amp;[" &amp; $C38 &amp; "]"
),0)/1000</f>
        <v>115.03074105000003</v>
      </c>
      <c r="K38" s="8">
        <f>IFERROR(
GETPIVOTDATA(
"[Base].[Importe]",
TDinamica_R!$A$5,
"[Calendario].[AñoMes]",
"[Calendario].[AñoMes].&amp;[" &amp; TEXT(K$6,"yyyymm") &amp; "]",
"[Base].[Metrica]",
"[Base].[Metrica].&amp;[" &amp; $A38 &amp; "]",
"[Base].[SEGMENTO_DESCRIP]",
"[Base].[SEGMENTO_DESCRIP].&amp;[" &amp; $C$6 &amp; "]",
"[Base].[SITUACION]",
"[Base].[SITUACION].&amp;[" &amp; $C38 &amp; "]"
),0)/1000</f>
        <v>116.55750528</v>
      </c>
      <c r="L38" s="8">
        <f>IFERROR(
GETPIVOTDATA(
"[Base].[Importe]",
TDinamica_R!$A$5,
"[Calendario].[AñoMes]",
"[Calendario].[AñoMes].&amp;[" &amp; TEXT(L$6,"yyyymm") &amp; "]",
"[Base].[Metrica]",
"[Base].[Metrica].&amp;[" &amp; $A38 &amp; "]",
"[Base].[SEGMENTO_DESCRIP]",
"[Base].[SEGMENTO_DESCRIP].&amp;[" &amp; $C$6 &amp; "]",
"[Base].[SITUACION]",
"[Base].[SITUACION].&amp;[" &amp; $C38 &amp; "]"
),0)/1000</f>
        <v>104.03021674999999</v>
      </c>
      <c r="M38" s="8">
        <f>IFERROR(
GETPIVOTDATA(
"[Base].[Importe]",
TDinamica_R!$A$5,
"[Calendario].[AñoMes]",
"[Calendario].[AñoMes].&amp;[" &amp; TEXT(M$6,"yyyymm") &amp; "]",
"[Base].[Metrica]",
"[Base].[Metrica].&amp;[" &amp; $A38 &amp; "]",
"[Base].[SEGMENTO_DESCRIP]",
"[Base].[SEGMENTO_DESCRIP].&amp;[" &amp; $C$6 &amp; "]",
"[Base].[SITUACION]",
"[Base].[SITUACION].&amp;[" &amp; $C38 &amp; "]"
),0)/1000</f>
        <v>87.485357229999991</v>
      </c>
      <c r="N38" s="8">
        <f>IFERROR(
GETPIVOTDATA(
"[Base].[Importe]",
TDinamica_R!$A$5,
"[Calendario].[AñoMes]",
"[Calendario].[AñoMes].&amp;[" &amp; TEXT(N$6,"yyyymm") &amp; "]",
"[Base].[Metrica]",
"[Base].[Metrica].&amp;[" &amp; $A38 &amp; "]",
"[Base].[SEGMENTO_DESCRIP]",
"[Base].[SEGMENTO_DESCRIP].&amp;[" &amp; $C$6 &amp; "]",
"[Base].[SITUACION]",
"[Base].[SITUACION].&amp;[" &amp; $C38 &amp; "]"
),0)/1000</f>
        <v>88.47188220999999</v>
      </c>
      <c r="O38" s="8">
        <f>IFERROR(
GETPIVOTDATA(
"[Base].[Importe]",
TDinamica_R!$A$5,
"[Calendario].[AñoMes]",
"[Calendario].[AñoMes].&amp;[" &amp; TEXT(O$6,"yyyymm") &amp; "]",
"[Base].[Metrica]",
"[Base].[Metrica].&amp;[" &amp; $A38 &amp; "]",
"[Base].[SEGMENTO_DESCRIP]",
"[Base].[SEGMENTO_DESCRIP].&amp;[" &amp; $C$6 &amp; "]",
"[Base].[SITUACION]",
"[Base].[SITUACION].&amp;[" &amp; $C38 &amp; "]"
),0)/1000</f>
        <v>96.372597769999999</v>
      </c>
      <c r="P38" s="8">
        <f>IFERROR(
GETPIVOTDATA(
"[Base].[Importe]",
TDinamica_R!$A$5,
"[Calendario].[AñoMes]",
"[Calendario].[AñoMes].&amp;[" &amp; TEXT(P$6,"yyyymm") &amp; "]",
"[Base].[Metrica]",
"[Base].[Metrica].&amp;[" &amp; $A38 &amp; "]",
"[Base].[SEGMENTO_DESCRIP]",
"[Base].[SEGMENTO_DESCRIP].&amp;[" &amp; $C$6 &amp; "]",
"[Base].[SITUACION]",
"[Base].[SITUACION].&amp;[" &amp; $C38 &amp; "]"
),0)/1000</f>
        <v>97.215665969999989</v>
      </c>
      <c r="Q38" s="8">
        <f>IFERROR(
GETPIVOTDATA(
"[Base].[Importe]",
TDinamica_R!$A$5,
"[Calendario].[AñoMes]",
"[Calendario].[AñoMes].&amp;[" &amp; TEXT(Q$6,"yyyymm") &amp; "]",
"[Base].[Metrica]",
"[Base].[Metrica].&amp;[" &amp; $A38 &amp; "]",
"[Base].[SEGMENTO_DESCRIP]",
"[Base].[SEGMENTO_DESCRIP].&amp;[" &amp; $C$6 &amp; "]",
"[Base].[SITUACION]",
"[Base].[SITUACION].&amp;[" &amp; $C38 &amp; "]"
),0)/1000</f>
        <v>84.893262060000012</v>
      </c>
      <c r="R38" s="8">
        <f>IFERROR(
GETPIVOTDATA(
"[Base].[Importe]",
TDinamica_R!$A$5,
"[Calendario].[AñoMes]",
"[Calendario].[AñoMes].&amp;[" &amp; TEXT(R$6,"yyyymm") &amp; "]",
"[Base].[Metrica]",
"[Base].[Metrica].&amp;[" &amp; $A38 &amp; "]",
"[Base].[SEGMENTO_DESCRIP]",
"[Base].[SEGMENTO_DESCRIP].&amp;[" &amp; $C$6 &amp; "]",
"[Base].[SITUACION]",
"[Base].[SITUACION].&amp;[" &amp; $C38 &amp; "]"
),0)/1000</f>
        <v>91.131731879999961</v>
      </c>
      <c r="S38" s="8">
        <f>IFERROR(
GETPIVOTDATA(
"[Base].[Importe]",
TDinamica_R!$A$5,
"[Calendario].[AñoMes]",
"[Calendario].[AñoMes].&amp;[" &amp; TEXT(S$6,"yyyymm") &amp; "]",
"[Base].[Metrica]",
"[Base].[Metrica].&amp;[" &amp; $A38 &amp; "]",
"[Base].[SEGMENTO_DESCRIP]",
"[Base].[SEGMENTO_DESCRIP].&amp;[" &amp; $C$6 &amp; "]",
"[Base].[SITUACION]",
"[Base].[SITUACION].&amp;[" &amp; $C38 &amp; "]"
),0)/1000</f>
        <v>78.854331909999985</v>
      </c>
      <c r="T38" s="8">
        <f>IFERROR(
GETPIVOTDATA(
"[Base].[Importe]",
TDinamica_R!$A$5,
"[Calendario].[AñoMes]",
"[Calendario].[AñoMes].&amp;[" &amp; TEXT(T$6,"yyyymm") &amp; "]",
"[Base].[Metrica]",
"[Base].[Metrica].&amp;[" &amp; $A38 &amp; "]",
"[Base].[SEGMENTO_DESCRIP]",
"[Base].[SEGMENTO_DESCRIP].&amp;[" &amp; $C$6 &amp; "]",
"[Base].[SITUACION]",
"[Base].[SITUACION].&amp;[" &amp; $C38 &amp; "]"
),0)/1000</f>
        <v>81.675719530000023</v>
      </c>
      <c r="U38" s="8">
        <f>IFERROR(
GETPIVOTDATA(
"[Base].[Importe]",
TDinamica_R!$A$5,
"[Calendario].[AñoMes]",
"[Calendario].[AñoMes].&amp;[" &amp; TEXT(U$6,"yyyymm") &amp; "]",
"[Base].[Metrica]",
"[Base].[Metrica].&amp;[" &amp; $A38 &amp; "]",
"[Base].[SEGMENTO_DESCRIP]",
"[Base].[SEGMENTO_DESCRIP].&amp;[" &amp; $C$6 &amp; "]",
"[Base].[SITUACION]",
"[Base].[SITUACION].&amp;[" &amp; $C38 &amp; "]"
),0)/1000</f>
        <v>88.199916760000008</v>
      </c>
      <c r="V38" s="8">
        <f>IFERROR(
GETPIVOTDATA(
"[Base].[Importe]",
TDinamica_R!$A$5,
"[Calendario].[AñoMes]",
"[Calendario].[AñoMes].&amp;[" &amp; TEXT(V$6,"yyyymm") &amp; "]",
"[Base].[Metrica]",
"[Base].[Metrica].&amp;[" &amp; $A38 &amp; "]",
"[Base].[SEGMENTO_DESCRIP]",
"[Base].[SEGMENTO_DESCRIP].&amp;[" &amp; $C$6 &amp; "]",
"[Base].[SITUACION]",
"[Base].[SITUACION].&amp;[" &amp; $C38 &amp; "]"
),0)/1000</f>
        <v>96.749873859999994</v>
      </c>
      <c r="W38" s="8">
        <f>IFERROR(
GETPIVOTDATA(
"[Base].[Importe]",
TDinamica_R!$A$5,
"[Calendario].[AñoMes]",
"[Calendario].[AñoMes].&amp;[" &amp; TEXT(W$6,"yyyymm") &amp; "]",
"[Base].[Metrica]",
"[Base].[Metrica].&amp;[" &amp; $A38 &amp; "]",
"[Base].[SEGMENTO_DESCRIP]",
"[Base].[SEGMENTO_DESCRIP].&amp;[" &amp; $C$6 &amp; "]",
"[Base].[SITUACION]",
"[Base].[SITUACION].&amp;[" &amp; $C38 &amp; "]"
),0)/1000</f>
        <v>94.925337269999986</v>
      </c>
      <c r="X38" s="8">
        <f>IFERROR(
GETPIVOTDATA(
"[Base].[Importe]",
TDinamica_R!$A$5,
"[Calendario].[AñoMes]",
"[Calendario].[AñoMes].&amp;[" &amp; TEXT(X$6,"yyyymm") &amp; "]",
"[Base].[Metrica]",
"[Base].[Metrica].&amp;[" &amp; $A38 &amp; "]",
"[Base].[SEGMENTO_DESCRIP]",
"[Base].[SEGMENTO_DESCRIP].&amp;[" &amp; $C$6 &amp; "]",
"[Base].[SITUACION]",
"[Base].[SITUACION].&amp;[" &amp; $C38 &amp; "]"
),0)/1000</f>
        <v>87.832831099999993</v>
      </c>
      <c r="Y38" s="8">
        <f>IFERROR(
GETPIVOTDATA(
"[Base].[Importe]",
TDinamica_R!$A$5,
"[Calendario].[AñoMes]",
"[Calendario].[AñoMes].&amp;[" &amp; TEXT(Y$6,"yyyymm") &amp; "]",
"[Base].[Metrica]",
"[Base].[Metrica].&amp;[" &amp; $A38 &amp; "]",
"[Base].[SEGMENTO_DESCRIP]",
"[Base].[SEGMENTO_DESCRIP].&amp;[" &amp; $C$6 &amp; "]",
"[Base].[SITUACION]",
"[Base].[SITUACION].&amp;[" &amp; $C38 &amp; "]"
),0)/1000</f>
        <v>83.665735170000019</v>
      </c>
      <c r="Z38" s="8">
        <f>IFERROR(
GETPIVOTDATA(
"[Base].[Importe]",
TDinamica_R!$A$5,
"[Calendario].[AñoMes]",
"[Calendario].[AñoMes].&amp;[" &amp; TEXT(Z$6,"yyyymm") &amp; "]",
"[Base].[Metrica]",
"[Base].[Metrica].&amp;[" &amp; $A38 &amp; "]",
"[Base].[SEGMENTO_DESCRIP]",
"[Base].[SEGMENTO_DESCRIP].&amp;[" &amp; $C$6 &amp; "]",
"[Base].[SITUACION]",
"[Base].[SITUACION].&amp;[" &amp; $C38 &amp; "]"
),0)/1000</f>
        <v>86.465659849999994</v>
      </c>
      <c r="AA38" s="8">
        <f>IFERROR(
GETPIVOTDATA(
"[Base].[Importe]",
TDinamica_R!$A$5,
"[Calendario].[AñoMes]",
"[Calendario].[AñoMes].&amp;[" &amp; TEXT(AA$6,"yyyymm") &amp; "]",
"[Base].[Metrica]",
"[Base].[Metrica].&amp;[" &amp; $A38 &amp; "]",
"[Base].[SEGMENTO_DESCRIP]",
"[Base].[SEGMENTO_DESCRIP].&amp;[" &amp; $C$6 &amp; "]",
"[Base].[SITUACION]",
"[Base].[SITUACION].&amp;[" &amp; $C38 &amp; "]"
),0)/1000</f>
        <v>94.866135959999994</v>
      </c>
      <c r="AB38" s="8">
        <f>IFERROR(
GETPIVOTDATA(
"[Base].[Importe]",
TDinamica_R!$A$5,
"[Calendario].[AñoMes]",
"[Calendario].[AñoMes].&amp;[" &amp; TEXT(AB$6,"yyyymm") &amp; "]",
"[Base].[Metrica]",
"[Base].[Metrica].&amp;[" &amp; $A38 &amp; "]",
"[Base].[SEGMENTO_DESCRIP]",
"[Base].[SEGMENTO_DESCRIP].&amp;[" &amp; $C$6 &amp; "]",
"[Base].[SITUACION]",
"[Base].[SITUACION].&amp;[" &amp; $C38 &amp; "]"
),0)/1000</f>
        <v>101.45196027000001</v>
      </c>
      <c r="AC38" s="8">
        <f>IFERROR(
GETPIVOTDATA(
"[Base].[Importe]",
TDinamica_R!$A$5,
"[Calendario].[AñoMes]",
"[Calendario].[AñoMes].&amp;[" &amp; TEXT(AC$6,"yyyymm") &amp; "]",
"[Base].[Metrica]",
"[Base].[Metrica].&amp;[" &amp; $A38 &amp; "]",
"[Base].[SEGMENTO_DESCRIP]",
"[Base].[SEGMENTO_DESCRIP].&amp;[" &amp; $C$6 &amp; "]",
"[Base].[SITUACION]",
"[Base].[SITUACION].&amp;[" &amp; $C38 &amp; "]"
),0)/1000</f>
        <v>90.789201449999979</v>
      </c>
      <c r="AD38" s="8">
        <f>IFERROR(
GETPIVOTDATA(
"[Base].[Importe]",
TDinamica_R!$A$5,
"[Calendario].[AñoMes]",
"[Calendario].[AñoMes].&amp;[" &amp; TEXT(AD$6,"yyyymm") &amp; "]",
"[Base].[Metrica]",
"[Base].[Metrica].&amp;[" &amp; $A38 &amp; "]",
"[Base].[SEGMENTO_DESCRIP]",
"[Base].[SEGMENTO_DESCRIP].&amp;[" &amp; $C$6 &amp; "]",
"[Base].[SITUACION]",
"[Base].[SITUACION].&amp;[" &amp; $C38 &amp; "]"
),0)/1000</f>
        <v>105.91933426</v>
      </c>
      <c r="AE38" s="8">
        <f>IFERROR(
GETPIVOTDATA(
"[Base].[Importe]",
TDinamica_R!$A$5,
"[Calendario].[AñoMes]",
"[Calendario].[AñoMes].&amp;[" &amp; TEXT(AE$6,"yyyymm") &amp; "]",
"[Base].[Metrica]",
"[Base].[Metrica].&amp;[" &amp; $A38 &amp; "]",
"[Base].[SEGMENTO_DESCRIP]",
"[Base].[SEGMENTO_DESCRIP].&amp;[" &amp; $C$6 &amp; "]",
"[Base].[SITUACION]",
"[Base].[SITUACION].&amp;[" &amp; $C38 &amp; "]"
),0)/1000</f>
        <v>98.134477280000027</v>
      </c>
      <c r="AF38" s="8">
        <f>IFERROR(
GETPIVOTDATA(
"[Base].[Importe]",
TDinamica_R!$A$5,
"[Calendario].[AñoMes]",
"[Calendario].[AñoMes].&amp;[" &amp; TEXT(AF$6,"yyyymm") &amp; "]",
"[Base].[Metrica]",
"[Base].[Metrica].&amp;[" &amp; $A38 &amp; "]",
"[Base].[SEGMENTO_DESCRIP]",
"[Base].[SEGMENTO_DESCRIP].&amp;[" &amp; $C$6 &amp; "]",
"[Base].[SITUACION]",
"[Base].[SITUACION].&amp;[" &amp; $C38 &amp; "]"
),0)/1000</f>
        <v>106.93539901999999</v>
      </c>
      <c r="AG38" s="8">
        <f>IFERROR(
GETPIVOTDATA(
"[Base].[Importe]",
TDinamica_R!$A$5,
"[Calendario].[AñoMes]",
"[Calendario].[AñoMes].&amp;[" &amp; TEXT(AG$6,"yyyymm") &amp; "]",
"[Base].[Metrica]",
"[Base].[Metrica].&amp;[" &amp; $A38 &amp; "]",
"[Base].[SEGMENTO_DESCRIP]",
"[Base].[SEGMENTO_DESCRIP].&amp;[" &amp; $C$6 &amp; "]",
"[Base].[SITUACION]",
"[Base].[SITUACION].&amp;[" &amp; $C38 &amp; "]"
),0)/1000</f>
        <v>95.794931230000032</v>
      </c>
      <c r="AH38" s="8">
        <f>IFERROR(
GETPIVOTDATA(
"[Base].[Importe]",
TDinamica_R!$A$5,
"[Calendario].[AñoMes]",
"[Calendario].[AñoMes].&amp;[" &amp; TEXT(AH$6,"yyyymm") &amp; "]",
"[Base].[Metrica]",
"[Base].[Metrica].&amp;[" &amp; $A38 &amp; "]",
"[Base].[SEGMENTO_DESCRIP]",
"[Base].[SEGMENTO_DESCRIP].&amp;[" &amp; $C$6 &amp; "]",
"[Base].[SITUACION]",
"[Base].[SITUACION].&amp;[" &amp; $C38 &amp; "]"
),0)/1000</f>
        <v>98.145559610000007</v>
      </c>
      <c r="AI38" s="8">
        <f>IFERROR(
GETPIVOTDATA(
"[Base].[Importe]",
TDinamica_R!$A$5,
"[Calendario].[AñoMes]",
"[Calendario].[AñoMes].&amp;[" &amp; TEXT(AI$6,"yyyymm") &amp; "]",
"[Base].[Metrica]",
"[Base].[Metrica].&amp;[" &amp; $A38 &amp; "]",
"[Base].[SEGMENTO_DESCRIP]",
"[Base].[SEGMENTO_DESCRIP].&amp;[" &amp; $C$6 &amp; "]",
"[Base].[SITUACION]",
"[Base].[SITUACION].&amp;[" &amp; $C38 &amp; "]"
),0)/1000</f>
        <v>111.69035677999999</v>
      </c>
      <c r="AJ38" s="8">
        <f>IFERROR(
GETPIVOTDATA(
"[Base].[Importe]",
TDinamica_R!$A$5,
"[Calendario].[AñoMes]",
"[Calendario].[AñoMes].&amp;[" &amp; TEXT(AJ$6,"yyyymm") &amp; "]",
"[Base].[Metrica]",
"[Base].[Metrica].&amp;[" &amp; $A38 &amp; "]",
"[Base].[SEGMENTO_DESCRIP]",
"[Base].[SEGMENTO_DESCRIP].&amp;[" &amp; $C$6 &amp; "]",
"[Base].[SITUACION]",
"[Base].[SITUACION].&amp;[" &amp; $C38 &amp; "]"
),0)/1000</f>
        <v>116.62623597</v>
      </c>
      <c r="AK38" s="8">
        <f>IFERROR(
GETPIVOTDATA(
"[Base].[Importe]",
TDinamica_R!$A$5,
"[Calendario].[AñoMes]",
"[Calendario].[AñoMes].&amp;[" &amp; TEXT(AK$6,"yyyymm") &amp; "]",
"[Base].[Metrica]",
"[Base].[Metrica].&amp;[" &amp; $A38 &amp; "]",
"[Base].[SEGMENTO_DESCRIP]",
"[Base].[SEGMENTO_DESCRIP].&amp;[" &amp; $C$6 &amp; "]",
"[Base].[SITUACION]",
"[Base].[SITUACION].&amp;[" &amp; $C38 &amp; "]"
),0)/1000</f>
        <v>144.33094835999998</v>
      </c>
      <c r="AL38" s="8">
        <f>IFERROR(
GETPIVOTDATA(
"[Base].[Importe]",
TDinamica_R!$A$5,
"[Calendario].[AñoMes]",
"[Calendario].[AñoMes].&amp;[" &amp; TEXT(AL$6,"yyyymm") &amp; "]",
"[Base].[Metrica]",
"[Base].[Metrica].&amp;[" &amp; $A38 &amp; "]",
"[Base].[SEGMENTO_DESCRIP]",
"[Base].[SEGMENTO_DESCRIP].&amp;[" &amp; $C$6 &amp; "]",
"[Base].[SITUACION]",
"[Base].[SITUACION].&amp;[" &amp; $C38 &amp; "]"
),0)/1000</f>
        <v>166.54778692999997</v>
      </c>
      <c r="AM38" s="8">
        <f>IFERROR(
GETPIVOTDATA(
"[Base].[Importe]",
TDinamica_R!$A$5,
"[Calendario].[AñoMes]",
"[Calendario].[AñoMes].&amp;[" &amp; TEXT(AM$6,"yyyymm") &amp; "]",
"[Base].[Metrica]",
"[Base].[Metrica].&amp;[" &amp; $A38 &amp; "]",
"[Base].[SEGMENTO_DESCRIP]",
"[Base].[SEGMENTO_DESCRIP].&amp;[" &amp; $C$6 &amp; "]",
"[Base].[SITUACION]",
"[Base].[SITUACION].&amp;[" &amp; $C38 &amp; "]"
),0)/1000</f>
        <v>185.16888473999998</v>
      </c>
      <c r="AN38" s="8">
        <f>IFERROR(
GETPIVOTDATA(
"[Base].[Importe]",
TDinamica_R!$A$5,
"[Calendario].[AñoMes]",
"[Calendario].[AñoMes].&amp;[" &amp; TEXT(AN$6,"yyyymm") &amp; "]",
"[Base].[Metrica]",
"[Base].[Metrica].&amp;[" &amp; $A38 &amp; "]",
"[Base].[SEGMENTO_DESCRIP]",
"[Base].[SEGMENTO_DESCRIP].&amp;[" &amp; $C$6 &amp; "]",
"[Base].[SITUACION]",
"[Base].[SITUACION].&amp;[" &amp; $C38 &amp; "]"
),0)/1000</f>
        <v>221.92045815</v>
      </c>
      <c r="AO38" s="8">
        <f>IFERROR(
GETPIVOTDATA(
"[Base].[Importe]",
TDinamica_R!$A$5,
"[Calendario].[AñoMes]",
"[Calendario].[AñoMes].&amp;[" &amp; TEXT(AO$6,"yyyymm") &amp; "]",
"[Base].[Metrica]",
"[Base].[Metrica].&amp;[" &amp; $A38 &amp; "]",
"[Base].[SEGMENTO_DESCRIP]",
"[Base].[SEGMENTO_DESCRIP].&amp;[" &amp; $C$6 &amp; "]",
"[Base].[SITUACION]",
"[Base].[SITUACION].&amp;[" &amp; $C38 &amp; "]"
),0)/1000</f>
        <v>202.26119631999998</v>
      </c>
      <c r="AP38" s="8">
        <f>IFERROR(
GETPIVOTDATA(
"[Base].[Importe]",
TDinamica_R!$A$5,
"[Calendario].[AñoMes]",
"[Calendario].[AñoMes].&amp;[" &amp; TEXT(AP$6,"yyyymm") &amp; "]",
"[Base].[Metrica]",
"[Base].[Metrica].&amp;[" &amp; $A38 &amp; "]",
"[Base].[SEGMENTO_DESCRIP]",
"[Base].[SEGMENTO_DESCRIP].&amp;[" &amp; $C$6 &amp; "]",
"[Base].[SITUACION]",
"[Base].[SITUACION].&amp;[" &amp; $C38 &amp; "]"
),0)/1000</f>
        <v>233.33302718000002</v>
      </c>
      <c r="AQ38" s="8">
        <f>IFERROR(
GETPIVOTDATA(
"[Base].[Importe]",
TDinamica_R!$A$5,
"[Calendario].[AñoMes]",
"[Calendario].[AñoMes].&amp;[" &amp; TEXT(AQ$6,"yyyymm") &amp; "]",
"[Base].[Metrica]",
"[Base].[Metrica].&amp;[" &amp; $A38 &amp; "]",
"[Base].[SEGMENTO_DESCRIP]",
"[Base].[SEGMENTO_DESCRIP].&amp;[" &amp; $C$6 &amp; "]",
"[Base].[SITUACION]",
"[Base].[SITUACION].&amp;[" &amp; $C38 &amp; "]"
),0)/1000</f>
        <v>269.21633969999999</v>
      </c>
      <c r="AR38" s="8">
        <f>IFERROR(
GETPIVOTDATA(
"[Base].[Importe]",
TDinamica_R!$A$5,
"[Calendario].[AñoMes]",
"[Calendario].[AñoMes].&amp;[" &amp; TEXT(AR$6,"yyyymm") &amp; "]",
"[Base].[Metrica]",
"[Base].[Metrica].&amp;[" &amp; $A38 &amp; "]",
"[Base].[SEGMENTO_DESCRIP]",
"[Base].[SEGMENTO_DESCRIP].&amp;[" &amp; $C$6 &amp; "]",
"[Base].[SITUACION]",
"[Base].[SITUACION].&amp;[" &amp; $C38 &amp; "]"
),0)/1000</f>
        <v>299.77537145999997</v>
      </c>
      <c r="AS38" s="8">
        <f>IFERROR(
GETPIVOTDATA(
"[Base].[Importe]",
TDinamica_R!$A$5,
"[Calendario].[AñoMes]",
"[Calendario].[AñoMes].&amp;[" &amp; TEXT(AS$6,"yyyymm") &amp; "]",
"[Base].[Metrica]",
"[Base].[Metrica].&amp;[" &amp; $A38 &amp; "]",
"[Base].[SEGMENTO_DESCRIP]",
"[Base].[SEGMENTO_DESCRIP].&amp;[" &amp; $C$6 &amp; "]",
"[Base].[SITUACION]",
"[Base].[SITUACION].&amp;[" &amp; $C38 &amp; "]"
),0)/1000</f>
        <v>302.46817240000007</v>
      </c>
      <c r="AT38" s="8">
        <f>IFERROR(
GETPIVOTDATA(
"[Base].[Importe]",
TDinamica_R!$A$5,
"[Calendario].[AñoMes]",
"[Calendario].[AñoMes].&amp;[" &amp; TEXT(AT$6,"yyyymm")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U38" s="8">
        <f>IFERROR(
GETPIVOTDATA(
"[Base].[Importe]",
TDinamica_R!$A$5,
"[Calendario].[AñoMes]",
"[Calendario].[AñoMes].&amp;[" &amp; TEXT(AU$6,"yyyymm")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V38" s="8">
        <f>IFERROR(
GETPIVOTDATA(
"[Base].[Importe]",
TDinamica_R!$A$5,
"[Calendario].[AñoMes]",
"[Calendario].[AñoMes].&amp;[" &amp; TEXT(AV$6,"yyyymm")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W38" s="8">
        <f>IFERROR(
GETPIVOTDATA(
"[Base].[Importe]",
TDinamica_R!$A$5,
"[Calendario].[AñoMes]",
"[Calendario].[AñoMes].&amp;[" &amp; TEXT(AW$6,"yyyymm")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X38" s="8">
        <f>IFERROR(
GETPIVOTDATA(
"[Base].[Importe]",
TDinamica_R!$A$5,
"[Calendario].[AñoMes]",
"[Calendario].[AñoMes].&amp;[" &amp; TEXT(AX$6,"yyyymm")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Y38" s="8">
        <f>IFERROR(
GETPIVOTDATA(
"[Base].[Importe]",
TDinamica_R!$A$5,
"[Calendario].[AñoMes]",
"[Calendario].[AñoMes].&amp;[" &amp; TEXT(AY$6,"yyyymm") &amp; "]",
"[Base].[Metrica]",
"[Base].[Metrica].&amp;[" &amp; $A38 &amp; "]",
"[Base].[SEGMENTO_DESCRIP]",
"[Base].[SEGMENTO_DESCRIP].&amp;[" &amp; $C$6 &amp; "]",
"[Base].[SITUACION]",
"[Base].[SITUACION].&amp;[" &amp; $C38 &amp; "]"
),0)/1000</f>
        <v>0</v>
      </c>
      <c r="AZ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"[BASE_HIPO_PPTO].[Periodo]","[BASE_HIPO_PPTO].[Periodo].&amp;["&amp;TEXT(AZ$6,"yyyymm")&amp;"]"),
0)/1000</f>
        <v>124.65712386548424</v>
      </c>
      <c r="BA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"[BASE_HIPO_PPTO].[Periodo]","[BASE_HIPO_PPTO].[Periodo].&amp;["&amp;TEXT(BA$6,"yyyymm")&amp;"]"),
0)/1000</f>
        <v>112.59588422850223</v>
      </c>
      <c r="BB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"[BASE_HIPO_PPTO].[Periodo]","[BASE_HIPO_PPTO].[Periodo].&amp;["&amp;TEXT(BB$6,"yyyymm")&amp;"]"),
0)/1000</f>
        <v>118.69747613417823</v>
      </c>
      <c r="BC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"[BASE_HIPO_PPTO].[Periodo]","[BASE_HIPO_PPTO].[Periodo].&amp;["&amp;TEXT(BC$6,"yyyymm")&amp;"]"),
0)/1000</f>
        <v>109.94429696381442</v>
      </c>
      <c r="BD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"[BASE_HIPO_PPTO].[Periodo]","[BASE_HIPO_PPTO].[Periodo].&amp;["&amp;TEXT(BD$6,"yyyymm")&amp;"]"),
0)/1000</f>
        <v>114.77393360159725</v>
      </c>
      <c r="BE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"[BASE_HIPO_PPTO].[Periodo]","[BASE_HIPO_PPTO].[Periodo].&amp;["&amp;TEXT(BE$6,"yyyymm")&amp;"]"),
0)/1000</f>
        <v>114.25081993490373</v>
      </c>
      <c r="BF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"[BASE_HIPO_PPTO].[Periodo]","[BASE_HIPO_PPTO].[Periodo].&amp;["&amp;TEXT(BF$6,"yyyymm")&amp;"]"),
0)/1000</f>
        <v>117.84968969528562</v>
      </c>
      <c r="BG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"[BASE_HIPO_PPTO].[Periodo]","[BASE_HIPO_PPTO].[Periodo].&amp;["&amp;TEXT(BG$6,"yyyymm")&amp;"]"),
0)/1000</f>
        <v>128.17710428310613</v>
      </c>
      <c r="BH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"[BASE_HIPO_PPTO].[Periodo]","[BASE_HIPO_PPTO].[Periodo].&amp;["&amp;TEXT(BH$6,"yyyymm")&amp;"]"),
0)/1000</f>
        <v>124.76266593525405</v>
      </c>
      <c r="BI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"[BASE_HIPO_PPTO].[Periodo]","[BASE_HIPO_PPTO].[Periodo].&amp;["&amp;TEXT(BI$6,"yyyymm")&amp;"]"),
0)/1000</f>
        <v>128.29539323430382</v>
      </c>
      <c r="BJ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"[BASE_HIPO_PPTO].[Periodo]","[BASE_HIPO_PPTO].[Periodo].&amp;["&amp;TEXT(BJ$6,"yyyymm")&amp;"]"),
0)/1000</f>
        <v>132.32038481509827</v>
      </c>
      <c r="BK38" s="8">
        <f>IFERROR(
GETPIVOTDATA(
"[BASE_HIPO_PPTO].[Importe]",
TDinamica_P!$A$5,
"[BASE_HIPO_PPTO].[Metrica]","[BASE_HIPO_PPTO].[Metrica].&amp;["&amp;$A38&amp;"]",
"[BASE_HIPO_PPTO].[SEGMENTO_DESCRIP]","[BASE_HIPO_PPTO].[SEGMENTO_DESCRIP].&amp;["&amp;$C$6&amp;"]",
"[BASE_HIPO_PPTO].[SITUACION]","[BASE_HIPO_PPTO].[SITUACION].&amp;["&amp;$C38&amp;"]",
"[BASE_HIPO_PPTO].[Periodo]","[BASE_HIPO_PPTO].[Periodo].&amp;["&amp;TEXT(BK$6,"yyyymm")&amp;"]"),
0)/1000</f>
        <v>138.40962654222221</v>
      </c>
      <c r="BO38" s="24">
        <f t="shared" ref="BO38:BT40" si="40">SUMIFS($D38:$BM38,$D$6:$BM$6,"&gt;="&amp;BO$2,$D$6:$BM$6,"&lt;="&amp;BO$6,$D$5:$BM$5,BO$5)</f>
        <v>657.51468165000006</v>
      </c>
      <c r="BP38" s="24">
        <f t="shared" si="40"/>
        <v>355.95048422816467</v>
      </c>
      <c r="BQ38" s="24">
        <f t="shared" si="40"/>
        <v>424.18165447000001</v>
      </c>
      <c r="BR38" s="24">
        <f t="shared" si="40"/>
        <v>298.16049597999995</v>
      </c>
      <c r="BS38" s="24">
        <f t="shared" si="40"/>
        <v>273.24065990999998</v>
      </c>
      <c r="BT38" s="24">
        <f t="shared" si="40"/>
        <v>310.91033906000001</v>
      </c>
    </row>
    <row r="39" spans="1:72" hidden="1" outlineLevel="1" x14ac:dyDescent="0.25">
      <c r="A39" s="11" t="s">
        <v>55</v>
      </c>
      <c r="C39" s="2" t="s">
        <v>1</v>
      </c>
      <c r="D39" s="8">
        <f>IFERROR(
GETPIVOTDATA(
"[Base].[Importe]",
TDinamica_R!$A$5,
"[Calendario].[AñoMes]",
"[Calendario].[AñoMes].&amp;[" &amp; TEXT(D$6,"yyyymm")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E39" s="8">
        <f>IFERROR(
GETPIVOTDATA(
"[Base].[Importe]",
TDinamica_R!$A$5,
"[Calendario].[AñoMes]",
"[Calendario].[AñoMes].&amp;[" &amp; TEXT(E$6,"yyyymm")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F39" s="8">
        <f>IFERROR(
GETPIVOTDATA(
"[Base].[Importe]",
TDinamica_R!$A$5,
"[Calendario].[AñoMes]",
"[Calendario].[AñoMes].&amp;[" &amp; TEXT(F$6,"yyyymm")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G39" s="8">
        <f>IFERROR(
GETPIVOTDATA(
"[Base].[Importe]",
TDinamica_R!$A$5,
"[Calendario].[AñoMes]",
"[Calendario].[AñoMes].&amp;[" &amp; TEXT(G$6,"yyyymm")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H39" s="8">
        <f>IFERROR(
GETPIVOTDATA(
"[Base].[Importe]",
TDinamica_R!$A$5,
"[Calendario].[AñoMes]",
"[Calendario].[AñoMes].&amp;[" &amp; TEXT(H$6,"yyyymm")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I39" s="8">
        <f>IFERROR(
GETPIVOTDATA(
"[Base].[Importe]",
TDinamica_R!$A$5,
"[Calendario].[AñoMes]",
"[Calendario].[AñoMes].&amp;[" &amp; TEXT(I$6,"yyyymm")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J39" s="8">
        <f>IFERROR(
GETPIVOTDATA(
"[Base].[Importe]",
TDinamica_R!$A$5,
"[Calendario].[AñoMes]",
"[Calendario].[AñoMes].&amp;[" &amp; TEXT(J$6,"yyyymm")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K39" s="8">
        <f>IFERROR(
GETPIVOTDATA(
"[Base].[Importe]",
TDinamica_R!$A$5,
"[Calendario].[AñoMes]",
"[Calendario].[AñoMes].&amp;[" &amp; TEXT(K$6,"yyyymm")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L39" s="8">
        <f>IFERROR(
GETPIVOTDATA(
"[Base].[Importe]",
TDinamica_R!$A$5,
"[Calendario].[AñoMes]",
"[Calendario].[AñoMes].&amp;[" &amp; TEXT(L$6,"yyyymm")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M39" s="8">
        <f>IFERROR(
GETPIVOTDATA(
"[Base].[Importe]",
TDinamica_R!$A$5,
"[Calendario].[AñoMes]",
"[Calendario].[AñoMes].&amp;[" &amp; TEXT(M$6,"yyyymm")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N39" s="8">
        <f>IFERROR(
GETPIVOTDATA(
"[Base].[Importe]",
TDinamica_R!$A$5,
"[Calendario].[AñoMes]",
"[Calendario].[AñoMes].&amp;[" &amp; TEXT(N$6,"yyyymm")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O39" s="8">
        <f>IFERROR(
GETPIVOTDATA(
"[Base].[Importe]",
TDinamica_R!$A$5,
"[Calendario].[AñoMes]",
"[Calendario].[AñoMes].&amp;[" &amp; TEXT(O$6,"yyyymm")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P39" s="8">
        <f>IFERROR(
GETPIVOTDATA(
"[Base].[Importe]",
TDinamica_R!$A$5,
"[Calendario].[AñoMes]",
"[Calendario].[AñoMes].&amp;[" &amp; TEXT(P$6,"yyyymm")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Q39" s="8">
        <f>IFERROR(
GETPIVOTDATA(
"[Base].[Importe]",
TDinamica_R!$A$5,
"[Calendario].[AñoMes]",
"[Calendario].[AñoMes].&amp;[" &amp; TEXT(Q$6,"yyyymm")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R39" s="8">
        <f>IFERROR(
GETPIVOTDATA(
"[Base].[Importe]",
TDinamica_R!$A$5,
"[Calendario].[AñoMes]",
"[Calendario].[AñoMes].&amp;[" &amp; TEXT(R$6,"yyyymm")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S39" s="8">
        <f>IFERROR(
GETPIVOTDATA(
"[Base].[Importe]",
TDinamica_R!$A$5,
"[Calendario].[AñoMes]",
"[Calendario].[AñoMes].&amp;[" &amp; TEXT(S$6,"yyyymm")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T39" s="8">
        <f>IFERROR(
GETPIVOTDATA(
"[Base].[Importe]",
TDinamica_R!$A$5,
"[Calendario].[AñoMes]",
"[Calendario].[AñoMes].&amp;[" &amp; TEXT(T$6,"yyyymm")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U39" s="8">
        <f>IFERROR(
GETPIVOTDATA(
"[Base].[Importe]",
TDinamica_R!$A$5,
"[Calendario].[AñoMes]",
"[Calendario].[AñoMes].&amp;[" &amp; TEXT(U$6,"yyyymm")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V39" s="8">
        <f>IFERROR(
GETPIVOTDATA(
"[Base].[Importe]",
TDinamica_R!$A$5,
"[Calendario].[AñoMes]",
"[Calendario].[AñoMes].&amp;[" &amp; TEXT(V$6,"yyyymm")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W39" s="8">
        <f>IFERROR(
GETPIVOTDATA(
"[Base].[Importe]",
TDinamica_R!$A$5,
"[Calendario].[AñoMes]",
"[Calendario].[AñoMes].&amp;[" &amp; TEXT(W$6,"yyyymm")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X39" s="8">
        <f>IFERROR(
GETPIVOTDATA(
"[Base].[Importe]",
TDinamica_R!$A$5,
"[Calendario].[AñoMes]",
"[Calendario].[AñoMes].&amp;[" &amp; TEXT(X$6,"yyyymm")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Y39" s="8">
        <f>IFERROR(
GETPIVOTDATA(
"[Base].[Importe]",
TDinamica_R!$A$5,
"[Calendario].[AñoMes]",
"[Calendario].[AñoMes].&amp;[" &amp; TEXT(Y$6,"yyyymm")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Z39" s="8">
        <f>IFERROR(
GETPIVOTDATA(
"[Base].[Importe]",
TDinamica_R!$A$5,
"[Calendario].[AñoMes]",
"[Calendario].[AñoMes].&amp;[" &amp; TEXT(Z$6,"yyyymm")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A39" s="8">
        <f>IFERROR(
GETPIVOTDATA(
"[Base].[Importe]",
TDinamica_R!$A$5,
"[Calendario].[AñoMes]",
"[Calendario].[AñoMes].&amp;[" &amp; TEXT(AA$6,"yyyymm")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B39" s="8">
        <f>IFERROR(
GETPIVOTDATA(
"[Base].[Importe]",
TDinamica_R!$A$5,
"[Calendario].[AñoMes]",
"[Calendario].[AñoMes].&amp;[" &amp; TEXT(AB$6,"yyyymm")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C39" s="8">
        <f>IFERROR(
GETPIVOTDATA(
"[Base].[Importe]",
TDinamica_R!$A$5,
"[Calendario].[AñoMes]",
"[Calendario].[AñoMes].&amp;[" &amp; TEXT(AC$6,"yyyymm")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D39" s="8">
        <f>IFERROR(
GETPIVOTDATA(
"[Base].[Importe]",
TDinamica_R!$A$5,
"[Calendario].[AñoMes]",
"[Calendario].[AñoMes].&amp;[" &amp; TEXT(AD$6,"yyyymm")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E39" s="8">
        <f>IFERROR(
GETPIVOTDATA(
"[Base].[Importe]",
TDinamica_R!$A$5,
"[Calendario].[AñoMes]",
"[Calendario].[AñoMes].&amp;[" &amp; TEXT(AE$6,"yyyymm")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F39" s="8">
        <f>IFERROR(
GETPIVOTDATA(
"[Base].[Importe]",
TDinamica_R!$A$5,
"[Calendario].[AñoMes]",
"[Calendario].[AñoMes].&amp;[" &amp; TEXT(AF$6,"yyyymm")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G39" s="8">
        <f>IFERROR(
GETPIVOTDATA(
"[Base].[Importe]",
TDinamica_R!$A$5,
"[Calendario].[AñoMes]",
"[Calendario].[AñoMes].&amp;[" &amp; TEXT(AG$6,"yyyymm")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H39" s="8">
        <f>IFERROR(
GETPIVOTDATA(
"[Base].[Importe]",
TDinamica_R!$A$5,
"[Calendario].[AñoMes]",
"[Calendario].[AñoMes].&amp;[" &amp; TEXT(AH$6,"yyyymm")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I39" s="8">
        <f>IFERROR(
GETPIVOTDATA(
"[Base].[Importe]",
TDinamica_R!$A$5,
"[Calendario].[AñoMes]",
"[Calendario].[AñoMes].&amp;[" &amp; TEXT(AI$6,"yyyymm")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J39" s="8">
        <f>IFERROR(
GETPIVOTDATA(
"[Base].[Importe]",
TDinamica_R!$A$5,
"[Calendario].[AñoMes]",
"[Calendario].[AñoMes].&amp;[" &amp; TEXT(AJ$6,"yyyymm")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K39" s="8">
        <f>IFERROR(
GETPIVOTDATA(
"[Base].[Importe]",
TDinamica_R!$A$5,
"[Calendario].[AñoMes]",
"[Calendario].[AñoMes].&amp;[" &amp; TEXT(AK$6,"yyyymm")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L39" s="8">
        <f>IFERROR(
GETPIVOTDATA(
"[Base].[Importe]",
TDinamica_R!$A$5,
"[Calendario].[AñoMes]",
"[Calendario].[AñoMes].&amp;[" &amp; TEXT(AL$6,"yyyymm")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M39" s="8">
        <f>IFERROR(
GETPIVOTDATA(
"[Base].[Importe]",
TDinamica_R!$A$5,
"[Calendario].[AñoMes]",
"[Calendario].[AñoMes].&amp;[" &amp; TEXT(AM$6,"yyyymm")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N39" s="8">
        <f>IFERROR(
GETPIVOTDATA(
"[Base].[Importe]",
TDinamica_R!$A$5,
"[Calendario].[AñoMes]",
"[Calendario].[AñoMes].&amp;[" &amp; TEXT(AN$6,"yyyymm")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O39" s="8">
        <f>IFERROR(
GETPIVOTDATA(
"[Base].[Importe]",
TDinamica_R!$A$5,
"[Calendario].[AñoMes]",
"[Calendario].[AñoMes].&amp;[" &amp; TEXT(AO$6,"yyyymm")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P39" s="8">
        <f>IFERROR(
GETPIVOTDATA(
"[Base].[Importe]",
TDinamica_R!$A$5,
"[Calendario].[AñoMes]",
"[Calendario].[AñoMes].&amp;[" &amp; TEXT(AP$6,"yyyymm")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Q39" s="8">
        <f>IFERROR(
GETPIVOTDATA(
"[Base].[Importe]",
TDinamica_R!$A$5,
"[Calendario].[AñoMes]",
"[Calendario].[AñoMes].&amp;[" &amp; TEXT(AQ$6,"yyyymm")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R39" s="8">
        <f>IFERROR(
GETPIVOTDATA(
"[Base].[Importe]",
TDinamica_R!$A$5,
"[Calendario].[AñoMes]",
"[Calendario].[AñoMes].&amp;[" &amp; TEXT(AR$6,"yyyymm")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S39" s="8">
        <f>IFERROR(
GETPIVOTDATA(
"[Base].[Importe]",
TDinamica_R!$A$5,
"[Calendario].[AñoMes]",
"[Calendario].[AñoMes].&amp;[" &amp; TEXT(AS$6,"yyyymm")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T39" s="8">
        <f>IFERROR(
GETPIVOTDATA(
"[Base].[Importe]",
TDinamica_R!$A$5,
"[Calendario].[AñoMes]",
"[Calendario].[AñoMes].&amp;[" &amp; TEXT(AT$6,"yyyymm")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U39" s="8">
        <f>IFERROR(
GETPIVOTDATA(
"[Base].[Importe]",
TDinamica_R!$A$5,
"[Calendario].[AñoMes]",
"[Calendario].[AñoMes].&amp;[" &amp; TEXT(AU$6,"yyyymm")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V39" s="8">
        <f>IFERROR(
GETPIVOTDATA(
"[Base].[Importe]",
TDinamica_R!$A$5,
"[Calendario].[AñoMes]",
"[Calendario].[AñoMes].&amp;[" &amp; TEXT(AV$6,"yyyymm")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W39" s="8">
        <f>IFERROR(
GETPIVOTDATA(
"[Base].[Importe]",
TDinamica_R!$A$5,
"[Calendario].[AñoMes]",
"[Calendario].[AñoMes].&amp;[" &amp; TEXT(AW$6,"yyyymm")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X39" s="8">
        <f>IFERROR(
GETPIVOTDATA(
"[Base].[Importe]",
TDinamica_R!$A$5,
"[Calendario].[AñoMes]",
"[Calendario].[AñoMes].&amp;[" &amp; TEXT(AX$6,"yyyymm")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Y39" s="8">
        <f>IFERROR(
GETPIVOTDATA(
"[Base].[Importe]",
TDinamica_R!$A$5,
"[Calendario].[AñoMes]",
"[Calendario].[AñoMes].&amp;[" &amp; TEXT(AY$6,"yyyymm") &amp; "]",
"[Base].[Metrica]",
"[Base].[Metrica].&amp;[" &amp; $A39 &amp; "]",
"[Base].[SEGMENTO_DESCRIP]",
"[Base].[SEGMENTO_DESCRIP].&amp;[" &amp; $C$6 &amp; "]",
"[Base].[SITUACION]",
"[Base].[SITUACION].&amp;[" &amp; $C39 &amp; "]"
),0)/1000</f>
        <v>0</v>
      </c>
      <c r="AZ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"[BASE_HIPO_PPTO].[Periodo]","[BASE_HIPO_PPTO].[Periodo].&amp;["&amp;TEXT(AZ$6,"yyyymm")&amp;"]"),
0)/1000</f>
        <v>0</v>
      </c>
      <c r="BA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"[BASE_HIPO_PPTO].[Periodo]","[BASE_HIPO_PPTO].[Periodo].&amp;["&amp;TEXT(BA$6,"yyyymm")&amp;"]"),
0)/1000</f>
        <v>0</v>
      </c>
      <c r="BB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"[BASE_HIPO_PPTO].[Periodo]","[BASE_HIPO_PPTO].[Periodo].&amp;["&amp;TEXT(BB$6,"yyyymm")&amp;"]"),
0)/1000</f>
        <v>0</v>
      </c>
      <c r="BC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"[BASE_HIPO_PPTO].[Periodo]","[BASE_HIPO_PPTO].[Periodo].&amp;["&amp;TEXT(BC$6,"yyyymm")&amp;"]"),
0)/1000</f>
        <v>0</v>
      </c>
      <c r="BD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"[BASE_HIPO_PPTO].[Periodo]","[BASE_HIPO_PPTO].[Periodo].&amp;["&amp;TEXT(BD$6,"yyyymm")&amp;"]"),
0)/1000</f>
        <v>0</v>
      </c>
      <c r="BE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"[BASE_HIPO_PPTO].[Periodo]","[BASE_HIPO_PPTO].[Periodo].&amp;["&amp;TEXT(BE$6,"yyyymm")&amp;"]"),
0)/1000</f>
        <v>0</v>
      </c>
      <c r="BF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"[BASE_HIPO_PPTO].[Periodo]","[BASE_HIPO_PPTO].[Periodo].&amp;["&amp;TEXT(BF$6,"yyyymm")&amp;"]"),
0)/1000</f>
        <v>0</v>
      </c>
      <c r="BG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"[BASE_HIPO_PPTO].[Periodo]","[BASE_HIPO_PPTO].[Periodo].&amp;["&amp;TEXT(BG$6,"yyyymm")&amp;"]"),
0)/1000</f>
        <v>0</v>
      </c>
      <c r="BH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"[BASE_HIPO_PPTO].[Periodo]","[BASE_HIPO_PPTO].[Periodo].&amp;["&amp;TEXT(BH$6,"yyyymm")&amp;"]"),
0)/1000</f>
        <v>0</v>
      </c>
      <c r="BI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"[BASE_HIPO_PPTO].[Periodo]","[BASE_HIPO_PPTO].[Periodo].&amp;["&amp;TEXT(BI$6,"yyyymm")&amp;"]"),
0)/1000</f>
        <v>0</v>
      </c>
      <c r="BJ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"[BASE_HIPO_PPTO].[Periodo]","[BASE_HIPO_PPTO].[Periodo].&amp;["&amp;TEXT(BJ$6,"yyyymm")&amp;"]"),
0)/1000</f>
        <v>0</v>
      </c>
      <c r="BK39" s="8">
        <f>IFERROR(
GETPIVOTDATA(
"[BASE_HIPO_PPTO].[Importe]",
TDinamica_P!$A$5,
"[BASE_HIPO_PPTO].[Metrica]","[BASE_HIPO_PPTO].[Metrica].&amp;["&amp;$A39&amp;"]",
"[BASE_HIPO_PPTO].[SEGMENTO_DESCRIP]","[BASE_HIPO_PPTO].[SEGMENTO_DESCRIP].&amp;["&amp;$C$6&amp;"]",
"[BASE_HIPO_PPTO].[SITUACION]","[BASE_HIPO_PPTO].[SITUACION].&amp;["&amp;$C39&amp;"]",
"[BASE_HIPO_PPTO].[Periodo]","[BASE_HIPO_PPTO].[Periodo].&amp;["&amp;TEXT(BK$6,"yyyymm")&amp;"]"),
0)/1000</f>
        <v>0</v>
      </c>
      <c r="BO39" s="24">
        <f t="shared" si="40"/>
        <v>0</v>
      </c>
      <c r="BP39" s="24">
        <f t="shared" si="40"/>
        <v>0</v>
      </c>
      <c r="BQ39" s="24">
        <f t="shared" si="40"/>
        <v>0</v>
      </c>
      <c r="BR39" s="24">
        <f t="shared" si="40"/>
        <v>0</v>
      </c>
      <c r="BS39" s="24">
        <f t="shared" si="40"/>
        <v>0</v>
      </c>
      <c r="BT39" s="24">
        <f t="shared" si="40"/>
        <v>0</v>
      </c>
    </row>
    <row r="40" spans="1:72" hidden="1" outlineLevel="1" x14ac:dyDescent="0.25">
      <c r="A40" s="11" t="s">
        <v>55</v>
      </c>
      <c r="C40" s="2" t="s">
        <v>45</v>
      </c>
      <c r="D40" s="8">
        <f>IFERROR(
GETPIVOTDATA(
"[Base].[Importe]",
TDinamica_R!$A$5,
"[Calendario].[AñoMes]",
"[Calendario].[AñoMes].&amp;[" &amp; TEXT(D$6,"yyyymm") &amp; "]",
"[Base].[Metrica]",
"[Base].[Metrica].&amp;[" &amp; $A40 &amp; "]",
"[Base].[SEGMENTO_DESCRIP]",
"[Base].[SEGMENTO_DESCRIP].&amp;[" &amp; $C$6 &amp; "]",
"[Base].[SITUACION]",
"[Base].[SITUACION].&amp;[" &amp; $C40 &amp; "]"
),0)/1000</f>
        <v>7.015958330000001</v>
      </c>
      <c r="E40" s="8">
        <f>IFERROR(
GETPIVOTDATA(
"[Base].[Importe]",
TDinamica_R!$A$5,
"[Calendario].[AñoMes]",
"[Calendario].[AñoMes].&amp;[" &amp; TEXT(E$6,"yyyymm") &amp; "]",
"[Base].[Metrica]",
"[Base].[Metrica].&amp;[" &amp; $A40 &amp; "]",
"[Base].[SEGMENTO_DESCRIP]",
"[Base].[SEGMENTO_DESCRIP].&amp;[" &amp; $C$6 &amp; "]",
"[Base].[SITUACION]",
"[Base].[SITUACION].&amp;[" &amp; $C40 &amp; "]"
),0)/1000</f>
        <v>26.634673189999997</v>
      </c>
      <c r="F40" s="8">
        <f>IFERROR(
GETPIVOTDATA(
"[Base].[Importe]",
TDinamica_R!$A$5,
"[Calendario].[AñoMes]",
"[Calendario].[AñoMes].&amp;[" &amp; TEXT(F$6,"yyyymm") &amp; "]",
"[Base].[Metrica]",
"[Base].[Metrica].&amp;[" &amp; $A40 &amp; "]",
"[Base].[SEGMENTO_DESCRIP]",
"[Base].[SEGMENTO_DESCRIP].&amp;[" &amp; $C$6 &amp; "]",
"[Base].[SITUACION]",
"[Base].[SITUACION].&amp;[" &amp; $C40 &amp; "]"
),0)/1000</f>
        <v>3.2402621799999998</v>
      </c>
      <c r="G40" s="8">
        <f>IFERROR(
GETPIVOTDATA(
"[Base].[Importe]",
TDinamica_R!$A$5,
"[Calendario].[AñoMes]",
"[Calendario].[AñoMes].&amp;[" &amp; TEXT(G$6,"yyyymm") &amp; "]",
"[Base].[Metrica]",
"[Base].[Metrica].&amp;[" &amp; $A40 &amp; "]",
"[Base].[SEGMENTO_DESCRIP]",
"[Base].[SEGMENTO_DESCRIP].&amp;[" &amp; $C$6 &amp; "]",
"[Base].[SITUACION]",
"[Base].[SITUACION].&amp;[" &amp; $C40 &amp; "]"
),0)/1000</f>
        <v>11.40776937</v>
      </c>
      <c r="H40" s="8">
        <f>IFERROR(
GETPIVOTDATA(
"[Base].[Importe]",
TDinamica_R!$A$5,
"[Calendario].[AñoMes]",
"[Calendario].[AñoMes].&amp;[" &amp; TEXT(H$6,"yyyymm") &amp; "]",
"[Base].[Metrica]",
"[Base].[Metrica].&amp;[" &amp; $A40 &amp; "]",
"[Base].[SEGMENTO_DESCRIP]",
"[Base].[SEGMENTO_DESCRIP].&amp;[" &amp; $C$6 &amp; "]",
"[Base].[SITUACION]",
"[Base].[SITUACION].&amp;[" &amp; $C40 &amp; "]"
),0)/1000</f>
        <v>6.1038238400000004</v>
      </c>
      <c r="I40" s="8">
        <f>IFERROR(
GETPIVOTDATA(
"[Base].[Importe]",
TDinamica_R!$A$5,
"[Calendario].[AñoMes]",
"[Calendario].[AñoMes].&amp;[" &amp; TEXT(I$6,"yyyymm") &amp; "]",
"[Base].[Metrica]",
"[Base].[Metrica].&amp;[" &amp; $A40 &amp; "]",
"[Base].[SEGMENTO_DESCRIP]",
"[Base].[SEGMENTO_DESCRIP].&amp;[" &amp; $C$6 &amp; "]",
"[Base].[SITUACION]",
"[Base].[SITUACION].&amp;[" &amp; $C40 &amp; "]"
),0)/1000</f>
        <v>90.357988089999992</v>
      </c>
      <c r="J40" s="8">
        <f>IFERROR(
GETPIVOTDATA(
"[Base].[Importe]",
TDinamica_R!$A$5,
"[Calendario].[AñoMes]",
"[Calendario].[AñoMes].&amp;[" &amp; TEXT(J$6,"yyyymm") &amp; "]",
"[Base].[Metrica]",
"[Base].[Metrica].&amp;[" &amp; $A40 &amp; "]",
"[Base].[SEGMENTO_DESCRIP]",
"[Base].[SEGMENTO_DESCRIP].&amp;[" &amp; $C$6 &amp; "]",
"[Base].[SITUACION]",
"[Base].[SITUACION].&amp;[" &amp; $C40 &amp; "]"
),0)/1000</f>
        <v>9.1981800000000025</v>
      </c>
      <c r="K40" s="8">
        <f>IFERROR(
GETPIVOTDATA(
"[Base].[Importe]",
TDinamica_R!$A$5,
"[Calendario].[AñoMes]",
"[Calendario].[AñoMes].&amp;[" &amp; TEXT(K$6,"yyyymm") &amp; "]",
"[Base].[Metrica]",
"[Base].[Metrica].&amp;[" &amp; $A40 &amp; "]",
"[Base].[SEGMENTO_DESCRIP]",
"[Base].[SEGMENTO_DESCRIP].&amp;[" &amp; $C$6 &amp; "]",
"[Base].[SITUACION]",
"[Base].[SITUACION].&amp;[" &amp; $C40 &amp; "]"
),0)/1000</f>
        <v>13.917027939999999</v>
      </c>
      <c r="L40" s="8">
        <f>IFERROR(
GETPIVOTDATA(
"[Base].[Importe]",
TDinamica_R!$A$5,
"[Calendario].[AñoMes]",
"[Calendario].[AñoMes].&amp;[" &amp; TEXT(L$6,"yyyymm") &amp; "]",
"[Base].[Metrica]",
"[Base].[Metrica].&amp;[" &amp; $A40 &amp; "]",
"[Base].[SEGMENTO_DESCRIP]",
"[Base].[SEGMENTO_DESCRIP].&amp;[" &amp; $C$6 &amp; "]",
"[Base].[SITUACION]",
"[Base].[SITUACION].&amp;[" &amp; $C40 &amp; "]"
),0)/1000</f>
        <v>185.21483920000003</v>
      </c>
      <c r="M40" s="8">
        <f>IFERROR(
GETPIVOTDATA(
"[Base].[Importe]",
TDinamica_R!$A$5,
"[Calendario].[AñoMes]",
"[Calendario].[AñoMes].&amp;[" &amp; TEXT(M$6,"yyyymm") &amp; "]",
"[Base].[Metrica]",
"[Base].[Metrica].&amp;[" &amp; $A40 &amp; "]",
"[Base].[SEGMENTO_DESCRIP]",
"[Base].[SEGMENTO_DESCRIP].&amp;[" &amp; $C$6 &amp; "]",
"[Base].[SITUACION]",
"[Base].[SITUACION].&amp;[" &amp; $C40 &amp; "]"
),0)/1000</f>
        <v>5.0156806100000004</v>
      </c>
      <c r="N40" s="8">
        <f>IFERROR(
GETPIVOTDATA(
"[Base].[Importe]",
TDinamica_R!$A$5,
"[Calendario].[AñoMes]",
"[Calendario].[AñoMes].&amp;[" &amp; TEXT(N$6,"yyyymm") &amp; "]",
"[Base].[Metrica]",
"[Base].[Metrica].&amp;[" &amp; $A40 &amp; "]",
"[Base].[SEGMENTO_DESCRIP]",
"[Base].[SEGMENTO_DESCRIP].&amp;[" &amp; $C$6 &amp; "]",
"[Base].[SITUACION]",
"[Base].[SITUACION].&amp;[" &amp; $C40 &amp; "]"
),0)/1000</f>
        <v>13.860565699999997</v>
      </c>
      <c r="O40" s="8">
        <f>IFERROR(
GETPIVOTDATA(
"[Base].[Importe]",
TDinamica_R!$A$5,
"[Calendario].[AñoMes]",
"[Calendario].[AñoMes].&amp;[" &amp; TEXT(O$6,"yyyymm") &amp; "]",
"[Base].[Metrica]",
"[Base].[Metrica].&amp;[" &amp; $A40 &amp; "]",
"[Base].[SEGMENTO_DESCRIP]",
"[Base].[SEGMENTO_DESCRIP].&amp;[" &amp; $C$6 &amp; "]",
"[Base].[SITUACION]",
"[Base].[SITUACION].&amp;[" &amp; $C40 &amp; "]"
),0)/1000</f>
        <v>5.5197896999999996</v>
      </c>
      <c r="P40" s="8">
        <f>IFERROR(
GETPIVOTDATA(
"[Base].[Importe]",
TDinamica_R!$A$5,
"[Calendario].[AñoMes]",
"[Calendario].[AñoMes].&amp;[" &amp; TEXT(P$6,"yyyymm") &amp; "]",
"[Base].[Metrica]",
"[Base].[Metrica].&amp;[" &amp; $A40 &amp; "]",
"[Base].[SEGMENTO_DESCRIP]",
"[Base].[SEGMENTO_DESCRIP].&amp;[" &amp; $C$6 &amp; "]",
"[Base].[SITUACION]",
"[Base].[SITUACION].&amp;[" &amp; $C40 &amp; "]"
),0)/1000</f>
        <v>5.4505027600000009</v>
      </c>
      <c r="Q40" s="8">
        <f>IFERROR(
GETPIVOTDATA(
"[Base].[Importe]",
TDinamica_R!$A$5,
"[Calendario].[AñoMes]",
"[Calendario].[AñoMes].&amp;[" &amp; TEXT(Q$6,"yyyymm") &amp; "]",
"[Base].[Metrica]",
"[Base].[Metrica].&amp;[" &amp; $A40 &amp; "]",
"[Base].[SEGMENTO_DESCRIP]",
"[Base].[SEGMENTO_DESCRIP].&amp;[" &amp; $C$6 &amp; "]",
"[Base].[SITUACION]",
"[Base].[SITUACION].&amp;[" &amp; $C40 &amp; "]"
),0)/1000</f>
        <v>3.45864422</v>
      </c>
      <c r="R40" s="8">
        <f>IFERROR(
GETPIVOTDATA(
"[Base].[Importe]",
TDinamica_R!$A$5,
"[Calendario].[AñoMes]",
"[Calendario].[AñoMes].&amp;[" &amp; TEXT(R$6,"yyyymm") &amp; "]",
"[Base].[Metrica]",
"[Base].[Metrica].&amp;[" &amp; $A40 &amp; "]",
"[Base].[SEGMENTO_DESCRIP]",
"[Base].[SEGMENTO_DESCRIP].&amp;[" &amp; $C$6 &amp; "]",
"[Base].[SITUACION]",
"[Base].[SITUACION].&amp;[" &amp; $C40 &amp; "]"
),0)/1000</f>
        <v>23.146072920000002</v>
      </c>
      <c r="S40" s="8">
        <f>IFERROR(
GETPIVOTDATA(
"[Base].[Importe]",
TDinamica_R!$A$5,
"[Calendario].[AñoMes]",
"[Calendario].[AñoMes].&amp;[" &amp; TEXT(S$6,"yyyymm") &amp; "]",
"[Base].[Metrica]",
"[Base].[Metrica].&amp;[" &amp; $A40 &amp; "]",
"[Base].[SEGMENTO_DESCRIP]",
"[Base].[SEGMENTO_DESCRIP].&amp;[" &amp; $C$6 &amp; "]",
"[Base].[SITUACION]",
"[Base].[SITUACION].&amp;[" &amp; $C40 &amp; "]"
),0)/1000</f>
        <v>17.527189200000009</v>
      </c>
      <c r="T40" s="8">
        <f>IFERROR(
GETPIVOTDATA(
"[Base].[Importe]",
TDinamica_R!$A$5,
"[Calendario].[AñoMes]",
"[Calendario].[AñoMes].&amp;[" &amp; TEXT(T$6,"yyyymm") &amp; "]",
"[Base].[Metrica]",
"[Base].[Metrica].&amp;[" &amp; $A40 &amp; "]",
"[Base].[SEGMENTO_DESCRIP]",
"[Base].[SEGMENTO_DESCRIP].&amp;[" &amp; $C$6 &amp; "]",
"[Base].[SITUACION]",
"[Base].[SITUACION].&amp;[" &amp; $C40 &amp; "]"
),0)/1000</f>
        <v>3.3721821699999994</v>
      </c>
      <c r="U40" s="8">
        <f>IFERROR(
GETPIVOTDATA(
"[Base].[Importe]",
TDinamica_R!$A$5,
"[Calendario].[AñoMes]",
"[Calendario].[AñoMes].&amp;[" &amp; TEXT(U$6,"yyyymm") &amp; "]",
"[Base].[Metrica]",
"[Base].[Metrica].&amp;[" &amp; $A40 &amp; "]",
"[Base].[SEGMENTO_DESCRIP]",
"[Base].[SEGMENTO_DESCRIP].&amp;[" &amp; $C$6 &amp; "]",
"[Base].[SITUACION]",
"[Base].[SITUACION].&amp;[" &amp; $C40 &amp; "]"
),0)/1000</f>
        <v>7.7711017000000009</v>
      </c>
      <c r="V40" s="8">
        <f>IFERROR(
GETPIVOTDATA(
"[Base].[Importe]",
TDinamica_R!$A$5,
"[Calendario].[AñoMes]",
"[Calendario].[AñoMes].&amp;[" &amp; TEXT(V$6,"yyyymm") &amp; "]",
"[Base].[Metrica]",
"[Base].[Metrica].&amp;[" &amp; $A40 &amp; "]",
"[Base].[SEGMENTO_DESCRIP]",
"[Base].[SEGMENTO_DESCRIP].&amp;[" &amp; $C$6 &amp; "]",
"[Base].[SITUACION]",
"[Base].[SITUACION].&amp;[" &amp; $C40 &amp; "]"
),0)/1000</f>
        <v>8.2223676500000007</v>
      </c>
      <c r="W40" s="8">
        <f>IFERROR(
GETPIVOTDATA(
"[Base].[Importe]",
TDinamica_R!$A$5,
"[Calendario].[AñoMes]",
"[Calendario].[AñoMes].&amp;[" &amp; TEXT(W$6,"yyyymm") &amp; "]",
"[Base].[Metrica]",
"[Base].[Metrica].&amp;[" &amp; $A40 &amp; "]",
"[Base].[SEGMENTO_DESCRIP]",
"[Base].[SEGMENTO_DESCRIP].&amp;[" &amp; $C$6 &amp; "]",
"[Base].[SITUACION]",
"[Base].[SITUACION].&amp;[" &amp; $C40 &amp; "]"
),0)/1000</f>
        <v>4.4749149600000004</v>
      </c>
      <c r="X40" s="8">
        <f>IFERROR(
GETPIVOTDATA(
"[Base].[Importe]",
TDinamica_R!$A$5,
"[Calendario].[AñoMes]",
"[Calendario].[AñoMes].&amp;[" &amp; TEXT(X$6,"yyyymm") &amp; "]",
"[Base].[Metrica]",
"[Base].[Metrica].&amp;[" &amp; $A40 &amp; "]",
"[Base].[SEGMENTO_DESCRIP]",
"[Base].[SEGMENTO_DESCRIP].&amp;[" &amp; $C$6 &amp; "]",
"[Base].[SITUACION]",
"[Base].[SITUACION].&amp;[" &amp; $C40 &amp; "]"
),0)/1000</f>
        <v>3.9835228599999999</v>
      </c>
      <c r="Y40" s="8">
        <f>IFERROR(
GETPIVOTDATA(
"[Base].[Importe]",
TDinamica_R!$A$5,
"[Calendario].[AñoMes]",
"[Calendario].[AñoMes].&amp;[" &amp; TEXT(Y$6,"yyyymm") &amp; "]",
"[Base].[Metrica]",
"[Base].[Metrica].&amp;[" &amp; $A40 &amp; "]",
"[Base].[SEGMENTO_DESCRIP]",
"[Base].[SEGMENTO_DESCRIP].&amp;[" &amp; $C$6 &amp; "]",
"[Base].[SITUACION]",
"[Base].[SITUACION].&amp;[" &amp; $C40 &amp; "]"
),0)/1000</f>
        <v>14.295279970000001</v>
      </c>
      <c r="Z40" s="8">
        <f>IFERROR(
GETPIVOTDATA(
"[Base].[Importe]",
TDinamica_R!$A$5,
"[Calendario].[AñoMes]",
"[Calendario].[AñoMes].&amp;[" &amp; TEXT(Z$6,"yyyymm") &amp; "]",
"[Base].[Metrica]",
"[Base].[Metrica].&amp;[" &amp; $A40 &amp; "]",
"[Base].[SEGMENTO_DESCRIP]",
"[Base].[SEGMENTO_DESCRIP].&amp;[" &amp; $C$6 &amp; "]",
"[Base].[SITUACION]",
"[Base].[SITUACION].&amp;[" &amp; $C40 &amp; "]"
),0)/1000</f>
        <v>10.3132761</v>
      </c>
      <c r="AA40" s="8">
        <f>IFERROR(
GETPIVOTDATA(
"[Base].[Importe]",
TDinamica_R!$A$5,
"[Calendario].[AñoMes]",
"[Calendario].[AñoMes].&amp;[" &amp; TEXT(AA$6,"yyyymm") &amp; "]",
"[Base].[Metrica]",
"[Base].[Metrica].&amp;[" &amp; $A40 &amp; "]",
"[Base].[SEGMENTO_DESCRIP]",
"[Base].[SEGMENTO_DESCRIP].&amp;[" &amp; $C$6 &amp; "]",
"[Base].[SITUACION]",
"[Base].[SITUACION].&amp;[" &amp; $C40 &amp; "]"
),0)/1000</f>
        <v>1.87069229</v>
      </c>
      <c r="AB40" s="8">
        <f>IFERROR(
GETPIVOTDATA(
"[Base].[Importe]",
TDinamica_R!$A$5,
"[Calendario].[AñoMes]",
"[Calendario].[AñoMes].&amp;[" &amp; TEXT(AB$6,"yyyymm") &amp; "]",
"[Base].[Metrica]",
"[Base].[Metrica].&amp;[" &amp; $A40 &amp; "]",
"[Base].[SEGMENTO_DESCRIP]",
"[Base].[SEGMENTO_DESCRIP].&amp;[" &amp; $C$6 &amp; "]",
"[Base].[SITUACION]",
"[Base].[SITUACION].&amp;[" &amp; $C40 &amp; "]"
),0)/1000</f>
        <v>0.60456719000000014</v>
      </c>
      <c r="AC40" s="8">
        <f>IFERROR(
GETPIVOTDATA(
"[Base].[Importe]",
TDinamica_R!$A$5,
"[Calendario].[AñoMes]",
"[Calendario].[AñoMes].&amp;[" &amp; TEXT(AC$6,"yyyymm") &amp; "]",
"[Base].[Metrica]",
"[Base].[Metrica].&amp;[" &amp; $A40 &amp; "]",
"[Base].[SEGMENTO_DESCRIP]",
"[Base].[SEGMENTO_DESCRIP].&amp;[" &amp; $C$6 &amp; "]",
"[Base].[SITUACION]",
"[Base].[SITUACION].&amp;[" &amp; $C40 &amp; "]"
),0)/1000</f>
        <v>4.7225517100000003</v>
      </c>
      <c r="AD40" s="8">
        <f>IFERROR(
GETPIVOTDATA(
"[Base].[Importe]",
TDinamica_R!$A$5,
"[Calendario].[AñoMes]",
"[Calendario].[AñoMes].&amp;[" &amp; TEXT(AD$6,"yyyymm") &amp; "]",
"[Base].[Metrica]",
"[Base].[Metrica].&amp;[" &amp; $A40 &amp; "]",
"[Base].[SEGMENTO_DESCRIP]",
"[Base].[SEGMENTO_DESCRIP].&amp;[" &amp; $C$6 &amp; "]",
"[Base].[SITUACION]",
"[Base].[SITUACION].&amp;[" &amp; $C40 &amp; "]"
),0)/1000</f>
        <v>2.3126605900000001</v>
      </c>
      <c r="AE40" s="8">
        <f>IFERROR(
GETPIVOTDATA(
"[Base].[Importe]",
TDinamica_R!$A$5,
"[Calendario].[AñoMes]",
"[Calendario].[AñoMes].&amp;[" &amp; TEXT(AE$6,"yyyymm") &amp; "]",
"[Base].[Metrica]",
"[Base].[Metrica].&amp;[" &amp; $A40 &amp; "]",
"[Base].[SEGMENTO_DESCRIP]",
"[Base].[SEGMENTO_DESCRIP].&amp;[" &amp; $C$6 &amp; "]",
"[Base].[SITUACION]",
"[Base].[SITUACION].&amp;[" &amp; $C40 &amp; "]"
),0)/1000</f>
        <v>2.7504355399999998</v>
      </c>
      <c r="AF40" s="8">
        <f>IFERROR(
GETPIVOTDATA(
"[Base].[Importe]",
TDinamica_R!$A$5,
"[Calendario].[AñoMes]",
"[Calendario].[AñoMes].&amp;[" &amp; TEXT(AF$6,"yyyymm") &amp; "]",
"[Base].[Metrica]",
"[Base].[Metrica].&amp;[" &amp; $A40 &amp; "]",
"[Base].[SEGMENTO_DESCRIP]",
"[Base].[SEGMENTO_DESCRIP].&amp;[" &amp; $C$6 &amp; "]",
"[Base].[SITUACION]",
"[Base].[SITUACION].&amp;[" &amp; $C40 &amp; "]"
),0)/1000</f>
        <v>3.7396711200000001</v>
      </c>
      <c r="AG40" s="8">
        <f>IFERROR(
GETPIVOTDATA(
"[Base].[Importe]",
TDinamica_R!$A$5,
"[Calendario].[AñoMes]",
"[Calendario].[AñoMes].&amp;[" &amp; TEXT(AG$6,"yyyymm") &amp; "]",
"[Base].[Metrica]",
"[Base].[Metrica].&amp;[" &amp; $A40 &amp; "]",
"[Base].[SEGMENTO_DESCRIP]",
"[Base].[SEGMENTO_DESCRIP].&amp;[" &amp; $C$6 &amp; "]",
"[Base].[SITUACION]",
"[Base].[SITUACION].&amp;[" &amp; $C40 &amp; "]"
),0)/1000</f>
        <v>1.2201651</v>
      </c>
      <c r="AH40" s="8">
        <f>IFERROR(
GETPIVOTDATA(
"[Base].[Importe]",
TDinamica_R!$A$5,
"[Calendario].[AñoMes]",
"[Calendario].[AñoMes].&amp;[" &amp; TEXT(AH$6,"yyyymm") &amp; "]",
"[Base].[Metrica]",
"[Base].[Metrica].&amp;[" &amp; $A40 &amp; "]",
"[Base].[SEGMENTO_DESCRIP]",
"[Base].[SEGMENTO_DESCRIP].&amp;[" &amp; $C$6 &amp; "]",
"[Base].[SITUACION]",
"[Base].[SITUACION].&amp;[" &amp; $C40 &amp; "]"
),0)/1000</f>
        <v>1.6073091199999998</v>
      </c>
      <c r="AI40" s="8">
        <f>IFERROR(
GETPIVOTDATA(
"[Base].[Importe]",
TDinamica_R!$A$5,
"[Calendario].[AñoMes]",
"[Calendario].[AñoMes].&amp;[" &amp; TEXT(AI$6,"yyyymm") &amp; "]",
"[Base].[Metrica]",
"[Base].[Metrica].&amp;[" &amp; $A40 &amp; "]",
"[Base].[SEGMENTO_DESCRIP]",
"[Base].[SEGMENTO_DESCRIP].&amp;[" &amp; $C$6 &amp; "]",
"[Base].[SITUACION]",
"[Base].[SITUACION].&amp;[" &amp; $C40 &amp; "]"
),0)/1000</f>
        <v>4.3506195100000005</v>
      </c>
      <c r="AJ40" s="8">
        <f>IFERROR(
GETPIVOTDATA(
"[Base].[Importe]",
TDinamica_R!$A$5,
"[Calendario].[AñoMes]",
"[Calendario].[AñoMes].&amp;[" &amp; TEXT(AJ$6,"yyyymm") &amp; "]",
"[Base].[Metrica]",
"[Base].[Metrica].&amp;[" &amp; $A40 &amp; "]",
"[Base].[SEGMENTO_DESCRIP]",
"[Base].[SEGMENTO_DESCRIP].&amp;[" &amp; $C$6 &amp; "]",
"[Base].[SITUACION]",
"[Base].[SITUACION].&amp;[" &amp; $C40 &amp; "]"
),0)/1000</f>
        <v>3.61520814</v>
      </c>
      <c r="AK40" s="8">
        <f>IFERROR(
GETPIVOTDATA(
"[Base].[Importe]",
TDinamica_R!$A$5,
"[Calendario].[AñoMes]",
"[Calendario].[AñoMes].&amp;[" &amp; TEXT(AK$6,"yyyymm") &amp; "]",
"[Base].[Metrica]",
"[Base].[Metrica].&amp;[" &amp; $A40 &amp; "]",
"[Base].[SEGMENTO_DESCRIP]",
"[Base].[SEGMENTO_DESCRIP].&amp;[" &amp; $C$6 &amp; "]",
"[Base].[SITUACION]",
"[Base].[SITUACION].&amp;[" &amp; $C40 &amp; "]"
),0)/1000</f>
        <v>9.3060762600000011</v>
      </c>
      <c r="AL40" s="8">
        <f>IFERROR(
GETPIVOTDATA(
"[Base].[Importe]",
TDinamica_R!$A$5,
"[Calendario].[AñoMes]",
"[Calendario].[AñoMes].&amp;[" &amp; TEXT(AL$6,"yyyymm") &amp; "]",
"[Base].[Metrica]",
"[Base].[Metrica].&amp;[" &amp; $A40 &amp; "]",
"[Base].[SEGMENTO_DESCRIP]",
"[Base].[SEGMENTO_DESCRIP].&amp;[" &amp; $C$6 &amp; "]",
"[Base].[SITUACION]",
"[Base].[SITUACION].&amp;[" &amp; $C40 &amp; "]"
),0)/1000</f>
        <v>3.6453804199999995</v>
      </c>
      <c r="AM40" s="8">
        <f>IFERROR(
GETPIVOTDATA(
"[Base].[Importe]",
TDinamica_R!$A$5,
"[Calendario].[AñoMes]",
"[Calendario].[AñoMes].&amp;[" &amp; TEXT(AM$6,"yyyymm") &amp; "]",
"[Base].[Metrica]",
"[Base].[Metrica].&amp;[" &amp; $A40 &amp; "]",
"[Base].[SEGMENTO_DESCRIP]",
"[Base].[SEGMENTO_DESCRIP].&amp;[" &amp; $C$6 &amp; "]",
"[Base].[SITUACION]",
"[Base].[SITUACION].&amp;[" &amp; $C40 &amp; "]"
),0)/1000</f>
        <v>4.2071740100000001</v>
      </c>
      <c r="AN40" s="8">
        <f>IFERROR(
GETPIVOTDATA(
"[Base].[Importe]",
TDinamica_R!$A$5,
"[Calendario].[AñoMes]",
"[Calendario].[AñoMes].&amp;[" &amp; TEXT(AN$6,"yyyymm") &amp; "]",
"[Base].[Metrica]",
"[Base].[Metrica].&amp;[" &amp; $A40 &amp; "]",
"[Base].[SEGMENTO_DESCRIP]",
"[Base].[SEGMENTO_DESCRIP].&amp;[" &amp; $C$6 &amp; "]",
"[Base].[SITUACION]",
"[Base].[SITUACION].&amp;[" &amp; $C40 &amp; "]"
),0)/1000</f>
        <v>7.0198053099999997</v>
      </c>
      <c r="AO40" s="8">
        <f>IFERROR(
GETPIVOTDATA(
"[Base].[Importe]",
TDinamica_R!$A$5,
"[Calendario].[AñoMes]",
"[Calendario].[AñoMes].&amp;[" &amp; TEXT(AO$6,"yyyymm") &amp; "]",
"[Base].[Metrica]",
"[Base].[Metrica].&amp;[" &amp; $A40 &amp; "]",
"[Base].[SEGMENTO_DESCRIP]",
"[Base].[SEGMENTO_DESCRIP].&amp;[" &amp; $C$6 &amp; "]",
"[Base].[SITUACION]",
"[Base].[SITUACION].&amp;[" &amp; $C40 &amp; "]"
),0)/1000</f>
        <v>1.7595404800000001</v>
      </c>
      <c r="AP40" s="8">
        <f>IFERROR(
GETPIVOTDATA(
"[Base].[Importe]",
TDinamica_R!$A$5,
"[Calendario].[AñoMes]",
"[Calendario].[AñoMes].&amp;[" &amp; TEXT(AP$6,"yyyymm") &amp; "]",
"[Base].[Metrica]",
"[Base].[Metrica].&amp;[" &amp; $A40 &amp; "]",
"[Base].[SEGMENTO_DESCRIP]",
"[Base].[SEGMENTO_DESCRIP].&amp;[" &amp; $C$6 &amp; "]",
"[Base].[SITUACION]",
"[Base].[SITUACION].&amp;[" &amp; $C40 &amp; "]"
),0)/1000</f>
        <v>9.0400141600000001</v>
      </c>
      <c r="AQ40" s="8">
        <f>IFERROR(
GETPIVOTDATA(
"[Base].[Importe]",
TDinamica_R!$A$5,
"[Calendario].[AñoMes]",
"[Calendario].[AñoMes].&amp;[" &amp; TEXT(AQ$6,"yyyymm") &amp; "]",
"[Base].[Metrica]",
"[Base].[Metrica].&amp;[" &amp; $A40 &amp; "]",
"[Base].[SEGMENTO_DESCRIP]",
"[Base].[SEGMENTO_DESCRIP].&amp;[" &amp; $C$6 &amp; "]",
"[Base].[SITUACION]",
"[Base].[SITUACION].&amp;[" &amp; $C40 &amp; "]"
),0)/1000</f>
        <v>4.6613070200000006</v>
      </c>
      <c r="AR40" s="8">
        <f>IFERROR(
GETPIVOTDATA(
"[Base].[Importe]",
TDinamica_R!$A$5,
"[Calendario].[AñoMes]",
"[Calendario].[AñoMes].&amp;[" &amp; TEXT(AR$6,"yyyymm") &amp; "]",
"[Base].[Metrica]",
"[Base].[Metrica].&amp;[" &amp; $A40 &amp; "]",
"[Base].[SEGMENTO_DESCRIP]",
"[Base].[SEGMENTO_DESCRIP].&amp;[" &amp; $C$6 &amp; "]",
"[Base].[SITUACION]",
"[Base].[SITUACION].&amp;[" &amp; $C40 &amp; "]"
),0)/1000</f>
        <v>3.7761242499999996</v>
      </c>
      <c r="AS40" s="8">
        <f>IFERROR(
GETPIVOTDATA(
"[Base].[Importe]",
TDinamica_R!$A$5,
"[Calendario].[AñoMes]",
"[Calendario].[AñoMes].&amp;[" &amp; TEXT(AS$6,"yyyymm") &amp; "]",
"[Base].[Metrica]",
"[Base].[Metrica].&amp;[" &amp; $A40 &amp; "]",
"[Base].[SEGMENTO_DESCRIP]",
"[Base].[SEGMENTO_DESCRIP].&amp;[" &amp; $C$6 &amp; "]",
"[Base].[SITUACION]",
"[Base].[SITUACION].&amp;[" &amp; $C40 &amp; "]"
),0)/1000</f>
        <v>7.2024297800000001</v>
      </c>
      <c r="AT40" s="8">
        <f>IFERROR(
GETPIVOTDATA(
"[Base].[Importe]",
TDinamica_R!$A$5,
"[Calendario].[AñoMes]",
"[Calendario].[AñoMes].&amp;[" &amp; TEXT(AT$6,"yyyymm")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U40" s="8">
        <f>IFERROR(
GETPIVOTDATA(
"[Base].[Importe]",
TDinamica_R!$A$5,
"[Calendario].[AñoMes]",
"[Calendario].[AñoMes].&amp;[" &amp; TEXT(AU$6,"yyyymm")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V40" s="8">
        <f>IFERROR(
GETPIVOTDATA(
"[Base].[Importe]",
TDinamica_R!$A$5,
"[Calendario].[AñoMes]",
"[Calendario].[AñoMes].&amp;[" &amp; TEXT(AV$6,"yyyymm")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W40" s="8">
        <f>IFERROR(
GETPIVOTDATA(
"[Base].[Importe]",
TDinamica_R!$A$5,
"[Calendario].[AñoMes]",
"[Calendario].[AñoMes].&amp;[" &amp; TEXT(AW$6,"yyyymm")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X40" s="8">
        <f>IFERROR(
GETPIVOTDATA(
"[Base].[Importe]",
TDinamica_R!$A$5,
"[Calendario].[AñoMes]",
"[Calendario].[AñoMes].&amp;[" &amp; TEXT(AX$6,"yyyymm")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Y40" s="8">
        <f>IFERROR(
GETPIVOTDATA(
"[Base].[Importe]",
TDinamica_R!$A$5,
"[Calendario].[AñoMes]",
"[Calendario].[AñoMes].&amp;[" &amp; TEXT(AY$6,"yyyymm") &amp; "]",
"[Base].[Metrica]",
"[Base].[Metrica].&amp;[" &amp; $A40 &amp; "]",
"[Base].[SEGMENTO_DESCRIP]",
"[Base].[SEGMENTO_DESCRIP].&amp;[" &amp; $C$6 &amp; "]",
"[Base].[SITUACION]",
"[Base].[SITUACION].&amp;[" &amp; $C40 &amp; "]"
),0)/1000</f>
        <v>0</v>
      </c>
      <c r="AZ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"[BASE_HIPO_PPTO].[Periodo]","[BASE_HIPO_PPTO].[Periodo].&amp;["&amp;TEXT(AZ$6,"yyyymm")&amp;"]"),
0)/1000</f>
        <v>3.8461850995206732</v>
      </c>
      <c r="BA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"[BASE_HIPO_PPTO].[Periodo]","[BASE_HIPO_PPTO].[Periodo].&amp;["&amp;TEXT(BA$6,"yyyymm")&amp;"]"),
0)/1000</f>
        <v>3.4656283453472523</v>
      </c>
      <c r="BB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"[BASE_HIPO_PPTO].[Periodo]","[BASE_HIPO_PPTO].[Periodo].&amp;["&amp;TEXT(BB$6,"yyyymm")&amp;"]"),
0)/1000</f>
        <v>3.648050076153758</v>
      </c>
      <c r="BC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"[BASE_HIPO_PPTO].[Periodo]","[BASE_HIPO_PPTO].[Periodo].&amp;["&amp;TEXT(BC$6,"yyyymm")&amp;"]"),
0)/1000</f>
        <v>3.354940939569715</v>
      </c>
      <c r="BD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"[BASE_HIPO_PPTO].[Periodo]","[BASE_HIPO_PPTO].[Periodo].&amp;["&amp;TEXT(BD$6,"yyyymm")&amp;"]"),
0)/1000</f>
        <v>3.4975458361885066</v>
      </c>
      <c r="BE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"[BASE_HIPO_PPTO].[Periodo]","[BASE_HIPO_PPTO].[Periodo].&amp;["&amp;TEXT(BE$6,"yyyymm")&amp;"]"),
0)/1000</f>
        <v>3.4771688515531176</v>
      </c>
      <c r="BF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"[BASE_HIPO_PPTO].[Periodo]","[BASE_HIPO_PPTO].[Periodo].&amp;["&amp;TEXT(BF$6,"yyyymm")&amp;"]"),
0)/1000</f>
        <v>3.5888343198329977</v>
      </c>
      <c r="BG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"[BASE_HIPO_PPTO].[Periodo]","[BASE_HIPO_PPTO].[Periodo].&amp;["&amp;TEXT(BG$6,"yyyymm")&amp;"]"),
0)/1000</f>
        <v>3.9062063830120568</v>
      </c>
      <c r="BH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"[BASE_HIPO_PPTO].[Periodo]","[BASE_HIPO_PPTO].[Periodo].&amp;["&amp;TEXT(BH$6,"yyyymm")&amp;"]"),
0)/1000</f>
        <v>3.8013317068037651</v>
      </c>
      <c r="BI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"[BASE_HIPO_PPTO].[Periodo]","[BASE_HIPO_PPTO].[Periodo].&amp;["&amp;TEXT(BI$6,"yyyymm")&amp;"]"),
0)/1000</f>
        <v>3.9070625604292775</v>
      </c>
      <c r="BJ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"[BASE_HIPO_PPTO].[Periodo]","[BASE_HIPO_PPTO].[Periodo].&amp;["&amp;TEXT(BJ$6,"yyyymm")&amp;"]"),
0)/1000</f>
        <v>4.0316867320054319</v>
      </c>
      <c r="BK40" s="8">
        <f>IFERROR(
GETPIVOTDATA(
"[BASE_HIPO_PPTO].[Importe]",
TDinamica_P!$A$5,
"[BASE_HIPO_PPTO].[Metrica]","[BASE_HIPO_PPTO].[Metrica].&amp;["&amp;$A40&amp;"]",
"[BASE_HIPO_PPTO].[SEGMENTO_DESCRIP]","[BASE_HIPO_PPTO].[SEGMENTO_DESCRIP].&amp;["&amp;$C$6&amp;"]",
"[BASE_HIPO_PPTO].[SITUACION]","[BASE_HIPO_PPTO].[SITUACION].&amp;["&amp;$C40&amp;"]",
"[BASE_HIPO_PPTO].[Periodo]","[BASE_HIPO_PPTO].[Periodo].&amp;["&amp;TEXT(BK$6,"yyyymm")&amp;"]"),
0)/1000</f>
        <v>4.2181798546921927</v>
      </c>
      <c r="BO40" s="24">
        <f t="shared" si="40"/>
        <v>17.819359949999999</v>
      </c>
      <c r="BP40" s="24">
        <f t="shared" si="40"/>
        <v>10.959863521021683</v>
      </c>
      <c r="BQ40" s="24">
        <f t="shared" si="40"/>
        <v>8.7793457900000007</v>
      </c>
      <c r="BR40" s="24">
        <f t="shared" si="40"/>
        <v>7.6397794900000005</v>
      </c>
      <c r="BS40" s="24">
        <f t="shared" si="40"/>
        <v>32.055219900000004</v>
      </c>
      <c r="BT40" s="24">
        <f t="shared" si="40"/>
        <v>36.890893699999999</v>
      </c>
    </row>
    <row r="41" spans="1:72" collapsed="1" x14ac:dyDescent="0.25">
      <c r="C41" s="3" t="s">
        <v>57</v>
      </c>
      <c r="D41" s="10">
        <f>SUM(D38:D40)</f>
        <v>109.24943491000001</v>
      </c>
      <c r="E41" s="10">
        <f t="shared" ref="E41:AY41" si="41">SUM(E38:E40)</f>
        <v>116.66692481</v>
      </c>
      <c r="F41" s="10">
        <f t="shared" si="41"/>
        <v>121.88487304</v>
      </c>
      <c r="G41" s="10">
        <f t="shared" si="41"/>
        <v>124.76795159999999</v>
      </c>
      <c r="H41" s="10">
        <f t="shared" si="41"/>
        <v>120.41172345999999</v>
      </c>
      <c r="I41" s="10">
        <f t="shared" si="41"/>
        <v>196.59499311999997</v>
      </c>
      <c r="J41" s="10">
        <f t="shared" si="41"/>
        <v>124.22892105000004</v>
      </c>
      <c r="K41" s="10">
        <f t="shared" si="41"/>
        <v>130.47453322000001</v>
      </c>
      <c r="L41" s="10">
        <f t="shared" si="41"/>
        <v>289.24505595000005</v>
      </c>
      <c r="M41" s="10">
        <f t="shared" si="41"/>
        <v>92.501037839999995</v>
      </c>
      <c r="N41" s="10">
        <f t="shared" si="41"/>
        <v>102.33244790999998</v>
      </c>
      <c r="O41" s="10">
        <f t="shared" si="41"/>
        <v>101.89238747</v>
      </c>
      <c r="P41" s="10">
        <f t="shared" si="41"/>
        <v>102.66616873</v>
      </c>
      <c r="Q41" s="10">
        <f t="shared" si="41"/>
        <v>88.351906280000009</v>
      </c>
      <c r="R41" s="10">
        <f t="shared" si="41"/>
        <v>114.27780479999996</v>
      </c>
      <c r="S41" s="10">
        <f t="shared" si="41"/>
        <v>96.381521109999994</v>
      </c>
      <c r="T41" s="10">
        <f t="shared" si="41"/>
        <v>85.047901700000025</v>
      </c>
      <c r="U41" s="10">
        <f t="shared" si="41"/>
        <v>95.97101846000001</v>
      </c>
      <c r="V41" s="10">
        <f t="shared" si="41"/>
        <v>104.97224150999999</v>
      </c>
      <c r="W41" s="10">
        <f t="shared" si="41"/>
        <v>99.400252229999992</v>
      </c>
      <c r="X41" s="10">
        <f t="shared" si="41"/>
        <v>91.816353959999987</v>
      </c>
      <c r="Y41" s="10">
        <f t="shared" si="41"/>
        <v>97.961015140000015</v>
      </c>
      <c r="Z41" s="10">
        <f t="shared" si="41"/>
        <v>96.77893594999999</v>
      </c>
      <c r="AA41" s="10">
        <f t="shared" si="41"/>
        <v>96.736828249999988</v>
      </c>
      <c r="AB41" s="10">
        <f t="shared" si="41"/>
        <v>102.05652746000001</v>
      </c>
      <c r="AC41" s="10">
        <f t="shared" si="41"/>
        <v>95.511753159999984</v>
      </c>
      <c r="AD41" s="10">
        <f t="shared" si="41"/>
        <v>108.23199485000001</v>
      </c>
      <c r="AE41" s="10">
        <f t="shared" si="41"/>
        <v>100.88491282000003</v>
      </c>
      <c r="AF41" s="10">
        <f t="shared" si="41"/>
        <v>110.67507013999999</v>
      </c>
      <c r="AG41" s="10">
        <f t="shared" si="41"/>
        <v>97.015096330000034</v>
      </c>
      <c r="AH41" s="10">
        <f t="shared" si="41"/>
        <v>99.752868730000003</v>
      </c>
      <c r="AI41" s="10">
        <f t="shared" si="41"/>
        <v>116.04097628999999</v>
      </c>
      <c r="AJ41" s="10">
        <f t="shared" si="41"/>
        <v>120.24144411</v>
      </c>
      <c r="AK41" s="10">
        <f t="shared" si="41"/>
        <v>153.63702461999998</v>
      </c>
      <c r="AL41" s="10">
        <f t="shared" si="41"/>
        <v>170.19316734999998</v>
      </c>
      <c r="AM41" s="10">
        <f t="shared" si="41"/>
        <v>189.37605874999997</v>
      </c>
      <c r="AN41" s="10">
        <f t="shared" si="41"/>
        <v>228.94026346000001</v>
      </c>
      <c r="AO41" s="10">
        <f t="shared" si="41"/>
        <v>204.02073679999998</v>
      </c>
      <c r="AP41" s="10">
        <f t="shared" si="41"/>
        <v>242.37304134000001</v>
      </c>
      <c r="AQ41" s="10">
        <f t="shared" si="41"/>
        <v>273.87764671999997</v>
      </c>
      <c r="AR41" s="10">
        <f t="shared" si="41"/>
        <v>303.55149570999998</v>
      </c>
      <c r="AS41" s="10">
        <f t="shared" si="41"/>
        <v>309.67060218000006</v>
      </c>
      <c r="AT41" s="10">
        <f t="shared" si="41"/>
        <v>0</v>
      </c>
      <c r="AU41" s="10">
        <f t="shared" si="41"/>
        <v>0</v>
      </c>
      <c r="AV41" s="10">
        <f t="shared" si="41"/>
        <v>0</v>
      </c>
      <c r="AW41" s="10">
        <f t="shared" si="41"/>
        <v>0</v>
      </c>
      <c r="AX41" s="10">
        <f t="shared" si="41"/>
        <v>0</v>
      </c>
      <c r="AY41" s="10">
        <f t="shared" si="41"/>
        <v>0</v>
      </c>
      <c r="AZ41" s="10">
        <f t="shared" ref="AZ41:BK41" si="42">SUM(AZ38:AZ40)</f>
        <v>128.50330896500492</v>
      </c>
      <c r="BA41" s="10">
        <f t="shared" si="42"/>
        <v>116.06151257384948</v>
      </c>
      <c r="BB41" s="10">
        <f t="shared" si="42"/>
        <v>122.34552621033198</v>
      </c>
      <c r="BC41" s="10">
        <f t="shared" si="42"/>
        <v>113.29923790338414</v>
      </c>
      <c r="BD41" s="10">
        <f t="shared" si="42"/>
        <v>118.27147943778576</v>
      </c>
      <c r="BE41" s="10">
        <f t="shared" si="42"/>
        <v>117.72798878645685</v>
      </c>
      <c r="BF41" s="10">
        <f t="shared" si="42"/>
        <v>121.43852401511862</v>
      </c>
      <c r="BG41" s="10">
        <f t="shared" si="42"/>
        <v>132.08331066611819</v>
      </c>
      <c r="BH41" s="10">
        <f t="shared" si="42"/>
        <v>128.56399764205781</v>
      </c>
      <c r="BI41" s="10">
        <f t="shared" si="42"/>
        <v>132.20245579473308</v>
      </c>
      <c r="BJ41" s="10">
        <f t="shared" si="42"/>
        <v>136.35207154710369</v>
      </c>
      <c r="BK41" s="10">
        <f t="shared" si="42"/>
        <v>142.62780639691439</v>
      </c>
      <c r="BO41" s="23">
        <f>SUM(BO38:BO40)</f>
        <v>675.33404160000009</v>
      </c>
      <c r="BP41" s="23">
        <f t="shared" ref="BP41:BT41" si="43">SUM(BP38:BP40)</f>
        <v>366.91034774918637</v>
      </c>
      <c r="BQ41" s="23">
        <f t="shared" si="43"/>
        <v>432.96100025999999</v>
      </c>
      <c r="BR41" s="23">
        <f t="shared" si="43"/>
        <v>305.80027546999997</v>
      </c>
      <c r="BS41" s="23">
        <f t="shared" si="43"/>
        <v>305.29587980999997</v>
      </c>
      <c r="BT41" s="23">
        <f t="shared" si="43"/>
        <v>347.80123276</v>
      </c>
    </row>
    <row r="44" spans="1:72" hidden="1" outlineLevel="1" x14ac:dyDescent="0.25">
      <c r="A44" s="11" t="s">
        <v>50</v>
      </c>
      <c r="C44" s="2" t="s">
        <v>0</v>
      </c>
      <c r="D44" s="8">
        <f>-IFERROR(
GETPIVOTDATA(
"[Base].[Importe]",
TDinamica_R!$A$5,
"[Calendario].[AñoMes]",
"[Calendario].[AñoMes].&amp;[" &amp; TEXT(D$6,"yyyymm") &amp; "]",
"[Base].[Metrica]",
"[Base].[Metrica].&amp;[" &amp; $A44 &amp; "]",
"[Base].[SEGMENTO_DESCRIP]",
"[Base].[SEGMENTO_DESCRIP].&amp;[" &amp; $C$6 &amp; "]",
"[Base].[SITUACION]",
"[Base].[SITUACION].&amp;[" &amp; $C44 &amp; "]"
),0)/1000</f>
        <v>-66.886377590000009</v>
      </c>
      <c r="E44" s="8">
        <f>-IFERROR(
GETPIVOTDATA(
"[Base].[Importe]",
TDinamica_R!$A$5,
"[Calendario].[AñoMes]",
"[Calendario].[AñoMes].&amp;[" &amp; TEXT(E$6,"yyyymm") &amp; "]",
"[Base].[Metrica]",
"[Base].[Metrica].&amp;[" &amp; $A44 &amp; "]",
"[Base].[SEGMENTO_DESCRIP]",
"[Base].[SEGMENTO_DESCRIP].&amp;[" &amp; $C$6 &amp; "]",
"[Base].[SITUACION]",
"[Base].[SITUACION].&amp;[" &amp; $C44 &amp; "]"
),0)/1000</f>
        <v>-66.062772910000021</v>
      </c>
      <c r="F44" s="8">
        <f>-IFERROR(
GETPIVOTDATA(
"[Base].[Importe]",
TDinamica_R!$A$5,
"[Calendario].[AñoMes]",
"[Calendario].[AñoMes].&amp;[" &amp; TEXT(F$6,"yyyymm") &amp; "]",
"[Base].[Metrica]",
"[Base].[Metrica].&amp;[" &amp; $A44 &amp; "]",
"[Base].[SEGMENTO_DESCRIP]",
"[Base].[SEGMENTO_DESCRIP].&amp;[" &amp; $C$6 &amp; "]",
"[Base].[SITUACION]",
"[Base].[SITUACION].&amp;[" &amp; $C44 &amp; "]"
),0)/1000</f>
        <v>-81.626818799999981</v>
      </c>
      <c r="G44" s="8">
        <f>-IFERROR(
GETPIVOTDATA(
"[Base].[Importe]",
TDinamica_R!$A$5,
"[Calendario].[AñoMes]",
"[Calendario].[AñoMes].&amp;[" &amp; TEXT(G$6,"yyyymm") &amp; "]",
"[Base].[Metrica]",
"[Base].[Metrica].&amp;[" &amp; $A44 &amp; "]",
"[Base].[SEGMENTO_DESCRIP]",
"[Base].[SEGMENTO_DESCRIP].&amp;[" &amp; $C$6 &amp; "]",
"[Base].[SITUACION]",
"[Base].[SITUACION].&amp;[" &amp; $C44 &amp; "]"
),0)/1000</f>
        <v>-82.742618760000013</v>
      </c>
      <c r="H44" s="8">
        <f>-IFERROR(
GETPIVOTDATA(
"[Base].[Importe]",
TDinamica_R!$A$5,
"[Calendario].[AñoMes]",
"[Calendario].[AñoMes].&amp;[" &amp; TEXT(H$6,"yyyymm") &amp; "]",
"[Base].[Metrica]",
"[Base].[Metrica].&amp;[" &amp; $A44 &amp; "]",
"[Base].[SEGMENTO_DESCRIP]",
"[Base].[SEGMENTO_DESCRIP].&amp;[" &amp; $C$6 &amp; "]",
"[Base].[SITUACION]",
"[Base].[SITUACION].&amp;[" &amp; $C44 &amp; "]"
),0)/1000</f>
        <v>-83.022456719999994</v>
      </c>
      <c r="I44" s="8">
        <f>-IFERROR(
GETPIVOTDATA(
"[Base].[Importe]",
TDinamica_R!$A$5,
"[Calendario].[AñoMes]",
"[Calendario].[AñoMes].&amp;[" &amp; TEXT(I$6,"yyyymm") &amp; "]",
"[Base].[Metrica]",
"[Base].[Metrica].&amp;[" &amp; $A44 &amp; "]",
"[Base].[SEGMENTO_DESCRIP]",
"[Base].[SEGMENTO_DESCRIP].&amp;[" &amp; $C$6 &amp; "]",
"[Base].[SITUACION]",
"[Base].[SITUACION].&amp;[" &amp; $C44 &amp; "]"
),0)/1000</f>
        <v>-76.078638999999995</v>
      </c>
      <c r="J44" s="8">
        <f>-IFERROR(
GETPIVOTDATA(
"[Base].[Importe]",
TDinamica_R!$A$5,
"[Calendario].[AñoMes]",
"[Calendario].[AñoMes].&amp;[" &amp; TEXT(J$6,"yyyymm") &amp; "]",
"[Base].[Metrica]",
"[Base].[Metrica].&amp;[" &amp; $A44 &amp; "]",
"[Base].[SEGMENTO_DESCRIP]",
"[Base].[SEGMENTO_DESCRIP].&amp;[" &amp; $C$6 &amp; "]",
"[Base].[SITUACION]",
"[Base].[SITUACION].&amp;[" &amp; $C44 &amp; "]"
),0)/1000</f>
        <v>-80.950313210000033</v>
      </c>
      <c r="K44" s="8">
        <f>-IFERROR(
GETPIVOTDATA(
"[Base].[Importe]",
TDinamica_R!$A$5,
"[Calendario].[AñoMes]",
"[Calendario].[AñoMes].&amp;[" &amp; TEXT(K$6,"yyyymm") &amp; "]",
"[Base].[Metrica]",
"[Base].[Metrica].&amp;[" &amp; $A44 &amp; "]",
"[Base].[SEGMENTO_DESCRIP]",
"[Base].[SEGMENTO_DESCRIP].&amp;[" &amp; $C$6 &amp; "]",
"[Base].[SITUACION]",
"[Base].[SITUACION].&amp;[" &amp; $C44 &amp; "]"
),0)/1000</f>
        <v>-80.188981199999986</v>
      </c>
      <c r="L44" s="8">
        <f>-IFERROR(
GETPIVOTDATA(
"[Base].[Importe]",
TDinamica_R!$A$5,
"[Calendario].[AñoMes]",
"[Calendario].[AñoMes].&amp;[" &amp; TEXT(L$6,"yyyymm") &amp; "]",
"[Base].[Metrica]",
"[Base].[Metrica].&amp;[" &amp; $A44 &amp; "]",
"[Base].[SEGMENTO_DESCRIP]",
"[Base].[SEGMENTO_DESCRIP].&amp;[" &amp; $C$6 &amp; "]",
"[Base].[SITUACION]",
"[Base].[SITUACION].&amp;[" &amp; $C44 &amp; "]"
),0)/1000</f>
        <v>-73.026396520000006</v>
      </c>
      <c r="M44" s="8">
        <f>-IFERROR(
GETPIVOTDATA(
"[Base].[Importe]",
TDinamica_R!$A$5,
"[Calendario].[AñoMes]",
"[Calendario].[AñoMes].&amp;[" &amp; TEXT(M$6,"yyyymm") &amp; "]",
"[Base].[Metrica]",
"[Base].[Metrica].&amp;[" &amp; $A44 &amp; "]",
"[Base].[SEGMENTO_DESCRIP]",
"[Base].[SEGMENTO_DESCRIP].&amp;[" &amp; $C$6 &amp; "]",
"[Base].[SITUACION]",
"[Base].[SITUACION].&amp;[" &amp; $C44 &amp; "]"
),0)/1000</f>
        <v>-64.94967874999999</v>
      </c>
      <c r="N44" s="8">
        <f>-IFERROR(
GETPIVOTDATA(
"[Base].[Importe]",
TDinamica_R!$A$5,
"[Calendario].[AñoMes]",
"[Calendario].[AñoMes].&amp;[" &amp; TEXT(N$6,"yyyymm") &amp; "]",
"[Base].[Metrica]",
"[Base].[Metrica].&amp;[" &amp; $A44 &amp; "]",
"[Base].[SEGMENTO_DESCRIP]",
"[Base].[SEGMENTO_DESCRIP].&amp;[" &amp; $C$6 &amp; "]",
"[Base].[SITUACION]",
"[Base].[SITUACION].&amp;[" &amp; $C44 &amp; "]"
),0)/1000</f>
        <v>-62.397944680000009</v>
      </c>
      <c r="O44" s="8">
        <f>-IFERROR(
GETPIVOTDATA(
"[Base].[Importe]",
TDinamica_R!$A$5,
"[Calendario].[AñoMes]",
"[Calendario].[AñoMes].&amp;[" &amp; TEXT(O$6,"yyyymm") &amp; "]",
"[Base].[Metrica]",
"[Base].[Metrica].&amp;[" &amp; $A44 &amp; "]",
"[Base].[SEGMENTO_DESCRIP]",
"[Base].[SEGMENTO_DESCRIP].&amp;[" &amp; $C$6 &amp; "]",
"[Base].[SITUACION]",
"[Base].[SITUACION].&amp;[" &amp; $C44 &amp; "]"
),0)/1000</f>
        <v>-65.944443399999997</v>
      </c>
      <c r="P44" s="8">
        <f>-IFERROR(
GETPIVOTDATA(
"[Base].[Importe]",
TDinamica_R!$A$5,
"[Calendario].[AñoMes]",
"[Calendario].[AñoMes].&amp;[" &amp; TEXT(P$6,"yyyymm") &amp; "]",
"[Base].[Metrica]",
"[Base].[Metrica].&amp;[" &amp; $A44 &amp; "]",
"[Base].[SEGMENTO_DESCRIP]",
"[Base].[SEGMENTO_DESCRIP].&amp;[" &amp; $C$6 &amp; "]",
"[Base].[SITUACION]",
"[Base].[SITUACION].&amp;[" &amp; $C44 &amp; "]"
),0)/1000</f>
        <v>-68.767900640000008</v>
      </c>
      <c r="Q44" s="8">
        <f>-IFERROR(
GETPIVOTDATA(
"[Base].[Importe]",
TDinamica_R!$A$5,
"[Calendario].[AñoMes]",
"[Calendario].[AñoMes].&amp;[" &amp; TEXT(Q$6,"yyyymm") &amp; "]",
"[Base].[Metrica]",
"[Base].[Metrica].&amp;[" &amp; $A44 &amp; "]",
"[Base].[SEGMENTO_DESCRIP]",
"[Base].[SEGMENTO_DESCRIP].&amp;[" &amp; $C$6 &amp; "]",
"[Base].[SITUACION]",
"[Base].[SITUACION].&amp;[" &amp; $C44 &amp; "]"
),0)/1000</f>
        <v>-63.962413599999991</v>
      </c>
      <c r="R44" s="8">
        <f>-IFERROR(
GETPIVOTDATA(
"[Base].[Importe]",
TDinamica_R!$A$5,
"[Calendario].[AñoMes]",
"[Calendario].[AñoMes].&amp;[" &amp; TEXT(R$6,"yyyymm") &amp; "]",
"[Base].[Metrica]",
"[Base].[Metrica].&amp;[" &amp; $A44 &amp; "]",
"[Base].[SEGMENTO_DESCRIP]",
"[Base].[SEGMENTO_DESCRIP].&amp;[" &amp; $C$6 &amp; "]",
"[Base].[SITUACION]",
"[Base].[SITUACION].&amp;[" &amp; $C44 &amp; "]"
),0)/1000</f>
        <v>-60.747950570000008</v>
      </c>
      <c r="S44" s="8">
        <f>-IFERROR(
GETPIVOTDATA(
"[Base].[Importe]",
TDinamica_R!$A$5,
"[Calendario].[AñoMes]",
"[Calendario].[AñoMes].&amp;[" &amp; TEXT(S$6,"yyyymm") &amp; "]",
"[Base].[Metrica]",
"[Base].[Metrica].&amp;[" &amp; $A44 &amp; "]",
"[Base].[SEGMENTO_DESCRIP]",
"[Base].[SEGMENTO_DESCRIP].&amp;[" &amp; $C$6 &amp; "]",
"[Base].[SITUACION]",
"[Base].[SITUACION].&amp;[" &amp; $C44 &amp; "]"
),0)/1000</f>
        <v>-56.717015680000003</v>
      </c>
      <c r="T44" s="8">
        <f>-IFERROR(
GETPIVOTDATA(
"[Base].[Importe]",
TDinamica_R!$A$5,
"[Calendario].[AñoMes]",
"[Calendario].[AñoMes].&amp;[" &amp; TEXT(T$6,"yyyymm") &amp; "]",
"[Base].[Metrica]",
"[Base].[Metrica].&amp;[" &amp; $A44 &amp; "]",
"[Base].[SEGMENTO_DESCRIP]",
"[Base].[SEGMENTO_DESCRIP].&amp;[" &amp; $C$6 &amp; "]",
"[Base].[SITUACION]",
"[Base].[SITUACION].&amp;[" &amp; $C44 &amp; "]"
),0)/1000</f>
        <v>-57.942663100000004</v>
      </c>
      <c r="U44" s="8">
        <f>-IFERROR(
GETPIVOTDATA(
"[Base].[Importe]",
TDinamica_R!$A$5,
"[Calendario].[AñoMes]",
"[Calendario].[AñoMes].&amp;[" &amp; TEXT(U$6,"yyyymm") &amp; "]",
"[Base].[Metrica]",
"[Base].[Metrica].&amp;[" &amp; $A44 &amp; "]",
"[Base].[SEGMENTO_DESCRIP]",
"[Base].[SEGMENTO_DESCRIP].&amp;[" &amp; $C$6 &amp; "]",
"[Base].[SITUACION]",
"[Base].[SITUACION].&amp;[" &amp; $C44 &amp; "]"
),0)/1000</f>
        <v>-62.46502933</v>
      </c>
      <c r="V44" s="8">
        <f>-IFERROR(
GETPIVOTDATA(
"[Base].[Importe]",
TDinamica_R!$A$5,
"[Calendario].[AñoMes]",
"[Calendario].[AñoMes].&amp;[" &amp; TEXT(V$6,"yyyymm") &amp; "]",
"[Base].[Metrica]",
"[Base].[Metrica].&amp;[" &amp; $A44 &amp; "]",
"[Base].[SEGMENTO_DESCRIP]",
"[Base].[SEGMENTO_DESCRIP].&amp;[" &amp; $C$6 &amp; "]",
"[Base].[SITUACION]",
"[Base].[SITUACION].&amp;[" &amp; $C44 &amp; "]"
),0)/1000</f>
        <v>-65.834569139999999</v>
      </c>
      <c r="W44" s="8">
        <f>-IFERROR(
GETPIVOTDATA(
"[Base].[Importe]",
TDinamica_R!$A$5,
"[Calendario].[AñoMes]",
"[Calendario].[AñoMes].&amp;[" &amp; TEXT(W$6,"yyyymm") &amp; "]",
"[Base].[Metrica]",
"[Base].[Metrica].&amp;[" &amp; $A44 &amp; "]",
"[Base].[SEGMENTO_DESCRIP]",
"[Base].[SEGMENTO_DESCRIP].&amp;[" &amp; $C$6 &amp; "]",
"[Base].[SITUACION]",
"[Base].[SITUACION].&amp;[" &amp; $C44 &amp; "]"
),0)/1000</f>
        <v>-66.70226498000001</v>
      </c>
      <c r="X44" s="8">
        <f>-IFERROR(
GETPIVOTDATA(
"[Base].[Importe]",
TDinamica_R!$A$5,
"[Calendario].[AñoMes]",
"[Calendario].[AñoMes].&amp;[" &amp; TEXT(X$6,"yyyymm") &amp; "]",
"[Base].[Metrica]",
"[Base].[Metrica].&amp;[" &amp; $A44 &amp; "]",
"[Base].[SEGMENTO_DESCRIP]",
"[Base].[SEGMENTO_DESCRIP].&amp;[" &amp; $C$6 &amp; "]",
"[Base].[SITUACION]",
"[Base].[SITUACION].&amp;[" &amp; $C44 &amp; "]"
),0)/1000</f>
        <v>-62.143207119999992</v>
      </c>
      <c r="Y44" s="8">
        <f>-IFERROR(
GETPIVOTDATA(
"[Base].[Importe]",
TDinamica_R!$A$5,
"[Calendario].[AñoMes]",
"[Calendario].[AñoMes].&amp;[" &amp; TEXT(Y$6,"yyyymm") &amp; "]",
"[Base].[Metrica]",
"[Base].[Metrica].&amp;[" &amp; $A44 &amp; "]",
"[Base].[SEGMENTO_DESCRIP]",
"[Base].[SEGMENTO_DESCRIP].&amp;[" &amp; $C$6 &amp; "]",
"[Base].[SITUACION]",
"[Base].[SITUACION].&amp;[" &amp; $C44 &amp; "]"
),0)/1000</f>
        <v>-59.786686879999998</v>
      </c>
      <c r="Z44" s="8">
        <f>-IFERROR(
GETPIVOTDATA(
"[Base].[Importe]",
TDinamica_R!$A$5,
"[Calendario].[AñoMes]",
"[Calendario].[AñoMes].&amp;[" &amp; TEXT(Z$6,"yyyymm") &amp; "]",
"[Base].[Metrica]",
"[Base].[Metrica].&amp;[" &amp; $A44 &amp; "]",
"[Base].[SEGMENTO_DESCRIP]",
"[Base].[SEGMENTO_DESCRIP].&amp;[" &amp; $C$6 &amp; "]",
"[Base].[SITUACION]",
"[Base].[SITUACION].&amp;[" &amp; $C44 &amp; "]"
),0)/1000</f>
        <v>-60.994272500000008</v>
      </c>
      <c r="AA44" s="8">
        <f>-IFERROR(
GETPIVOTDATA(
"[Base].[Importe]",
TDinamica_R!$A$5,
"[Calendario].[AñoMes]",
"[Calendario].[AñoMes].&amp;[" &amp; TEXT(AA$6,"yyyymm") &amp; "]",
"[Base].[Metrica]",
"[Base].[Metrica].&amp;[" &amp; $A44 &amp; "]",
"[Base].[SEGMENTO_DESCRIP]",
"[Base].[SEGMENTO_DESCRIP].&amp;[" &amp; $C$6 &amp; "]",
"[Base].[SITUACION]",
"[Base].[SITUACION].&amp;[" &amp; $C44 &amp; "]"
),0)/1000</f>
        <v>-65.891063099999997</v>
      </c>
      <c r="AB44" s="8">
        <f>-IFERROR(
GETPIVOTDATA(
"[Base].[Importe]",
TDinamica_R!$A$5,
"[Calendario].[AñoMes]",
"[Calendario].[AñoMes].&amp;[" &amp; TEXT(AB$6,"yyyymm") &amp; "]",
"[Base].[Metrica]",
"[Base].[Metrica].&amp;[" &amp; $A44 &amp; "]",
"[Base].[SEGMENTO_DESCRIP]",
"[Base].[SEGMENTO_DESCRIP].&amp;[" &amp; $C$6 &amp; "]",
"[Base].[SITUACION]",
"[Base].[SITUACION].&amp;[" &amp; $C44 &amp; "]"
),0)/1000</f>
        <v>-75.090966170000016</v>
      </c>
      <c r="AC44" s="8">
        <f>-IFERROR(
GETPIVOTDATA(
"[Base].[Importe]",
TDinamica_R!$A$5,
"[Calendario].[AñoMes]",
"[Calendario].[AñoMes].&amp;[" &amp; TEXT(AC$6,"yyyymm") &amp; "]",
"[Base].[Metrica]",
"[Base].[Metrica].&amp;[" &amp; $A44 &amp; "]",
"[Base].[SEGMENTO_DESCRIP]",
"[Base].[SEGMENTO_DESCRIP].&amp;[" &amp; $C$6 &amp; "]",
"[Base].[SITUACION]",
"[Base].[SITUACION].&amp;[" &amp; $C44 &amp; "]"
),0)/1000</f>
        <v>-72.83372</v>
      </c>
      <c r="AD44" s="8">
        <f>-IFERROR(
GETPIVOTDATA(
"[Base].[Importe]",
TDinamica_R!$A$5,
"[Calendario].[AñoMes]",
"[Calendario].[AñoMes].&amp;[" &amp; TEXT(AD$6,"yyyymm") &amp; "]",
"[Base].[Metrica]",
"[Base].[Metrica].&amp;[" &amp; $A44 &amp; "]",
"[Base].[SEGMENTO_DESCRIP]",
"[Base].[SEGMENTO_DESCRIP].&amp;[" &amp; $C$6 &amp; "]",
"[Base].[SITUACION]",
"[Base].[SITUACION].&amp;[" &amp; $C44 &amp; "]"
),0)/1000</f>
        <v>-76.068091129999999</v>
      </c>
      <c r="AE44" s="8">
        <f>-IFERROR(
GETPIVOTDATA(
"[Base].[Importe]",
TDinamica_R!$A$5,
"[Calendario].[AñoMes]",
"[Calendario].[AñoMes].&amp;[" &amp; TEXT(AE$6,"yyyymm") &amp; "]",
"[Base].[Metrica]",
"[Base].[Metrica].&amp;[" &amp; $A44 &amp; "]",
"[Base].[SEGMENTO_DESCRIP]",
"[Base].[SEGMENTO_DESCRIP].&amp;[" &amp; $C$6 &amp; "]",
"[Base].[SITUACION]",
"[Base].[SITUACION].&amp;[" &amp; $C44 &amp; "]"
),0)/1000</f>
        <v>-71.301379459999993</v>
      </c>
      <c r="AF44" s="8">
        <f>-IFERROR(
GETPIVOTDATA(
"[Base].[Importe]",
TDinamica_R!$A$5,
"[Calendario].[AñoMes]",
"[Calendario].[AñoMes].&amp;[" &amp; TEXT(AF$6,"yyyymm") &amp; "]",
"[Base].[Metrica]",
"[Base].[Metrica].&amp;[" &amp; $A44 &amp; "]",
"[Base].[SEGMENTO_DESCRIP]",
"[Base].[SEGMENTO_DESCRIP].&amp;[" &amp; $C$6 &amp; "]",
"[Base].[SITUACION]",
"[Base].[SITUACION].&amp;[" &amp; $C44 &amp; "]"
),0)/1000</f>
        <v>-77.362481799999998</v>
      </c>
      <c r="AG44" s="8">
        <f>-IFERROR(
GETPIVOTDATA(
"[Base].[Importe]",
TDinamica_R!$A$5,
"[Calendario].[AñoMes]",
"[Calendario].[AñoMes].&amp;[" &amp; TEXT(AG$6,"yyyymm") &amp; "]",
"[Base].[Metrica]",
"[Base].[Metrica].&amp;[" &amp; $A44 &amp; "]",
"[Base].[SEGMENTO_DESCRIP]",
"[Base].[SEGMENTO_DESCRIP].&amp;[" &amp; $C$6 &amp; "]",
"[Base].[SITUACION]",
"[Base].[SITUACION].&amp;[" &amp; $C44 &amp; "]"
),0)/1000</f>
        <v>-68.517627000000005</v>
      </c>
      <c r="AH44" s="8">
        <f>-IFERROR(
GETPIVOTDATA(
"[Base].[Importe]",
TDinamica_R!$A$5,
"[Calendario].[AñoMes]",
"[Calendario].[AñoMes].&amp;[" &amp; TEXT(AH$6,"yyyymm") &amp; "]",
"[Base].[Metrica]",
"[Base].[Metrica].&amp;[" &amp; $A44 &amp; "]",
"[Base].[SEGMENTO_DESCRIP]",
"[Base].[SEGMENTO_DESCRIP].&amp;[" &amp; $C$6 &amp; "]",
"[Base].[SITUACION]",
"[Base].[SITUACION].&amp;[" &amp; $C44 &amp; "]"
),0)/1000</f>
        <v>-71.458160120000016</v>
      </c>
      <c r="AI44" s="8">
        <f>-IFERROR(
GETPIVOTDATA(
"[Base].[Importe]",
TDinamica_R!$A$5,
"[Calendario].[AñoMes]",
"[Calendario].[AñoMes].&amp;[" &amp; TEXT(AI$6,"yyyymm") &amp; "]",
"[Base].[Metrica]",
"[Base].[Metrica].&amp;[" &amp; $A44 &amp; "]",
"[Base].[SEGMENTO_DESCRIP]",
"[Base].[SEGMENTO_DESCRIP].&amp;[" &amp; $C$6 &amp; "]",
"[Base].[SITUACION]",
"[Base].[SITUACION].&amp;[" &amp; $C44 &amp; "]"
),0)/1000</f>
        <v>-77.074700499999977</v>
      </c>
      <c r="AJ44" s="8">
        <f>-IFERROR(
GETPIVOTDATA(
"[Base].[Importe]",
TDinamica_R!$A$5,
"[Calendario].[AñoMes]",
"[Calendario].[AñoMes].&amp;[" &amp; TEXT(AJ$6,"yyyymm") &amp; "]",
"[Base].[Metrica]",
"[Base].[Metrica].&amp;[" &amp; $A44 &amp; "]",
"[Base].[SEGMENTO_DESCRIP]",
"[Base].[SEGMENTO_DESCRIP].&amp;[" &amp; $C$6 &amp; "]",
"[Base].[SITUACION]",
"[Base].[SITUACION].&amp;[" &amp; $C44 &amp; "]"
),0)/1000</f>
        <v>-87.560862999999983</v>
      </c>
      <c r="AK44" s="8">
        <f>-IFERROR(
GETPIVOTDATA(
"[Base].[Importe]",
TDinamica_R!$A$5,
"[Calendario].[AñoMes]",
"[Calendario].[AñoMes].&amp;[" &amp; TEXT(AK$6,"yyyymm") &amp; "]",
"[Base].[Metrica]",
"[Base].[Metrica].&amp;[" &amp; $A44 &amp; "]",
"[Base].[SEGMENTO_DESCRIP]",
"[Base].[SEGMENTO_DESCRIP].&amp;[" &amp; $C$6 &amp; "]",
"[Base].[SITUACION]",
"[Base].[SITUACION].&amp;[" &amp; $C44 &amp; "]"
),0)/1000</f>
        <v>-104.10272343999999</v>
      </c>
      <c r="AL44" s="8">
        <f>-IFERROR(
GETPIVOTDATA(
"[Base].[Importe]",
TDinamica_R!$A$5,
"[Calendario].[AñoMes]",
"[Calendario].[AñoMes].&amp;[" &amp; TEXT(AL$6,"yyyymm") &amp; "]",
"[Base].[Metrica]",
"[Base].[Metrica].&amp;[" &amp; $A44 &amp; "]",
"[Base].[SEGMENTO_DESCRIP]",
"[Base].[SEGMENTO_DESCRIP].&amp;[" &amp; $C$6 &amp; "]",
"[Base].[SITUACION]",
"[Base].[SITUACION].&amp;[" &amp; $C44 &amp; "]"
),0)/1000</f>
        <v>-118.46990034999997</v>
      </c>
      <c r="AM44" s="8">
        <f>-IFERROR(
GETPIVOTDATA(
"[Base].[Importe]",
TDinamica_R!$A$5,
"[Calendario].[AñoMes]",
"[Calendario].[AñoMes].&amp;[" &amp; TEXT(AM$6,"yyyymm") &amp; "]",
"[Base].[Metrica]",
"[Base].[Metrica].&amp;[" &amp; $A44 &amp; "]",
"[Base].[SEGMENTO_DESCRIP]",
"[Base].[SEGMENTO_DESCRIP].&amp;[" &amp; $C$6 &amp; "]",
"[Base].[SITUACION]",
"[Base].[SITUACION].&amp;[" &amp; $C44 &amp; "]"
),0)/1000</f>
        <v>-138.60952298000001</v>
      </c>
      <c r="AN44" s="8">
        <f>-IFERROR(
GETPIVOTDATA(
"[Base].[Importe]",
TDinamica_R!$A$5,
"[Calendario].[AñoMes]",
"[Calendario].[AñoMes].&amp;[" &amp; TEXT(AN$6,"yyyymm") &amp; "]",
"[Base].[Metrica]",
"[Base].[Metrica].&amp;[" &amp; $A44 &amp; "]",
"[Base].[SEGMENTO_DESCRIP]",
"[Base].[SEGMENTO_DESCRIP].&amp;[" &amp; $C$6 &amp; "]",
"[Base].[SITUACION]",
"[Base].[SITUACION].&amp;[" &amp; $C44 &amp; "]"
),0)/1000</f>
        <v>-157.86411081</v>
      </c>
      <c r="AO44" s="8">
        <f>-IFERROR(
GETPIVOTDATA(
"[Base].[Importe]",
TDinamica_R!$A$5,
"[Calendario].[AñoMes]",
"[Calendario].[AñoMes].&amp;[" &amp; TEXT(AO$6,"yyyymm") &amp; "]",
"[Base].[Metrica]",
"[Base].[Metrica].&amp;[" &amp; $A44 &amp; "]",
"[Base].[SEGMENTO_DESCRIP]",
"[Base].[SEGMENTO_DESCRIP].&amp;[" &amp; $C$6 &amp; "]",
"[Base].[SITUACION]",
"[Base].[SITUACION].&amp;[" &amp; $C44 &amp; "]"
),0)/1000</f>
        <v>-160.12076953999997</v>
      </c>
      <c r="AP44" s="8">
        <f>-IFERROR(
GETPIVOTDATA(
"[Base].[Importe]",
TDinamica_R!$A$5,
"[Calendario].[AñoMes]",
"[Calendario].[AñoMes].&amp;[" &amp; TEXT(AP$6,"yyyymm") &amp; "]",
"[Base].[Metrica]",
"[Base].[Metrica].&amp;[" &amp; $A44 &amp; "]",
"[Base].[SEGMENTO_DESCRIP]",
"[Base].[SEGMENTO_DESCRIP].&amp;[" &amp; $C$6 &amp; "]",
"[Base].[SITUACION]",
"[Base].[SITUACION].&amp;[" &amp; $C44 &amp; "]"
),0)/1000</f>
        <v>-171.17059200000003</v>
      </c>
      <c r="AQ44" s="8">
        <f>-IFERROR(
GETPIVOTDATA(
"[Base].[Importe]",
TDinamica_R!$A$5,
"[Calendario].[AñoMes]",
"[Calendario].[AñoMes].&amp;[" &amp; TEXT(AQ$6,"yyyymm") &amp; "]",
"[Base].[Metrica]",
"[Base].[Metrica].&amp;[" &amp; $A44 &amp; "]",
"[Base].[SEGMENTO_DESCRIP]",
"[Base].[SEGMENTO_DESCRIP].&amp;[" &amp; $C$6 &amp; "]",
"[Base].[SITUACION]",
"[Base].[SITUACION].&amp;[" &amp; $C44 &amp; "]"
),0)/1000</f>
        <v>-197.59309462999997</v>
      </c>
      <c r="AR44" s="8">
        <f>-IFERROR(
GETPIVOTDATA(
"[Base].[Importe]",
TDinamica_R!$A$5,
"[Calendario].[AñoMes]",
"[Calendario].[AñoMes].&amp;[" &amp; TEXT(AR$6,"yyyymm") &amp; "]",
"[Base].[Metrica]",
"[Base].[Metrica].&amp;[" &amp; $A44 &amp; "]",
"[Base].[SEGMENTO_DESCRIP]",
"[Base].[SEGMENTO_DESCRIP].&amp;[" &amp; $C$6 &amp; "]",
"[Base].[SITUACION]",
"[Base].[SITUACION].&amp;[" &amp; $C44 &amp; "]"
),0)/1000</f>
        <v>-213.23009502000005</v>
      </c>
      <c r="AS44" s="8">
        <f>-IFERROR(
GETPIVOTDATA(
"[Base].[Importe]",
TDinamica_R!$A$5,
"[Calendario].[AñoMes]",
"[Calendario].[AñoMes].&amp;[" &amp; TEXT(AS$6,"yyyymm") &amp; "]",
"[Base].[Metrica]",
"[Base].[Metrica].&amp;[" &amp; $A44 &amp; "]",
"[Base].[SEGMENTO_DESCRIP]",
"[Base].[SEGMENTO_DESCRIP].&amp;[" &amp; $C$6 &amp; "]",
"[Base].[SITUACION]",
"[Base].[SITUACION].&amp;[" &amp; $C44 &amp; "]"
),0)/1000</f>
        <v>-230.56108360000005</v>
      </c>
      <c r="AT44" s="8">
        <f>-IFERROR(
GETPIVOTDATA(
"[Base].[Importe]",
TDinamica_R!$A$5,
"[Calendario].[AñoMes]",
"[Calendario].[AñoMes].&amp;[" &amp; TEXT(AT$6,"yyyymm")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U44" s="8">
        <f>-IFERROR(
GETPIVOTDATA(
"[Base].[Importe]",
TDinamica_R!$A$5,
"[Calendario].[AñoMes]",
"[Calendario].[AñoMes].&amp;[" &amp; TEXT(AU$6,"yyyymm")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V44" s="8">
        <f>-IFERROR(
GETPIVOTDATA(
"[Base].[Importe]",
TDinamica_R!$A$5,
"[Calendario].[AñoMes]",
"[Calendario].[AñoMes].&amp;[" &amp; TEXT(AV$6,"yyyymm")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W44" s="8">
        <f>-IFERROR(
GETPIVOTDATA(
"[Base].[Importe]",
TDinamica_R!$A$5,
"[Calendario].[AñoMes]",
"[Calendario].[AñoMes].&amp;[" &amp; TEXT(AW$6,"yyyymm")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X44" s="8">
        <f>-IFERROR(
GETPIVOTDATA(
"[Base].[Importe]",
TDinamica_R!$A$5,
"[Calendario].[AñoMes]",
"[Calendario].[AñoMes].&amp;[" &amp; TEXT(AX$6,"yyyymm")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Y44" s="8">
        <f>-IFERROR(
GETPIVOTDATA(
"[Base].[Importe]",
TDinamica_R!$A$5,
"[Calendario].[AñoMes]",
"[Calendario].[AñoMes].&amp;[" &amp; TEXT(AY$6,"yyyymm") &amp; "]",
"[Base].[Metrica]",
"[Base].[Metrica].&amp;[" &amp; $A44 &amp; "]",
"[Base].[SEGMENTO_DESCRIP]",
"[Base].[SEGMENTO_DESCRIP].&amp;[" &amp; $C$6 &amp; "]",
"[Base].[SITUACION]",
"[Base].[SITUACION].&amp;[" &amp; $C44 &amp; "]"
),0)/1000</f>
        <v>0</v>
      </c>
      <c r="AZ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"[BASE_HIPO_PPTO].[Periodo]","[BASE_HIPO_PPTO].[Periodo].&amp;["&amp;TEXT(AZ$6,"yyyymm")&amp;"]"),
0)/1000</f>
        <v>-96.717140411910663</v>
      </c>
      <c r="BA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"[BASE_HIPO_PPTO].[Periodo]","[BASE_HIPO_PPTO].[Periodo].&amp;["&amp;TEXT(BA$6,"yyyymm")&amp;"]"),
0)/1000</f>
        <v>-92.343912960906437</v>
      </c>
      <c r="BB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"[BASE_HIPO_PPTO].[Periodo]","[BASE_HIPO_PPTO].[Periodo].&amp;["&amp;TEXT(BB$6,"yyyymm")&amp;"]"),
0)/1000</f>
        <v>-87.756832149449508</v>
      </c>
      <c r="BC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"[BASE_HIPO_PPTO].[Periodo]","[BASE_HIPO_PPTO].[Periodo].&amp;["&amp;TEXT(BC$6,"yyyymm")&amp;"]"),
0)/1000</f>
        <v>-84.206433710194489</v>
      </c>
      <c r="BD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"[BASE_HIPO_PPTO].[Periodo]","[BASE_HIPO_PPTO].[Periodo].&amp;["&amp;TEXT(BD$6,"yyyymm")&amp;"]"),
0)/1000</f>
        <v>-85.461563989297488</v>
      </c>
      <c r="BE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"[BASE_HIPO_PPTO].[Periodo]","[BASE_HIPO_PPTO].[Periodo].&amp;["&amp;TEXT(BE$6,"yyyymm")&amp;"]"),
0)/1000</f>
        <v>-87.309901803872734</v>
      </c>
      <c r="BF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"[BASE_HIPO_PPTO].[Periodo]","[BASE_HIPO_PPTO].[Periodo].&amp;["&amp;TEXT(BF$6,"yyyymm")&amp;"]"),
0)/1000</f>
        <v>-91.200384763088408</v>
      </c>
      <c r="BG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"[BASE_HIPO_PPTO].[Periodo]","[BASE_HIPO_PPTO].[Periodo].&amp;["&amp;TEXT(BG$6,"yyyymm")&amp;"]"),
0)/1000</f>
        <v>-95.494313425413281</v>
      </c>
      <c r="BH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"[BASE_HIPO_PPTO].[Periodo]","[BASE_HIPO_PPTO].[Periodo].&amp;["&amp;TEXT(BH$6,"yyyymm")&amp;"]"),
0)/1000</f>
        <v>-99.237023601171572</v>
      </c>
      <c r="BI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"[BASE_HIPO_PPTO].[Periodo]","[BASE_HIPO_PPTO].[Periodo].&amp;["&amp;TEXT(BI$6,"yyyymm")&amp;"]"),
0)/1000</f>
        <v>-102.64381288129358</v>
      </c>
      <c r="BJ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"[BASE_HIPO_PPTO].[Periodo]","[BASE_HIPO_PPTO].[Periodo].&amp;["&amp;TEXT(BJ$6,"yyyymm")&amp;"]"),
0)/1000</f>
        <v>-106.15510256302834</v>
      </c>
      <c r="BK44" s="8">
        <f>IFERROR(
GETPIVOTDATA(
"[BASE_HIPO_PPTO].[Importe]",
TDinamica_P!$A$5,
"[BASE_HIPO_PPTO].[Metrica]","[BASE_HIPO_PPTO].[Metrica].&amp;["&amp;$A44&amp;"]",
"[BASE_HIPO_PPTO].[SEGMENTO_DESCRIP]","[BASE_HIPO_PPTO].[SEGMENTO_DESCRIP].&amp;["&amp;$C$6&amp;"]",
"[BASE_HIPO_PPTO].[SITUACION]","[BASE_HIPO_PPTO].[SITUACION].&amp;["&amp;$C44&amp;"]",
"[BASE_HIPO_PPTO].[Periodo]","[BASE_HIPO_PPTO].[Periodo].&amp;["&amp;TEXT(BK$6,"yyyymm")&amp;"]"),
0)/1000</f>
        <v>-109.87213574368533</v>
      </c>
      <c r="BO44" s="24">
        <f t="shared" ref="BO44:BT46" si="44">SUMIFS($D44:$BM44,$D$6:$BM$6,"&gt;="&amp;BO$2,$D$6:$BM$6,"&lt;="&amp;BO$6,$D$5:$BM$5,BO$5)</f>
        <v>-489.15547234999997</v>
      </c>
      <c r="BP44" s="24">
        <f t="shared" si="44"/>
        <v>-276.81788552226658</v>
      </c>
      <c r="BQ44" s="24">
        <f t="shared" si="44"/>
        <v>-317.98488034999997</v>
      </c>
      <c r="BR44" s="24">
        <f t="shared" si="44"/>
        <v>-223.99277730000003</v>
      </c>
      <c r="BS44" s="24">
        <f t="shared" si="44"/>
        <v>-193.47826480999998</v>
      </c>
      <c r="BT44" s="24">
        <f t="shared" si="44"/>
        <v>-214.5759693</v>
      </c>
    </row>
    <row r="45" spans="1:72" hidden="1" outlineLevel="1" x14ac:dyDescent="0.25">
      <c r="A45" s="11" t="s">
        <v>50</v>
      </c>
      <c r="C45" s="2" t="s">
        <v>1</v>
      </c>
      <c r="D45" s="8">
        <f>-IFERROR(
GETPIVOTDATA(
"[Base].[Importe]",
TDinamica_R!$A$5,
"[Calendario].[AñoMes]",
"[Calendario].[AñoMes].&amp;[" &amp; TEXT(D$6,"yyyymm") &amp; "]",
"[Base].[Metrica]",
"[Base].[Metrica].&amp;[" &amp; $A45 &amp; "]",
"[Base].[SEGMENTO_DESCRIP]",
"[Base].[SEGMENTO_DESCRIP].&amp;[" &amp; $C$6 &amp; "]",
"[Base].[SITUACION]",
"[Base].[SITUACION].&amp;[" &amp; $C45 &amp; "]"
),0)/1000</f>
        <v>-0.16735739000000002</v>
      </c>
      <c r="E45" s="8">
        <f>-IFERROR(
GETPIVOTDATA(
"[Base].[Importe]",
TDinamica_R!$A$5,
"[Calendario].[AñoMes]",
"[Calendario].[AñoMes].&amp;[" &amp; TEXT(E$6,"yyyymm") &amp; "]",
"[Base].[Metrica]",
"[Base].[Metrica].&amp;[" &amp; $A45 &amp; "]",
"[Base].[SEGMENTO_DESCRIP]",
"[Base].[SEGMENTO_DESCRIP].&amp;[" &amp; $C$6 &amp; "]",
"[Base].[SITUACION]",
"[Base].[SITUACION].&amp;[" &amp; $C45 &amp; "]"
),0)/1000</f>
        <v>-0.1140163</v>
      </c>
      <c r="F45" s="8">
        <f>-IFERROR(
GETPIVOTDATA(
"[Base].[Importe]",
TDinamica_R!$A$5,
"[Calendario].[AñoMes]",
"[Calendario].[AñoMes].&amp;[" &amp; TEXT(F$6,"yyyymm") &amp; "]",
"[Base].[Metrica]",
"[Base].[Metrica].&amp;[" &amp; $A45 &amp; "]",
"[Base].[SEGMENTO_DESCRIP]",
"[Base].[SEGMENTO_DESCRIP].&amp;[" &amp; $C$6 &amp; "]",
"[Base].[SITUACION]",
"[Base].[SITUACION].&amp;[" &amp; $C45 &amp; "]"
),0)/1000</f>
        <v>-5.4770000000000006E-2</v>
      </c>
      <c r="G45" s="8">
        <f>-IFERROR(
GETPIVOTDATA(
"[Base].[Importe]",
TDinamica_R!$A$5,
"[Calendario].[AñoMes]",
"[Calendario].[AñoMes].&amp;[" &amp; TEXT(G$6,"yyyymm") &amp; "]",
"[Base].[Metrica]",
"[Base].[Metrica].&amp;[" &amp; $A45 &amp; "]",
"[Base].[SEGMENTO_DESCRIP]",
"[Base].[SEGMENTO_DESCRIP].&amp;[" &amp; $C$6 &amp; "]",
"[Base].[SITUACION]",
"[Base].[SITUACION].&amp;[" &amp; $C45 &amp; "]"
),0)/1000</f>
        <v>-8.950988E-2</v>
      </c>
      <c r="H45" s="8">
        <f>-IFERROR(
GETPIVOTDATA(
"[Base].[Importe]",
TDinamica_R!$A$5,
"[Calendario].[AñoMes]",
"[Calendario].[AñoMes].&amp;[" &amp; TEXT(H$6,"yyyymm") &amp; "]",
"[Base].[Metrica]",
"[Base].[Metrica].&amp;[" &amp; $A45 &amp; "]",
"[Base].[SEGMENTO_DESCRIP]",
"[Base].[SEGMENTO_DESCRIP].&amp;[" &amp; $C$6 &amp; "]",
"[Base].[SITUACION]",
"[Base].[SITUACION].&amp;[" &amp; $C45 &amp; "]"
),0)/1000</f>
        <v>-4.7740000000000005E-2</v>
      </c>
      <c r="I45" s="8">
        <f>-IFERROR(
GETPIVOTDATA(
"[Base].[Importe]",
TDinamica_R!$A$5,
"[Calendario].[AñoMes]",
"[Calendario].[AñoMes].&amp;[" &amp; TEXT(I$6,"yyyymm") &amp; "]",
"[Base].[Metrica]",
"[Base].[Metrica].&amp;[" &amp; $A45 &amp; "]",
"[Base].[SEGMENTO_DESCRIP]",
"[Base].[SEGMENTO_DESCRIP].&amp;[" &amp; $C$6 &amp; "]",
"[Base].[SITUACION]",
"[Base].[SITUACION].&amp;[" &amp; $C45 &amp; "]"
),0)/1000</f>
        <v>-4.4229999999999998E-2</v>
      </c>
      <c r="J45" s="8">
        <f>-IFERROR(
GETPIVOTDATA(
"[Base].[Importe]",
TDinamica_R!$A$5,
"[Calendario].[AñoMes]",
"[Calendario].[AñoMes].&amp;[" &amp; TEXT(J$6,"yyyymm") &amp; "]",
"[Base].[Metrica]",
"[Base].[Metrica].&amp;[" &amp; $A45 &amp; "]",
"[Base].[SEGMENTO_DESCRIP]",
"[Base].[SEGMENTO_DESCRIP].&amp;[" &amp; $C$6 &amp; "]",
"[Base].[SITUACION]",
"[Base].[SITUACION].&amp;[" &amp; $C45 &amp; "]"
),0)/1000</f>
        <v>-4.1229999999999996E-2</v>
      </c>
      <c r="K45" s="8">
        <f>-IFERROR(
GETPIVOTDATA(
"[Base].[Importe]",
TDinamica_R!$A$5,
"[Calendario].[AñoMes]",
"[Calendario].[AñoMes].&amp;[" &amp; TEXT(K$6,"yyyymm") &amp; "]",
"[Base].[Metrica]",
"[Base].[Metrica].&amp;[" &amp; $A45 &amp; "]",
"[Base].[SEGMENTO_DESCRIP]",
"[Base].[SEGMENTO_DESCRIP].&amp;[" &amp; $C$6 &amp; "]",
"[Base].[SITUACION]",
"[Base].[SITUACION].&amp;[" &amp; $C45 &amp; "]"
),0)/1000</f>
        <v>-3.7590000000000005E-2</v>
      </c>
      <c r="L45" s="8">
        <f>-IFERROR(
GETPIVOTDATA(
"[Base].[Importe]",
TDinamica_R!$A$5,
"[Calendario].[AñoMes]",
"[Calendario].[AñoMes].&amp;[" &amp; TEXT(L$6,"yyyymm") &amp; "]",
"[Base].[Metrica]",
"[Base].[Metrica].&amp;[" &amp; $A45 &amp; "]",
"[Base].[SEGMENTO_DESCRIP]",
"[Base].[SEGMENTO_DESCRIP].&amp;[" &amp; $C$6 &amp; "]",
"[Base].[SITUACION]",
"[Base].[SITUACION].&amp;[" &amp; $C45 &amp; "]"
),0)/1000</f>
        <v>-3.4419999999999999E-2</v>
      </c>
      <c r="M45" s="8">
        <f>-IFERROR(
GETPIVOTDATA(
"[Base].[Importe]",
TDinamica_R!$A$5,
"[Calendario].[AñoMes]",
"[Calendario].[AñoMes].&amp;[" &amp; TEXT(M$6,"yyyymm") &amp; "]",
"[Base].[Metrica]",
"[Base].[Metrica].&amp;[" &amp; $A45 &amp; "]",
"[Base].[SEGMENTO_DESCRIP]",
"[Base].[SEGMENTO_DESCRIP].&amp;[" &amp; $C$6 &amp; "]",
"[Base].[SITUACION]",
"[Base].[SITUACION].&amp;[" &amp; $C45 &amp; "]"
),0)/1000</f>
        <v>-3.082E-2</v>
      </c>
      <c r="N45" s="8">
        <f>-IFERROR(
GETPIVOTDATA(
"[Base].[Importe]",
TDinamica_R!$A$5,
"[Calendario].[AñoMes]",
"[Calendario].[AñoMes].&amp;[" &amp; TEXT(N$6,"yyyymm") &amp; "]",
"[Base].[Metrica]",
"[Base].[Metrica].&amp;[" &amp; $A45 &amp; "]",
"[Base].[SEGMENTO_DESCRIP]",
"[Base].[SEGMENTO_DESCRIP].&amp;[" &amp; $C$6 &amp; "]",
"[Base].[SITUACION]",
"[Base].[SITUACION].&amp;[" &amp; $C45 &amp; "]"
),0)/1000</f>
        <v>-2.7170000000000003E-2</v>
      </c>
      <c r="O45" s="8">
        <f>-IFERROR(
GETPIVOTDATA(
"[Base].[Importe]",
TDinamica_R!$A$5,
"[Calendario].[AñoMes]",
"[Calendario].[AñoMes].&amp;[" &amp; TEXT(O$6,"yyyymm") &amp; "]",
"[Base].[Metrica]",
"[Base].[Metrica].&amp;[" &amp; $A45 &amp; "]",
"[Base].[SEGMENTO_DESCRIP]",
"[Base].[SEGMENTO_DESCRIP].&amp;[" &amp; $C$6 &amp; "]",
"[Base].[SITUACION]",
"[Base].[SITUACION].&amp;[" &amp; $C45 &amp; "]"
),0)/1000</f>
        <v>-2.3370000000000002E-2</v>
      </c>
      <c r="P45" s="8">
        <f>-IFERROR(
GETPIVOTDATA(
"[Base].[Importe]",
TDinamica_R!$A$5,
"[Calendario].[AñoMes]",
"[Calendario].[AñoMes].&amp;[" &amp; TEXT(P$6,"yyyymm") &amp; "]",
"[Base].[Metrica]",
"[Base].[Metrica].&amp;[" &amp; $A45 &amp; "]",
"[Base].[SEGMENTO_DESCRIP]",
"[Base].[SEGMENTO_DESCRIP].&amp;[" &amp; $C$6 &amp; "]",
"[Base].[SITUACION]",
"[Base].[SITUACION].&amp;[" &amp; $C45 &amp; "]"
),0)/1000</f>
        <v>-1.9030000000000002E-2</v>
      </c>
      <c r="Q45" s="8">
        <f>-IFERROR(
GETPIVOTDATA(
"[Base].[Importe]",
TDinamica_R!$A$5,
"[Calendario].[AñoMes]",
"[Calendario].[AñoMes].&amp;[" &amp; TEXT(Q$6,"yyyymm") &amp; "]",
"[Base].[Metrica]",
"[Base].[Metrica].&amp;[" &amp; $A45 &amp; "]",
"[Base].[SEGMENTO_DESCRIP]",
"[Base].[SEGMENTO_DESCRIP].&amp;[" &amp; $C$6 &amp; "]",
"[Base].[SITUACION]",
"[Base].[SITUACION].&amp;[" &amp; $C45 &amp; "]"
),0)/1000</f>
        <v>-1.6489999999999998E-2</v>
      </c>
      <c r="R45" s="8">
        <f>-IFERROR(
GETPIVOTDATA(
"[Base].[Importe]",
TDinamica_R!$A$5,
"[Calendario].[AñoMes]",
"[Calendario].[AñoMes].&amp;[" &amp; TEXT(R$6,"yyyymm") &amp; "]",
"[Base].[Metrica]",
"[Base].[Metrica].&amp;[" &amp; $A45 &amp; "]",
"[Base].[SEGMENTO_DESCRIP]",
"[Base].[SEGMENTO_DESCRIP].&amp;[" &amp; $C$6 &amp; "]",
"[Base].[SITUACION]",
"[Base].[SITUACION].&amp;[" &amp; $C45 &amp; "]"
),0)/1000</f>
        <v>-1.268E-2</v>
      </c>
      <c r="S45" s="8">
        <f>-IFERROR(
GETPIVOTDATA(
"[Base].[Importe]",
TDinamica_R!$A$5,
"[Calendario].[AñoMes]",
"[Calendario].[AñoMes].&amp;[" &amp; TEXT(S$6,"yyyymm") &amp; "]",
"[Base].[Metrica]",
"[Base].[Metrica].&amp;[" &amp; $A45 &amp; "]",
"[Base].[SEGMENTO_DESCRIP]",
"[Base].[SEGMENTO_DESCRIP].&amp;[" &amp; $C$6 &amp; "]",
"[Base].[SITUACION]",
"[Base].[SITUACION].&amp;[" &amp; $C45 &amp; "]"
),0)/1000</f>
        <v>-1.102E-2</v>
      </c>
      <c r="T45" s="8">
        <f>-IFERROR(
GETPIVOTDATA(
"[Base].[Importe]",
TDinamica_R!$A$5,
"[Calendario].[AñoMes]",
"[Calendario].[AñoMes].&amp;[" &amp; TEXT(T$6,"yyyymm") &amp; "]",
"[Base].[Metrica]",
"[Base].[Metrica].&amp;[" &amp; $A45 &amp; "]",
"[Base].[SEGMENTO_DESCRIP]",
"[Base].[SEGMENTO_DESCRIP].&amp;[" &amp; $C$6 &amp; "]",
"[Base].[SITUACION]",
"[Base].[SITUACION].&amp;[" &amp; $C45 &amp; "]"
),0)/1000</f>
        <v>-1.4299999999999998E-3</v>
      </c>
      <c r="U45" s="8">
        <f>-IFERROR(
GETPIVOTDATA(
"[Base].[Importe]",
TDinamica_R!$A$5,
"[Calendario].[AñoMes]",
"[Calendario].[AñoMes].&amp;[" &amp; TEXT(U$6,"yyyymm")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V45" s="8">
        <f>-IFERROR(
GETPIVOTDATA(
"[Base].[Importe]",
TDinamica_R!$A$5,
"[Calendario].[AñoMes]",
"[Calendario].[AñoMes].&amp;[" &amp; TEXT(V$6,"yyyymm")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W45" s="8">
        <f>-IFERROR(
GETPIVOTDATA(
"[Base].[Importe]",
TDinamica_R!$A$5,
"[Calendario].[AñoMes]",
"[Calendario].[AñoMes].&amp;[" &amp; TEXT(W$6,"yyyymm")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X45" s="8">
        <f>-IFERROR(
GETPIVOTDATA(
"[Base].[Importe]",
TDinamica_R!$A$5,
"[Calendario].[AñoMes]",
"[Calendario].[AñoMes].&amp;[" &amp; TEXT(X$6,"yyyymm")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Y45" s="8">
        <f>-IFERROR(
GETPIVOTDATA(
"[Base].[Importe]",
TDinamica_R!$A$5,
"[Calendario].[AñoMes]",
"[Calendario].[AñoMes].&amp;[" &amp; TEXT(Y$6,"yyyymm")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Z45" s="8">
        <f>-IFERROR(
GETPIVOTDATA(
"[Base].[Importe]",
TDinamica_R!$A$5,
"[Calendario].[AñoMes]",
"[Calendario].[AñoMes].&amp;[" &amp; TEXT(Z$6,"yyyymm")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A45" s="8">
        <f>-IFERROR(
GETPIVOTDATA(
"[Base].[Importe]",
TDinamica_R!$A$5,
"[Calendario].[AñoMes]",
"[Calendario].[AñoMes].&amp;[" &amp; TEXT(AA$6,"yyyymm")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B45" s="8">
        <f>-IFERROR(
GETPIVOTDATA(
"[Base].[Importe]",
TDinamica_R!$A$5,
"[Calendario].[AñoMes]",
"[Calendario].[AñoMes].&amp;[" &amp; TEXT(AB$6,"yyyymm")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C45" s="8">
        <f>-IFERROR(
GETPIVOTDATA(
"[Base].[Importe]",
TDinamica_R!$A$5,
"[Calendario].[AñoMes]",
"[Calendario].[AñoMes].&amp;[" &amp; TEXT(AC$6,"yyyymm")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D45" s="8">
        <f>-IFERROR(
GETPIVOTDATA(
"[Base].[Importe]",
TDinamica_R!$A$5,
"[Calendario].[AñoMes]",
"[Calendario].[AñoMes].&amp;[" &amp; TEXT(AD$6,"yyyymm")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E45" s="8">
        <f>-IFERROR(
GETPIVOTDATA(
"[Base].[Importe]",
TDinamica_R!$A$5,
"[Calendario].[AñoMes]",
"[Calendario].[AñoMes].&amp;[" &amp; TEXT(AE$6,"yyyymm")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F45" s="8">
        <f>-IFERROR(
GETPIVOTDATA(
"[Base].[Importe]",
TDinamica_R!$A$5,
"[Calendario].[AñoMes]",
"[Calendario].[AñoMes].&amp;[" &amp; TEXT(AF$6,"yyyymm")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G45" s="8">
        <f>-IFERROR(
GETPIVOTDATA(
"[Base].[Importe]",
TDinamica_R!$A$5,
"[Calendario].[AñoMes]",
"[Calendario].[AñoMes].&amp;[" &amp; TEXT(AG$6,"yyyymm")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H45" s="8">
        <f>-IFERROR(
GETPIVOTDATA(
"[Base].[Importe]",
TDinamica_R!$A$5,
"[Calendario].[AñoMes]",
"[Calendario].[AñoMes].&amp;[" &amp; TEXT(AH$6,"yyyymm")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I45" s="8">
        <f>-IFERROR(
GETPIVOTDATA(
"[Base].[Importe]",
TDinamica_R!$A$5,
"[Calendario].[AñoMes]",
"[Calendario].[AñoMes].&amp;[" &amp; TEXT(AI$6,"yyyymm")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J45" s="8">
        <f>-IFERROR(
GETPIVOTDATA(
"[Base].[Importe]",
TDinamica_R!$A$5,
"[Calendario].[AñoMes]",
"[Calendario].[AñoMes].&amp;[" &amp; TEXT(AJ$6,"yyyymm")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K45" s="8">
        <f>-IFERROR(
GETPIVOTDATA(
"[Base].[Importe]",
TDinamica_R!$A$5,
"[Calendario].[AñoMes]",
"[Calendario].[AñoMes].&amp;[" &amp; TEXT(AK$6,"yyyymm")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L45" s="8">
        <f>-IFERROR(
GETPIVOTDATA(
"[Base].[Importe]",
TDinamica_R!$A$5,
"[Calendario].[AñoMes]",
"[Calendario].[AñoMes].&amp;[" &amp; TEXT(AL$6,"yyyymm")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M45" s="8">
        <f>-IFERROR(
GETPIVOTDATA(
"[Base].[Importe]",
TDinamica_R!$A$5,
"[Calendario].[AñoMes]",
"[Calendario].[AñoMes].&amp;[" &amp; TEXT(AM$6,"yyyymm")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N45" s="8">
        <f>-IFERROR(
GETPIVOTDATA(
"[Base].[Importe]",
TDinamica_R!$A$5,
"[Calendario].[AñoMes]",
"[Calendario].[AñoMes].&amp;[" &amp; TEXT(AN$6,"yyyymm")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O45" s="8">
        <f>-IFERROR(
GETPIVOTDATA(
"[Base].[Importe]",
TDinamica_R!$A$5,
"[Calendario].[AñoMes]",
"[Calendario].[AñoMes].&amp;[" &amp; TEXT(AO$6,"yyyymm")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P45" s="8">
        <f>-IFERROR(
GETPIVOTDATA(
"[Base].[Importe]",
TDinamica_R!$A$5,
"[Calendario].[AñoMes]",
"[Calendario].[AñoMes].&amp;[" &amp; TEXT(AP$6,"yyyymm")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Q45" s="8">
        <f>-IFERROR(
GETPIVOTDATA(
"[Base].[Importe]",
TDinamica_R!$A$5,
"[Calendario].[AñoMes]",
"[Calendario].[AñoMes].&amp;[" &amp; TEXT(AQ$6,"yyyymm")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R45" s="8">
        <f>-IFERROR(
GETPIVOTDATA(
"[Base].[Importe]",
TDinamica_R!$A$5,
"[Calendario].[AñoMes]",
"[Calendario].[AñoMes].&amp;[" &amp; TEXT(AR$6,"yyyymm")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S45" s="8">
        <f>-IFERROR(
GETPIVOTDATA(
"[Base].[Importe]",
TDinamica_R!$A$5,
"[Calendario].[AñoMes]",
"[Calendario].[AñoMes].&amp;[" &amp; TEXT(AS$6,"yyyymm")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T45" s="8">
        <f>-IFERROR(
GETPIVOTDATA(
"[Base].[Importe]",
TDinamica_R!$A$5,
"[Calendario].[AñoMes]",
"[Calendario].[AñoMes].&amp;[" &amp; TEXT(AT$6,"yyyymm")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U45" s="8">
        <f>-IFERROR(
GETPIVOTDATA(
"[Base].[Importe]",
TDinamica_R!$A$5,
"[Calendario].[AñoMes]",
"[Calendario].[AñoMes].&amp;[" &amp; TEXT(AU$6,"yyyymm")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V45" s="8">
        <f>-IFERROR(
GETPIVOTDATA(
"[Base].[Importe]",
TDinamica_R!$A$5,
"[Calendario].[AñoMes]",
"[Calendario].[AñoMes].&amp;[" &amp; TEXT(AV$6,"yyyymm")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W45" s="8">
        <f>-IFERROR(
GETPIVOTDATA(
"[Base].[Importe]",
TDinamica_R!$A$5,
"[Calendario].[AñoMes]",
"[Calendario].[AñoMes].&amp;[" &amp; TEXT(AW$6,"yyyymm")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X45" s="8">
        <f>-IFERROR(
GETPIVOTDATA(
"[Base].[Importe]",
TDinamica_R!$A$5,
"[Calendario].[AñoMes]",
"[Calendario].[AñoMes].&amp;[" &amp; TEXT(AX$6,"yyyymm")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Y45" s="8">
        <f>-IFERROR(
GETPIVOTDATA(
"[Base].[Importe]",
TDinamica_R!$A$5,
"[Calendario].[AñoMes]",
"[Calendario].[AñoMes].&amp;[" &amp; TEXT(AY$6,"yyyymm") &amp; "]",
"[Base].[Metrica]",
"[Base].[Metrica].&amp;[" &amp; $A45 &amp; "]",
"[Base].[SEGMENTO_DESCRIP]",
"[Base].[SEGMENTO_DESCRIP].&amp;[" &amp; $C$6 &amp; "]",
"[Base].[SITUACION]",
"[Base].[SITUACION].&amp;[" &amp; $C45 &amp; "]"
),0)/1000</f>
        <v>0</v>
      </c>
      <c r="AZ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"[BASE_HIPO_PPTO].[Periodo]","[BASE_HIPO_PPTO].[Periodo].&amp;["&amp;TEXT(AZ$6,"yyyymm")&amp;"]"),
0)/1000</f>
        <v>0</v>
      </c>
      <c r="BA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"[BASE_HIPO_PPTO].[Periodo]","[BASE_HIPO_PPTO].[Periodo].&amp;["&amp;TEXT(BA$6,"yyyymm")&amp;"]"),
0)/1000</f>
        <v>0</v>
      </c>
      <c r="BB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"[BASE_HIPO_PPTO].[Periodo]","[BASE_HIPO_PPTO].[Periodo].&amp;["&amp;TEXT(BB$6,"yyyymm")&amp;"]"),
0)/1000</f>
        <v>0</v>
      </c>
      <c r="BC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"[BASE_HIPO_PPTO].[Periodo]","[BASE_HIPO_PPTO].[Periodo].&amp;["&amp;TEXT(BC$6,"yyyymm")&amp;"]"),
0)/1000</f>
        <v>0</v>
      </c>
      <c r="BD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"[BASE_HIPO_PPTO].[Periodo]","[BASE_HIPO_PPTO].[Periodo].&amp;["&amp;TEXT(BD$6,"yyyymm")&amp;"]"),
0)/1000</f>
        <v>0</v>
      </c>
      <c r="BE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"[BASE_HIPO_PPTO].[Periodo]","[BASE_HIPO_PPTO].[Periodo].&amp;["&amp;TEXT(BE$6,"yyyymm")&amp;"]"),
0)/1000</f>
        <v>0</v>
      </c>
      <c r="BF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"[BASE_HIPO_PPTO].[Periodo]","[BASE_HIPO_PPTO].[Periodo].&amp;["&amp;TEXT(BF$6,"yyyymm")&amp;"]"),
0)/1000</f>
        <v>0</v>
      </c>
      <c r="BG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"[BASE_HIPO_PPTO].[Periodo]","[BASE_HIPO_PPTO].[Periodo].&amp;["&amp;TEXT(BG$6,"yyyymm")&amp;"]"),
0)/1000</f>
        <v>0</v>
      </c>
      <c r="BH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"[BASE_HIPO_PPTO].[Periodo]","[BASE_HIPO_PPTO].[Periodo].&amp;["&amp;TEXT(BH$6,"yyyymm")&amp;"]"),
0)/1000</f>
        <v>0</v>
      </c>
      <c r="BI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"[BASE_HIPO_PPTO].[Periodo]","[BASE_HIPO_PPTO].[Periodo].&amp;["&amp;TEXT(BI$6,"yyyymm")&amp;"]"),
0)/1000</f>
        <v>0</v>
      </c>
      <c r="BJ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"[BASE_HIPO_PPTO].[Periodo]","[BASE_HIPO_PPTO].[Periodo].&amp;["&amp;TEXT(BJ$6,"yyyymm")&amp;"]"),
0)/1000</f>
        <v>0</v>
      </c>
      <c r="BK45" s="8">
        <f>IFERROR(
GETPIVOTDATA(
"[BASE_HIPO_PPTO].[Importe]",
TDinamica_P!$A$5,
"[BASE_HIPO_PPTO].[Metrica]","[BASE_HIPO_PPTO].[Metrica].&amp;["&amp;$A45&amp;"]",
"[BASE_HIPO_PPTO].[SEGMENTO_DESCRIP]","[BASE_HIPO_PPTO].[SEGMENTO_DESCRIP].&amp;["&amp;$C$6&amp;"]",
"[BASE_HIPO_PPTO].[SITUACION]","[BASE_HIPO_PPTO].[SITUACION].&amp;["&amp;$C45&amp;"]",
"[BASE_HIPO_PPTO].[Periodo]","[BASE_HIPO_PPTO].[Periodo].&amp;["&amp;TEXT(BK$6,"yyyymm")&amp;"]"),
0)/1000</f>
        <v>0</v>
      </c>
      <c r="BO45" s="24">
        <f t="shared" si="44"/>
        <v>0</v>
      </c>
      <c r="BP45" s="24">
        <f t="shared" si="44"/>
        <v>0</v>
      </c>
      <c r="BQ45" s="24">
        <f t="shared" si="44"/>
        <v>0</v>
      </c>
      <c r="BR45" s="24">
        <f t="shared" si="44"/>
        <v>0</v>
      </c>
      <c r="BS45" s="24">
        <f t="shared" si="44"/>
        <v>-4.8199999999999993E-2</v>
      </c>
      <c r="BT45" s="24">
        <f t="shared" si="44"/>
        <v>-0.33614368999999999</v>
      </c>
    </row>
    <row r="46" spans="1:72" hidden="1" outlineLevel="1" x14ac:dyDescent="0.25">
      <c r="A46" s="11" t="s">
        <v>50</v>
      </c>
      <c r="C46" s="2" t="s">
        <v>45</v>
      </c>
      <c r="D46" s="8">
        <f>-IFERROR(
GETPIVOTDATA(
"[Base].[Importe]",
TDinamica_R!$A$5,
"[Calendario].[AñoMes]",
"[Calendario].[AñoMes].&amp;[" &amp; TEXT(D$6,"yyyymm") &amp; "]",
"[Base].[Metrica]",
"[Base].[Metrica].&amp;[" &amp; $A46 &amp; "]",
"[Base].[SEGMENTO_DESCRIP]",
"[Base].[SEGMENTO_DESCRIP].&amp;[" &amp; $C$6 &amp; "]",
"[Base].[SITUACION]",
"[Base].[SITUACION].&amp;[" &amp; $C46 &amp; "]"
),0)/1000</f>
        <v>-16.865025550000002</v>
      </c>
      <c r="E46" s="8">
        <f>-IFERROR(
GETPIVOTDATA(
"[Base].[Importe]",
TDinamica_R!$A$5,
"[Calendario].[AñoMes]",
"[Calendario].[AñoMes].&amp;[" &amp; TEXT(E$6,"yyyymm") &amp; "]",
"[Base].[Metrica]",
"[Base].[Metrica].&amp;[" &amp; $A46 &amp; "]",
"[Base].[SEGMENTO_DESCRIP]",
"[Base].[SEGMENTO_DESCRIP].&amp;[" &amp; $C$6 &amp; "]",
"[Base].[SITUACION]",
"[Base].[SITUACION].&amp;[" &amp; $C46 &amp; "]"
),0)/1000</f>
        <v>-16.69722999</v>
      </c>
      <c r="F46" s="8">
        <f>-IFERROR(
GETPIVOTDATA(
"[Base].[Importe]",
TDinamica_R!$A$5,
"[Calendario].[AñoMes]",
"[Calendario].[AñoMes].&amp;[" &amp; TEXT(F$6,"yyyymm") &amp; "]",
"[Base].[Metrica]",
"[Base].[Metrica].&amp;[" &amp; $A46 &amp; "]",
"[Base].[SEGMENTO_DESCRIP]",
"[Base].[SEGMENTO_DESCRIP].&amp;[" &amp; $C$6 &amp; "]",
"[Base].[SITUACION]",
"[Base].[SITUACION].&amp;[" &amp; $C46 &amp; "]"
),0)/1000</f>
        <v>-16.163055800000002</v>
      </c>
      <c r="G46" s="8">
        <f>-IFERROR(
GETPIVOTDATA(
"[Base].[Importe]",
TDinamica_R!$A$5,
"[Calendario].[AñoMes]",
"[Calendario].[AñoMes].&amp;[" &amp; TEXT(G$6,"yyyymm") &amp; "]",
"[Base].[Metrica]",
"[Base].[Metrica].&amp;[" &amp; $A46 &amp; "]",
"[Base].[SEGMENTO_DESCRIP]",
"[Base].[SEGMENTO_DESCRIP].&amp;[" &amp; $C$6 &amp; "]",
"[Base].[SITUACION]",
"[Base].[SITUACION].&amp;[" &amp; $C46 &amp; "]"
),0)/1000</f>
        <v>-15.19666632</v>
      </c>
      <c r="H46" s="8">
        <f>-IFERROR(
GETPIVOTDATA(
"[Base].[Importe]",
TDinamica_R!$A$5,
"[Calendario].[AñoMes]",
"[Calendario].[AñoMes].&amp;[" &amp; TEXT(H$6,"yyyymm") &amp; "]",
"[Base].[Metrica]",
"[Base].[Metrica].&amp;[" &amp; $A46 &amp; "]",
"[Base].[SEGMENTO_DESCRIP]",
"[Base].[SEGMENTO_DESCRIP].&amp;[" &amp; $C$6 &amp; "]",
"[Base].[SITUACION]",
"[Base].[SITUACION].&amp;[" &amp; $C46 &amp; "]"
),0)/1000</f>
        <v>-13.345387279999999</v>
      </c>
      <c r="I46" s="8">
        <f>-IFERROR(
GETPIVOTDATA(
"[Base].[Importe]",
TDinamica_R!$A$5,
"[Calendario].[AñoMes]",
"[Calendario].[AñoMes].&amp;[" &amp; TEXT(I$6,"yyyymm") &amp; "]",
"[Base].[Metrica]",
"[Base].[Metrica].&amp;[" &amp; $A46 &amp; "]",
"[Base].[SEGMENTO_DESCRIP]",
"[Base].[SEGMENTO_DESCRIP].&amp;[" &amp; $C$6 &amp; "]",
"[Base].[SITUACION]",
"[Base].[SITUACION].&amp;[" &amp; $C46 &amp; "]"
),0)/1000</f>
        <v>-10.984448000000002</v>
      </c>
      <c r="J46" s="8">
        <f>-IFERROR(
GETPIVOTDATA(
"[Base].[Importe]",
TDinamica_R!$A$5,
"[Calendario].[AñoMes]",
"[Calendario].[AñoMes].&amp;[" &amp; TEXT(J$6,"yyyymm") &amp; "]",
"[Base].[Metrica]",
"[Base].[Metrica].&amp;[" &amp; $A46 &amp; "]",
"[Base].[SEGMENTO_DESCRIP]",
"[Base].[SEGMENTO_DESCRIP].&amp;[" &amp; $C$6 &amp; "]",
"[Base].[SITUACION]",
"[Base].[SITUACION].&amp;[" &amp; $C46 &amp; "]"
),0)/1000</f>
        <v>-8.4271912900000014</v>
      </c>
      <c r="K46" s="8">
        <f>-IFERROR(
GETPIVOTDATA(
"[Base].[Importe]",
TDinamica_R!$A$5,
"[Calendario].[AñoMes]",
"[Calendario].[AñoMes].&amp;[" &amp; TEXT(K$6,"yyyymm") &amp; "]",
"[Base].[Metrica]",
"[Base].[Metrica].&amp;[" &amp; $A46 &amp; "]",
"[Base].[SEGMENTO_DESCRIP]",
"[Base].[SEGMENTO_DESCRIP].&amp;[" &amp; $C$6 &amp; "]",
"[Base].[SITUACION]",
"[Base].[SITUACION].&amp;[" &amp; $C46 &amp; "]"
),0)/1000</f>
        <v>-7.8992987999999995</v>
      </c>
      <c r="L46" s="8">
        <f>-IFERROR(
GETPIVOTDATA(
"[Base].[Importe]",
TDinamica_R!$A$5,
"[Calendario].[AñoMes]",
"[Calendario].[AñoMes].&amp;[" &amp; TEXT(L$6,"yyyymm") &amp; "]",
"[Base].[Metrica]",
"[Base].[Metrica].&amp;[" &amp; $A46 &amp; "]",
"[Base].[SEGMENTO_DESCRIP]",
"[Base].[SEGMENTO_DESCRIP].&amp;[" &amp; $C$6 &amp; "]",
"[Base].[SITUACION]",
"[Base].[SITUACION].&amp;[" &amp; $C46 &amp; "]"
),0)/1000</f>
        <v>-7.8556573700000003</v>
      </c>
      <c r="M46" s="8">
        <f>-IFERROR(
GETPIVOTDATA(
"[Base].[Importe]",
TDinamica_R!$A$5,
"[Calendario].[AñoMes]",
"[Calendario].[AñoMes].&amp;[" &amp; TEXT(M$6,"yyyymm") &amp; "]",
"[Base].[Metrica]",
"[Base].[Metrica].&amp;[" &amp; $A46 &amp; "]",
"[Base].[SEGMENTO_DESCRIP]",
"[Base].[SEGMENTO_DESCRIP].&amp;[" &amp; $C$6 &amp; "]",
"[Base].[SITUACION]",
"[Base].[SITUACION].&amp;[" &amp; $C46 &amp; "]"
),0)/1000</f>
        <v>-7.9186396500000011</v>
      </c>
      <c r="N46" s="8">
        <f>-IFERROR(
GETPIVOTDATA(
"[Base].[Importe]",
TDinamica_R!$A$5,
"[Calendario].[AñoMes]",
"[Calendario].[AñoMes].&amp;[" &amp; TEXT(N$6,"yyyymm") &amp; "]",
"[Base].[Metrica]",
"[Base].[Metrica].&amp;[" &amp; $A46 &amp; "]",
"[Base].[SEGMENTO_DESCRIP]",
"[Base].[SEGMENTO_DESCRIP].&amp;[" &amp; $C$6 &amp; "]",
"[Base].[SITUACION]",
"[Base].[SITUACION].&amp;[" &amp; $C46 &amp; "]"
),0)/1000</f>
        <v>-8.8244339800000002</v>
      </c>
      <c r="O46" s="8">
        <f>-IFERROR(
GETPIVOTDATA(
"[Base].[Importe]",
TDinamica_R!$A$5,
"[Calendario].[AñoMes]",
"[Calendario].[AñoMes].&amp;[" &amp; TEXT(O$6,"yyyymm") &amp; "]",
"[Base].[Metrica]",
"[Base].[Metrica].&amp;[" &amp; $A46 &amp; "]",
"[Base].[SEGMENTO_DESCRIP]",
"[Base].[SEGMENTO_DESCRIP].&amp;[" &amp; $C$6 &amp; "]",
"[Base].[SITUACION]",
"[Base].[SITUACION].&amp;[" &amp; $C46 &amp; "]"
),0)/1000</f>
        <v>-7.8355950400000003</v>
      </c>
      <c r="P46" s="8">
        <f>-IFERROR(
GETPIVOTDATA(
"[Base].[Importe]",
TDinamica_R!$A$5,
"[Calendario].[AñoMes]",
"[Calendario].[AñoMes].&amp;[" &amp; TEXT(P$6,"yyyymm") &amp; "]",
"[Base].[Metrica]",
"[Base].[Metrica].&amp;[" &amp; $A46 &amp; "]",
"[Base].[SEGMENTO_DESCRIP]",
"[Base].[SEGMENTO_DESCRIP].&amp;[" &amp; $C$6 &amp; "]",
"[Base].[SITUACION]",
"[Base].[SITUACION].&amp;[" &amp; $C46 &amp; "]"
),0)/1000</f>
        <v>-7.6657437600000007</v>
      </c>
      <c r="Q46" s="8">
        <f>-IFERROR(
GETPIVOTDATA(
"[Base].[Importe]",
TDinamica_R!$A$5,
"[Calendario].[AñoMes]",
"[Calendario].[AñoMes].&amp;[" &amp; TEXT(Q$6,"yyyymm") &amp; "]",
"[Base].[Metrica]",
"[Base].[Metrica].&amp;[" &amp; $A46 &amp; "]",
"[Base].[SEGMENTO_DESCRIP]",
"[Base].[SEGMENTO_DESCRIP].&amp;[" &amp; $C$6 &amp; "]",
"[Base].[SITUACION]",
"[Base].[SITUACION].&amp;[" &amp; $C46 &amp; "]"
),0)/1000</f>
        <v>-8.3627538799999996</v>
      </c>
      <c r="R46" s="8">
        <f>-IFERROR(
GETPIVOTDATA(
"[Base].[Importe]",
TDinamica_R!$A$5,
"[Calendario].[AñoMes]",
"[Calendario].[AñoMes].&amp;[" &amp; TEXT(R$6,"yyyymm") &amp; "]",
"[Base].[Metrica]",
"[Base].[Metrica].&amp;[" &amp; $A46 &amp; "]",
"[Base].[SEGMENTO_DESCRIP]",
"[Base].[SEGMENTO_DESCRIP].&amp;[" &amp; $C$6 &amp; "]",
"[Base].[SITUACION]",
"[Base].[SITUACION].&amp;[" &amp; $C46 &amp; "]"
),0)/1000</f>
        <v>-8.7225377400000017</v>
      </c>
      <c r="S46" s="8">
        <f>-IFERROR(
GETPIVOTDATA(
"[Base].[Importe]",
TDinamica_R!$A$5,
"[Calendario].[AñoMes]",
"[Calendario].[AñoMes].&amp;[" &amp; TEXT(S$6,"yyyymm") &amp; "]",
"[Base].[Metrica]",
"[Base].[Metrica].&amp;[" &amp; $A46 &amp; "]",
"[Base].[SEGMENTO_DESCRIP]",
"[Base].[SEGMENTO_DESCRIP].&amp;[" &amp; $C$6 &amp; "]",
"[Base].[SITUACION]",
"[Base].[SITUACION].&amp;[" &amp; $C46 &amp; "]"
),0)/1000</f>
        <v>-7.0938254400000016</v>
      </c>
      <c r="T46" s="8">
        <f>-IFERROR(
GETPIVOTDATA(
"[Base].[Importe]",
TDinamica_R!$A$5,
"[Calendario].[AñoMes]",
"[Calendario].[AñoMes].&amp;[" &amp; TEXT(T$6,"yyyymm") &amp; "]",
"[Base].[Metrica]",
"[Base].[Metrica].&amp;[" &amp; $A46 &amp; "]",
"[Base].[SEGMENTO_DESCRIP]",
"[Base].[SEGMENTO_DESCRIP].&amp;[" &amp; $C$6 &amp; "]",
"[Base].[SITUACION]",
"[Base].[SITUACION].&amp;[" &amp; $C46 &amp; "]"
),0)/1000</f>
        <v>-4.9790454000000004</v>
      </c>
      <c r="U46" s="8">
        <f>-IFERROR(
GETPIVOTDATA(
"[Base].[Importe]",
TDinamica_R!$A$5,
"[Calendario].[AñoMes]",
"[Calendario].[AñoMes].&amp;[" &amp; TEXT(U$6,"yyyymm") &amp; "]",
"[Base].[Metrica]",
"[Base].[Metrica].&amp;[" &amp; $A46 &amp; "]",
"[Base].[SEGMENTO_DESCRIP]",
"[Base].[SEGMENTO_DESCRIP].&amp;[" &amp; $C$6 &amp; "]",
"[Base].[SITUACION]",
"[Base].[SITUACION].&amp;[" &amp; $C46 &amp; "]"
),0)/1000</f>
        <v>-4.4858496299999997</v>
      </c>
      <c r="V46" s="8">
        <f>-IFERROR(
GETPIVOTDATA(
"[Base].[Importe]",
TDinamica_R!$A$5,
"[Calendario].[AñoMes]",
"[Calendario].[AñoMes].&amp;[" &amp; TEXT(V$6,"yyyymm") &amp; "]",
"[Base].[Metrica]",
"[Base].[Metrica].&amp;[" &amp; $A46 &amp; "]",
"[Base].[SEGMENTO_DESCRIP]",
"[Base].[SEGMENTO_DESCRIP].&amp;[" &amp; $C$6 &amp; "]",
"[Base].[SITUACION]",
"[Base].[SITUACION].&amp;[" &amp; $C46 &amp; "]"
),0)/1000</f>
        <v>-4.63659</v>
      </c>
      <c r="W46" s="8">
        <f>-IFERROR(
GETPIVOTDATA(
"[Base].[Importe]",
TDinamica_R!$A$5,
"[Calendario].[AñoMes]",
"[Calendario].[AñoMes].&amp;[" &amp; TEXT(W$6,"yyyymm") &amp; "]",
"[Base].[Metrica]",
"[Base].[Metrica].&amp;[" &amp; $A46 &amp; "]",
"[Base].[SEGMENTO_DESCRIP]",
"[Base].[SEGMENTO_DESCRIP].&amp;[" &amp; $C$6 &amp; "]",
"[Base].[SITUACION]",
"[Base].[SITUACION].&amp;[" &amp; $C46 &amp; "]"
),0)/1000</f>
        <v>-4.5020199999999999</v>
      </c>
      <c r="X46" s="8">
        <f>-IFERROR(
GETPIVOTDATA(
"[Base].[Importe]",
TDinamica_R!$A$5,
"[Calendario].[AñoMes]",
"[Calendario].[AñoMes].&amp;[" &amp; TEXT(X$6,"yyyymm") &amp; "]",
"[Base].[Metrica]",
"[Base].[Metrica].&amp;[" &amp; $A46 &amp; "]",
"[Base].[SEGMENTO_DESCRIP]",
"[Base].[SEGMENTO_DESCRIP].&amp;[" &amp; $C$6 &amp; "]",
"[Base].[SITUACION]",
"[Base].[SITUACION].&amp;[" &amp; $C46 &amp; "]"
),0)/1000</f>
        <v>-4.0183500000000008</v>
      </c>
      <c r="Y46" s="8">
        <f>-IFERROR(
GETPIVOTDATA(
"[Base].[Importe]",
TDinamica_R!$A$5,
"[Calendario].[AñoMes]",
"[Calendario].[AñoMes].&amp;[" &amp; TEXT(Y$6,"yyyymm") &amp; "]",
"[Base].[Metrica]",
"[Base].[Metrica].&amp;[" &amp; $A46 &amp; "]",
"[Base].[SEGMENTO_DESCRIP]",
"[Base].[SEGMENTO_DESCRIP].&amp;[" &amp; $C$6 &amp; "]",
"[Base].[SITUACION]",
"[Base].[SITUACION].&amp;[" &amp; $C46 &amp; "]"
),0)/1000</f>
        <v>-3.3473500000000005</v>
      </c>
      <c r="Z46" s="8">
        <f>-IFERROR(
GETPIVOTDATA(
"[Base].[Importe]",
TDinamica_R!$A$5,
"[Calendario].[AñoMes]",
"[Calendario].[AñoMes].&amp;[" &amp; TEXT(Z$6,"yyyymm") &amp; "]",
"[Base].[Metrica]",
"[Base].[Metrica].&amp;[" &amp; $A46 &amp; "]",
"[Base].[SEGMENTO_DESCRIP]",
"[Base].[SEGMENTO_DESCRIP].&amp;[" &amp; $C$6 &amp; "]",
"[Base].[SITUACION]",
"[Base].[SITUACION].&amp;[" &amp; $C46 &amp; "]"
),0)/1000</f>
        <v>-2.7301299999999999</v>
      </c>
      <c r="AA46" s="8">
        <f>-IFERROR(
GETPIVOTDATA(
"[Base].[Importe]",
TDinamica_R!$A$5,
"[Calendario].[AñoMes]",
"[Calendario].[AñoMes].&amp;[" &amp; TEXT(AA$6,"yyyymm") &amp; "]",
"[Base].[Metrica]",
"[Base].[Metrica].&amp;[" &amp; $A46 &amp; "]",
"[Base].[SEGMENTO_DESCRIP]",
"[Base].[SEGMENTO_DESCRIP].&amp;[" &amp; $C$6 &amp; "]",
"[Base].[SITUACION]",
"[Base].[SITUACION].&amp;[" &amp; $C46 &amp; "]"
),0)/1000</f>
        <v>-2.4022999999999999</v>
      </c>
      <c r="AB46" s="8">
        <f>-IFERROR(
GETPIVOTDATA(
"[Base].[Importe]",
TDinamica_R!$A$5,
"[Calendario].[AñoMes]",
"[Calendario].[AñoMes].&amp;[" &amp; TEXT(AB$6,"yyyymm") &amp; "]",
"[Base].[Metrica]",
"[Base].[Metrica].&amp;[" &amp; $A46 &amp; "]",
"[Base].[SEGMENTO_DESCRIP]",
"[Base].[SEGMENTO_DESCRIP].&amp;[" &amp; $C$6 &amp; "]",
"[Base].[SITUACION]",
"[Base].[SITUACION].&amp;[" &amp; $C46 &amp; "]"
),0)/1000</f>
        <v>-2.6798099999999998</v>
      </c>
      <c r="AC46" s="8">
        <f>-IFERROR(
GETPIVOTDATA(
"[Base].[Importe]",
TDinamica_R!$A$5,
"[Calendario].[AñoMes]",
"[Calendario].[AñoMes].&amp;[" &amp; TEXT(AC$6,"yyyymm") &amp; "]",
"[Base].[Metrica]",
"[Base].[Metrica].&amp;[" &amp; $A46 &amp; "]",
"[Base].[SEGMENTO_DESCRIP]",
"[Base].[SEGMENTO_DESCRIP].&amp;[" &amp; $C$6 &amp; "]",
"[Base].[SITUACION]",
"[Base].[SITUACION].&amp;[" &amp; $C46 &amp; "]"
),0)/1000</f>
        <v>-2.6191400000000002</v>
      </c>
      <c r="AD46" s="8">
        <f>-IFERROR(
GETPIVOTDATA(
"[Base].[Importe]",
TDinamica_R!$A$5,
"[Calendario].[AñoMes]",
"[Calendario].[AñoMes].&amp;[" &amp; TEXT(AD$6,"yyyymm") &amp; "]",
"[Base].[Metrica]",
"[Base].[Metrica].&amp;[" &amp; $A46 &amp; "]",
"[Base].[SEGMENTO_DESCRIP]",
"[Base].[SEGMENTO_DESCRIP].&amp;[" &amp; $C$6 &amp; "]",
"[Base].[SITUACION]",
"[Base].[SITUACION].&amp;[" &amp; $C46 &amp; "]"
),0)/1000</f>
        <v>-2.58277</v>
      </c>
      <c r="AE46" s="8">
        <f>-IFERROR(
GETPIVOTDATA(
"[Base].[Importe]",
TDinamica_R!$A$5,
"[Calendario].[AñoMes]",
"[Calendario].[AñoMes].&amp;[" &amp; TEXT(AE$6,"yyyymm") &amp; "]",
"[Base].[Metrica]",
"[Base].[Metrica].&amp;[" &amp; $A46 &amp; "]",
"[Base].[SEGMENTO_DESCRIP]",
"[Base].[SEGMENTO_DESCRIP].&amp;[" &amp; $C$6 &amp; "]",
"[Base].[SITUACION]",
"[Base].[SITUACION].&amp;[" &amp; $C46 &amp; "]"
),0)/1000</f>
        <v>-2.5320999999999998</v>
      </c>
      <c r="AF46" s="8">
        <f>-IFERROR(
GETPIVOTDATA(
"[Base].[Importe]",
TDinamica_R!$A$5,
"[Calendario].[AñoMes]",
"[Calendario].[AñoMes].&amp;[" &amp; TEXT(AF$6,"yyyymm") &amp; "]",
"[Base].[Metrica]",
"[Base].[Metrica].&amp;[" &amp; $A46 &amp; "]",
"[Base].[SEGMENTO_DESCRIP]",
"[Base].[SEGMENTO_DESCRIP].&amp;[" &amp; $C$6 &amp; "]",
"[Base].[SITUACION]",
"[Base].[SITUACION].&amp;[" &amp; $C46 &amp; "]"
),0)/1000</f>
        <v>-2.5213899999999998</v>
      </c>
      <c r="AG46" s="8">
        <f>-IFERROR(
GETPIVOTDATA(
"[Base].[Importe]",
TDinamica_R!$A$5,
"[Calendario].[AñoMes]",
"[Calendario].[AñoMes].&amp;[" &amp; TEXT(AG$6,"yyyymm") &amp; "]",
"[Base].[Metrica]",
"[Base].[Metrica].&amp;[" &amp; $A46 &amp; "]",
"[Base].[SEGMENTO_DESCRIP]",
"[Base].[SEGMENTO_DESCRIP].&amp;[" &amp; $C$6 &amp; "]",
"[Base].[SITUACION]",
"[Base].[SITUACION].&amp;[" &amp; $C46 &amp; "]"
),0)/1000</f>
        <v>-2.5123800000000003</v>
      </c>
      <c r="AH46" s="8">
        <f>-IFERROR(
GETPIVOTDATA(
"[Base].[Importe]",
TDinamica_R!$A$5,
"[Calendario].[AñoMes]",
"[Calendario].[AñoMes].&amp;[" &amp; TEXT(AH$6,"yyyymm") &amp; "]",
"[Base].[Metrica]",
"[Base].[Metrica].&amp;[" &amp; $A46 &amp; "]",
"[Base].[SEGMENTO_DESCRIP]",
"[Base].[SEGMENTO_DESCRIP].&amp;[" &amp; $C$6 &amp; "]",
"[Base].[SITUACION]",
"[Base].[SITUACION].&amp;[" &amp; $C46 &amp; "]"
),0)/1000</f>
        <v>-2.5819399999999999</v>
      </c>
      <c r="AI46" s="8">
        <f>-IFERROR(
GETPIVOTDATA(
"[Base].[Importe]",
TDinamica_R!$A$5,
"[Calendario].[AñoMes]",
"[Calendario].[AñoMes].&amp;[" &amp; TEXT(AI$6,"yyyymm") &amp; "]",
"[Base].[Metrica]",
"[Base].[Metrica].&amp;[" &amp; $A46 &amp; "]",
"[Base].[SEGMENTO_DESCRIP]",
"[Base].[SEGMENTO_DESCRIP].&amp;[" &amp; $C$6 &amp; "]",
"[Base].[SITUACION]",
"[Base].[SITUACION].&amp;[" &amp; $C46 &amp; "]"
),0)/1000</f>
        <v>-2.5945800000000001</v>
      </c>
      <c r="AJ46" s="8">
        <f>-IFERROR(
GETPIVOTDATA(
"[Base].[Importe]",
TDinamica_R!$A$5,
"[Calendario].[AñoMes]",
"[Calendario].[AñoMes].&amp;[" &amp; TEXT(AJ$6,"yyyymm") &amp; "]",
"[Base].[Metrica]",
"[Base].[Metrica].&amp;[" &amp; $A46 &amp; "]",
"[Base].[SEGMENTO_DESCRIP]",
"[Base].[SEGMENTO_DESCRIP].&amp;[" &amp; $C$6 &amp; "]",
"[Base].[SITUACION]",
"[Base].[SITUACION].&amp;[" &amp; $C46 &amp; "]"
),0)/1000</f>
        <v>-2.2831899999999994</v>
      </c>
      <c r="AK46" s="8">
        <f>-IFERROR(
GETPIVOTDATA(
"[Base].[Importe]",
TDinamica_R!$A$5,
"[Calendario].[AñoMes]",
"[Calendario].[AñoMes].&amp;[" &amp; TEXT(AK$6,"yyyymm") &amp; "]",
"[Base].[Metrica]",
"[Base].[Metrica].&amp;[" &amp; $A46 &amp; "]",
"[Base].[SEGMENTO_DESCRIP]",
"[Base].[SEGMENTO_DESCRIP].&amp;[" &amp; $C$6 &amp; "]",
"[Base].[SITUACION]",
"[Base].[SITUACION].&amp;[" &amp; $C46 &amp; "]"
),0)/1000</f>
        <v>-1.8625599999999998</v>
      </c>
      <c r="AL46" s="8">
        <f>-IFERROR(
GETPIVOTDATA(
"[Base].[Importe]",
TDinamica_R!$A$5,
"[Calendario].[AñoMes]",
"[Calendario].[AñoMes].&amp;[" &amp; TEXT(AL$6,"yyyymm") &amp; "]",
"[Base].[Metrica]",
"[Base].[Metrica].&amp;[" &amp; $A46 &amp; "]",
"[Base].[SEGMENTO_DESCRIP]",
"[Base].[SEGMENTO_DESCRIP].&amp;[" &amp; $C$6 &amp; "]",
"[Base].[SITUACION]",
"[Base].[SITUACION].&amp;[" &amp; $C46 &amp; "]"
),0)/1000</f>
        <v>-1.92727</v>
      </c>
      <c r="AM46" s="8">
        <f>-IFERROR(
GETPIVOTDATA(
"[Base].[Importe]",
TDinamica_R!$A$5,
"[Calendario].[AñoMes]",
"[Calendario].[AñoMes].&amp;[" &amp; TEXT(AM$6,"yyyymm") &amp; "]",
"[Base].[Metrica]",
"[Base].[Metrica].&amp;[" &amp; $A46 &amp; "]",
"[Base].[SEGMENTO_DESCRIP]",
"[Base].[SEGMENTO_DESCRIP].&amp;[" &amp; $C$6 &amp; "]",
"[Base].[SITUACION]",
"[Base].[SITUACION].&amp;[" &amp; $C46 &amp; "]"
),0)/1000</f>
        <v>-1.7742399999999998</v>
      </c>
      <c r="AN46" s="8">
        <f>-IFERROR(
GETPIVOTDATA(
"[Base].[Importe]",
TDinamica_R!$A$5,
"[Calendario].[AñoMes]",
"[Calendario].[AñoMes].&amp;[" &amp; TEXT(AN$6,"yyyymm") &amp; "]",
"[Base].[Metrica]",
"[Base].[Metrica].&amp;[" &amp; $A46 &amp; "]",
"[Base].[SEGMENTO_DESCRIP]",
"[Base].[SEGMENTO_DESCRIP].&amp;[" &amp; $C$6 &amp; "]",
"[Base].[SITUACION]",
"[Base].[SITUACION].&amp;[" &amp; $C46 &amp; "]"
),0)/1000</f>
        <v>-1.8176799999999997</v>
      </c>
      <c r="AO46" s="8">
        <f>-IFERROR(
GETPIVOTDATA(
"[Base].[Importe]",
TDinamica_R!$A$5,
"[Calendario].[AñoMes]",
"[Calendario].[AñoMes].&amp;[" &amp; TEXT(AO$6,"yyyymm") &amp; "]",
"[Base].[Metrica]",
"[Base].[Metrica].&amp;[" &amp; $A46 &amp; "]",
"[Base].[SEGMENTO_DESCRIP]",
"[Base].[SEGMENTO_DESCRIP].&amp;[" &amp; $C$6 &amp; "]",
"[Base].[SITUACION]",
"[Base].[SITUACION].&amp;[" &amp; $C46 &amp; "]"
),0)/1000</f>
        <v>-1.7544799999999998</v>
      </c>
      <c r="AP46" s="8">
        <f>-IFERROR(
GETPIVOTDATA(
"[Base].[Importe]",
TDinamica_R!$A$5,
"[Calendario].[AñoMes]",
"[Calendario].[AñoMes].&amp;[" &amp; TEXT(AP$6,"yyyymm") &amp; "]",
"[Base].[Metrica]",
"[Base].[Metrica].&amp;[" &amp; $A46 &amp; "]",
"[Base].[SEGMENTO_DESCRIP]",
"[Base].[SEGMENTO_DESCRIP].&amp;[" &amp; $C$6 &amp; "]",
"[Base].[SITUACION]",
"[Base].[SITUACION].&amp;[" &amp; $C46 &amp; "]"
),0)/1000</f>
        <v>-4.08561</v>
      </c>
      <c r="AQ46" s="8">
        <f>-IFERROR(
GETPIVOTDATA(
"[Base].[Importe]",
TDinamica_R!$A$5,
"[Calendario].[AñoMes]",
"[Calendario].[AñoMes].&amp;[" &amp; TEXT(AQ$6,"yyyymm") &amp; "]",
"[Base].[Metrica]",
"[Base].[Metrica].&amp;[" &amp; $A46 &amp; "]",
"[Base].[SEGMENTO_DESCRIP]",
"[Base].[SEGMENTO_DESCRIP].&amp;[" &amp; $C$6 &amp; "]",
"[Base].[SITUACION]",
"[Base].[SITUACION].&amp;[" &amp; $C46 &amp; "]"
),0)/1000</f>
        <v>-4.1639299999999997</v>
      </c>
      <c r="AR46" s="8">
        <f>-IFERROR(
GETPIVOTDATA(
"[Base].[Importe]",
TDinamica_R!$A$5,
"[Calendario].[AñoMes]",
"[Calendario].[AñoMes].&amp;[" &amp; TEXT(AR$6,"yyyymm") &amp; "]",
"[Base].[Metrica]",
"[Base].[Metrica].&amp;[" &amp; $A46 &amp; "]",
"[Base].[SEGMENTO_DESCRIP]",
"[Base].[SEGMENTO_DESCRIP].&amp;[" &amp; $C$6 &amp; "]",
"[Base].[SITUACION]",
"[Base].[SITUACION].&amp;[" &amp; $C46 &amp; "]"
),0)/1000</f>
        <v>-5.0037099999999999</v>
      </c>
      <c r="AS46" s="8">
        <f>-IFERROR(
GETPIVOTDATA(
"[Base].[Importe]",
TDinamica_R!$A$5,
"[Calendario].[AñoMes]",
"[Calendario].[AñoMes].&amp;[" &amp; TEXT(AS$6,"yyyymm") &amp; "]",
"[Base].[Metrica]",
"[Base].[Metrica].&amp;[" &amp; $A46 &amp; "]",
"[Base].[SEGMENTO_DESCRIP]",
"[Base].[SEGMENTO_DESCRIP].&amp;[" &amp; $C$6 &amp; "]",
"[Base].[SITUACION]",
"[Base].[SITUACION].&amp;[" &amp; $C46 &amp; "]"
),0)/1000</f>
        <v>-4.3952299999999997</v>
      </c>
      <c r="AT46" s="8">
        <f>-IFERROR(
GETPIVOTDATA(
"[Base].[Importe]",
TDinamica_R!$A$5,
"[Calendario].[AñoMes]",
"[Calendario].[AñoMes].&amp;[" &amp; TEXT(AT$6,"yyyymm")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U46" s="8">
        <f>-IFERROR(
GETPIVOTDATA(
"[Base].[Importe]",
TDinamica_R!$A$5,
"[Calendario].[AñoMes]",
"[Calendario].[AñoMes].&amp;[" &amp; TEXT(AU$6,"yyyymm")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V46" s="8">
        <f>-IFERROR(
GETPIVOTDATA(
"[Base].[Importe]",
TDinamica_R!$A$5,
"[Calendario].[AñoMes]",
"[Calendario].[AñoMes].&amp;[" &amp; TEXT(AV$6,"yyyymm")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W46" s="8">
        <f>-IFERROR(
GETPIVOTDATA(
"[Base].[Importe]",
TDinamica_R!$A$5,
"[Calendario].[AñoMes]",
"[Calendario].[AñoMes].&amp;[" &amp; TEXT(AW$6,"yyyymm")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X46" s="8">
        <f>-IFERROR(
GETPIVOTDATA(
"[Base].[Importe]",
TDinamica_R!$A$5,
"[Calendario].[AñoMes]",
"[Calendario].[AñoMes].&amp;[" &amp; TEXT(AX$6,"yyyymm")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Y46" s="8">
        <f>-IFERROR(
GETPIVOTDATA(
"[Base].[Importe]",
TDinamica_R!$A$5,
"[Calendario].[AñoMes]",
"[Calendario].[AñoMes].&amp;[" &amp; TEXT(AY$6,"yyyymm") &amp; "]",
"[Base].[Metrica]",
"[Base].[Metrica].&amp;[" &amp; $A46 &amp; "]",
"[Base].[SEGMENTO_DESCRIP]",
"[Base].[SEGMENTO_DESCRIP].&amp;[" &amp; $C$6 &amp; "]",
"[Base].[SITUACION]",
"[Base].[SITUACION].&amp;[" &amp; $C46 &amp; "]"
),0)/1000</f>
        <v>0</v>
      </c>
      <c r="AZ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"[BASE_HIPO_PPTO].[Periodo]","[BASE_HIPO_PPTO].[Periodo].&amp;["&amp;TEXT(AZ$6,"yyyymm")&amp;"]"),
0)/1000</f>
        <v>-2.4965459226347182</v>
      </c>
      <c r="BA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"[BASE_HIPO_PPTO].[Periodo]","[BASE_HIPO_PPTO].[Periodo].&amp;["&amp;TEXT(BA$6,"yyyymm")&amp;"]"),
0)/1000</f>
        <v>-2.3884519039312724</v>
      </c>
      <c r="BB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"[BASE_HIPO_PPTO].[Periodo]","[BASE_HIPO_PPTO].[Periodo].&amp;["&amp;TEXT(BB$6,"yyyymm")&amp;"]"),
0)/1000</f>
        <v>-2.2709375257249511</v>
      </c>
      <c r="BC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"[BASE_HIPO_PPTO].[Periodo]","[BASE_HIPO_PPTO].[Periodo].&amp;["&amp;TEXT(BC$6,"yyyymm")&amp;"]"),
0)/1000</f>
        <v>-2.1649105365819503</v>
      </c>
      <c r="BD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"[BASE_HIPO_PPTO].[Periodo]","[BASE_HIPO_PPTO].[Periodo].&amp;["&amp;TEXT(BD$6,"yyyymm")&amp;"]"),
0)/1000</f>
        <v>-2.2077214258641646</v>
      </c>
      <c r="BE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"[BASE_HIPO_PPTO].[Periodo]","[BASE_HIPO_PPTO].[Periodo].&amp;["&amp;TEXT(BE$6,"yyyymm")&amp;"]"),
0)/1000</f>
        <v>-2.2633099925228413</v>
      </c>
      <c r="BF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"[BASE_HIPO_PPTO].[Periodo]","[BASE_HIPO_PPTO].[Periodo].&amp;["&amp;TEXT(BF$6,"yyyymm")&amp;"]"),
0)/1000</f>
        <v>-2.3609962509700102</v>
      </c>
      <c r="BG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"[BASE_HIPO_PPTO].[Periodo]","[BASE_HIPO_PPTO].[Periodo].&amp;["&amp;TEXT(BG$6,"yyyymm")&amp;"]"),
0)/1000</f>
        <v>-2.4702164198114187</v>
      </c>
      <c r="BH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"[BASE_HIPO_PPTO].[Periodo]","[BASE_HIPO_PPTO].[Periodo].&amp;["&amp;TEXT(BH$6,"yyyymm")&amp;"]"),
0)/1000</f>
        <v>-2.563395769090997</v>
      </c>
      <c r="BI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"[BASE_HIPO_PPTO].[Periodo]","[BASE_HIPO_PPTO].[Periodo].&amp;["&amp;TEXT(BI$6,"yyyymm")&amp;"]"),
0)/1000</f>
        <v>-2.6476731127066491</v>
      </c>
      <c r="BJ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"[BASE_HIPO_PPTO].[Periodo]","[BASE_HIPO_PPTO].[Periodo].&amp;["&amp;TEXT(BJ$6,"yyyymm")&amp;"]"),
0)/1000</f>
        <v>-2.7366721152974178</v>
      </c>
      <c r="BK46" s="8">
        <f>IFERROR(
GETPIVOTDATA(
"[BASE_HIPO_PPTO].[Importe]",
TDinamica_P!$A$5,
"[BASE_HIPO_PPTO].[Metrica]","[BASE_HIPO_PPTO].[Metrica].&amp;["&amp;$A46&amp;"]",
"[BASE_HIPO_PPTO].[SEGMENTO_DESCRIP]","[BASE_HIPO_PPTO].[SEGMENTO_DESCRIP].&amp;["&amp;$C$6&amp;"]",
"[BASE_HIPO_PPTO].[SITUACION]","[BASE_HIPO_PPTO].[SITUACION].&amp;["&amp;$C46&amp;"]",
"[BASE_HIPO_PPTO].[Periodo]","[BASE_HIPO_PPTO].[Periodo].&amp;["&amp;TEXT(BK$6,"yyyymm")&amp;"]"),
0)/1000</f>
        <v>-2.8317456257656941</v>
      </c>
      <c r="BO46" s="24">
        <f t="shared" si="44"/>
        <v>-7.6577699999999993</v>
      </c>
      <c r="BP46" s="24">
        <f t="shared" si="44"/>
        <v>-7.1559353522909426</v>
      </c>
      <c r="BQ46" s="24">
        <f t="shared" si="44"/>
        <v>-3.5721599999999993</v>
      </c>
      <c r="BR46" s="24">
        <f t="shared" si="44"/>
        <v>-7.8817199999999996</v>
      </c>
      <c r="BS46" s="24">
        <f t="shared" si="44"/>
        <v>-24.751035380000005</v>
      </c>
      <c r="BT46" s="24">
        <f t="shared" si="44"/>
        <v>-49.725311340000005</v>
      </c>
    </row>
    <row r="47" spans="1:72" collapsed="1" x14ac:dyDescent="0.25">
      <c r="C47" s="3" t="s">
        <v>58</v>
      </c>
      <c r="D47" s="10">
        <f>SUM(D44:D46)</f>
        <v>-83.918760530000014</v>
      </c>
      <c r="E47" s="10">
        <f t="shared" ref="E47:AY47" si="45">SUM(E44:E46)</f>
        <v>-82.874019200000021</v>
      </c>
      <c r="F47" s="10">
        <f t="shared" si="45"/>
        <v>-97.844644599999981</v>
      </c>
      <c r="G47" s="10">
        <f t="shared" si="45"/>
        <v>-98.028794960000013</v>
      </c>
      <c r="H47" s="10">
        <f t="shared" si="45"/>
        <v>-96.415583999999996</v>
      </c>
      <c r="I47" s="10">
        <f t="shared" si="45"/>
        <v>-87.107316999999995</v>
      </c>
      <c r="J47" s="10">
        <f t="shared" si="45"/>
        <v>-89.418734500000028</v>
      </c>
      <c r="K47" s="10">
        <f t="shared" si="45"/>
        <v>-88.125869999999978</v>
      </c>
      <c r="L47" s="10">
        <f t="shared" si="45"/>
        <v>-80.916473890000006</v>
      </c>
      <c r="M47" s="10">
        <f t="shared" si="45"/>
        <v>-72.899138399999998</v>
      </c>
      <c r="N47" s="10">
        <f t="shared" si="45"/>
        <v>-71.249548660000002</v>
      </c>
      <c r="O47" s="10">
        <f t="shared" si="45"/>
        <v>-73.803408439999998</v>
      </c>
      <c r="P47" s="10">
        <f t="shared" si="45"/>
        <v>-76.452674400000006</v>
      </c>
      <c r="Q47" s="10">
        <f t="shared" si="45"/>
        <v>-72.341657479999981</v>
      </c>
      <c r="R47" s="10">
        <f t="shared" si="45"/>
        <v>-69.483168310000011</v>
      </c>
      <c r="S47" s="10">
        <f t="shared" si="45"/>
        <v>-63.821861120000008</v>
      </c>
      <c r="T47" s="10">
        <f t="shared" si="45"/>
        <v>-62.923138500000007</v>
      </c>
      <c r="U47" s="10">
        <f t="shared" si="45"/>
        <v>-66.950878959999997</v>
      </c>
      <c r="V47" s="10">
        <f t="shared" si="45"/>
        <v>-70.471159139999997</v>
      </c>
      <c r="W47" s="10">
        <f t="shared" si="45"/>
        <v>-71.204284980000011</v>
      </c>
      <c r="X47" s="10">
        <f t="shared" si="45"/>
        <v>-66.161557119999998</v>
      </c>
      <c r="Y47" s="10">
        <f t="shared" si="45"/>
        <v>-63.134036879999996</v>
      </c>
      <c r="Z47" s="10">
        <f t="shared" si="45"/>
        <v>-63.724402500000011</v>
      </c>
      <c r="AA47" s="10">
        <f t="shared" si="45"/>
        <v>-68.293363099999993</v>
      </c>
      <c r="AB47" s="10">
        <f t="shared" si="45"/>
        <v>-77.770776170000019</v>
      </c>
      <c r="AC47" s="10">
        <f t="shared" si="45"/>
        <v>-75.452860000000001</v>
      </c>
      <c r="AD47" s="10">
        <f t="shared" si="45"/>
        <v>-78.650861129999996</v>
      </c>
      <c r="AE47" s="10">
        <f t="shared" si="45"/>
        <v>-73.833479459999992</v>
      </c>
      <c r="AF47" s="10">
        <f t="shared" si="45"/>
        <v>-79.883871799999994</v>
      </c>
      <c r="AG47" s="10">
        <f t="shared" si="45"/>
        <v>-71.030007000000012</v>
      </c>
      <c r="AH47" s="10">
        <f t="shared" si="45"/>
        <v>-74.04010012000002</v>
      </c>
      <c r="AI47" s="10">
        <f t="shared" si="45"/>
        <v>-79.669280499999971</v>
      </c>
      <c r="AJ47" s="10">
        <f t="shared" si="45"/>
        <v>-89.844052999999988</v>
      </c>
      <c r="AK47" s="10">
        <f t="shared" si="45"/>
        <v>-105.96528343999999</v>
      </c>
      <c r="AL47" s="10">
        <f t="shared" si="45"/>
        <v>-120.39717034999998</v>
      </c>
      <c r="AM47" s="10">
        <f t="shared" si="45"/>
        <v>-140.38376298</v>
      </c>
      <c r="AN47" s="10">
        <f t="shared" si="45"/>
        <v>-159.68179081</v>
      </c>
      <c r="AO47" s="10">
        <f t="shared" si="45"/>
        <v>-161.87524953999997</v>
      </c>
      <c r="AP47" s="10">
        <f t="shared" si="45"/>
        <v>-175.25620200000003</v>
      </c>
      <c r="AQ47" s="10">
        <f t="shared" si="45"/>
        <v>-201.75702462999996</v>
      </c>
      <c r="AR47" s="10">
        <f t="shared" si="45"/>
        <v>-218.23380502000006</v>
      </c>
      <c r="AS47" s="10">
        <f t="shared" si="45"/>
        <v>-234.95631360000004</v>
      </c>
      <c r="AT47" s="10">
        <f t="shared" si="45"/>
        <v>0</v>
      </c>
      <c r="AU47" s="10">
        <f t="shared" si="45"/>
        <v>0</v>
      </c>
      <c r="AV47" s="10">
        <f t="shared" si="45"/>
        <v>0</v>
      </c>
      <c r="AW47" s="10">
        <f t="shared" si="45"/>
        <v>0</v>
      </c>
      <c r="AX47" s="10">
        <f t="shared" si="45"/>
        <v>0</v>
      </c>
      <c r="AY47" s="10">
        <f t="shared" si="45"/>
        <v>0</v>
      </c>
      <c r="AZ47" s="10">
        <f t="shared" ref="AZ47:BK47" si="46">SUM(AZ44:AZ46)</f>
        <v>-99.213686334545386</v>
      </c>
      <c r="BA47" s="10">
        <f t="shared" si="46"/>
        <v>-94.732364864837706</v>
      </c>
      <c r="BB47" s="10">
        <f t="shared" si="46"/>
        <v>-90.027769675174454</v>
      </c>
      <c r="BC47" s="10">
        <f t="shared" si="46"/>
        <v>-86.371344246776445</v>
      </c>
      <c r="BD47" s="10">
        <f t="shared" si="46"/>
        <v>-87.669285415161653</v>
      </c>
      <c r="BE47" s="10">
        <f t="shared" si="46"/>
        <v>-89.573211796395569</v>
      </c>
      <c r="BF47" s="10">
        <f t="shared" si="46"/>
        <v>-93.561381014058412</v>
      </c>
      <c r="BG47" s="10">
        <f t="shared" si="46"/>
        <v>-97.964529845224703</v>
      </c>
      <c r="BH47" s="10">
        <f t="shared" si="46"/>
        <v>-101.80041937026257</v>
      </c>
      <c r="BI47" s="10">
        <f t="shared" si="46"/>
        <v>-105.29148599400024</v>
      </c>
      <c r="BJ47" s="10">
        <f t="shared" si="46"/>
        <v>-108.89177467832576</v>
      </c>
      <c r="BK47" s="10">
        <f t="shared" si="46"/>
        <v>-112.70388136945103</v>
      </c>
      <c r="BO47" s="23">
        <f>SUM(BO44:BO46)</f>
        <v>-496.81324235</v>
      </c>
      <c r="BP47" s="23">
        <f t="shared" ref="BP47:BT47" si="47">SUM(BP44:BP46)</f>
        <v>-283.97382087455753</v>
      </c>
      <c r="BQ47" s="23">
        <f t="shared" si="47"/>
        <v>-321.55704034999997</v>
      </c>
      <c r="BR47" s="23">
        <f t="shared" si="47"/>
        <v>-231.87449730000003</v>
      </c>
      <c r="BS47" s="23">
        <f t="shared" si="47"/>
        <v>-218.27750019000001</v>
      </c>
      <c r="BT47" s="23">
        <f t="shared" si="47"/>
        <v>-264.63742432999999</v>
      </c>
    </row>
    <row r="50" spans="1:72" hidden="1" outlineLevel="1" x14ac:dyDescent="0.25">
      <c r="A50" s="11"/>
      <c r="C50" s="2" t="s">
        <v>0</v>
      </c>
      <c r="D50" s="8">
        <f>D38+D44</f>
        <v>35.347098989999992</v>
      </c>
      <c r="E50" s="8">
        <f t="shared" ref="E50:AY50" si="48">E38+E44</f>
        <v>23.969478709999976</v>
      </c>
      <c r="F50" s="8">
        <f t="shared" si="48"/>
        <v>37.017792060000019</v>
      </c>
      <c r="G50" s="8">
        <f t="shared" si="48"/>
        <v>30.617563469999979</v>
      </c>
      <c r="H50" s="8">
        <f t="shared" si="48"/>
        <v>31.285442899999993</v>
      </c>
      <c r="I50" s="8">
        <f t="shared" si="48"/>
        <v>30.158366029999996</v>
      </c>
      <c r="J50" s="8">
        <f t="shared" si="48"/>
        <v>34.080427839999999</v>
      </c>
      <c r="K50" s="8">
        <f t="shared" si="48"/>
        <v>36.368524080000014</v>
      </c>
      <c r="L50" s="8">
        <f t="shared" si="48"/>
        <v>31.003820229999988</v>
      </c>
      <c r="M50" s="8">
        <f t="shared" si="48"/>
        <v>22.535678480000001</v>
      </c>
      <c r="N50" s="8">
        <f t="shared" si="48"/>
        <v>26.073937529999981</v>
      </c>
      <c r="O50" s="8">
        <f t="shared" si="48"/>
        <v>30.428154370000001</v>
      </c>
      <c r="P50" s="8">
        <f t="shared" si="48"/>
        <v>28.447765329999982</v>
      </c>
      <c r="Q50" s="8">
        <f t="shared" si="48"/>
        <v>20.930848460000021</v>
      </c>
      <c r="R50" s="8">
        <f t="shared" si="48"/>
        <v>30.383781309999954</v>
      </c>
      <c r="S50" s="8">
        <f t="shared" si="48"/>
        <v>22.137316229999982</v>
      </c>
      <c r="T50" s="8">
        <f t="shared" si="48"/>
        <v>23.733056430000019</v>
      </c>
      <c r="U50" s="8">
        <f t="shared" si="48"/>
        <v>25.734887430000008</v>
      </c>
      <c r="V50" s="8">
        <f t="shared" si="48"/>
        <v>30.915304719999995</v>
      </c>
      <c r="W50" s="8">
        <f t="shared" si="48"/>
        <v>28.223072289999976</v>
      </c>
      <c r="X50" s="8">
        <f t="shared" si="48"/>
        <v>25.68962398</v>
      </c>
      <c r="Y50" s="8">
        <f t="shared" si="48"/>
        <v>23.879048290000021</v>
      </c>
      <c r="Z50" s="8">
        <f t="shared" si="48"/>
        <v>25.471387349999986</v>
      </c>
      <c r="AA50" s="8">
        <f t="shared" si="48"/>
        <v>28.975072859999997</v>
      </c>
      <c r="AB50" s="8">
        <f t="shared" si="48"/>
        <v>26.360994099999999</v>
      </c>
      <c r="AC50" s="8">
        <f t="shared" si="48"/>
        <v>17.955481449999979</v>
      </c>
      <c r="AD50" s="8">
        <f t="shared" si="48"/>
        <v>29.85124313</v>
      </c>
      <c r="AE50" s="8">
        <f t="shared" si="48"/>
        <v>26.833097820000035</v>
      </c>
      <c r="AF50" s="8">
        <f t="shared" si="48"/>
        <v>29.572917219999994</v>
      </c>
      <c r="AG50" s="8">
        <f t="shared" si="48"/>
        <v>27.277304230000027</v>
      </c>
      <c r="AH50" s="8">
        <f t="shared" si="48"/>
        <v>26.68739948999999</v>
      </c>
      <c r="AI50" s="8">
        <f t="shared" si="48"/>
        <v>34.61565628000001</v>
      </c>
      <c r="AJ50" s="8">
        <f t="shared" si="48"/>
        <v>29.065372970000013</v>
      </c>
      <c r="AK50" s="8">
        <f t="shared" si="48"/>
        <v>40.228224919999988</v>
      </c>
      <c r="AL50" s="8">
        <f t="shared" si="48"/>
        <v>48.077886579999998</v>
      </c>
      <c r="AM50" s="8">
        <f t="shared" si="48"/>
        <v>46.559361759999973</v>
      </c>
      <c r="AN50" s="8">
        <f t="shared" si="48"/>
        <v>64.056347340000002</v>
      </c>
      <c r="AO50" s="8">
        <f t="shared" si="48"/>
        <v>42.140426780000013</v>
      </c>
      <c r="AP50" s="8">
        <f t="shared" si="48"/>
        <v>62.162435179999989</v>
      </c>
      <c r="AQ50" s="8">
        <f t="shared" si="48"/>
        <v>71.623245070000024</v>
      </c>
      <c r="AR50" s="8">
        <f t="shared" si="48"/>
        <v>86.545276439999924</v>
      </c>
      <c r="AS50" s="8">
        <f t="shared" si="48"/>
        <v>71.907088800000025</v>
      </c>
      <c r="AT50" s="8">
        <f t="shared" si="48"/>
        <v>0</v>
      </c>
      <c r="AU50" s="8">
        <f t="shared" si="48"/>
        <v>0</v>
      </c>
      <c r="AV50" s="8">
        <f t="shared" si="48"/>
        <v>0</v>
      </c>
      <c r="AW50" s="8">
        <f t="shared" si="48"/>
        <v>0</v>
      </c>
      <c r="AX50" s="8">
        <f t="shared" si="48"/>
        <v>0</v>
      </c>
      <c r="AY50" s="8">
        <f t="shared" si="48"/>
        <v>0</v>
      </c>
      <c r="AZ50" s="8">
        <f t="shared" ref="AZ50:BK50" si="49">AZ38+AZ44</f>
        <v>27.939983453573575</v>
      </c>
      <c r="BA50" s="8">
        <f t="shared" si="49"/>
        <v>20.251971267595792</v>
      </c>
      <c r="BB50" s="8">
        <f t="shared" si="49"/>
        <v>30.940643984728723</v>
      </c>
      <c r="BC50" s="8">
        <f t="shared" si="49"/>
        <v>25.737863253619935</v>
      </c>
      <c r="BD50" s="8">
        <f t="shared" si="49"/>
        <v>29.312369612299761</v>
      </c>
      <c r="BE50" s="8">
        <f t="shared" si="49"/>
        <v>26.940918131030998</v>
      </c>
      <c r="BF50" s="8">
        <f t="shared" si="49"/>
        <v>26.649304932197211</v>
      </c>
      <c r="BG50" s="8">
        <f t="shared" si="49"/>
        <v>32.682790857692851</v>
      </c>
      <c r="BH50" s="8">
        <f t="shared" si="49"/>
        <v>25.525642334082477</v>
      </c>
      <c r="BI50" s="8">
        <f t="shared" si="49"/>
        <v>25.651580353010232</v>
      </c>
      <c r="BJ50" s="8">
        <f t="shared" si="49"/>
        <v>26.165282252069929</v>
      </c>
      <c r="BK50" s="8">
        <f t="shared" si="49"/>
        <v>28.537490798536879</v>
      </c>
      <c r="BO50" s="24">
        <f>BO38+BO44</f>
        <v>168.35920930000009</v>
      </c>
      <c r="BP50" s="24">
        <f t="shared" ref="BP50:BT50" si="50">BP38+BP44</f>
        <v>79.13259870589809</v>
      </c>
      <c r="BQ50" s="24">
        <f t="shared" si="50"/>
        <v>106.19677412000004</v>
      </c>
      <c r="BR50" s="24">
        <f t="shared" si="50"/>
        <v>74.167718679999922</v>
      </c>
      <c r="BS50" s="24">
        <f t="shared" si="50"/>
        <v>79.762395099999992</v>
      </c>
      <c r="BT50" s="24">
        <f t="shared" si="50"/>
        <v>96.334369760000016</v>
      </c>
    </row>
    <row r="51" spans="1:72" hidden="1" outlineLevel="1" x14ac:dyDescent="0.25">
      <c r="A51" s="11"/>
      <c r="C51" s="2" t="s">
        <v>1</v>
      </c>
      <c r="D51" s="8">
        <f t="shared" ref="D51:AY53" si="51">D39+D45</f>
        <v>-0.16735739000000002</v>
      </c>
      <c r="E51" s="8">
        <f t="shared" si="51"/>
        <v>-0.1140163</v>
      </c>
      <c r="F51" s="8">
        <f t="shared" si="51"/>
        <v>-5.4770000000000006E-2</v>
      </c>
      <c r="G51" s="8">
        <f t="shared" si="51"/>
        <v>-8.950988E-2</v>
      </c>
      <c r="H51" s="8">
        <f t="shared" si="51"/>
        <v>-4.7740000000000005E-2</v>
      </c>
      <c r="I51" s="8">
        <f t="shared" si="51"/>
        <v>-4.4229999999999998E-2</v>
      </c>
      <c r="J51" s="8">
        <f t="shared" si="51"/>
        <v>-4.1229999999999996E-2</v>
      </c>
      <c r="K51" s="8">
        <f t="shared" si="51"/>
        <v>-3.7590000000000005E-2</v>
      </c>
      <c r="L51" s="8">
        <f t="shared" si="51"/>
        <v>-3.4419999999999999E-2</v>
      </c>
      <c r="M51" s="8">
        <f t="shared" si="51"/>
        <v>-3.082E-2</v>
      </c>
      <c r="N51" s="8">
        <f t="shared" si="51"/>
        <v>-2.7170000000000003E-2</v>
      </c>
      <c r="O51" s="8">
        <f t="shared" si="51"/>
        <v>-2.3370000000000002E-2</v>
      </c>
      <c r="P51" s="8">
        <f t="shared" si="51"/>
        <v>-1.9030000000000002E-2</v>
      </c>
      <c r="Q51" s="8">
        <f t="shared" si="51"/>
        <v>-1.6489999999999998E-2</v>
      </c>
      <c r="R51" s="8">
        <f t="shared" si="51"/>
        <v>-1.268E-2</v>
      </c>
      <c r="S51" s="8">
        <f t="shared" si="51"/>
        <v>-1.102E-2</v>
      </c>
      <c r="T51" s="8">
        <f t="shared" si="51"/>
        <v>-1.4299999999999998E-3</v>
      </c>
      <c r="U51" s="8">
        <f t="shared" si="51"/>
        <v>0</v>
      </c>
      <c r="V51" s="8">
        <f t="shared" si="51"/>
        <v>0</v>
      </c>
      <c r="W51" s="8">
        <f t="shared" si="51"/>
        <v>0</v>
      </c>
      <c r="X51" s="8">
        <f t="shared" si="51"/>
        <v>0</v>
      </c>
      <c r="Y51" s="8">
        <f t="shared" si="51"/>
        <v>0</v>
      </c>
      <c r="Z51" s="8">
        <f t="shared" si="51"/>
        <v>0</v>
      </c>
      <c r="AA51" s="8">
        <f t="shared" si="51"/>
        <v>0</v>
      </c>
      <c r="AB51" s="8">
        <f t="shared" si="51"/>
        <v>0</v>
      </c>
      <c r="AC51" s="8">
        <f t="shared" si="51"/>
        <v>0</v>
      </c>
      <c r="AD51" s="8">
        <f t="shared" si="51"/>
        <v>0</v>
      </c>
      <c r="AE51" s="8">
        <f t="shared" si="51"/>
        <v>0</v>
      </c>
      <c r="AF51" s="8">
        <f t="shared" si="51"/>
        <v>0</v>
      </c>
      <c r="AG51" s="8">
        <f t="shared" si="51"/>
        <v>0</v>
      </c>
      <c r="AH51" s="8">
        <f t="shared" si="51"/>
        <v>0</v>
      </c>
      <c r="AI51" s="8">
        <f t="shared" si="51"/>
        <v>0</v>
      </c>
      <c r="AJ51" s="8">
        <f t="shared" si="51"/>
        <v>0</v>
      </c>
      <c r="AK51" s="8">
        <f t="shared" si="51"/>
        <v>0</v>
      </c>
      <c r="AL51" s="8">
        <f t="shared" si="51"/>
        <v>0</v>
      </c>
      <c r="AM51" s="8">
        <f t="shared" si="51"/>
        <v>0</v>
      </c>
      <c r="AN51" s="8">
        <f t="shared" si="51"/>
        <v>0</v>
      </c>
      <c r="AO51" s="8">
        <f t="shared" si="51"/>
        <v>0</v>
      </c>
      <c r="AP51" s="8">
        <f t="shared" si="51"/>
        <v>0</v>
      </c>
      <c r="AQ51" s="8">
        <f t="shared" si="51"/>
        <v>0</v>
      </c>
      <c r="AR51" s="8">
        <f t="shared" si="51"/>
        <v>0</v>
      </c>
      <c r="AS51" s="8">
        <f t="shared" si="51"/>
        <v>0</v>
      </c>
      <c r="AT51" s="8">
        <f t="shared" si="51"/>
        <v>0</v>
      </c>
      <c r="AU51" s="8">
        <f t="shared" si="51"/>
        <v>0</v>
      </c>
      <c r="AV51" s="8">
        <f t="shared" si="51"/>
        <v>0</v>
      </c>
      <c r="AW51" s="8">
        <f t="shared" si="51"/>
        <v>0</v>
      </c>
      <c r="AX51" s="8">
        <f t="shared" si="51"/>
        <v>0</v>
      </c>
      <c r="AY51" s="8">
        <f t="shared" si="51"/>
        <v>0</v>
      </c>
      <c r="AZ51" s="8">
        <f t="shared" ref="AZ51:BK51" si="52">AZ39+AZ45</f>
        <v>0</v>
      </c>
      <c r="BA51" s="8">
        <f t="shared" si="52"/>
        <v>0</v>
      </c>
      <c r="BB51" s="8">
        <f t="shared" si="52"/>
        <v>0</v>
      </c>
      <c r="BC51" s="8">
        <f t="shared" si="52"/>
        <v>0</v>
      </c>
      <c r="BD51" s="8">
        <f t="shared" si="52"/>
        <v>0</v>
      </c>
      <c r="BE51" s="8">
        <f t="shared" si="52"/>
        <v>0</v>
      </c>
      <c r="BF51" s="8">
        <f t="shared" si="52"/>
        <v>0</v>
      </c>
      <c r="BG51" s="8">
        <f t="shared" si="52"/>
        <v>0</v>
      </c>
      <c r="BH51" s="8">
        <f t="shared" si="52"/>
        <v>0</v>
      </c>
      <c r="BI51" s="8">
        <f t="shared" si="52"/>
        <v>0</v>
      </c>
      <c r="BJ51" s="8">
        <f t="shared" si="52"/>
        <v>0</v>
      </c>
      <c r="BK51" s="8">
        <f t="shared" si="52"/>
        <v>0</v>
      </c>
      <c r="BO51" s="24">
        <f t="shared" ref="BO51:BT52" si="53">BO39+BO45</f>
        <v>0</v>
      </c>
      <c r="BP51" s="24">
        <f t="shared" si="53"/>
        <v>0</v>
      </c>
      <c r="BQ51" s="24">
        <f t="shared" si="53"/>
        <v>0</v>
      </c>
      <c r="BR51" s="24">
        <f t="shared" si="53"/>
        <v>0</v>
      </c>
      <c r="BS51" s="24">
        <f t="shared" si="53"/>
        <v>-4.8199999999999993E-2</v>
      </c>
      <c r="BT51" s="24">
        <f t="shared" si="53"/>
        <v>-0.33614368999999999</v>
      </c>
    </row>
    <row r="52" spans="1:72" hidden="1" outlineLevel="1" x14ac:dyDescent="0.25">
      <c r="A52" s="11"/>
      <c r="C52" s="2" t="s">
        <v>45</v>
      </c>
      <c r="D52" s="8">
        <f t="shared" si="51"/>
        <v>-9.849067220000002</v>
      </c>
      <c r="E52" s="8">
        <f t="shared" si="51"/>
        <v>9.937443199999997</v>
      </c>
      <c r="F52" s="8">
        <f t="shared" si="51"/>
        <v>-12.922793620000002</v>
      </c>
      <c r="G52" s="8">
        <f t="shared" si="51"/>
        <v>-3.7888969499999998</v>
      </c>
      <c r="H52" s="8">
        <f t="shared" si="51"/>
        <v>-7.2415634399999984</v>
      </c>
      <c r="I52" s="8">
        <f t="shared" si="51"/>
        <v>79.373540089999992</v>
      </c>
      <c r="J52" s="8">
        <f t="shared" si="51"/>
        <v>0.77098871000000102</v>
      </c>
      <c r="K52" s="8">
        <f t="shared" si="51"/>
        <v>6.0177291399999993</v>
      </c>
      <c r="L52" s="8">
        <f t="shared" si="51"/>
        <v>177.35918183000004</v>
      </c>
      <c r="M52" s="8">
        <f t="shared" si="51"/>
        <v>-2.9029590400000007</v>
      </c>
      <c r="N52" s="8">
        <f t="shared" si="51"/>
        <v>5.0361317199999966</v>
      </c>
      <c r="O52" s="8">
        <f t="shared" si="51"/>
        <v>-2.3158053400000007</v>
      </c>
      <c r="P52" s="8">
        <f t="shared" si="51"/>
        <v>-2.2152409999999998</v>
      </c>
      <c r="Q52" s="8">
        <f t="shared" si="51"/>
        <v>-4.9041096599999996</v>
      </c>
      <c r="R52" s="8">
        <f t="shared" si="51"/>
        <v>14.42353518</v>
      </c>
      <c r="S52" s="8">
        <f t="shared" si="51"/>
        <v>10.433363760000008</v>
      </c>
      <c r="T52" s="8">
        <f t="shared" si="51"/>
        <v>-1.606863230000001</v>
      </c>
      <c r="U52" s="8">
        <f t="shared" si="51"/>
        <v>3.2852520700000012</v>
      </c>
      <c r="V52" s="8">
        <f t="shared" si="51"/>
        <v>3.5857776500000007</v>
      </c>
      <c r="W52" s="8">
        <f t="shared" si="51"/>
        <v>-2.710503999999947E-2</v>
      </c>
      <c r="X52" s="8">
        <f t="shared" si="51"/>
        <v>-3.4827140000000867E-2</v>
      </c>
      <c r="Y52" s="8">
        <f t="shared" si="51"/>
        <v>10.947929970000001</v>
      </c>
      <c r="Z52" s="8">
        <f t="shared" si="51"/>
        <v>7.5831460999999996</v>
      </c>
      <c r="AA52" s="8">
        <f t="shared" si="51"/>
        <v>-0.53160770999999984</v>
      </c>
      <c r="AB52" s="8">
        <f t="shared" si="51"/>
        <v>-2.0752428099999998</v>
      </c>
      <c r="AC52" s="8">
        <f t="shared" si="51"/>
        <v>2.10341171</v>
      </c>
      <c r="AD52" s="8">
        <f t="shared" si="51"/>
        <v>-0.27010940999999988</v>
      </c>
      <c r="AE52" s="8">
        <f t="shared" si="51"/>
        <v>0.21833553999999999</v>
      </c>
      <c r="AF52" s="8">
        <f t="shared" si="51"/>
        <v>1.2182811200000003</v>
      </c>
      <c r="AG52" s="8">
        <f t="shared" si="51"/>
        <v>-1.2922149000000003</v>
      </c>
      <c r="AH52" s="8">
        <f t="shared" si="51"/>
        <v>-0.97463088000000009</v>
      </c>
      <c r="AI52" s="8">
        <f t="shared" si="51"/>
        <v>1.7560395100000004</v>
      </c>
      <c r="AJ52" s="8">
        <f t="shared" si="51"/>
        <v>1.3320181400000006</v>
      </c>
      <c r="AK52" s="8">
        <f t="shared" si="51"/>
        <v>7.4435162600000009</v>
      </c>
      <c r="AL52" s="8">
        <f t="shared" si="51"/>
        <v>1.7181104199999995</v>
      </c>
      <c r="AM52" s="8">
        <f t="shared" si="51"/>
        <v>2.4329340100000003</v>
      </c>
      <c r="AN52" s="8">
        <f t="shared" si="51"/>
        <v>5.2021253099999996</v>
      </c>
      <c r="AO52" s="8">
        <f t="shared" si="51"/>
        <v>5.0604800000002559E-3</v>
      </c>
      <c r="AP52" s="8">
        <f t="shared" si="51"/>
        <v>4.9544041600000002</v>
      </c>
      <c r="AQ52" s="8">
        <f t="shared" si="51"/>
        <v>0.49737702000000095</v>
      </c>
      <c r="AR52" s="8">
        <f t="shared" si="51"/>
        <v>-1.2275857500000003</v>
      </c>
      <c r="AS52" s="8">
        <f t="shared" si="51"/>
        <v>2.8071997800000004</v>
      </c>
      <c r="AT52" s="8">
        <f t="shared" si="51"/>
        <v>0</v>
      </c>
      <c r="AU52" s="8">
        <f t="shared" si="51"/>
        <v>0</v>
      </c>
      <c r="AV52" s="8">
        <f t="shared" si="51"/>
        <v>0</v>
      </c>
      <c r="AW52" s="8">
        <f t="shared" si="51"/>
        <v>0</v>
      </c>
      <c r="AX52" s="8">
        <f t="shared" si="51"/>
        <v>0</v>
      </c>
      <c r="AY52" s="8">
        <f t="shared" si="51"/>
        <v>0</v>
      </c>
      <c r="AZ52" s="8">
        <f t="shared" ref="AZ52:BK52" si="54">AZ40+AZ46</f>
        <v>1.349639176885955</v>
      </c>
      <c r="BA52" s="8">
        <f t="shared" si="54"/>
        <v>1.0771764414159799</v>
      </c>
      <c r="BB52" s="8">
        <f t="shared" si="54"/>
        <v>1.3771125504288069</v>
      </c>
      <c r="BC52" s="8">
        <f t="shared" si="54"/>
        <v>1.1900304029877646</v>
      </c>
      <c r="BD52" s="8">
        <f t="shared" si="54"/>
        <v>1.2898244103243419</v>
      </c>
      <c r="BE52" s="8">
        <f t="shared" si="54"/>
        <v>1.2138588590302763</v>
      </c>
      <c r="BF52" s="8">
        <f t="shared" si="54"/>
        <v>1.2278380688629875</v>
      </c>
      <c r="BG52" s="8">
        <f t="shared" si="54"/>
        <v>1.4359899632006381</v>
      </c>
      <c r="BH52" s="8">
        <f t="shared" si="54"/>
        <v>1.2379359377127681</v>
      </c>
      <c r="BI52" s="8">
        <f t="shared" si="54"/>
        <v>1.2593894477226284</v>
      </c>
      <c r="BJ52" s="8">
        <f t="shared" si="54"/>
        <v>1.2950146167080141</v>
      </c>
      <c r="BK52" s="8">
        <f t="shared" si="54"/>
        <v>1.3864342289264986</v>
      </c>
      <c r="BO52" s="24">
        <f t="shared" si="53"/>
        <v>10.16158995</v>
      </c>
      <c r="BP52" s="24">
        <f t="shared" si="53"/>
        <v>3.8039281687307405</v>
      </c>
      <c r="BQ52" s="24">
        <f t="shared" si="53"/>
        <v>5.2071857900000014</v>
      </c>
      <c r="BR52" s="24">
        <f t="shared" si="53"/>
        <v>-0.24194050999999916</v>
      </c>
      <c r="BS52" s="24">
        <f t="shared" si="53"/>
        <v>7.3041845199999997</v>
      </c>
      <c r="BT52" s="24">
        <f t="shared" si="53"/>
        <v>-12.834417640000005</v>
      </c>
    </row>
    <row r="53" spans="1:72" collapsed="1" x14ac:dyDescent="0.25">
      <c r="C53" s="3" t="s">
        <v>66</v>
      </c>
      <c r="D53" s="10">
        <f t="shared" si="51"/>
        <v>25.330674379999991</v>
      </c>
      <c r="E53" s="10">
        <f t="shared" si="51"/>
        <v>33.792905609999977</v>
      </c>
      <c r="F53" s="10">
        <f t="shared" si="51"/>
        <v>24.040228440000021</v>
      </c>
      <c r="G53" s="10">
        <f t="shared" si="51"/>
        <v>26.739156639999976</v>
      </c>
      <c r="H53" s="10">
        <f t="shared" si="51"/>
        <v>23.996139459999995</v>
      </c>
      <c r="I53" s="10">
        <f t="shared" si="51"/>
        <v>109.48767611999997</v>
      </c>
      <c r="J53" s="10">
        <f t="shared" si="51"/>
        <v>34.810186550000012</v>
      </c>
      <c r="K53" s="10">
        <f t="shared" si="51"/>
        <v>42.348663220000034</v>
      </c>
      <c r="L53" s="10">
        <f t="shared" si="51"/>
        <v>208.32858206000003</v>
      </c>
      <c r="M53" s="10">
        <f t="shared" si="51"/>
        <v>19.601899439999997</v>
      </c>
      <c r="N53" s="10">
        <f t="shared" si="51"/>
        <v>31.082899249999983</v>
      </c>
      <c r="O53" s="10">
        <f t="shared" si="51"/>
        <v>28.088979030000004</v>
      </c>
      <c r="P53" s="10">
        <f t="shared" si="51"/>
        <v>26.213494329999989</v>
      </c>
      <c r="Q53" s="10">
        <f t="shared" si="51"/>
        <v>16.010248800000028</v>
      </c>
      <c r="R53" s="10">
        <f t="shared" si="51"/>
        <v>44.794636489999945</v>
      </c>
      <c r="S53" s="10">
        <f t="shared" si="51"/>
        <v>32.559659989999986</v>
      </c>
      <c r="T53" s="10">
        <f t="shared" si="51"/>
        <v>22.124763200000018</v>
      </c>
      <c r="U53" s="10">
        <f t="shared" si="51"/>
        <v>29.020139500000013</v>
      </c>
      <c r="V53" s="10">
        <f t="shared" si="51"/>
        <v>34.501082369999992</v>
      </c>
      <c r="W53" s="10">
        <f t="shared" si="51"/>
        <v>28.195967249999981</v>
      </c>
      <c r="X53" s="10">
        <f t="shared" si="51"/>
        <v>25.654796839999989</v>
      </c>
      <c r="Y53" s="10">
        <f t="shared" si="51"/>
        <v>34.826978260000018</v>
      </c>
      <c r="Z53" s="10">
        <f t="shared" si="51"/>
        <v>33.05453344999998</v>
      </c>
      <c r="AA53" s="10">
        <f t="shared" si="51"/>
        <v>28.443465149999994</v>
      </c>
      <c r="AB53" s="10">
        <f t="shared" si="51"/>
        <v>24.285751289999993</v>
      </c>
      <c r="AC53" s="10">
        <f t="shared" si="51"/>
        <v>20.058893159999982</v>
      </c>
      <c r="AD53" s="10">
        <f t="shared" si="51"/>
        <v>29.581133720000011</v>
      </c>
      <c r="AE53" s="10">
        <f t="shared" si="51"/>
        <v>27.051433360000033</v>
      </c>
      <c r="AF53" s="10">
        <f t="shared" si="51"/>
        <v>30.791198339999994</v>
      </c>
      <c r="AG53" s="10">
        <f t="shared" si="51"/>
        <v>25.985089330000022</v>
      </c>
      <c r="AH53" s="10">
        <f t="shared" si="51"/>
        <v>25.712768609999983</v>
      </c>
      <c r="AI53" s="10">
        <f t="shared" si="51"/>
        <v>36.371695790000018</v>
      </c>
      <c r="AJ53" s="10">
        <f t="shared" si="51"/>
        <v>30.397391110000015</v>
      </c>
      <c r="AK53" s="10">
        <f t="shared" si="51"/>
        <v>47.671741179999984</v>
      </c>
      <c r="AL53" s="10">
        <f t="shared" si="51"/>
        <v>49.795997</v>
      </c>
      <c r="AM53" s="10">
        <f t="shared" si="51"/>
        <v>48.99229576999997</v>
      </c>
      <c r="AN53" s="10">
        <f t="shared" si="51"/>
        <v>69.258472650000016</v>
      </c>
      <c r="AO53" s="10">
        <f t="shared" si="51"/>
        <v>42.14548726000001</v>
      </c>
      <c r="AP53" s="10">
        <f t="shared" si="51"/>
        <v>67.116839339999984</v>
      </c>
      <c r="AQ53" s="10">
        <f t="shared" si="51"/>
        <v>72.120622090000012</v>
      </c>
      <c r="AR53" s="10">
        <f t="shared" si="51"/>
        <v>85.317690689999921</v>
      </c>
      <c r="AS53" s="10">
        <f t="shared" si="51"/>
        <v>74.714288580000016</v>
      </c>
      <c r="AT53" s="10">
        <f t="shared" si="51"/>
        <v>0</v>
      </c>
      <c r="AU53" s="10">
        <f t="shared" si="51"/>
        <v>0</v>
      </c>
      <c r="AV53" s="10">
        <f t="shared" si="51"/>
        <v>0</v>
      </c>
      <c r="AW53" s="10">
        <f t="shared" si="51"/>
        <v>0</v>
      </c>
      <c r="AX53" s="10">
        <f t="shared" si="51"/>
        <v>0</v>
      </c>
      <c r="AY53" s="10">
        <f t="shared" si="51"/>
        <v>0</v>
      </c>
      <c r="AZ53" s="10">
        <f t="shared" ref="AZ53:BK53" si="55">AZ41+AZ47</f>
        <v>29.289622630459533</v>
      </c>
      <c r="BA53" s="10">
        <f t="shared" si="55"/>
        <v>21.329147709011778</v>
      </c>
      <c r="BB53" s="10">
        <f t="shared" si="55"/>
        <v>32.317756535157528</v>
      </c>
      <c r="BC53" s="10">
        <f t="shared" si="55"/>
        <v>26.927893656607694</v>
      </c>
      <c r="BD53" s="10">
        <f t="shared" si="55"/>
        <v>30.602194022624104</v>
      </c>
      <c r="BE53" s="10">
        <f t="shared" si="55"/>
        <v>28.154776990061279</v>
      </c>
      <c r="BF53" s="10">
        <f t="shared" si="55"/>
        <v>27.877143001060205</v>
      </c>
      <c r="BG53" s="10">
        <f t="shared" si="55"/>
        <v>34.118780820893491</v>
      </c>
      <c r="BH53" s="10">
        <f t="shared" si="55"/>
        <v>26.76357827179524</v>
      </c>
      <c r="BI53" s="10">
        <f t="shared" si="55"/>
        <v>26.910969800732843</v>
      </c>
      <c r="BJ53" s="10">
        <f t="shared" si="55"/>
        <v>27.460296868777931</v>
      </c>
      <c r="BK53" s="10">
        <f t="shared" si="55"/>
        <v>29.923925027463369</v>
      </c>
      <c r="BO53" s="23">
        <f t="shared" ref="BO53:BT53" si="56">SUM(BO50:BO52)</f>
        <v>178.5207992500001</v>
      </c>
      <c r="BP53" s="23">
        <f t="shared" si="56"/>
        <v>82.936526874628825</v>
      </c>
      <c r="BQ53" s="23">
        <f t="shared" si="56"/>
        <v>111.40395991000004</v>
      </c>
      <c r="BR53" s="23">
        <f t="shared" si="56"/>
        <v>73.925778169999916</v>
      </c>
      <c r="BS53" s="23">
        <f t="shared" si="56"/>
        <v>87.01837961999999</v>
      </c>
      <c r="BT53" s="23">
        <f t="shared" si="56"/>
        <v>83.163808430000017</v>
      </c>
    </row>
    <row r="54" spans="1:72" x14ac:dyDescent="0.25"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8"/>
      <c r="AO54" s="18"/>
      <c r="AP54" s="18"/>
      <c r="AQ54" s="18"/>
      <c r="AR54" s="18"/>
      <c r="AS54" s="18"/>
      <c r="AT54" s="18"/>
      <c r="AU54" s="18"/>
      <c r="AV54" s="18"/>
      <c r="AW54" s="18"/>
      <c r="AX54" s="18"/>
      <c r="AY54" s="18"/>
      <c r="AZ54" s="18"/>
      <c r="BA54" s="18"/>
      <c r="BB54" s="18"/>
      <c r="BC54" s="18"/>
      <c r="BD54" s="18"/>
      <c r="BE54" s="18"/>
      <c r="BF54" s="18"/>
      <c r="BG54" s="18"/>
      <c r="BH54" s="18"/>
      <c r="BI54" s="18"/>
      <c r="BJ54" s="18"/>
      <c r="BK54" s="18"/>
      <c r="BO54" s="18"/>
      <c r="BP54" s="18"/>
      <c r="BQ54" s="18"/>
      <c r="BR54" s="18"/>
      <c r="BS54" s="18"/>
      <c r="BT54" s="18"/>
    </row>
    <row r="55" spans="1:72" x14ac:dyDescent="0.25"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8"/>
      <c r="AO55" s="18"/>
      <c r="AP55" s="18"/>
      <c r="AQ55" s="18"/>
      <c r="AR55" s="18"/>
      <c r="AS55" s="18"/>
      <c r="AT55" s="18"/>
      <c r="AU55" s="18"/>
      <c r="AV55" s="18"/>
      <c r="AW55" s="18"/>
      <c r="AX55" s="18"/>
      <c r="AY55" s="18"/>
      <c r="AZ55" s="18"/>
      <c r="BA55" s="18"/>
      <c r="BB55" s="18"/>
      <c r="BC55" s="18"/>
      <c r="BD55" s="18"/>
      <c r="BE55" s="18"/>
      <c r="BF55" s="18"/>
      <c r="BG55" s="18"/>
      <c r="BH55" s="18"/>
      <c r="BI55" s="18"/>
      <c r="BJ55" s="18"/>
      <c r="BK55" s="18"/>
      <c r="BO55" s="18"/>
      <c r="BP55" s="18"/>
      <c r="BQ55" s="18"/>
      <c r="BR55" s="18"/>
      <c r="BS55" s="18"/>
      <c r="BT55" s="18"/>
    </row>
    <row r="56" spans="1:72" hidden="1" outlineLevel="1" x14ac:dyDescent="0.25">
      <c r="A56" s="11" t="s">
        <v>64</v>
      </c>
      <c r="C56" s="2" t="s">
        <v>67</v>
      </c>
      <c r="D56" s="8">
        <f>IFERROR(
GETPIVOTDATA(
"[Base].[Importe]",
TDinamica_R!$A$5,
"[Calendario].[AñoMes]",
"[Calendario].[AñoMes].&amp;[" &amp; TEXT(D$6,"yyyymm") &amp; "]",
"[Base].[Metrica]",
"[Base].[Metrica].&amp;[" &amp; $A56 &amp; "]",
"[Base].[SEGMENTO_DESCRIP]",
"[Base].[SEGMENTO_DESCRIP].&amp;[" &amp; $C$6 &amp; "]",
"[Base].[SITUACION]",
"[Base].[SITUACION].&amp;[" &amp; $C56 &amp; "]"
),0)/1000</f>
        <v>218.75755036684234</v>
      </c>
      <c r="E56" s="8">
        <f>IFERROR(
GETPIVOTDATA(
"[Base].[Importe]",
TDinamica_R!$A$5,
"[Calendario].[AñoMes]",
"[Calendario].[AñoMes].&amp;[" &amp; TEXT(E$6,"yyyymm") &amp; "]",
"[Base].[Metrica]",
"[Base].[Metrica].&amp;[" &amp; $A56 &amp; "]",
"[Base].[SEGMENTO_DESCRIP]",
"[Base].[SEGMENTO_DESCRIP].&amp;[" &amp; $C$6 &amp; "]",
"[Base].[SITUACION]",
"[Base].[SITUACION].&amp;[" &amp; $C56 &amp; "]"
),0)/1000</f>
        <v>359.6737313556709</v>
      </c>
      <c r="F56" s="8">
        <f>IFERROR(
GETPIVOTDATA(
"[Base].[Importe]",
TDinamica_R!$A$5,
"[Calendario].[AñoMes]",
"[Calendario].[AñoMes].&amp;[" &amp; TEXT(F$6,"yyyymm") &amp; "]",
"[Base].[Metrica]",
"[Base].[Metrica].&amp;[" &amp; $A56 &amp; "]",
"[Base].[SEGMENTO_DESCRIP]",
"[Base].[SEGMENTO_DESCRIP].&amp;[" &amp; $C$6 &amp; "]",
"[Base].[SITUACION]",
"[Base].[SITUACION].&amp;[" &amp; $C56 &amp; "]"
),0)/1000</f>
        <v>-175.95685259343193</v>
      </c>
      <c r="G56" s="8">
        <f>IFERROR(
GETPIVOTDATA(
"[Base].[Importe]",
TDinamica_R!$A$5,
"[Calendario].[AñoMes]",
"[Calendario].[AñoMes].&amp;[" &amp; TEXT(G$6,"yyyymm") &amp; "]",
"[Base].[Metrica]",
"[Base].[Metrica].&amp;[" &amp; $A56 &amp; "]",
"[Base].[SEGMENTO_DESCRIP]",
"[Base].[SEGMENTO_DESCRIP].&amp;[" &amp; $C$6 &amp; "]",
"[Base].[SITUACION]",
"[Base].[SITUACION].&amp;[" &amp; $C56 &amp; "]"
),0)/1000</f>
        <v>-1274.1002215124122</v>
      </c>
      <c r="H56" s="8">
        <f>IFERROR(
GETPIVOTDATA(
"[Base].[Importe]",
TDinamica_R!$A$5,
"[Calendario].[AñoMes]",
"[Calendario].[AñoMes].&amp;[" &amp; TEXT(H$6,"yyyymm") &amp; "]",
"[Base].[Metrica]",
"[Base].[Metrica].&amp;[" &amp; $A56 &amp; "]",
"[Base].[SEGMENTO_DESCRIP]",
"[Base].[SEGMENTO_DESCRIP].&amp;[" &amp; $C$6 &amp; "]",
"[Base].[SITUACION]",
"[Base].[SITUACION].&amp;[" &amp; $C56 &amp; "]"
),0)/1000</f>
        <v>410.7202448572599</v>
      </c>
      <c r="I56" s="8">
        <f>IFERROR(
GETPIVOTDATA(
"[Base].[Importe]",
TDinamica_R!$A$5,
"[Calendario].[AñoMes]",
"[Calendario].[AñoMes].&amp;[" &amp; TEXT(I$6,"yyyymm") &amp; "]",
"[Base].[Metrica]",
"[Base].[Metrica].&amp;[" &amp; $A56 &amp; "]",
"[Base].[SEGMENTO_DESCRIP]",
"[Base].[SEGMENTO_DESCRIP].&amp;[" &amp; $C$6 &amp; "]",
"[Base].[SITUACION]",
"[Base].[SITUACION].&amp;[" &amp; $C56 &amp; "]"
),0)/1000</f>
        <v>-8504.3072002537247</v>
      </c>
      <c r="J56" s="8">
        <f>IFERROR(
GETPIVOTDATA(
"[Base].[Importe]",
TDinamica_R!$A$5,
"[Calendario].[AñoMes]",
"[Calendario].[AñoMes].&amp;[" &amp; TEXT(J$6,"yyyymm") &amp; "]",
"[Base].[Metrica]",
"[Base].[Metrica].&amp;[" &amp; $A56 &amp; "]",
"[Base].[SEGMENTO_DESCRIP]",
"[Base].[SEGMENTO_DESCRIP].&amp;[" &amp; $C$6 &amp; "]",
"[Base].[SITUACION]",
"[Base].[SITUACION].&amp;[" &amp; $C56 &amp; "]"
),0)/1000</f>
        <v>-429.06902234353697</v>
      </c>
      <c r="K56" s="8">
        <f>IFERROR(
GETPIVOTDATA(
"[Base].[Importe]",
TDinamica_R!$A$5,
"[Calendario].[AñoMes]",
"[Calendario].[AñoMes].&amp;[" &amp; TEXT(K$6,"yyyymm") &amp; "]",
"[Base].[Metrica]",
"[Base].[Metrica].&amp;[" &amp; $A56 &amp; "]",
"[Base].[SEGMENTO_DESCRIP]",
"[Base].[SEGMENTO_DESCRIP].&amp;[" &amp; $C$6 &amp; "]",
"[Base].[SITUACION]",
"[Base].[SITUACION].&amp;[" &amp; $C56 &amp; "]"
),0)/1000</f>
        <v>388.86955204840086</v>
      </c>
      <c r="L56" s="8">
        <f>IFERROR(
GETPIVOTDATA(
"[Base].[Importe]",
TDinamica_R!$A$5,
"[Calendario].[AñoMes]",
"[Calendario].[AñoMes].&amp;[" &amp; TEXT(L$6,"yyyymm") &amp; "]",
"[Base].[Metrica]",
"[Base].[Metrica].&amp;[" &amp; $A56 &amp; "]",
"[Base].[SEGMENTO_DESCRIP]",
"[Base].[SEGMENTO_DESCRIP].&amp;[" &amp; $C$6 &amp; "]",
"[Base].[SITUACION]",
"[Base].[SITUACION].&amp;[" &amp; $C56 &amp; "]"
),0)/1000</f>
        <v>-2427.0882816057947</v>
      </c>
      <c r="M56" s="8">
        <f>IFERROR(
GETPIVOTDATA(
"[Base].[Importe]",
TDinamica_R!$A$5,
"[Calendario].[AñoMes]",
"[Calendario].[AñoMes].&amp;[" &amp; TEXT(M$6,"yyyymm") &amp; "]",
"[Base].[Metrica]",
"[Base].[Metrica].&amp;[" &amp; $A56 &amp; "]",
"[Base].[SEGMENTO_DESCRIP]",
"[Base].[SEGMENTO_DESCRIP].&amp;[" &amp; $C$6 &amp; "]",
"[Base].[SITUACION]",
"[Base].[SITUACION].&amp;[" &amp; $C56 &amp; "]"
),0)/1000</f>
        <v>-609.09772174392265</v>
      </c>
      <c r="N56" s="8">
        <f>IFERROR(
GETPIVOTDATA(
"[Base].[Importe]",
TDinamica_R!$A$5,
"[Calendario].[AñoMes]",
"[Calendario].[AñoMes].&amp;[" &amp; TEXT(N$6,"yyyymm") &amp; "]",
"[Base].[Metrica]",
"[Base].[Metrica].&amp;[" &amp; $A56 &amp; "]",
"[Base].[SEGMENTO_DESCRIP]",
"[Base].[SEGMENTO_DESCRIP].&amp;[" &amp; $C$6 &amp; "]",
"[Base].[SITUACION]",
"[Base].[SITUACION].&amp;[" &amp; $C56 &amp; "]"
),0)/1000</f>
        <v>-1549.3230969468311</v>
      </c>
      <c r="O56" s="8">
        <f>IFERROR(
GETPIVOTDATA(
"[Base].[Importe]",
TDinamica_R!$A$5,
"[Calendario].[AñoMes]",
"[Calendario].[AñoMes].&amp;[" &amp; TEXT(O$6,"yyyymm") &amp; "]",
"[Base].[Metrica]",
"[Base].[Metrica].&amp;[" &amp; $A56 &amp; "]",
"[Base].[SEGMENTO_DESCRIP]",
"[Base].[SEGMENTO_DESCRIP].&amp;[" &amp; $C$6 &amp; "]",
"[Base].[SITUACION]",
"[Base].[SITUACION].&amp;[" &amp; $C56 &amp; "]"
),0)/1000</f>
        <v>-6011.2793061172406</v>
      </c>
      <c r="P56" s="8">
        <f>IFERROR(
GETPIVOTDATA(
"[Base].[Importe]",
TDinamica_R!$A$5,
"[Calendario].[AñoMes]",
"[Calendario].[AñoMes].&amp;[" &amp; TEXT(P$6,"yyyymm") &amp; "]",
"[Base].[Metrica]",
"[Base].[Metrica].&amp;[" &amp; $A56 &amp; "]",
"[Base].[SEGMENTO_DESCRIP]",
"[Base].[SEGMENTO_DESCRIP].&amp;[" &amp; $C$6 &amp; "]",
"[Base].[SITUACION]",
"[Base].[SITUACION].&amp;[" &amp; $C56 &amp; "]"
),0)/1000</f>
        <v>-8.6966793825829338</v>
      </c>
      <c r="Q56" s="8">
        <f>IFERROR(
GETPIVOTDATA(
"[Base].[Importe]",
TDinamica_R!$A$5,
"[Calendario].[AñoMes]",
"[Calendario].[AñoMes].&amp;[" &amp; TEXT(Q$6,"yyyymm") &amp; "]",
"[Base].[Metrica]",
"[Base].[Metrica].&amp;[" &amp; $A56 &amp; "]",
"[Base].[SEGMENTO_DESCRIP]",
"[Base].[SEGMENTO_DESCRIP].&amp;[" &amp; $C$6 &amp; "]",
"[Base].[SITUACION]",
"[Base].[SITUACION].&amp;[" &amp; $C56 &amp; "]"
),0)/1000</f>
        <v>-2.5140252050471772</v>
      </c>
      <c r="R56" s="8">
        <f>IFERROR(
GETPIVOTDATA(
"[Base].[Importe]",
TDinamica_R!$A$5,
"[Calendario].[AñoMes]",
"[Calendario].[AñoMes].&amp;[" &amp; TEXT(R$6,"yyyymm") &amp; "]",
"[Base].[Metrica]",
"[Base].[Metrica].&amp;[" &amp; $A56 &amp; "]",
"[Base].[SEGMENTO_DESCRIP]",
"[Base].[SEGMENTO_DESCRIP].&amp;[" &amp; $C$6 &amp; "]",
"[Base].[SITUACION]",
"[Base].[SITUACION].&amp;[" &amp; $C56 &amp; "]"
),0)/1000</f>
        <v>203.51165474603266</v>
      </c>
      <c r="S56" s="8">
        <f>IFERROR(
GETPIVOTDATA(
"[Base].[Importe]",
TDinamica_R!$A$5,
"[Calendario].[AñoMes]",
"[Calendario].[AñoMes].&amp;[" &amp; TEXT(S$6,"yyyymm") &amp; "]",
"[Base].[Metrica]",
"[Base].[Metrica].&amp;[" &amp; $A56 &amp; "]",
"[Base].[SEGMENTO_DESCRIP]",
"[Base].[SEGMENTO_DESCRIP].&amp;[" &amp; $C$6 &amp; "]",
"[Base].[SITUACION]",
"[Base].[SITUACION].&amp;[" &amp; $C56 &amp; "]"
),0)/1000</f>
        <v>80.763166777835451</v>
      </c>
      <c r="T56" s="8">
        <f>IFERROR(
GETPIVOTDATA(
"[Base].[Importe]",
TDinamica_R!$A$5,
"[Calendario].[AñoMes]",
"[Calendario].[AñoMes].&amp;[" &amp; TEXT(T$6,"yyyymm") &amp; "]",
"[Base].[Metrica]",
"[Base].[Metrica].&amp;[" &amp; $A56 &amp; "]",
"[Base].[SEGMENTO_DESCRIP]",
"[Base].[SEGMENTO_DESCRIP].&amp;[" &amp; $C$6 &amp; "]",
"[Base].[SITUACION]",
"[Base].[SITUACION].&amp;[" &amp; $C56 &amp; "]"
),0)/1000</f>
        <v>135.56324285028123</v>
      </c>
      <c r="U56" s="8">
        <f>IFERROR(
GETPIVOTDATA(
"[Base].[Importe]",
TDinamica_R!$A$5,
"[Calendario].[AñoMes]",
"[Calendario].[AñoMes].&amp;[" &amp; TEXT(U$6,"yyyymm") &amp; "]",
"[Base].[Metrica]",
"[Base].[Metrica].&amp;[" &amp; $A56 &amp; "]",
"[Base].[SEGMENTO_DESCRIP]",
"[Base].[SEGMENTO_DESCRIP].&amp;[" &amp; $C$6 &amp; "]",
"[Base].[SITUACION]",
"[Base].[SITUACION].&amp;[" &amp; $C56 &amp; "]"
),0)/1000</f>
        <v>-32.149113884430172</v>
      </c>
      <c r="V56" s="8">
        <f>IFERROR(
GETPIVOTDATA(
"[Base].[Importe]",
TDinamica_R!$A$5,
"[Calendario].[AñoMes]",
"[Calendario].[AñoMes].&amp;[" &amp; TEXT(V$6,"yyyymm") &amp; "]",
"[Base].[Metrica]",
"[Base].[Metrica].&amp;[" &amp; $A56 &amp; "]",
"[Base].[SEGMENTO_DESCRIP]",
"[Base].[SEGMENTO_DESCRIP].&amp;[" &amp; $C$6 &amp; "]",
"[Base].[SITUACION]",
"[Base].[SITUACION].&amp;[" &amp; $C56 &amp; "]"
),0)/1000</f>
        <v>-1.4917404855119494</v>
      </c>
      <c r="W56" s="8">
        <f>IFERROR(
GETPIVOTDATA(
"[Base].[Importe]",
TDinamica_R!$A$5,
"[Calendario].[AñoMes]",
"[Calendario].[AñoMes].&amp;[" &amp; TEXT(W$6,"yyyymm") &amp; "]",
"[Base].[Metrica]",
"[Base].[Metrica].&amp;[" &amp; $A56 &amp; "]",
"[Base].[SEGMENTO_DESCRIP]",
"[Base].[SEGMENTO_DESCRIP].&amp;[" &amp; $C$6 &amp; "]",
"[Base].[SITUACION]",
"[Base].[SITUACION].&amp;[" &amp; $C56 &amp; "]"
),0)/1000</f>
        <v>-50.559322615012242</v>
      </c>
      <c r="X56" s="8">
        <f>IFERROR(
GETPIVOTDATA(
"[Base].[Importe]",
TDinamica_R!$A$5,
"[Calendario].[AñoMes]",
"[Calendario].[AñoMes].&amp;[" &amp; TEXT(X$6,"yyyymm") &amp; "]",
"[Base].[Metrica]",
"[Base].[Metrica].&amp;[" &amp; $A56 &amp; "]",
"[Base].[SEGMENTO_DESCRIP]",
"[Base].[SEGMENTO_DESCRIP].&amp;[" &amp; $C$6 &amp; "]",
"[Base].[SITUACION]",
"[Base].[SITUACION].&amp;[" &amp; $C56 &amp; "]"
),0)/1000</f>
        <v>-42.248574329594923</v>
      </c>
      <c r="Y56" s="8">
        <f>IFERROR(
GETPIVOTDATA(
"[Base].[Importe]",
TDinamica_R!$A$5,
"[Calendario].[AñoMes]",
"[Calendario].[AñoMes].&amp;[" &amp; TEXT(Y$6,"yyyymm") &amp; "]",
"[Base].[Metrica]",
"[Base].[Metrica].&amp;[" &amp; $A56 &amp; "]",
"[Base].[SEGMENTO_DESCRIP]",
"[Base].[SEGMENTO_DESCRIP].&amp;[" &amp; $C$6 &amp; "]",
"[Base].[SITUACION]",
"[Base].[SITUACION].&amp;[" &amp; $C56 &amp; "]"
),0)/1000</f>
        <v>51.226283793477293</v>
      </c>
      <c r="Z56" s="8">
        <f>IFERROR(
GETPIVOTDATA(
"[Base].[Importe]",
TDinamica_R!$A$5,
"[Calendario].[AñoMes]",
"[Calendario].[AñoMes].&amp;[" &amp; TEXT(Z$6,"yyyymm") &amp; "]",
"[Base].[Metrica]",
"[Base].[Metrica].&amp;[" &amp; $A56 &amp; "]",
"[Base].[SEGMENTO_DESCRIP]",
"[Base].[SEGMENTO_DESCRIP].&amp;[" &amp; $C$6 &amp; "]",
"[Base].[SITUACION]",
"[Base].[SITUACION].&amp;[" &amp; $C56 &amp; "]"
),0)/1000</f>
        <v>71.440647786625121</v>
      </c>
      <c r="AA56" s="8">
        <f>IFERROR(
GETPIVOTDATA(
"[Base].[Importe]",
TDinamica_R!$A$5,
"[Calendario].[AñoMes]",
"[Calendario].[AñoMes].&amp;[" &amp; TEXT(AA$6,"yyyymm") &amp; "]",
"[Base].[Metrica]",
"[Base].[Metrica].&amp;[" &amp; $A56 &amp; "]",
"[Base].[SEGMENTO_DESCRIP]",
"[Base].[SEGMENTO_DESCRIP].&amp;[" &amp; $C$6 &amp; "]",
"[Base].[SITUACION]",
"[Base].[SITUACION].&amp;[" &amp; $C56 &amp; "]"
),0)/1000</f>
        <v>-49.090460181720886</v>
      </c>
      <c r="AB56" s="8">
        <f>IFERROR(
GETPIVOTDATA(
"[Base].[Importe]",
TDinamica_R!$A$5,
"[Calendario].[AñoMes]",
"[Calendario].[AñoMes].&amp;[" &amp; TEXT(AB$6,"yyyymm") &amp; "]",
"[Base].[Metrica]",
"[Base].[Metrica].&amp;[" &amp; $A56 &amp; "]",
"[Base].[SEGMENTO_DESCRIP]",
"[Base].[SEGMENTO_DESCRIP].&amp;[" &amp; $C$6 &amp; "]",
"[Base].[SITUACION]",
"[Base].[SITUACION].&amp;[" &amp; $C56 &amp; "]"
),0)/1000</f>
        <v>-4.9323035441029717</v>
      </c>
      <c r="AC56" s="8">
        <f>IFERROR(
GETPIVOTDATA(
"[Base].[Importe]",
TDinamica_R!$A$5,
"[Calendario].[AñoMes]",
"[Calendario].[AñoMes].&amp;[" &amp; TEXT(AC$6,"yyyymm") &amp; "]",
"[Base].[Metrica]",
"[Base].[Metrica].&amp;[" &amp; $A56 &amp; "]",
"[Base].[SEGMENTO_DESCRIP]",
"[Base].[SEGMENTO_DESCRIP].&amp;[" &amp; $C$6 &amp; "]",
"[Base].[SITUACION]",
"[Base].[SITUACION].&amp;[" &amp; $C56 &amp; "]"
),0)/1000</f>
        <v>-1.090754650725462</v>
      </c>
      <c r="AD56" s="8">
        <f>IFERROR(
GETPIVOTDATA(
"[Base].[Importe]",
TDinamica_R!$A$5,
"[Calendario].[AñoMes]",
"[Calendario].[AñoMes].&amp;[" &amp; TEXT(AD$6,"yyyymm") &amp; "]",
"[Base].[Metrica]",
"[Base].[Metrica].&amp;[" &amp; $A56 &amp; "]",
"[Base].[SEGMENTO_DESCRIP]",
"[Base].[SEGMENTO_DESCRIP].&amp;[" &amp; $C$6 &amp; "]",
"[Base].[SITUACION]",
"[Base].[SITUACION].&amp;[" &amp; $C56 &amp; "]"
),0)/1000</f>
        <v>-0.28247000000000028</v>
      </c>
      <c r="AE56" s="8">
        <f>IFERROR(
GETPIVOTDATA(
"[Base].[Importe]",
TDinamica_R!$A$5,
"[Calendario].[AñoMes]",
"[Calendario].[AñoMes].&amp;[" &amp; TEXT(AE$6,"yyyymm") &amp; "]",
"[Base].[Metrica]",
"[Base].[Metrica].&amp;[" &amp; $A56 &amp; "]",
"[Base].[SEGMENTO_DESCRIP]",
"[Base].[SEGMENTO_DESCRIP].&amp;[" &amp; $C$6 &amp; "]",
"[Base].[SITUACION]",
"[Base].[SITUACION].&amp;[" &amp; $C56 &amp; "]"
),0)/1000</f>
        <v>-11.10188</v>
      </c>
      <c r="AF56" s="8">
        <f>IFERROR(
GETPIVOTDATA(
"[Base].[Importe]",
TDinamica_R!$A$5,
"[Calendario].[AñoMes]",
"[Calendario].[AñoMes].&amp;[" &amp; TEXT(AF$6,"yyyymm") &amp; "]",
"[Base].[Metrica]",
"[Base].[Metrica].&amp;[" &amp; $A56 &amp; "]",
"[Base].[SEGMENTO_DESCRIP]",
"[Base].[SEGMENTO_DESCRIP].&amp;[" &amp; $C$6 &amp; "]",
"[Base].[SITUACION]",
"[Base].[SITUACION].&amp;[" &amp; $C56 &amp; "]"
),0)/1000</f>
        <v>-42.68732</v>
      </c>
      <c r="AG56" s="8">
        <f>IFERROR(
GETPIVOTDATA(
"[Base].[Importe]",
TDinamica_R!$A$5,
"[Calendario].[AñoMes]",
"[Calendario].[AñoMes].&amp;[" &amp; TEXT(AG$6,"yyyymm") &amp; "]",
"[Base].[Metrica]",
"[Base].[Metrica].&amp;[" &amp; $A56 &amp; "]",
"[Base].[SEGMENTO_DESCRIP]",
"[Base].[SEGMENTO_DESCRIP].&amp;[" &amp; $C$6 &amp; "]",
"[Base].[SITUACION]",
"[Base].[SITUACION].&amp;[" &amp; $C56 &amp; "]"
),0)/1000</f>
        <v>-7.6541600000000001</v>
      </c>
      <c r="AH56" s="8">
        <f>IFERROR(
GETPIVOTDATA(
"[Base].[Importe]",
TDinamica_R!$A$5,
"[Calendario].[AñoMes]",
"[Calendario].[AñoMes].&amp;[" &amp; TEXT(AH$6,"yyyymm") &amp; "]",
"[Base].[Metrica]",
"[Base].[Metrica].&amp;[" &amp; $A56 &amp; "]",
"[Base].[SEGMENTO_DESCRIP]",
"[Base].[SEGMENTO_DESCRIP].&amp;[" &amp; $C$6 &amp; "]",
"[Base].[SITUACION]",
"[Base].[SITUACION].&amp;[" &amp; $C56 &amp; "]"
),0)/1000</f>
        <v>-24.798850000000002</v>
      </c>
      <c r="AI56" s="8">
        <f>IFERROR(
GETPIVOTDATA(
"[Base].[Importe]",
TDinamica_R!$A$5,
"[Calendario].[AñoMes]",
"[Calendario].[AñoMes].&amp;[" &amp; TEXT(AI$6,"yyyymm") &amp; "]",
"[Base].[Metrica]",
"[Base].[Metrica].&amp;[" &amp; $A56 &amp; "]",
"[Base].[SEGMENTO_DESCRIP]",
"[Base].[SEGMENTO_DESCRIP].&amp;[" &amp; $C$6 &amp; "]",
"[Base].[SITUACION]",
"[Base].[SITUACION].&amp;[" &amp; $C56 &amp; "]"
),0)/1000</f>
        <v>-4.0251178748952796</v>
      </c>
      <c r="AJ56" s="8">
        <f>IFERROR(
GETPIVOTDATA(
"[Base].[Importe]",
TDinamica_R!$A$5,
"[Calendario].[AñoMes]",
"[Calendario].[AñoMes].&amp;[" &amp; TEXT(AJ$6,"yyyymm") &amp; "]",
"[Base].[Metrica]",
"[Base].[Metrica].&amp;[" &amp; $A56 &amp; "]",
"[Base].[SEGMENTO_DESCRIP]",
"[Base].[SEGMENTO_DESCRIP].&amp;[" &amp; $C$6 &amp; "]",
"[Base].[SITUACION]",
"[Base].[SITUACION].&amp;[" &amp; $C56 &amp; "]"
),0)/1000</f>
        <v>-90.973474398868404</v>
      </c>
      <c r="AK56" s="8">
        <f>IFERROR(
GETPIVOTDATA(
"[Base].[Importe]",
TDinamica_R!$A$5,
"[Calendario].[AñoMes]",
"[Calendario].[AñoMes].&amp;[" &amp; TEXT(AK$6,"yyyymm") &amp; "]",
"[Base].[Metrica]",
"[Base].[Metrica].&amp;[" &amp; $A56 &amp; "]",
"[Base].[SEGMENTO_DESCRIP]",
"[Base].[SEGMENTO_DESCRIP].&amp;[" &amp; $C$6 &amp; "]",
"[Base].[SITUACION]",
"[Base].[SITUACION].&amp;[" &amp; $C56 &amp; "]"
),0)/1000</f>
        <v>51.758271700288198</v>
      </c>
      <c r="AL56" s="8">
        <f>IFERROR(
GETPIVOTDATA(
"[Base].[Importe]",
TDinamica_R!$A$5,
"[Calendario].[AñoMes]",
"[Calendario].[AñoMes].&amp;[" &amp; TEXT(AL$6,"yyyymm") &amp; "]",
"[Base].[Metrica]",
"[Base].[Metrica].&amp;[" &amp; $A56 &amp; "]",
"[Base].[SEGMENTO_DESCRIP]",
"[Base].[SEGMENTO_DESCRIP].&amp;[" &amp; $C$6 &amp; "]",
"[Base].[SITUACION]",
"[Base].[SITUACION].&amp;[" &amp; $C56 &amp; "]"
),0)/1000</f>
        <v>-30.8819383377778</v>
      </c>
      <c r="AM56" s="8">
        <f>IFERROR(
GETPIVOTDATA(
"[Base].[Importe]",
TDinamica_R!$A$5,
"[Calendario].[AñoMes]",
"[Calendario].[AñoMes].&amp;[" &amp; TEXT(AM$6,"yyyymm") &amp; "]",
"[Base].[Metrica]",
"[Base].[Metrica].&amp;[" &amp; $A56 &amp; "]",
"[Base].[SEGMENTO_DESCRIP]",
"[Base].[SEGMENTO_DESCRIP].&amp;[" &amp; $C$6 &amp; "]",
"[Base].[SITUACION]",
"[Base].[SITUACION].&amp;[" &amp; $C56 &amp; "]"
),0)/1000</f>
        <v>-42.814819872099953</v>
      </c>
      <c r="AN56" s="8">
        <f>IFERROR(
GETPIVOTDATA(
"[Base].[Importe]",
TDinamica_R!$A$5,
"[Calendario].[AñoMes]",
"[Calendario].[AñoMes].&amp;[" &amp; TEXT(AN$6,"yyyymm") &amp; "]",
"[Base].[Metrica]",
"[Base].[Metrica].&amp;[" &amp; $A56 &amp; "]",
"[Base].[SEGMENTO_DESCRIP]",
"[Base].[SEGMENTO_DESCRIP].&amp;[" &amp; $C$6 &amp; "]",
"[Base].[SITUACION]",
"[Base].[SITUACION].&amp;[" &amp; $C56 &amp; "]"
),0)/1000</f>
        <v>-54.407890000000002</v>
      </c>
      <c r="AO56" s="8">
        <f>IFERROR(
GETPIVOTDATA(
"[Base].[Importe]",
TDinamica_R!$A$5,
"[Calendario].[AñoMes]",
"[Calendario].[AñoMes].&amp;[" &amp; TEXT(AO$6,"yyyymm") &amp; "]",
"[Base].[Metrica]",
"[Base].[Metrica].&amp;[" &amp; $A56 &amp; "]",
"[Base].[SEGMENTO_DESCRIP]",
"[Base].[SEGMENTO_DESCRIP].&amp;[" &amp; $C$6 &amp; "]",
"[Base].[SITUACION]",
"[Base].[SITUACION].&amp;[" &amp; $C56 &amp; "]"
),0)/1000</f>
        <v>43.319110000000002</v>
      </c>
      <c r="AP56" s="8">
        <f>IFERROR(
GETPIVOTDATA(
"[Base].[Importe]",
TDinamica_R!$A$5,
"[Calendario].[AñoMes]",
"[Calendario].[AñoMes].&amp;[" &amp; TEXT(AP$6,"yyyymm") &amp; "]",
"[Base].[Metrica]",
"[Base].[Metrica].&amp;[" &amp; $A56 &amp; "]",
"[Base].[SEGMENTO_DESCRIP]",
"[Base].[SEGMENTO_DESCRIP].&amp;[" &amp; $C$6 &amp; "]",
"[Base].[SITUACION]",
"[Base].[SITUACION].&amp;[" &amp; $C56 &amp; "]"
),0)/1000</f>
        <v>-111.43192356985367</v>
      </c>
      <c r="AQ56" s="8">
        <f>IFERROR(
GETPIVOTDATA(
"[Base].[Importe]",
TDinamica_R!$A$5,
"[Calendario].[AñoMes]",
"[Calendario].[AñoMes].&amp;[" &amp; TEXT(AQ$6,"yyyymm") &amp; "]",
"[Base].[Metrica]",
"[Base].[Metrica].&amp;[" &amp; $A56 &amp; "]",
"[Base].[SEGMENTO_DESCRIP]",
"[Base].[SEGMENTO_DESCRIP].&amp;[" &amp; $C$6 &amp; "]",
"[Base].[SITUACION]",
"[Base].[SITUACION].&amp;[" &amp; $C56 &amp; "]"
),0)/1000</f>
        <v>-87.600880000000004</v>
      </c>
      <c r="AR56" s="8">
        <f>IFERROR(
GETPIVOTDATA(
"[Base].[Importe]",
TDinamica_R!$A$5,
"[Calendario].[AñoMes]",
"[Calendario].[AñoMes].&amp;[" &amp; TEXT(AR$6,"yyyymm") &amp; "]",
"[Base].[Metrica]",
"[Base].[Metrica].&amp;[" &amp; $A56 &amp; "]",
"[Base].[SEGMENTO_DESCRIP]",
"[Base].[SEGMENTO_DESCRIP].&amp;[" &amp; $C$6 &amp; "]",
"[Base].[SITUACION]",
"[Base].[SITUACION].&amp;[" &amp; $C56 &amp; "]"
),0)/1000</f>
        <v>-141.60280999999901</v>
      </c>
      <c r="AS56" s="8">
        <f>IFERROR(
GETPIVOTDATA(
"[Base].[Importe]",
TDinamica_R!$A$5,
"[Calendario].[AñoMes]",
"[Calendario].[AñoMes].&amp;[" &amp; TEXT(AS$6,"yyyymm") &amp; "]",
"[Base].[Metrica]",
"[Base].[Metrica].&amp;[" &amp; $A56 &amp; "]",
"[Base].[SEGMENTO_DESCRIP]",
"[Base].[SEGMENTO_DESCRIP].&amp;[" &amp; $C$6 &amp; "]",
"[Base].[SITUACION]",
"[Base].[SITUACION].&amp;[" &amp; $C56 &amp; "]"
),0)/1000</f>
        <v>-101.59494000000001</v>
      </c>
      <c r="AT56" s="8">
        <f>IFERROR(
GETPIVOTDATA(
"[Base].[Importe]",
TDinamica_R!$A$5,
"[Calendario].[AñoMes]",
"[Calendario].[AñoMes].&amp;[" &amp; TEXT(AT$6,"yyyymm")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U56" s="8">
        <f>IFERROR(
GETPIVOTDATA(
"[Base].[Importe]",
TDinamica_R!$A$5,
"[Calendario].[AñoMes]",
"[Calendario].[AñoMes].&amp;[" &amp; TEXT(AU$6,"yyyymm")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V56" s="8">
        <f>IFERROR(
GETPIVOTDATA(
"[Base].[Importe]",
TDinamica_R!$A$5,
"[Calendario].[AñoMes]",
"[Calendario].[AñoMes].&amp;[" &amp; TEXT(AV$6,"yyyymm")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W56" s="8">
        <f>IFERROR(
GETPIVOTDATA(
"[Base].[Importe]",
TDinamica_R!$A$5,
"[Calendario].[AñoMes]",
"[Calendario].[AñoMes].&amp;[" &amp; TEXT(AW$6,"yyyymm")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X56" s="8">
        <f>IFERROR(
GETPIVOTDATA(
"[Base].[Importe]",
TDinamica_R!$A$5,
"[Calendario].[AñoMes]",
"[Calendario].[AñoMes].&amp;[" &amp; TEXT(AX$6,"yyyymm")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Y56" s="8">
        <f>IFERROR(
GETPIVOTDATA(
"[Base].[Importe]",
TDinamica_R!$A$5,
"[Calendario].[AñoMes]",
"[Calendario].[AñoMes].&amp;[" &amp; TEXT(AY$6,"yyyymm") &amp; "]",
"[Base].[Metrica]",
"[Base].[Metrica].&amp;[" &amp; $A56 &amp; "]",
"[Base].[SEGMENTO_DESCRIP]",
"[Base].[SEGMENTO_DESCRIP].&amp;[" &amp; $C$6 &amp; "]",
"[Base].[SITUACION]",
"[Base].[SITUACION].&amp;[" &amp; $C56 &amp; "]"
),0)/1000</f>
        <v>0</v>
      </c>
      <c r="AZ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"[BASE_HIPO_PPTO].[Periodo]","[BASE_HIPO_PPTO].[Periodo].&amp;["&amp;TEXT(AZ$6,"yyyymm")&amp;"]"),
0)/1000</f>
        <v>75.460035052622558</v>
      </c>
      <c r="BA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"[BASE_HIPO_PPTO].[Periodo]","[BASE_HIPO_PPTO].[Periodo].&amp;["&amp;TEXT(BA$6,"yyyymm")&amp;"]"),
0)/1000</f>
        <v>72.026296540558974</v>
      </c>
      <c r="BB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"[BASE_HIPO_PPTO].[Periodo]","[BASE_HIPO_PPTO].[Periodo].&amp;["&amp;TEXT(BB$6,"yyyymm")&amp;"]"),
0)/1000</f>
        <v>52.703876310871884</v>
      </c>
      <c r="BC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"[BASE_HIPO_PPTO].[Periodo]","[BASE_HIPO_PPTO].[Periodo].&amp;["&amp;TEXT(BC$6,"yyyymm")&amp;"]"),
0)/1000</f>
        <v>56.039559054823741</v>
      </c>
      <c r="BD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"[BASE_HIPO_PPTO].[Periodo]","[BASE_HIPO_PPTO].[Periodo].&amp;["&amp;TEXT(BD$6,"yyyymm")&amp;"]"),
0)/1000</f>
        <v>1.1147915997223499</v>
      </c>
      <c r="BE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"[BASE_HIPO_PPTO].[Periodo]","[BASE_HIPO_PPTO].[Periodo].&amp;["&amp;TEXT(BE$6,"yyyymm")&amp;"]"),
0)/1000</f>
        <v>-3.9222339475566113</v>
      </c>
      <c r="BF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"[BASE_HIPO_PPTO].[Periodo]","[BASE_HIPO_PPTO].[Periodo].&amp;["&amp;TEXT(BF$6,"yyyymm")&amp;"]"),
0)/1000</f>
        <v>-4.1976469055653727</v>
      </c>
      <c r="BG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"[BASE_HIPO_PPTO].[Periodo]","[BASE_HIPO_PPTO].[Periodo].&amp;["&amp;TEXT(BG$6,"yyyymm")&amp;"]"),
0)/1000</f>
        <v>-37.527892596089806</v>
      </c>
      <c r="BH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"[BASE_HIPO_PPTO].[Periodo]","[BASE_HIPO_PPTO].[Periodo].&amp;["&amp;TEXT(BH$6,"yyyymm")&amp;"]"),
0)/1000</f>
        <v>-2.8487945901479543</v>
      </c>
      <c r="BI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"[BASE_HIPO_PPTO].[Periodo]","[BASE_HIPO_PPTO].[Periodo].&amp;["&amp;TEXT(BI$6,"yyyymm")&amp;"]"),
0)/1000</f>
        <v>-3.0275732660834618</v>
      </c>
      <c r="BJ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"[BASE_HIPO_PPTO].[Periodo]","[BASE_HIPO_PPTO].[Periodo].&amp;["&amp;TEXT(BJ$6,"yyyymm")&amp;"]"),
0)/1000</f>
        <v>-4.4060749366236847</v>
      </c>
      <c r="BK56" s="8">
        <f>IFERROR(
GETPIVOTDATA(
"[BASE_HIPO_PPTO].[Importe]",
TDinamica_P!$A$5,
"[BASE_HIPO_PPTO].[Metrica]","[BASE_HIPO_PPTO].[Metrica].&amp;["&amp;$A56&amp;"]",
"[BASE_HIPO_PPTO].[SEGMENTO_DESCRIP]","[BASE_HIPO_PPTO].[SEGMENTO_DESCRIP].&amp;["&amp;$C$6&amp;"]",
"[BASE_HIPO_PPTO].[SITUACION]","[BASE_HIPO_PPTO].[SITUACION].&amp;["&amp;$C56&amp;"]",
"[BASE_HIPO_PPTO].[Periodo]","[BASE_HIPO_PPTO].[Periodo].&amp;["&amp;TEXT(BK$6,"yyyymm")&amp;"]"),
0)/1000</f>
        <v>-4.3638561685784225</v>
      </c>
      <c r="BO56" s="24">
        <f t="shared" ref="BO56:BT57" si="57">SUMIFS($D56:$BM56,$D$6:$BM$6,"&gt;="&amp;BO$2,$D$6:$BM$6,"&lt;="&amp;BO$6,$D$5:$BM$5,BO$5)</f>
        <v>-122.52070356985367</v>
      </c>
      <c r="BP56" s="24">
        <f t="shared" si="57"/>
        <v>200.19020790405344</v>
      </c>
      <c r="BQ56" s="24">
        <f t="shared" si="57"/>
        <v>-11.08878</v>
      </c>
      <c r="BR56" s="24">
        <f t="shared" si="57"/>
        <v>-6.3055281948284332</v>
      </c>
      <c r="BS56" s="24">
        <f t="shared" si="57"/>
        <v>192.30095015840254</v>
      </c>
      <c r="BT56" s="24">
        <f t="shared" si="57"/>
        <v>402.47442912908127</v>
      </c>
    </row>
    <row r="57" spans="1:72" hidden="1" outlineLevel="1" x14ac:dyDescent="0.25">
      <c r="A57" s="11" t="s">
        <v>65</v>
      </c>
      <c r="C57" s="2" t="s">
        <v>69</v>
      </c>
      <c r="D57" s="8">
        <f>IFERROR(
GETPIVOTDATA(
"[Base].[Importe]",
TDinamica_R!$A$5,
"[Calendario].[AñoMes]",
"[Calendario].[AñoMes].&amp;[" &amp; TEXT(D$6,"yyyymm")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E57" s="8">
        <f>IFERROR(
GETPIVOTDATA(
"[Base].[Importe]",
TDinamica_R!$A$5,
"[Calendario].[AñoMes]",
"[Calendario].[AñoMes].&amp;[" &amp; TEXT(E$6,"yyyymm")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F57" s="8">
        <f>IFERROR(
GETPIVOTDATA(
"[Base].[Importe]",
TDinamica_R!$A$5,
"[Calendario].[AñoMes]",
"[Calendario].[AñoMes].&amp;[" &amp; TEXT(F$6,"yyyymm")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G57" s="8">
        <f>IFERROR(
GETPIVOTDATA(
"[Base].[Importe]",
TDinamica_R!$A$5,
"[Calendario].[AñoMes]",
"[Calendario].[AñoMes].&amp;[" &amp; TEXT(G$6,"yyyymm") &amp; "]",
"[Base].[Metrica]",
"[Base].[Metrica].&amp;[" &amp; $A57 &amp; "]",
"[Base].[SEGMENTO_DESCRIP]",
"[Base].[SEGMENTO_DESCRIP].&amp;[" &amp; $C$6 &amp; "]",
"[Base].[SITUACION]",
"[Base].[SITUACION].&amp;[" &amp; $C57 &amp; "]"
),0)/1000</f>
        <v>37.759167202544681</v>
      </c>
      <c r="H57" s="8">
        <f>IFERROR(
GETPIVOTDATA(
"[Base].[Importe]",
TDinamica_R!$A$5,
"[Calendario].[AñoMes]",
"[Calendario].[AñoMes].&amp;[" &amp; TEXT(H$6,"yyyymm")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I57" s="8">
        <f>IFERROR(
GETPIVOTDATA(
"[Base].[Importe]",
TDinamica_R!$A$5,
"[Calendario].[AñoMes]",
"[Calendario].[AñoMes].&amp;[" &amp; TEXT(I$6,"yyyymm")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J57" s="8">
        <f>IFERROR(
GETPIVOTDATA(
"[Base].[Importe]",
TDinamica_R!$A$5,
"[Calendario].[AñoMes]",
"[Calendario].[AñoMes].&amp;[" &amp; TEXT(J$6,"yyyymm")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K57" s="8">
        <f>IFERROR(
GETPIVOTDATA(
"[Base].[Importe]",
TDinamica_R!$A$5,
"[Calendario].[AñoMes]",
"[Calendario].[AñoMes].&amp;[" &amp; TEXT(K$6,"yyyymm")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L57" s="8">
        <f>IFERROR(
GETPIVOTDATA(
"[Base].[Importe]",
TDinamica_R!$A$5,
"[Calendario].[AñoMes]",
"[Calendario].[AñoMes].&amp;[" &amp; TEXT(L$6,"yyyymm")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M57" s="8">
        <f>IFERROR(
GETPIVOTDATA(
"[Base].[Importe]",
TDinamica_R!$A$5,
"[Calendario].[AñoMes]",
"[Calendario].[AñoMes].&amp;[" &amp; TEXT(M$6,"yyyymm")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N57" s="8">
        <f>IFERROR(
GETPIVOTDATA(
"[Base].[Importe]",
TDinamica_R!$A$5,
"[Calendario].[AñoMes]",
"[Calendario].[AñoMes].&amp;[" &amp; TEXT(N$6,"yyyymm")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O57" s="8">
        <f>IFERROR(
GETPIVOTDATA(
"[Base].[Importe]",
TDinamica_R!$A$5,
"[Calendario].[AñoMes]",
"[Calendario].[AñoMes].&amp;[" &amp; TEXT(O$6,"yyyymm")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P57" s="8">
        <f>IFERROR(
GETPIVOTDATA(
"[Base].[Importe]",
TDinamica_R!$A$5,
"[Calendario].[AñoMes]",
"[Calendario].[AñoMes].&amp;[" &amp; TEXT(P$6,"yyyymm")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Q57" s="8">
        <f>IFERROR(
GETPIVOTDATA(
"[Base].[Importe]",
TDinamica_R!$A$5,
"[Calendario].[AñoMes]",
"[Calendario].[AñoMes].&amp;[" &amp; TEXT(Q$6,"yyyymm")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R57" s="8">
        <f>IFERROR(
GETPIVOTDATA(
"[Base].[Importe]",
TDinamica_R!$A$5,
"[Calendario].[AñoMes]",
"[Calendario].[AñoMes].&amp;[" &amp; TEXT(R$6,"yyyymm")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S57" s="8">
        <f>IFERROR(
GETPIVOTDATA(
"[Base].[Importe]",
TDinamica_R!$A$5,
"[Calendario].[AñoMes]",
"[Calendario].[AñoMes].&amp;[" &amp; TEXT(S$6,"yyyymm")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T57" s="8">
        <f>IFERROR(
GETPIVOTDATA(
"[Base].[Importe]",
TDinamica_R!$A$5,
"[Calendario].[AñoMes]",
"[Calendario].[AñoMes].&amp;[" &amp; TEXT(T$6,"yyyymm")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U57" s="8">
        <f>IFERROR(
GETPIVOTDATA(
"[Base].[Importe]",
TDinamica_R!$A$5,
"[Calendario].[AñoMes]",
"[Calendario].[AñoMes].&amp;[" &amp; TEXT(U$6,"yyyymm")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V57" s="8">
        <f>IFERROR(
GETPIVOTDATA(
"[Base].[Importe]",
TDinamica_R!$A$5,
"[Calendario].[AñoMes]",
"[Calendario].[AñoMes].&amp;[" &amp; TEXT(V$6,"yyyymm")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W57" s="8">
        <f>IFERROR(
GETPIVOTDATA(
"[Base].[Importe]",
TDinamica_R!$A$5,
"[Calendario].[AñoMes]",
"[Calendario].[AñoMes].&amp;[" &amp; TEXT(W$6,"yyyymm")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X57" s="8">
        <f>IFERROR(
GETPIVOTDATA(
"[Base].[Importe]",
TDinamica_R!$A$5,
"[Calendario].[AñoMes]",
"[Calendario].[AñoMes].&amp;[" &amp; TEXT(X$6,"yyyymm")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Y57" s="8">
        <f>IFERROR(
GETPIVOTDATA(
"[Base].[Importe]",
TDinamica_R!$A$5,
"[Calendario].[AñoMes]",
"[Calendario].[AñoMes].&amp;[" &amp; TEXT(Y$6,"yyyymm")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Z57" s="8">
        <f>IFERROR(
GETPIVOTDATA(
"[Base].[Importe]",
TDinamica_R!$A$5,
"[Calendario].[AñoMes]",
"[Calendario].[AñoMes].&amp;[" &amp; TEXT(Z$6,"yyyymm")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A57" s="8">
        <f>IFERROR(
GETPIVOTDATA(
"[Base].[Importe]",
TDinamica_R!$A$5,
"[Calendario].[AñoMes]",
"[Calendario].[AñoMes].&amp;[" &amp; TEXT(AA$6,"yyyymm")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B57" s="8">
        <f>IFERROR(
GETPIVOTDATA(
"[Base].[Importe]",
TDinamica_R!$A$5,
"[Calendario].[AñoMes]",
"[Calendario].[AñoMes].&amp;[" &amp; TEXT(AB$6,"yyyymm") &amp; "]",
"[Base].[Metrica]",
"[Base].[Metrica].&amp;[" &amp; $A57 &amp; "]",
"[Base].[SEGMENTO_DESCRIP]",
"[Base].[SEGMENTO_DESCRIP].&amp;[" &amp; $C$6 &amp; "]",
"[Base].[SITUACION]",
"[Base].[SITUACION].&amp;[" &amp; $C57 &amp; "]"
),0)/1000</f>
        <v>0.18306</v>
      </c>
      <c r="AC57" s="8">
        <f>IFERROR(
GETPIVOTDATA(
"[Base].[Importe]",
TDinamica_R!$A$5,
"[Calendario].[AñoMes]",
"[Calendario].[AñoMes].&amp;[" &amp; TEXT(AC$6,"yyyymm") &amp; "]",
"[Base].[Metrica]",
"[Base].[Metrica].&amp;[" &amp; $A57 &amp; "]",
"[Base].[SEGMENTO_DESCRIP]",
"[Base].[SEGMENTO_DESCRIP].&amp;[" &amp; $C$6 &amp; "]",
"[Base].[SITUACION]",
"[Base].[SITUACION].&amp;[" &amp; $C57 &amp; "]"
),0)/1000</f>
        <v>2.2599999999999999E-3</v>
      </c>
      <c r="AD57" s="8">
        <f>IFERROR(
GETPIVOTDATA(
"[Base].[Importe]",
TDinamica_R!$A$5,
"[Calendario].[AñoMes]",
"[Calendario].[AñoMes].&amp;[" &amp; TEXT(AD$6,"yyyymm") &amp; "]",
"[Base].[Metrica]",
"[Base].[Metrica].&amp;[" &amp; $A57 &amp; "]",
"[Base].[SEGMENTO_DESCRIP]",
"[Base].[SEGMENTO_DESCRIP].&amp;[" &amp; $C$6 &amp; "]",
"[Base].[SITUACION]",
"[Base].[SITUACION].&amp;[" &amp; $C57 &amp; "]"
),0)/1000</f>
        <v>9.7999999999999997E-4</v>
      </c>
      <c r="AE57" s="8">
        <f>IFERROR(
GETPIVOTDATA(
"[Base].[Importe]",
TDinamica_R!$A$5,
"[Calendario].[AñoMes]",
"[Calendario].[AñoMes].&amp;[" &amp; TEXT(AE$6,"yyyymm")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F57" s="8">
        <f>IFERROR(
GETPIVOTDATA(
"[Base].[Importe]",
TDinamica_R!$A$5,
"[Calendario].[AñoMes]",
"[Calendario].[AñoMes].&amp;[" &amp; TEXT(AF$6,"yyyymm") &amp; "]",
"[Base].[Metrica]",
"[Base].[Metrica].&amp;[" &amp; $A57 &amp; "]",
"[Base].[SEGMENTO_DESCRIP]",
"[Base].[SEGMENTO_DESCRIP].&amp;[" &amp; $C$6 &amp; "]",
"[Base].[SITUACION]",
"[Base].[SITUACION].&amp;[" &amp; $C57 &amp; "]"
),0)/1000</f>
        <v>9.8999999999999999E-4</v>
      </c>
      <c r="AG57" s="8">
        <f>IFERROR(
GETPIVOTDATA(
"[Base].[Importe]",
TDinamica_R!$A$5,
"[Calendario].[AñoMes]",
"[Calendario].[AñoMes].&amp;[" &amp; TEXT(AG$6,"yyyymm")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H57" s="8">
        <f>IFERROR(
GETPIVOTDATA(
"[Base].[Importe]",
TDinamica_R!$A$5,
"[Calendario].[AñoMes]",
"[Calendario].[AñoMes].&amp;[" &amp; TEXT(AH$6,"yyyymm")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I57" s="8">
        <f>IFERROR(
GETPIVOTDATA(
"[Base].[Importe]",
TDinamica_R!$A$5,
"[Calendario].[AñoMes]",
"[Calendario].[AñoMes].&amp;[" &amp; TEXT(AI$6,"yyyymm")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J57" s="8">
        <f>IFERROR(
GETPIVOTDATA(
"[Base].[Importe]",
TDinamica_R!$A$5,
"[Calendario].[AñoMes]",
"[Calendario].[AñoMes].&amp;[" &amp; TEXT(AJ$6,"yyyymm")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K57" s="8">
        <f>IFERROR(
GETPIVOTDATA(
"[Base].[Importe]",
TDinamica_R!$A$5,
"[Calendario].[AñoMes]",
"[Calendario].[AñoMes].&amp;[" &amp; TEXT(AK$6,"yyyymm") &amp; "]",
"[Base].[Metrica]",
"[Base].[Metrica].&amp;[" &amp; $A57 &amp; "]",
"[Base].[SEGMENTO_DESCRIP]",
"[Base].[SEGMENTO_DESCRIP].&amp;[" &amp; $C$6 &amp; "]",
"[Base].[SITUACION]",
"[Base].[SITUACION].&amp;[" &amp; $C57 &amp; "]"
),0)/1000</f>
        <v>0.18838999999999997</v>
      </c>
      <c r="AL57" s="8">
        <f>IFERROR(
GETPIVOTDATA(
"[Base].[Importe]",
TDinamica_R!$A$5,
"[Calendario].[AñoMes]",
"[Calendario].[AñoMes].&amp;[" &amp; TEXT(AL$6,"yyyymm")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M57" s="8">
        <f>IFERROR(
GETPIVOTDATA(
"[Base].[Importe]",
TDinamica_R!$A$5,
"[Calendario].[AñoMes]",
"[Calendario].[AñoMes].&amp;[" &amp; TEXT(AM$6,"yyyymm")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N57" s="8">
        <f>IFERROR(
GETPIVOTDATA(
"[Base].[Importe]",
TDinamica_R!$A$5,
"[Calendario].[AñoMes]",
"[Calendario].[AñoMes].&amp;[" &amp; TEXT(AN$6,"yyyymm")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O57" s="8">
        <f>IFERROR(
GETPIVOTDATA(
"[Base].[Importe]",
TDinamica_R!$A$5,
"[Calendario].[AñoMes]",
"[Calendario].[AñoMes].&amp;[" &amp; TEXT(AO$6,"yyyymm")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P57" s="8">
        <f>IFERROR(
GETPIVOTDATA(
"[Base].[Importe]",
TDinamica_R!$A$5,
"[Calendario].[AñoMes]",
"[Calendario].[AñoMes].&amp;[" &amp; TEXT(AP$6,"yyyymm") &amp; "]",
"[Base].[Metrica]",
"[Base].[Metrica].&amp;[" &amp; $A57 &amp; "]",
"[Base].[SEGMENTO_DESCRIP]",
"[Base].[SEGMENTO_DESCRIP].&amp;[" &amp; $C$6 &amp; "]",
"[Base].[SITUACION]",
"[Base].[SITUACION].&amp;[" &amp; $C57 &amp; "]"
),0)/1000</f>
        <v>0.48019000000000001</v>
      </c>
      <c r="AQ57" s="8">
        <f>IFERROR(
GETPIVOTDATA(
"[Base].[Importe]",
TDinamica_R!$A$5,
"[Calendario].[AñoMes]",
"[Calendario].[AñoMes].&amp;[" &amp; TEXT(AQ$6,"yyyymm") &amp; "]",
"[Base].[Metrica]",
"[Base].[Metrica].&amp;[" &amp; $A57 &amp; "]",
"[Base].[SEGMENTO_DESCRIP]",
"[Base].[SEGMENTO_DESCRIP].&amp;[" &amp; $C$6 &amp; "]",
"[Base].[SITUACION]",
"[Base].[SITUACION].&amp;[" &amp; $C57 &amp; "]"
),0)/1000</f>
        <v>0.19547</v>
      </c>
      <c r="AR57" s="8">
        <f>IFERROR(
GETPIVOTDATA(
"[Base].[Importe]",
TDinamica_R!$A$5,
"[Calendario].[AñoMes]",
"[Calendario].[AñoMes].&amp;[" &amp; TEXT(AR$6,"yyyymm") &amp; "]",
"[Base].[Metrica]",
"[Base].[Metrica].&amp;[" &amp; $A57 &amp; "]",
"[Base].[SEGMENTO_DESCRIP]",
"[Base].[SEGMENTO_DESCRIP].&amp;[" &amp; $C$6 &amp; "]",
"[Base].[SITUACION]",
"[Base].[SITUACION].&amp;[" &amp; $C57 &amp; "]"
),0)/1000</f>
        <v>1E-4</v>
      </c>
      <c r="AS57" s="8">
        <f>IFERROR(
GETPIVOTDATA(
"[Base].[Importe]",
TDinamica_R!$A$5,
"[Calendario].[AñoMes]",
"[Calendario].[AñoMes].&amp;[" &amp; TEXT(AS$6,"yyyymm")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T57" s="8">
        <f>IFERROR(
GETPIVOTDATA(
"[Base].[Importe]",
TDinamica_R!$A$5,
"[Calendario].[AñoMes]",
"[Calendario].[AñoMes].&amp;[" &amp; TEXT(AT$6,"yyyymm")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U57" s="8">
        <f>IFERROR(
GETPIVOTDATA(
"[Base].[Importe]",
TDinamica_R!$A$5,
"[Calendario].[AñoMes]",
"[Calendario].[AñoMes].&amp;[" &amp; TEXT(AU$6,"yyyymm")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V57" s="8">
        <f>IFERROR(
GETPIVOTDATA(
"[Base].[Importe]",
TDinamica_R!$A$5,
"[Calendario].[AñoMes]",
"[Calendario].[AñoMes].&amp;[" &amp; TEXT(AV$6,"yyyymm")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W57" s="8">
        <f>IFERROR(
GETPIVOTDATA(
"[Base].[Importe]",
TDinamica_R!$A$5,
"[Calendario].[AñoMes]",
"[Calendario].[AñoMes].&amp;[" &amp; TEXT(AW$6,"yyyymm")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X57" s="8">
        <f>IFERROR(
GETPIVOTDATA(
"[Base].[Importe]",
TDinamica_R!$A$5,
"[Calendario].[AñoMes]",
"[Calendario].[AñoMes].&amp;[" &amp; TEXT(AX$6,"yyyymm")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Y57" s="8">
        <f>IFERROR(
GETPIVOTDATA(
"[Base].[Importe]",
TDinamica_R!$A$5,
"[Calendario].[AñoMes]",
"[Calendario].[AñoMes].&amp;[" &amp; TEXT(AY$6,"yyyymm") &amp; "]",
"[Base].[Metrica]",
"[Base].[Metrica].&amp;[" &amp; $A57 &amp; "]",
"[Base].[SEGMENTO_DESCRIP]",
"[Base].[SEGMENTO_DESCRIP].&amp;[" &amp; $C$6 &amp; "]",
"[Base].[SITUACION]",
"[Base].[SITUACION].&amp;[" &amp; $C57 &amp; "]"
),0)/1000</f>
        <v>0</v>
      </c>
      <c r="AZ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"[BASE_HIPO_PPTO].[Periodo]","[BASE_HIPO_PPTO].[Periodo].&amp;["&amp;TEXT(AZ$6,"yyyymm")&amp;"]"),
0)/1000</f>
        <v>0</v>
      </c>
      <c r="BA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"[BASE_HIPO_PPTO].[Periodo]","[BASE_HIPO_PPTO].[Periodo].&amp;["&amp;TEXT(BA$6,"yyyymm")&amp;"]"),
0)/1000</f>
        <v>0</v>
      </c>
      <c r="BB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"[BASE_HIPO_PPTO].[Periodo]","[BASE_HIPO_PPTO].[Periodo].&amp;["&amp;TEXT(BB$6,"yyyymm")&amp;"]"),
0)/1000</f>
        <v>0</v>
      </c>
      <c r="BC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"[BASE_HIPO_PPTO].[Periodo]","[BASE_HIPO_PPTO].[Periodo].&amp;["&amp;TEXT(BC$6,"yyyymm")&amp;"]"),
0)/1000</f>
        <v>0</v>
      </c>
      <c r="BD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"[BASE_HIPO_PPTO].[Periodo]","[BASE_HIPO_PPTO].[Periodo].&amp;["&amp;TEXT(BD$6,"yyyymm")&amp;"]"),
0)/1000</f>
        <v>0</v>
      </c>
      <c r="BE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"[BASE_HIPO_PPTO].[Periodo]","[BASE_HIPO_PPTO].[Periodo].&amp;["&amp;TEXT(BE$6,"yyyymm")&amp;"]"),
0)/1000</f>
        <v>0</v>
      </c>
      <c r="BF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"[BASE_HIPO_PPTO].[Periodo]","[BASE_HIPO_PPTO].[Periodo].&amp;["&amp;TEXT(BF$6,"yyyymm")&amp;"]"),
0)/1000</f>
        <v>0</v>
      </c>
      <c r="BG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"[BASE_HIPO_PPTO].[Periodo]","[BASE_HIPO_PPTO].[Periodo].&amp;["&amp;TEXT(BG$6,"yyyymm")&amp;"]"),
0)/1000</f>
        <v>0</v>
      </c>
      <c r="BH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"[BASE_HIPO_PPTO].[Periodo]","[BASE_HIPO_PPTO].[Periodo].&amp;["&amp;TEXT(BH$6,"yyyymm")&amp;"]"),
0)/1000</f>
        <v>0</v>
      </c>
      <c r="BI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"[BASE_HIPO_PPTO].[Periodo]","[BASE_HIPO_PPTO].[Periodo].&amp;["&amp;TEXT(BI$6,"yyyymm")&amp;"]"),
0)/1000</f>
        <v>0</v>
      </c>
      <c r="BJ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"[BASE_HIPO_PPTO].[Periodo]","[BASE_HIPO_PPTO].[Periodo].&amp;["&amp;TEXT(BJ$6,"yyyymm")&amp;"]"),
0)/1000</f>
        <v>0</v>
      </c>
      <c r="BK57" s="8">
        <f>IFERROR(
GETPIVOTDATA(
"[BASE_HIPO_PPTO].[Importe]",
TDinamica_P!$A$5,
"[BASE_HIPO_PPTO].[Metrica]","[BASE_HIPO_PPTO].[Metrica].&amp;["&amp;$A57&amp;"]",
"[BASE_HIPO_PPTO].[SEGMENTO_DESCRIP]","[BASE_HIPO_PPTO].[SEGMENTO_DESCRIP].&amp;["&amp;$C$6&amp;"]",
"[BASE_HIPO_PPTO].[SITUACION]","[BASE_HIPO_PPTO].[SITUACION].&amp;["&amp;$C57&amp;"]",
"[BASE_HIPO_PPTO].[Periodo]","[BASE_HIPO_PPTO].[Periodo].&amp;["&amp;TEXT(BK$6,"yyyymm")&amp;"]"),
0)/1000</f>
        <v>0</v>
      </c>
      <c r="BO57" s="24">
        <f t="shared" si="57"/>
        <v>0.48019000000000001</v>
      </c>
      <c r="BP57" s="24">
        <f t="shared" si="57"/>
        <v>0</v>
      </c>
      <c r="BQ57" s="24">
        <f t="shared" si="57"/>
        <v>0</v>
      </c>
      <c r="BR57" s="24">
        <f t="shared" si="57"/>
        <v>0.18630000000000002</v>
      </c>
      <c r="BS57" s="24">
        <f t="shared" si="57"/>
        <v>0</v>
      </c>
      <c r="BT57" s="24">
        <f t="shared" si="57"/>
        <v>0</v>
      </c>
    </row>
    <row r="58" spans="1:72" collapsed="1" x14ac:dyDescent="0.25">
      <c r="C58" s="3" t="s">
        <v>68</v>
      </c>
      <c r="D58" s="10">
        <f t="shared" ref="D58:AY58" si="58">SUM(D56:D57)</f>
        <v>218.75755036684234</v>
      </c>
      <c r="E58" s="10">
        <f t="shared" si="58"/>
        <v>359.6737313556709</v>
      </c>
      <c r="F58" s="10">
        <f t="shared" si="58"/>
        <v>-175.95685259343193</v>
      </c>
      <c r="G58" s="10">
        <f t="shared" si="58"/>
        <v>-1236.3410543098676</v>
      </c>
      <c r="H58" s="10">
        <f t="shared" si="58"/>
        <v>410.7202448572599</v>
      </c>
      <c r="I58" s="10">
        <f t="shared" si="58"/>
        <v>-8504.3072002537247</v>
      </c>
      <c r="J58" s="10">
        <f t="shared" si="58"/>
        <v>-429.06902234353697</v>
      </c>
      <c r="K58" s="10">
        <f t="shared" si="58"/>
        <v>388.86955204840086</v>
      </c>
      <c r="L58" s="10">
        <f t="shared" si="58"/>
        <v>-2427.0882816057947</v>
      </c>
      <c r="M58" s="10">
        <f t="shared" si="58"/>
        <v>-609.09772174392265</v>
      </c>
      <c r="N58" s="10">
        <f t="shared" si="58"/>
        <v>-1549.3230969468311</v>
      </c>
      <c r="O58" s="10">
        <f t="shared" si="58"/>
        <v>-6011.2793061172406</v>
      </c>
      <c r="P58" s="10">
        <f t="shared" si="58"/>
        <v>-8.6966793825829338</v>
      </c>
      <c r="Q58" s="10">
        <f t="shared" si="58"/>
        <v>-2.5140252050471772</v>
      </c>
      <c r="R58" s="10">
        <f t="shared" si="58"/>
        <v>203.51165474603266</v>
      </c>
      <c r="S58" s="10">
        <f t="shared" si="58"/>
        <v>80.763166777835451</v>
      </c>
      <c r="T58" s="10">
        <f t="shared" si="58"/>
        <v>135.56324285028123</v>
      </c>
      <c r="U58" s="10">
        <f t="shared" si="58"/>
        <v>-32.149113884430172</v>
      </c>
      <c r="V58" s="10">
        <f t="shared" si="58"/>
        <v>-1.4917404855119494</v>
      </c>
      <c r="W58" s="10">
        <f t="shared" si="58"/>
        <v>-50.559322615012242</v>
      </c>
      <c r="X58" s="10">
        <f t="shared" si="58"/>
        <v>-42.248574329594923</v>
      </c>
      <c r="Y58" s="10">
        <f t="shared" si="58"/>
        <v>51.226283793477293</v>
      </c>
      <c r="Z58" s="10">
        <f t="shared" si="58"/>
        <v>71.440647786625121</v>
      </c>
      <c r="AA58" s="10">
        <f t="shared" si="58"/>
        <v>-49.090460181720886</v>
      </c>
      <c r="AB58" s="10">
        <f t="shared" si="58"/>
        <v>-4.7492435441029714</v>
      </c>
      <c r="AC58" s="10">
        <f t="shared" si="58"/>
        <v>-1.088494650725462</v>
      </c>
      <c r="AD58" s="10">
        <f t="shared" si="58"/>
        <v>-0.2814900000000003</v>
      </c>
      <c r="AE58" s="10">
        <f t="shared" si="58"/>
        <v>-11.10188</v>
      </c>
      <c r="AF58" s="10">
        <f t="shared" si="58"/>
        <v>-42.686329999999998</v>
      </c>
      <c r="AG58" s="10">
        <f t="shared" si="58"/>
        <v>-7.6541600000000001</v>
      </c>
      <c r="AH58" s="10">
        <f t="shared" si="58"/>
        <v>-24.798850000000002</v>
      </c>
      <c r="AI58" s="10">
        <f t="shared" si="58"/>
        <v>-4.0251178748952796</v>
      </c>
      <c r="AJ58" s="10">
        <f t="shared" si="58"/>
        <v>-90.973474398868404</v>
      </c>
      <c r="AK58" s="10">
        <f t="shared" si="58"/>
        <v>51.946661700288196</v>
      </c>
      <c r="AL58" s="10">
        <f t="shared" si="58"/>
        <v>-30.8819383377778</v>
      </c>
      <c r="AM58" s="10">
        <f t="shared" si="58"/>
        <v>-42.814819872099953</v>
      </c>
      <c r="AN58" s="10">
        <f t="shared" si="58"/>
        <v>-54.407890000000002</v>
      </c>
      <c r="AO58" s="10">
        <f t="shared" si="58"/>
        <v>43.319110000000002</v>
      </c>
      <c r="AP58" s="10">
        <f t="shared" si="58"/>
        <v>-110.95173356985367</v>
      </c>
      <c r="AQ58" s="10">
        <f t="shared" si="58"/>
        <v>-87.405410000000003</v>
      </c>
      <c r="AR58" s="10">
        <f t="shared" si="58"/>
        <v>-141.60270999999901</v>
      </c>
      <c r="AS58" s="10">
        <f t="shared" si="58"/>
        <v>-101.59494000000001</v>
      </c>
      <c r="AT58" s="10">
        <f t="shared" si="58"/>
        <v>0</v>
      </c>
      <c r="AU58" s="10">
        <f t="shared" si="58"/>
        <v>0</v>
      </c>
      <c r="AV58" s="10">
        <f t="shared" si="58"/>
        <v>0</v>
      </c>
      <c r="AW58" s="10">
        <f t="shared" si="58"/>
        <v>0</v>
      </c>
      <c r="AX58" s="10">
        <f t="shared" si="58"/>
        <v>0</v>
      </c>
      <c r="AY58" s="10">
        <f t="shared" si="58"/>
        <v>0</v>
      </c>
      <c r="AZ58" s="10">
        <f t="shared" ref="AZ58:BK58" si="59">SUM(AZ56:AZ57)</f>
        <v>75.460035052622558</v>
      </c>
      <c r="BA58" s="10">
        <f t="shared" si="59"/>
        <v>72.026296540558974</v>
      </c>
      <c r="BB58" s="10">
        <f t="shared" si="59"/>
        <v>52.703876310871884</v>
      </c>
      <c r="BC58" s="10">
        <f t="shared" si="59"/>
        <v>56.039559054823741</v>
      </c>
      <c r="BD58" s="10">
        <f t="shared" si="59"/>
        <v>1.1147915997223499</v>
      </c>
      <c r="BE58" s="10">
        <f t="shared" si="59"/>
        <v>-3.9222339475566113</v>
      </c>
      <c r="BF58" s="10">
        <f t="shared" si="59"/>
        <v>-4.1976469055653727</v>
      </c>
      <c r="BG58" s="10">
        <f t="shared" si="59"/>
        <v>-37.527892596089806</v>
      </c>
      <c r="BH58" s="10">
        <f t="shared" si="59"/>
        <v>-2.8487945901479543</v>
      </c>
      <c r="BI58" s="10">
        <f t="shared" si="59"/>
        <v>-3.0275732660834618</v>
      </c>
      <c r="BJ58" s="10">
        <f t="shared" si="59"/>
        <v>-4.4060749366236847</v>
      </c>
      <c r="BK58" s="10">
        <f t="shared" si="59"/>
        <v>-4.3638561685784225</v>
      </c>
      <c r="BO58" s="23">
        <f>SUM(BO56:BO57)</f>
        <v>-122.04051356985367</v>
      </c>
      <c r="BP58" s="23">
        <f t="shared" ref="BP58:BT58" si="60">SUM(BP56:BP57)</f>
        <v>200.19020790405344</v>
      </c>
      <c r="BQ58" s="23">
        <f t="shared" si="60"/>
        <v>-11.08878</v>
      </c>
      <c r="BR58" s="23">
        <f t="shared" si="60"/>
        <v>-6.1192281948284331</v>
      </c>
      <c r="BS58" s="23">
        <f t="shared" si="60"/>
        <v>192.30095015840254</v>
      </c>
      <c r="BT58" s="23">
        <f t="shared" si="60"/>
        <v>402.47442912908127</v>
      </c>
    </row>
    <row r="60" spans="1:72" x14ac:dyDescent="0.25">
      <c r="C60" s="3" t="s">
        <v>70</v>
      </c>
      <c r="D60" s="10">
        <f>D53+D58</f>
        <v>244.08822474684234</v>
      </c>
      <c r="E60" s="10">
        <f t="shared" ref="E60:BK60" si="61">E53+E58</f>
        <v>393.46663696567089</v>
      </c>
      <c r="F60" s="10">
        <f t="shared" si="61"/>
        <v>-151.91662415343191</v>
      </c>
      <c r="G60" s="10">
        <f t="shared" si="61"/>
        <v>-1209.6018976698676</v>
      </c>
      <c r="H60" s="10">
        <f t="shared" si="61"/>
        <v>434.71638431725989</v>
      </c>
      <c r="I60" s="10">
        <f t="shared" si="61"/>
        <v>-8394.8195241337253</v>
      </c>
      <c r="J60" s="10">
        <f t="shared" si="61"/>
        <v>-394.25883579353695</v>
      </c>
      <c r="K60" s="10">
        <f t="shared" si="61"/>
        <v>431.21821526840091</v>
      </c>
      <c r="L60" s="10">
        <f t="shared" si="61"/>
        <v>-2218.7596995457948</v>
      </c>
      <c r="M60" s="10">
        <f t="shared" si="61"/>
        <v>-589.49582230392264</v>
      </c>
      <c r="N60" s="10">
        <f t="shared" si="61"/>
        <v>-1518.240197696831</v>
      </c>
      <c r="O60" s="10">
        <f t="shared" si="61"/>
        <v>-5983.1903270872408</v>
      </c>
      <c r="P60" s="10">
        <f t="shared" si="61"/>
        <v>17.516814947417053</v>
      </c>
      <c r="Q60" s="10">
        <f t="shared" si="61"/>
        <v>13.49622359495285</v>
      </c>
      <c r="R60" s="10">
        <f t="shared" si="61"/>
        <v>248.30629123603262</v>
      </c>
      <c r="S60" s="10">
        <f t="shared" si="61"/>
        <v>113.32282676783544</v>
      </c>
      <c r="T60" s="10">
        <f t="shared" si="61"/>
        <v>157.68800605028125</v>
      </c>
      <c r="U60" s="10">
        <f t="shared" si="61"/>
        <v>-3.1289743844301583</v>
      </c>
      <c r="V60" s="10">
        <f t="shared" si="61"/>
        <v>33.009341884488045</v>
      </c>
      <c r="W60" s="10">
        <f t="shared" si="61"/>
        <v>-22.363355365012261</v>
      </c>
      <c r="X60" s="10">
        <f t="shared" si="61"/>
        <v>-16.593777489594935</v>
      </c>
      <c r="Y60" s="10">
        <f t="shared" si="61"/>
        <v>86.053262053477312</v>
      </c>
      <c r="Z60" s="10">
        <f t="shared" si="61"/>
        <v>104.4951812366251</v>
      </c>
      <c r="AA60" s="10">
        <f t="shared" si="61"/>
        <v>-20.646995031720891</v>
      </c>
      <c r="AB60" s="10">
        <f t="shared" si="61"/>
        <v>19.536507745897023</v>
      </c>
      <c r="AC60" s="10">
        <f t="shared" si="61"/>
        <v>18.970398509274521</v>
      </c>
      <c r="AD60" s="10">
        <f t="shared" si="61"/>
        <v>29.299643720000009</v>
      </c>
      <c r="AE60" s="10">
        <f t="shared" si="61"/>
        <v>15.949553360000033</v>
      </c>
      <c r="AF60" s="10">
        <f t="shared" si="61"/>
        <v>-11.895131660000004</v>
      </c>
      <c r="AG60" s="10">
        <f t="shared" si="61"/>
        <v>18.330929330000021</v>
      </c>
      <c r="AH60" s="10">
        <f t="shared" si="61"/>
        <v>0.91391860999998187</v>
      </c>
      <c r="AI60" s="10">
        <f t="shared" si="61"/>
        <v>32.346577915104739</v>
      </c>
      <c r="AJ60" s="10">
        <f t="shared" si="61"/>
        <v>-60.576083288868389</v>
      </c>
      <c r="AK60" s="10">
        <f t="shared" si="61"/>
        <v>99.618402880288187</v>
      </c>
      <c r="AL60" s="10">
        <f t="shared" si="61"/>
        <v>18.9140586622222</v>
      </c>
      <c r="AM60" s="10">
        <f t="shared" si="61"/>
        <v>6.1774758979000168</v>
      </c>
      <c r="AN60" s="10">
        <f t="shared" si="61"/>
        <v>14.850582650000014</v>
      </c>
      <c r="AO60" s="10">
        <f t="shared" si="61"/>
        <v>85.464597260000005</v>
      </c>
      <c r="AP60" s="10">
        <f t="shared" si="61"/>
        <v>-43.834894229853688</v>
      </c>
      <c r="AQ60" s="10">
        <f t="shared" si="61"/>
        <v>-15.284787909999991</v>
      </c>
      <c r="AR60" s="10">
        <f t="shared" si="61"/>
        <v>-56.285019309999086</v>
      </c>
      <c r="AS60" s="10">
        <f t="shared" si="61"/>
        <v>-26.880651419999992</v>
      </c>
      <c r="AT60" s="10">
        <f t="shared" si="61"/>
        <v>0</v>
      </c>
      <c r="AU60" s="10">
        <f t="shared" si="61"/>
        <v>0</v>
      </c>
      <c r="AV60" s="10">
        <f t="shared" si="61"/>
        <v>0</v>
      </c>
      <c r="AW60" s="10">
        <f t="shared" si="61"/>
        <v>0</v>
      </c>
      <c r="AX60" s="10">
        <f t="shared" si="61"/>
        <v>0</v>
      </c>
      <c r="AY60" s="10">
        <f t="shared" si="61"/>
        <v>0</v>
      </c>
      <c r="AZ60" s="10">
        <f t="shared" si="61"/>
        <v>104.74965768308209</v>
      </c>
      <c r="BA60" s="10">
        <f t="shared" si="61"/>
        <v>93.355444249570752</v>
      </c>
      <c r="BB60" s="10">
        <f t="shared" si="61"/>
        <v>85.021632846029405</v>
      </c>
      <c r="BC60" s="10">
        <f t="shared" si="61"/>
        <v>82.967452711431434</v>
      </c>
      <c r="BD60" s="10">
        <f t="shared" si="61"/>
        <v>31.716985622346453</v>
      </c>
      <c r="BE60" s="10">
        <f t="shared" si="61"/>
        <v>24.232543042504666</v>
      </c>
      <c r="BF60" s="10">
        <f t="shared" si="61"/>
        <v>23.679496095494834</v>
      </c>
      <c r="BG60" s="10">
        <f t="shared" si="61"/>
        <v>-3.4091117751963154</v>
      </c>
      <c r="BH60" s="10">
        <f t="shared" si="61"/>
        <v>23.914783681647286</v>
      </c>
      <c r="BI60" s="10">
        <f t="shared" si="61"/>
        <v>23.883396534649382</v>
      </c>
      <c r="BJ60" s="10">
        <f t="shared" si="61"/>
        <v>23.054221932154245</v>
      </c>
      <c r="BK60" s="10">
        <f t="shared" si="61"/>
        <v>25.560068858884947</v>
      </c>
      <c r="BO60" s="23">
        <f>BO53+BO58</f>
        <v>56.480285680146423</v>
      </c>
      <c r="BP60" s="23">
        <f t="shared" ref="BP60:BT60" si="62">BP53+BP58</f>
        <v>283.12673477868225</v>
      </c>
      <c r="BQ60" s="23">
        <f t="shared" si="62"/>
        <v>100.31517991000004</v>
      </c>
      <c r="BR60" s="23">
        <f t="shared" si="62"/>
        <v>67.806549975171478</v>
      </c>
      <c r="BS60" s="23">
        <f t="shared" si="62"/>
        <v>279.31932977840256</v>
      </c>
      <c r="BT60" s="23">
        <f t="shared" si="62"/>
        <v>485.63823755908129</v>
      </c>
    </row>
    <row r="63" spans="1:72" hidden="1" outlineLevel="1" x14ac:dyDescent="0.25">
      <c r="A63" s="11" t="s">
        <v>71</v>
      </c>
      <c r="C63" s="2" t="s">
        <v>127</v>
      </c>
      <c r="D63" s="8">
        <f>IFERROR(
GETPIVOTDATA(
"[Base].[Importe]",
TDinamica_R!$A$5,
"[Calendario].[AñoMes]",
"[Calendario].[AñoMes].&amp;[" &amp; TEXT(D$6,"yyyymm") &amp; "]",
"[Base].[Metrica]",
"[Base].[Metrica].&amp;[" &amp; $A63 &amp; "]",
"[Base].[SEGMENTO_DESCRIP]",
"[Base].[SEGMENTO_DESCRIP].&amp;[" &amp; $C$6 &amp; "]",
"[Base].[SITUACION]",
"[Base].[SITUACION].&amp;[" &amp; $C63 &amp; "]"
),0)/1000</f>
        <v>1.7371966235009981</v>
      </c>
      <c r="E63" s="8">
        <f>IFERROR(
GETPIVOTDATA(
"[Base].[Importe]",
TDinamica_R!$A$5,
"[Calendario].[AñoMes]",
"[Calendario].[AñoMes].&amp;[" &amp; TEXT(E$6,"yyyymm") &amp; "]",
"[Base].[Metrica]",
"[Base].[Metrica].&amp;[" &amp; $A63 &amp; "]",
"[Base].[SEGMENTO_DESCRIP]",
"[Base].[SEGMENTO_DESCRIP].&amp;[" &amp; $C$6 &amp; "]",
"[Base].[SITUACION]",
"[Base].[SITUACION].&amp;[" &amp; $C63 &amp; "]"
),0)/1000</f>
        <v>1.5620134595099999</v>
      </c>
      <c r="F63" s="8">
        <f>IFERROR(
GETPIVOTDATA(
"[Base].[Importe]",
TDinamica_R!$A$5,
"[Calendario].[AñoMes]",
"[Calendario].[AñoMes].&amp;[" &amp; TEXT(F$6,"yyyymm") &amp; "]",
"[Base].[Metrica]",
"[Base].[Metrica].&amp;[" &amp; $A63 &amp; "]",
"[Base].[SEGMENTO_DESCRIP]",
"[Base].[SEGMENTO_DESCRIP].&amp;[" &amp; $C$6 &amp; "]",
"[Base].[SITUACION]",
"[Base].[SITUACION].&amp;[" &amp; $C63 &amp; "]"
),0)/1000</f>
        <v>2.0808095554960024</v>
      </c>
      <c r="G63" s="8">
        <f>IFERROR(
GETPIVOTDATA(
"[Base].[Importe]",
TDinamica_R!$A$5,
"[Calendario].[AñoMes]",
"[Calendario].[AñoMes].&amp;[" &amp; TEXT(G$6,"yyyymm") &amp; "]",
"[Base].[Metrica]",
"[Base].[Metrica].&amp;[" &amp; $A63 &amp; "]",
"[Base].[SEGMENTO_DESCRIP]",
"[Base].[SEGMENTO_DESCRIP].&amp;[" &amp; $C$6 &amp; "]",
"[Base].[SITUACION]",
"[Base].[SITUACION].&amp;[" &amp; $C63 &amp; "]"
),0)/1000</f>
        <v>1.5795105532689981</v>
      </c>
      <c r="H63" s="8">
        <f>IFERROR(
GETPIVOTDATA(
"[Base].[Importe]",
TDinamica_R!$A$5,
"[Calendario].[AñoMes]",
"[Calendario].[AñoMes].&amp;[" &amp; TEXT(H$6,"yyyymm") &amp; "]",
"[Base].[Metrica]",
"[Base].[Metrica].&amp;[" &amp; $A63 &amp; "]",
"[Base].[SEGMENTO_DESCRIP]",
"[Base].[SEGMENTO_DESCRIP].&amp;[" &amp; $C$6 &amp; "]",
"[Base].[SITUACION]",
"[Base].[SITUACION].&amp;[" &amp; $C63 &amp; "]"
),0)/1000</f>
        <v>1.7160405185629977</v>
      </c>
      <c r="I63" s="8">
        <f>IFERROR(
GETPIVOTDATA(
"[Base].[Importe]",
TDinamica_R!$A$5,
"[Calendario].[AñoMes]",
"[Calendario].[AñoMes].&amp;[" &amp; TEXT(I$6,"yyyymm") &amp; "]",
"[Base].[Metrica]",
"[Base].[Metrica].&amp;[" &amp; $A63 &amp; "]",
"[Base].[SEGMENTO_DESCRIP]",
"[Base].[SEGMENTO_DESCRIP].&amp;[" &amp; $C$6 &amp; "]",
"[Base].[SITUACION]",
"[Base].[SITUACION].&amp;[" &amp; $C63 &amp; "]"
),0)/1000</f>
        <v>1.3857040167530001</v>
      </c>
      <c r="J63" s="8">
        <f>IFERROR(
GETPIVOTDATA(
"[Base].[Importe]",
TDinamica_R!$A$5,
"[Calendario].[AñoMes]",
"[Calendario].[AñoMes].&amp;[" &amp; TEXT(J$6,"yyyymm") &amp; "]",
"[Base].[Metrica]",
"[Base].[Metrica].&amp;[" &amp; $A63 &amp; "]",
"[Base].[SEGMENTO_DESCRIP]",
"[Base].[SEGMENTO_DESCRIP].&amp;[" &amp; $C$6 &amp; "]",
"[Base].[SITUACION]",
"[Base].[SITUACION].&amp;[" &amp; $C63 &amp; "]"
),0)/1000</f>
        <v>1.5326953746679997</v>
      </c>
      <c r="K63" s="8">
        <f>IFERROR(
GETPIVOTDATA(
"[Base].[Importe]",
TDinamica_R!$A$5,
"[Calendario].[AñoMes]",
"[Calendario].[AñoMes].&amp;[" &amp; TEXT(K$6,"yyyymm") &amp; "]",
"[Base].[Metrica]",
"[Base].[Metrica].&amp;[" &amp; $A63 &amp; "]",
"[Base].[SEGMENTO_DESCRIP]",
"[Base].[SEGMENTO_DESCRIP].&amp;[" &amp; $C$6 &amp; "]",
"[Base].[SITUACION]",
"[Base].[SITUACION].&amp;[" &amp; $C63 &amp; "]"
),0)/1000</f>
        <v>1.337587787371</v>
      </c>
      <c r="L63" s="8">
        <f>IFERROR(
GETPIVOTDATA(
"[Base].[Importe]",
TDinamica_R!$A$5,
"[Calendario].[AñoMes]",
"[Calendario].[AñoMes].&amp;[" &amp; TEXT(L$6,"yyyymm") &amp; "]",
"[Base].[Metrica]",
"[Base].[Metrica].&amp;[" &amp; $A63 &amp; "]",
"[Base].[SEGMENTO_DESCRIP]",
"[Base].[SEGMENTO_DESCRIP].&amp;[" &amp; $C$6 &amp; "]",
"[Base].[SITUACION]",
"[Base].[SITUACION].&amp;[" &amp; $C63 &amp; "]"
),0)/1000</f>
        <v>1.2380525019519992</v>
      </c>
      <c r="M63" s="8">
        <f>IFERROR(
GETPIVOTDATA(
"[Base].[Importe]",
TDinamica_R!$A$5,
"[Calendario].[AñoMes]",
"[Calendario].[AñoMes].&amp;[" &amp; TEXT(M$6,"yyyymm") &amp; "]",
"[Base].[Metrica]",
"[Base].[Metrica].&amp;[" &amp; $A63 &amp; "]",
"[Base].[SEGMENTO_DESCRIP]",
"[Base].[SEGMENTO_DESCRIP].&amp;[" &amp; $C$6 &amp; "]",
"[Base].[SITUACION]",
"[Base].[SITUACION].&amp;[" &amp; $C63 &amp; "]"
),0)/1000</f>
        <v>1.3897005687500004</v>
      </c>
      <c r="N63" s="8">
        <f>IFERROR(
GETPIVOTDATA(
"[Base].[Importe]",
TDinamica_R!$A$5,
"[Calendario].[AñoMes]",
"[Calendario].[AñoMes].&amp;[" &amp; TEXT(N$6,"yyyymm") &amp; "]",
"[Base].[Metrica]",
"[Base].[Metrica].&amp;[" &amp; $A63 &amp; "]",
"[Base].[SEGMENTO_DESCRIP]",
"[Base].[SEGMENTO_DESCRIP].&amp;[" &amp; $C$6 &amp; "]",
"[Base].[SITUACION]",
"[Base].[SITUACION].&amp;[" &amp; $C63 &amp; "]"
),0)/1000</f>
        <v>0.63271750025600115</v>
      </c>
      <c r="O63" s="8">
        <f>IFERROR(
GETPIVOTDATA(
"[Base].[Importe]",
TDinamica_R!$A$5,
"[Calendario].[AñoMes]",
"[Calendario].[AñoMes].&amp;[" &amp; TEXT(O$6,"yyyymm") &amp; "]",
"[Base].[Metrica]",
"[Base].[Metrica].&amp;[" &amp; $A63 &amp; "]",
"[Base].[SEGMENTO_DESCRIP]",
"[Base].[SEGMENTO_DESCRIP].&amp;[" &amp; $C$6 &amp; "]",
"[Base].[SITUACION]",
"[Base].[SITUACION].&amp;[" &amp; $C63 &amp; "]"
),0)/1000</f>
        <v>0.87415499497900029</v>
      </c>
      <c r="P63" s="8">
        <f>IFERROR(
GETPIVOTDATA(
"[Base].[Importe]",
TDinamica_R!$A$5,
"[Calendario].[AñoMes]",
"[Calendario].[AñoMes].&amp;[" &amp; TEXT(P$6,"yyyymm") &amp; "]",
"[Base].[Metrica]",
"[Base].[Metrica].&amp;[" &amp; $A63 &amp; "]",
"[Base].[SEGMENTO_DESCRIP]",
"[Base].[SEGMENTO_DESCRIP].&amp;[" &amp; $C$6 &amp; "]",
"[Base].[SITUACION]",
"[Base].[SITUACION].&amp;[" &amp; $C63 &amp; "]"
),0)/1000</f>
        <v>0.75870357648200182</v>
      </c>
      <c r="Q63" s="8">
        <f>IFERROR(
GETPIVOTDATA(
"[Base].[Importe]",
TDinamica_R!$A$5,
"[Calendario].[AñoMes]",
"[Calendario].[AñoMes].&amp;[" &amp; TEXT(Q$6,"yyyymm") &amp; "]",
"[Base].[Metrica]",
"[Base].[Metrica].&amp;[" &amp; $A63 &amp; "]",
"[Base].[SEGMENTO_DESCRIP]",
"[Base].[SEGMENTO_DESCRIP].&amp;[" &amp; $C$6 &amp; "]",
"[Base].[SITUACION]",
"[Base].[SITUACION].&amp;[" &amp; $C63 &amp; "]"
),0)/1000</f>
        <v>0.56574872497600048</v>
      </c>
      <c r="R63" s="8">
        <f>IFERROR(
GETPIVOTDATA(
"[Base].[Importe]",
TDinamica_R!$A$5,
"[Calendario].[AñoMes]",
"[Calendario].[AñoMes].&amp;[" &amp; TEXT(R$6,"yyyymm") &amp; "]",
"[Base].[Metrica]",
"[Base].[Metrica].&amp;[" &amp; $A63 &amp; "]",
"[Base].[SEGMENTO_DESCRIP]",
"[Base].[SEGMENTO_DESCRIP].&amp;[" &amp; $C$6 &amp; "]",
"[Base].[SITUACION]",
"[Base].[SITUACION].&amp;[" &amp; $C63 &amp; "]"
),0)/1000</f>
        <v>0.81547446051900052</v>
      </c>
      <c r="S63" s="8">
        <f>IFERROR(
GETPIVOTDATA(
"[Base].[Importe]",
TDinamica_R!$A$5,
"[Calendario].[AñoMes]",
"[Calendario].[AñoMes].&amp;[" &amp; TEXT(S$6,"yyyymm") &amp; "]",
"[Base].[Metrica]",
"[Base].[Metrica].&amp;[" &amp; $A63 &amp; "]",
"[Base].[SEGMENTO_DESCRIP]",
"[Base].[SEGMENTO_DESCRIP].&amp;[" &amp; $C$6 &amp; "]",
"[Base].[SITUACION]",
"[Base].[SITUACION].&amp;[" &amp; $C63 &amp; "]"
),0)/1000</f>
        <v>0.61014399886699922</v>
      </c>
      <c r="T63" s="8">
        <f>IFERROR(
GETPIVOTDATA(
"[Base].[Importe]",
TDinamica_R!$A$5,
"[Calendario].[AñoMes]",
"[Calendario].[AñoMes].&amp;[" &amp; TEXT(T$6,"yyyymm") &amp; "]",
"[Base].[Metrica]",
"[Base].[Metrica].&amp;[" &amp; $A63 &amp; "]",
"[Base].[SEGMENTO_DESCRIP]",
"[Base].[SEGMENTO_DESCRIP].&amp;[" &amp; $C$6 &amp; "]",
"[Base].[SITUACION]",
"[Base].[SITUACION].&amp;[" &amp; $C63 &amp; "]"
),0)/1000</f>
        <v>0.7942742706429996</v>
      </c>
      <c r="U63" s="8">
        <f>IFERROR(
GETPIVOTDATA(
"[Base].[Importe]",
TDinamica_R!$A$5,
"[Calendario].[AñoMes]",
"[Calendario].[AñoMes].&amp;[" &amp; TEXT(U$6,"yyyymm") &amp; "]",
"[Base].[Metrica]",
"[Base].[Metrica].&amp;[" &amp; $A63 &amp; "]",
"[Base].[SEGMENTO_DESCRIP]",
"[Base].[SEGMENTO_DESCRIP].&amp;[" &amp; $C$6 &amp; "]",
"[Base].[SITUACION]",
"[Base].[SITUACION].&amp;[" &amp; $C63 &amp; "]"
),0)/1000</f>
        <v>0.71957473366600067</v>
      </c>
      <c r="V63" s="8">
        <f>IFERROR(
GETPIVOTDATA(
"[Base].[Importe]",
TDinamica_R!$A$5,
"[Calendario].[AñoMes]",
"[Calendario].[AñoMes].&amp;[" &amp; TEXT(V$6,"yyyymm") &amp; "]",
"[Base].[Metrica]",
"[Base].[Metrica].&amp;[" &amp; $A63 &amp; "]",
"[Base].[SEGMENTO_DESCRIP]",
"[Base].[SEGMENTO_DESCRIP].&amp;[" &amp; $C$6 &amp; "]",
"[Base].[SITUACION]",
"[Base].[SITUACION].&amp;[" &amp; $C63 &amp; "]"
),0)/1000</f>
        <v>0.88256123598399971</v>
      </c>
      <c r="W63" s="8">
        <f>IFERROR(
GETPIVOTDATA(
"[Base].[Importe]",
TDinamica_R!$A$5,
"[Calendario].[AñoMes]",
"[Calendario].[AñoMes].&amp;[" &amp; TEXT(W$6,"yyyymm") &amp; "]",
"[Base].[Metrica]",
"[Base].[Metrica].&amp;[" &amp; $A63 &amp; "]",
"[Base].[SEGMENTO_DESCRIP]",
"[Base].[SEGMENTO_DESCRIP].&amp;[" &amp; $C$6 &amp; "]",
"[Base].[SITUACION]",
"[Base].[SITUACION].&amp;[" &amp; $C63 &amp; "]"
),0)/1000</f>
        <v>0.72487957403300074</v>
      </c>
      <c r="X63" s="8">
        <f>IFERROR(
GETPIVOTDATA(
"[Base].[Importe]",
TDinamica_R!$A$5,
"[Calendario].[AñoMes]",
"[Calendario].[AñoMes].&amp;[" &amp; TEXT(X$6,"yyyymm") &amp; "]",
"[Base].[Metrica]",
"[Base].[Metrica].&amp;[" &amp; $A63 &amp; "]",
"[Base].[SEGMENTO_DESCRIP]",
"[Base].[SEGMENTO_DESCRIP].&amp;[" &amp; $C$6 &amp; "]",
"[Base].[SITUACION]",
"[Base].[SITUACION].&amp;[" &amp; $C63 &amp; "]"
),0)/1000</f>
        <v>0.51255873855500078</v>
      </c>
      <c r="Y63" s="8">
        <f>IFERROR(
GETPIVOTDATA(
"[Base].[Importe]",
TDinamica_R!$A$5,
"[Calendario].[AñoMes]",
"[Calendario].[AñoMes].&amp;[" &amp; TEXT(Y$6,"yyyymm") &amp; "]",
"[Base].[Metrica]",
"[Base].[Metrica].&amp;[" &amp; $A63 &amp; "]",
"[Base].[SEGMENTO_DESCRIP]",
"[Base].[SEGMENTO_DESCRIP].&amp;[" &amp; $C$6 &amp; "]",
"[Base].[SITUACION]",
"[Base].[SITUACION].&amp;[" &amp; $C63 &amp; "]"
),0)/1000</f>
        <v>0.62037846472999958</v>
      </c>
      <c r="Z63" s="8">
        <f>IFERROR(
GETPIVOTDATA(
"[Base].[Importe]",
TDinamica_R!$A$5,
"[Calendario].[AñoMes]",
"[Calendario].[AñoMes].&amp;[" &amp; TEXT(Z$6,"yyyymm") &amp; "]",
"[Base].[Metrica]",
"[Base].[Metrica].&amp;[" &amp; $A63 &amp; "]",
"[Base].[SEGMENTO_DESCRIP]",
"[Base].[SEGMENTO_DESCRIP].&amp;[" &amp; $C$6 &amp; "]",
"[Base].[SITUACION]",
"[Base].[SITUACION].&amp;[" &amp; $C63 &amp; "]"
),0)/1000</f>
        <v>0.16066446125099992</v>
      </c>
      <c r="AA63" s="8">
        <f>IFERROR(
GETPIVOTDATA(
"[Base].[Importe]",
TDinamica_R!$A$5,
"[Calendario].[AñoMes]",
"[Calendario].[AñoMes].&amp;[" &amp; TEXT(AA$6,"yyyymm") &amp; "]",
"[Base].[Metrica]",
"[Base].[Metrica].&amp;[" &amp; $A63 &amp; "]",
"[Base].[SEGMENTO_DESCRIP]",
"[Base].[SEGMENTO_DESCRIP].&amp;[" &amp; $C$6 &amp; "]",
"[Base].[SITUACION]",
"[Base].[SITUACION].&amp;[" &amp; $C63 &amp; "]"
),0)/1000</f>
        <v>0.77828104840399981</v>
      </c>
      <c r="AB63" s="8">
        <f>IFERROR(
GETPIVOTDATA(
"[Base].[Importe]",
TDinamica_R!$A$5,
"[Calendario].[AñoMes]",
"[Calendario].[AñoMes].&amp;[" &amp; TEXT(AB$6,"yyyymm") &amp; "]",
"[Base].[Metrica]",
"[Base].[Metrica].&amp;[" &amp; $A63 &amp; "]",
"[Base].[SEGMENTO_DESCRIP]",
"[Base].[SEGMENTO_DESCRIP].&amp;[" &amp; $C$6 &amp; "]",
"[Base].[SITUACION]",
"[Base].[SITUACION].&amp;[" &amp; $C63 &amp; "]"
),0)/1000</f>
        <v>1.0140110792880006</v>
      </c>
      <c r="AC63" s="8">
        <f>IFERROR(
GETPIVOTDATA(
"[Base].[Importe]",
TDinamica_R!$A$5,
"[Calendario].[AñoMes]",
"[Calendario].[AñoMes].&amp;[" &amp; TEXT(AC$6,"yyyymm") &amp; "]",
"[Base].[Metrica]",
"[Base].[Metrica].&amp;[" &amp; $A63 &amp; "]",
"[Base].[SEGMENTO_DESCRIP]",
"[Base].[SEGMENTO_DESCRIP].&amp;[" &amp; $C$6 &amp; "]",
"[Base].[SITUACION]",
"[Base].[SITUACION].&amp;[" &amp; $C63 &amp; "]"
),0)/1000</f>
        <v>0.64401861747200118</v>
      </c>
      <c r="AD63" s="8">
        <f>IFERROR(
GETPIVOTDATA(
"[Base].[Importe]",
TDinamica_R!$A$5,
"[Calendario].[AñoMes]",
"[Calendario].[AñoMes].&amp;[" &amp; TEXT(AD$6,"yyyymm") &amp; "]",
"[Base].[Metrica]",
"[Base].[Metrica].&amp;[" &amp; $A63 &amp; "]",
"[Base].[SEGMENTO_DESCRIP]",
"[Base].[SEGMENTO_DESCRIP].&amp;[" &amp; $C$6 &amp; "]",
"[Base].[SITUACION]",
"[Base].[SITUACION].&amp;[" &amp; $C63 &amp; "]"
),0)/1000</f>
        <v>1.2968146685599991</v>
      </c>
      <c r="AE63" s="8">
        <f>IFERROR(
GETPIVOTDATA(
"[Base].[Importe]",
TDinamica_R!$A$5,
"[Calendario].[AñoMes]",
"[Calendario].[AñoMes].&amp;[" &amp; TEXT(AE$6,"yyyymm") &amp; "]",
"[Base].[Metrica]",
"[Base].[Metrica].&amp;[" &amp; $A63 &amp; "]",
"[Base].[SEGMENTO_DESCRIP]",
"[Base].[SEGMENTO_DESCRIP].&amp;[" &amp; $C$6 &amp; "]",
"[Base].[SITUACION]",
"[Base].[SITUACION].&amp;[" &amp; $C63 &amp; "]"
),0)/1000</f>
        <v>0.87902232467599861</v>
      </c>
      <c r="AF63" s="8">
        <f>IFERROR(
GETPIVOTDATA(
"[Base].[Importe]",
TDinamica_R!$A$5,
"[Calendario].[AñoMes]",
"[Calendario].[AñoMes].&amp;[" &amp; TEXT(AF$6,"yyyymm") &amp; "]",
"[Base].[Metrica]",
"[Base].[Metrica].&amp;[" &amp; $A63 &amp; "]",
"[Base].[SEGMENTO_DESCRIP]",
"[Base].[SEGMENTO_DESCRIP].&amp;[" &amp; $C$6 &amp; "]",
"[Base].[SITUACION]",
"[Base].[SITUACION].&amp;[" &amp; $C63 &amp; "]"
),0)/1000</f>
        <v>1.1613752881070007</v>
      </c>
      <c r="AG63" s="8">
        <f>IFERROR(
GETPIVOTDATA(
"[Base].[Importe]",
TDinamica_R!$A$5,
"[Calendario].[AñoMes]",
"[Calendario].[AñoMes].&amp;[" &amp; TEXT(AG$6,"yyyymm") &amp; "]",
"[Base].[Metrica]",
"[Base].[Metrica].&amp;[" &amp; $A63 &amp; "]",
"[Base].[SEGMENTO_DESCRIP]",
"[Base].[SEGMENTO_DESCRIP].&amp;[" &amp; $C$6 &amp; "]",
"[Base].[SITUACION]",
"[Base].[SITUACION].&amp;[" &amp; $C63 &amp; "]"
),0)/1000</f>
        <v>0.86688474623700107</v>
      </c>
      <c r="AH63" s="8">
        <f>IFERROR(
GETPIVOTDATA(
"[Base].[Importe]",
TDinamica_R!$A$5,
"[Calendario].[AñoMes]",
"[Calendario].[AñoMes].&amp;[" &amp; TEXT(AH$6,"yyyymm") &amp; "]",
"[Base].[Metrica]",
"[Base].[Metrica].&amp;[" &amp; $A63 &amp; "]",
"[Base].[SEGMENTO_DESCRIP]",
"[Base].[SEGMENTO_DESCRIP].&amp;[" &amp; $C$6 &amp; "]",
"[Base].[SITUACION]",
"[Base].[SITUACION].&amp;[" &amp; $C63 &amp; "]"
),0)/1000</f>
        <v>0.82847214019099868</v>
      </c>
      <c r="AI63" s="8">
        <f>IFERROR(
GETPIVOTDATA(
"[Base].[Importe]",
TDinamica_R!$A$5,
"[Calendario].[AñoMes]",
"[Calendario].[AñoMes].&amp;[" &amp; TEXT(AI$6,"yyyymm") &amp; "]",
"[Base].[Metrica]",
"[Base].[Metrica].&amp;[" &amp; $A63 &amp; "]",
"[Base].[SEGMENTO_DESCRIP]",
"[Base].[SEGMENTO_DESCRIP].&amp;[" &amp; $C$6 &amp; "]",
"[Base].[SITUACION]",
"[Base].[SITUACION].&amp;[" &amp; $C63 &amp; "]"
),0)/1000</f>
        <v>0.98002285484399798</v>
      </c>
      <c r="AJ63" s="8">
        <f>IFERROR(
GETPIVOTDATA(
"[Base].[Importe]",
TDinamica_R!$A$5,
"[Calendario].[AñoMes]",
"[Calendario].[AñoMes].&amp;[" &amp; TEXT(AJ$6,"yyyymm") &amp; "]",
"[Base].[Metrica]",
"[Base].[Metrica].&amp;[" &amp; $A63 &amp; "]",
"[Base].[SEGMENTO_DESCRIP]",
"[Base].[SEGMENTO_DESCRIP].&amp;[" &amp; $C$6 &amp; "]",
"[Base].[SITUACION]",
"[Base].[SITUACION].&amp;[" &amp; $C63 &amp; "]"
),0)/1000</f>
        <v>0.57796742760100239</v>
      </c>
      <c r="AK63" s="8">
        <f>IFERROR(
GETPIVOTDATA(
"[Base].[Importe]",
TDinamica_R!$A$5,
"[Calendario].[AñoMes]",
"[Calendario].[AñoMes].&amp;[" &amp; TEXT(AK$6,"yyyymm") &amp; "]",
"[Base].[Metrica]",
"[Base].[Metrica].&amp;[" &amp; $A63 &amp; "]",
"[Base].[SEGMENTO_DESCRIP]",
"[Base].[SEGMENTO_DESCRIP].&amp;[" &amp; $C$6 &amp; "]",
"[Base].[SITUACION]",
"[Base].[SITUACION].&amp;[" &amp; $C63 &amp; "]"
),0)/1000</f>
        <v>1.4310986712800022</v>
      </c>
      <c r="AL63" s="8">
        <f>IFERROR(
GETPIVOTDATA(
"[Base].[Importe]",
TDinamica_R!$A$5,
"[Calendario].[AñoMes]",
"[Calendario].[AñoMes].&amp;[" &amp; TEXT(AL$6,"yyyymm") &amp; "]",
"[Base].[Metrica]",
"[Base].[Metrica].&amp;[" &amp; $A63 &amp; "]",
"[Base].[SEGMENTO_DESCRIP]",
"[Base].[SEGMENTO_DESCRIP].&amp;[" &amp; $C$6 &amp; "]",
"[Base].[SITUACION]",
"[Base].[SITUACION].&amp;[" &amp; $C63 &amp; "]"
),0)/1000</f>
        <v>1.9686471512840027</v>
      </c>
      <c r="AM63" s="8">
        <f>IFERROR(
GETPIVOTDATA(
"[Base].[Importe]",
TDinamica_R!$A$5,
"[Calendario].[AñoMes]",
"[Calendario].[AñoMes].&amp;[" &amp; TEXT(AM$6,"yyyymm") &amp; "]",
"[Base].[Metrica]",
"[Base].[Metrica].&amp;[" &amp; $A63 &amp; "]",
"[Base].[SEGMENTO_DESCRIP]",
"[Base].[SEGMENTO_DESCRIP].&amp;[" &amp; $C$6 &amp; "]",
"[Base].[SITUACION]",
"[Base].[SITUACION].&amp;[" &amp; $C63 &amp; "]"
),0)/1000</f>
        <v>2.3338811437700002</v>
      </c>
      <c r="AN63" s="8">
        <f>IFERROR(
GETPIVOTDATA(
"[Base].[Importe]",
TDinamica_R!$A$5,
"[Calendario].[AñoMes]",
"[Calendario].[AñoMes].&amp;[" &amp; TEXT(AN$6,"yyyymm") &amp; "]",
"[Base].[Metrica]",
"[Base].[Metrica].&amp;[" &amp; $A63 &amp; "]",
"[Base].[SEGMENTO_DESCRIP]",
"[Base].[SEGMENTO_DESCRIP].&amp;[" &amp; $C$6 &amp; "]",
"[Base].[SITUACION]",
"[Base].[SITUACION].&amp;[" &amp; $C63 &amp; "]"
),0)/1000</f>
        <v>2.1592828065940783</v>
      </c>
      <c r="AO63" s="8">
        <f>IFERROR(
GETPIVOTDATA(
"[Base].[Importe]",
TDinamica_R!$A$5,
"[Calendario].[AñoMes]",
"[Calendario].[AñoMes].&amp;[" &amp; TEXT(AO$6,"yyyymm") &amp; "]",
"[Base].[Metrica]",
"[Base].[Metrica].&amp;[" &amp; $A63 &amp; "]",
"[Base].[SEGMENTO_DESCRIP]",
"[Base].[SEGMENTO_DESCRIP].&amp;[" &amp; $C$6 &amp; "]",
"[Base].[SITUACION]",
"[Base].[SITUACION].&amp;[" &amp; $C63 &amp; "]"
),0)/1000</f>
        <v>0.68331166041729197</v>
      </c>
      <c r="AP63" s="8">
        <f>IFERROR(
GETPIVOTDATA(
"[Base].[Importe]",
TDinamica_R!$A$5,
"[Calendario].[AñoMes]",
"[Calendario].[AñoMes].&amp;[" &amp; TEXT(AP$6,"yyyymm") &amp; "]",
"[Base].[Metrica]",
"[Base].[Metrica].&amp;[" &amp; $A63 &amp; "]",
"[Base].[SEGMENTO_DESCRIP]",
"[Base].[SEGMENTO_DESCRIP].&amp;[" &amp; $C$6 &amp; "]",
"[Base].[SITUACION]",
"[Base].[SITUACION].&amp;[" &amp; $C63 &amp; "]"
),0)/1000</f>
        <v>3.0712722745152621</v>
      </c>
      <c r="AQ63" s="8">
        <f>IFERROR(
GETPIVOTDATA(
"[Base].[Importe]",
TDinamica_R!$A$5,
"[Calendario].[AñoMes]",
"[Calendario].[AñoMes].&amp;[" &amp; TEXT(AQ$6,"yyyymm") &amp; "]",
"[Base].[Metrica]",
"[Base].[Metrica].&amp;[" &amp; $A63 &amp; "]",
"[Base].[SEGMENTO_DESCRIP]",
"[Base].[SEGMENTO_DESCRIP].&amp;[" &amp; $C$6 &amp; "]",
"[Base].[SITUACION]",
"[Base].[SITUACION].&amp;[" &amp; $C63 &amp; "]"
),0)/1000</f>
        <v>2.5993902007729615</v>
      </c>
      <c r="AR63" s="8">
        <f>IFERROR(
GETPIVOTDATA(
"[Base].[Importe]",
TDinamica_R!$A$5,
"[Calendario].[AñoMes]",
"[Calendario].[AñoMes].&amp;[" &amp; TEXT(AR$6,"yyyymm") &amp; "]",
"[Base].[Metrica]",
"[Base].[Metrica].&amp;[" &amp; $A63 &amp; "]",
"[Base].[SEGMENTO_DESCRIP]",
"[Base].[SEGMENTO_DESCRIP].&amp;[" &amp; $C$6 &amp; "]",
"[Base].[SITUACION]",
"[Base].[SITUACION].&amp;[" &amp; $C63 &amp; "]"
),0)/1000</f>
        <v>3.786443868955637</v>
      </c>
      <c r="AS63" s="8">
        <f>IFERROR(
GETPIVOTDATA(
"[Base].[Importe]",
TDinamica_R!$A$5,
"[Calendario].[AñoMes]",
"[Calendario].[AñoMes].&amp;[" &amp; TEXT(AS$6,"yyyymm") &amp; "]",
"[Base].[Metrica]",
"[Base].[Metrica].&amp;[" &amp; $A63 &amp; "]",
"[Base].[SEGMENTO_DESCRIP]",
"[Base].[SEGMENTO_DESCRIP].&amp;[" &amp; $C$6 &amp; "]",
"[Base].[SITUACION]",
"[Base].[SITUACION].&amp;[" &amp; $C63 &amp; "]"
),0)/1000</f>
        <v>3.1790469536908419</v>
      </c>
      <c r="AT63" s="8">
        <f>IFERROR(
GETPIVOTDATA(
"[Base].[Importe]",
TDinamica_R!$A$5,
"[Calendario].[AñoMes]",
"[Calendario].[AñoMes].&amp;[" &amp; TEXT(AT$6,"yyyymm")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U63" s="8">
        <f>IFERROR(
GETPIVOTDATA(
"[Base].[Importe]",
TDinamica_R!$A$5,
"[Calendario].[AñoMes]",
"[Calendario].[AñoMes].&amp;[" &amp; TEXT(AU$6,"yyyymm")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V63" s="8">
        <f>IFERROR(
GETPIVOTDATA(
"[Base].[Importe]",
TDinamica_R!$A$5,
"[Calendario].[AñoMes]",
"[Calendario].[AñoMes].&amp;[" &amp; TEXT(AV$6,"yyyymm")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W63" s="8">
        <f>IFERROR(
GETPIVOTDATA(
"[Base].[Importe]",
TDinamica_R!$A$5,
"[Calendario].[AñoMes]",
"[Calendario].[AñoMes].&amp;[" &amp; TEXT(AW$6,"yyyymm")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X63" s="8">
        <f>IFERROR(
GETPIVOTDATA(
"[Base].[Importe]",
TDinamica_R!$A$5,
"[Calendario].[AñoMes]",
"[Calendario].[AñoMes].&amp;[" &amp; TEXT(AX$6,"yyyymm")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Y63" s="8">
        <f>IFERROR(
GETPIVOTDATA(
"[Base].[Importe]",
TDinamica_R!$A$5,
"[Calendario].[AñoMes]",
"[Calendario].[AñoMes].&amp;[" &amp; TEXT(AY$6,"yyyymm") &amp; "]",
"[Base].[Metrica]",
"[Base].[Metrica].&amp;[" &amp; $A63 &amp; "]",
"[Base].[SEGMENTO_DESCRIP]",
"[Base].[SEGMENTO_DESCRIP].&amp;[" &amp; $C$6 &amp; "]",
"[Base].[SITUACION]",
"[Base].[SITUACION].&amp;[" &amp; $C63 &amp; "]"
),0)/1000</f>
        <v>0</v>
      </c>
      <c r="AZ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"[BASE_HIPO_PPTO].[Periodo]","[BASE_HIPO_PPTO].[Periodo].&amp;["&amp;TEXT(AZ$6,"yyyymm")&amp;"]"),
0)/1000</f>
        <v>0.82064134478410944</v>
      </c>
      <c r="BA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"[BASE_HIPO_PPTO].[Periodo]","[BASE_HIPO_PPTO].[Periodo].&amp;["&amp;TEXT(BA$6,"yyyymm")&amp;"]"),
0)/1000</f>
        <v>0.82064134478410944</v>
      </c>
      <c r="BB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"[BASE_HIPO_PPTO].[Periodo]","[BASE_HIPO_PPTO].[Periodo].&amp;["&amp;TEXT(BB$6,"yyyymm")&amp;"]"),
0)/1000</f>
        <v>0.82064134478410944</v>
      </c>
      <c r="BC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"[BASE_HIPO_PPTO].[Periodo]","[BASE_HIPO_PPTO].[Periodo].&amp;["&amp;TEXT(BC$6,"yyyymm")&amp;"]"),
0)/1000</f>
        <v>0.82064134478410944</v>
      </c>
      <c r="BD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"[BASE_HIPO_PPTO].[Periodo]","[BASE_HIPO_PPTO].[Periodo].&amp;["&amp;TEXT(BD$6,"yyyymm")&amp;"]"),
0)/1000</f>
        <v>0.82064134478410944</v>
      </c>
      <c r="BE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"[BASE_HIPO_PPTO].[Periodo]","[BASE_HIPO_PPTO].[Periodo].&amp;["&amp;TEXT(BE$6,"yyyymm")&amp;"]"),
0)/1000</f>
        <v>0.82064134478410944</v>
      </c>
      <c r="BF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"[BASE_HIPO_PPTO].[Periodo]","[BASE_HIPO_PPTO].[Periodo].&amp;["&amp;TEXT(BF$6,"yyyymm")&amp;"]"),
0)/1000</f>
        <v>0.82064134478410944</v>
      </c>
      <c r="BG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"[BASE_HIPO_PPTO].[Periodo]","[BASE_HIPO_PPTO].[Periodo].&amp;["&amp;TEXT(BG$6,"yyyymm")&amp;"]"),
0)/1000</f>
        <v>0.82064134478410944</v>
      </c>
      <c r="BH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"[BASE_HIPO_PPTO].[Periodo]","[BASE_HIPO_PPTO].[Periodo].&amp;["&amp;TEXT(BH$6,"yyyymm")&amp;"]"),
0)/1000</f>
        <v>0.82064134478410944</v>
      </c>
      <c r="BI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"[BASE_HIPO_PPTO].[Periodo]","[BASE_HIPO_PPTO].[Periodo].&amp;["&amp;TEXT(BI$6,"yyyymm")&amp;"]"),
0)/1000</f>
        <v>0.82064134478410944</v>
      </c>
      <c r="BJ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"[BASE_HIPO_PPTO].[Periodo]","[BASE_HIPO_PPTO].[Periodo].&amp;["&amp;TEXT(BJ$6,"yyyymm")&amp;"]"),
0)/1000</f>
        <v>0.82064134478410944</v>
      </c>
      <c r="BK63" s="8">
        <f>IFERROR(
GETPIVOTDATA(
"[BASE_HIPO_PPTO].[Importe]",
TDinamica_P!$A$5,
"[BASE_HIPO_PPTO].[Metrica]","[BASE_HIPO_PPTO].[Metrica].&amp;["&amp;$A63&amp;"]",
"[BASE_HIPO_PPTO].[SEGMENTO_DESCRIP]","[BASE_HIPO_PPTO].[SEGMENTO_DESCRIP].&amp;["&amp;$C$6&amp;"]",
"[BASE_HIPO_PPTO].[SITUACION]","[BASE_HIPO_PPTO].[SITUACION].&amp;["&amp;$C63&amp;"]",
"[BASE_HIPO_PPTO].[Periodo]","[BASE_HIPO_PPTO].[Periodo].&amp;["&amp;TEXT(BK$6,"yyyymm")&amp;"]"),
0)/1000</f>
        <v>0.82064134478410944</v>
      </c>
      <c r="BO63" s="24">
        <f t="shared" ref="BO63:BT72" si="63">SUMIFS($D63:$BM63,$D$6:$BM$6,"&gt;="&amp;BO$2,$D$6:$BM$6,"&lt;="&amp;BO$6,$D$5:$BM$5,BO$5)</f>
        <v>5.9138667415266326</v>
      </c>
      <c r="BP63" s="24">
        <f t="shared" si="63"/>
        <v>2.4619240343523283</v>
      </c>
      <c r="BQ63" s="24">
        <f t="shared" si="63"/>
        <v>2.8425944670113701</v>
      </c>
      <c r="BR63" s="24">
        <f t="shared" si="63"/>
        <v>2.9548443653200005</v>
      </c>
      <c r="BS63" s="24">
        <f t="shared" si="63"/>
        <v>2.1399267619770028</v>
      </c>
      <c r="BT63" s="24">
        <f t="shared" si="63"/>
        <v>5.3800196385070009</v>
      </c>
    </row>
    <row r="64" spans="1:72" hidden="1" outlineLevel="1" x14ac:dyDescent="0.25">
      <c r="A64" s="11" t="s">
        <v>71</v>
      </c>
      <c r="C64" s="2" t="s">
        <v>75</v>
      </c>
      <c r="D64" s="8">
        <f>IFERROR(
GETPIVOTDATA(
"[Base].[Importe]",
TDinamica_R!$A$5,
"[Calendario].[AñoMes]",
"[Calendario].[AñoMes].&amp;[" &amp; TEXT(D$6,"yyyymm") &amp; "]",
"[Base].[Metrica]",
"[Base].[Metrica].&amp;[" &amp; $A64 &amp; "]",
"[Base].[SEGMENTO_DESCRIP]",
"[Base].[SEGMENTO_DESCRIP].&amp;[" &amp; $C$6 &amp; "]",
"[Base].[SITUACION]",
"[Base].[SITUACION].&amp;[" &amp; $C64 &amp; "]"
),0)/1000</f>
        <v>0.63384704365</v>
      </c>
      <c r="E64" s="8">
        <f>IFERROR(
GETPIVOTDATA(
"[Base].[Importe]",
TDinamica_R!$A$5,
"[Calendario].[AñoMes]",
"[Calendario].[AñoMes].&amp;[" &amp; TEXT(E$6,"yyyymm") &amp; "]",
"[Base].[Metrica]",
"[Base].[Metrica].&amp;[" &amp; $A64 &amp; "]",
"[Base].[SEGMENTO_DESCRIP]",
"[Base].[SEGMENTO_DESCRIP].&amp;[" &amp; $C$6 &amp; "]",
"[Base].[SITUACION]",
"[Base].[SITUACION].&amp;[" &amp; $C64 &amp; "]"
),0)/1000</f>
        <v>0.59209933232</v>
      </c>
      <c r="F64" s="8">
        <f>IFERROR(
GETPIVOTDATA(
"[Base].[Importe]",
TDinamica_R!$A$5,
"[Calendario].[AñoMes]",
"[Calendario].[AñoMes].&amp;[" &amp; TEXT(F$6,"yyyymm") &amp; "]",
"[Base].[Metrica]",
"[Base].[Metrica].&amp;[" &amp; $A64 &amp; "]",
"[Base].[SEGMENTO_DESCRIP]",
"[Base].[SEGMENTO_DESCRIP].&amp;[" &amp; $C$6 &amp; "]",
"[Base].[SITUACION]",
"[Base].[SITUACION].&amp;[" &amp; $C64 &amp; "]"
),0)/1000</f>
        <v>0.58850177427999995</v>
      </c>
      <c r="G64" s="8">
        <f>IFERROR(
GETPIVOTDATA(
"[Base].[Importe]",
TDinamica_R!$A$5,
"[Calendario].[AñoMes]",
"[Calendario].[AñoMes].&amp;[" &amp; TEXT(G$6,"yyyymm") &amp; "]",
"[Base].[Metrica]",
"[Base].[Metrica].&amp;[" &amp; $A64 &amp; "]",
"[Base].[SEGMENTO_DESCRIP]",
"[Base].[SEGMENTO_DESCRIP].&amp;[" &amp; $C$6 &amp; "]",
"[Base].[SITUACION]",
"[Base].[SITUACION].&amp;[" &amp; $C64 &amp; "]"
),0)/1000</f>
        <v>0.77476597949999992</v>
      </c>
      <c r="H64" s="8">
        <f>IFERROR(
GETPIVOTDATA(
"[Base].[Importe]",
TDinamica_R!$A$5,
"[Calendario].[AñoMes]",
"[Calendario].[AñoMes].&amp;[" &amp; TEXT(H$6,"yyyymm") &amp; "]",
"[Base].[Metrica]",
"[Base].[Metrica].&amp;[" &amp; $A64 &amp; "]",
"[Base].[SEGMENTO_DESCRIP]",
"[Base].[SEGMENTO_DESCRIP].&amp;[" &amp; $C$6 &amp; "]",
"[Base].[SITUACION]",
"[Base].[SITUACION].&amp;[" &amp; $C64 &amp; "]"
),0)/1000</f>
        <v>0.60490488580000001</v>
      </c>
      <c r="I64" s="8">
        <f>IFERROR(
GETPIVOTDATA(
"[Base].[Importe]",
TDinamica_R!$A$5,
"[Calendario].[AñoMes]",
"[Calendario].[AñoMes].&amp;[" &amp; TEXT(I$6,"yyyymm") &amp; "]",
"[Base].[Metrica]",
"[Base].[Metrica].&amp;[" &amp; $A64 &amp; "]",
"[Base].[SEGMENTO_DESCRIP]",
"[Base].[SEGMENTO_DESCRIP].&amp;[" &amp; $C$6 &amp; "]",
"[Base].[SITUACION]",
"[Base].[SITUACION].&amp;[" &amp; $C64 &amp; "]"
),0)/1000</f>
        <v>0.57454616439000006</v>
      </c>
      <c r="J64" s="8">
        <f>IFERROR(
GETPIVOTDATA(
"[Base].[Importe]",
TDinamica_R!$A$5,
"[Calendario].[AñoMes]",
"[Calendario].[AñoMes].&amp;[" &amp; TEXT(J$6,"yyyymm") &amp; "]",
"[Base].[Metrica]",
"[Base].[Metrica].&amp;[" &amp; $A64 &amp; "]",
"[Base].[SEGMENTO_DESCRIP]",
"[Base].[SEGMENTO_DESCRIP].&amp;[" &amp; $C$6 &amp; "]",
"[Base].[SITUACION]",
"[Base].[SITUACION].&amp;[" &amp; $C64 &amp; "]"
),0)/1000</f>
        <v>0.51369628761999997</v>
      </c>
      <c r="K64" s="8">
        <f>IFERROR(
GETPIVOTDATA(
"[Base].[Importe]",
TDinamica_R!$A$5,
"[Calendario].[AñoMes]",
"[Calendario].[AñoMes].&amp;[" &amp; TEXT(K$6,"yyyymm") &amp; "]",
"[Base].[Metrica]",
"[Base].[Metrica].&amp;[" &amp; $A64 &amp; "]",
"[Base].[SEGMENTO_DESCRIP]",
"[Base].[SEGMENTO_DESCRIP].&amp;[" &amp; $C$6 &amp; "]",
"[Base].[SITUACION]",
"[Base].[SITUACION].&amp;[" &amp; $C64 &amp; "]"
),0)/1000</f>
        <v>0.57140133592999998</v>
      </c>
      <c r="L64" s="8">
        <f>IFERROR(
GETPIVOTDATA(
"[Base].[Importe]",
TDinamica_R!$A$5,
"[Calendario].[AñoMes]",
"[Calendario].[AñoMes].&amp;[" &amp; TEXT(L$6,"yyyymm") &amp; "]",
"[Base].[Metrica]",
"[Base].[Metrica].&amp;[" &amp; $A64 &amp; "]",
"[Base].[SEGMENTO_DESCRIP]",
"[Base].[SEGMENTO_DESCRIP].&amp;[" &amp; $C$6 &amp; "]",
"[Base].[SITUACION]",
"[Base].[SITUACION].&amp;[" &amp; $C64 &amp; "]"
),0)/1000</f>
        <v>0.54309662576999995</v>
      </c>
      <c r="M64" s="8">
        <f>IFERROR(
GETPIVOTDATA(
"[Base].[Importe]",
TDinamica_R!$A$5,
"[Calendario].[AñoMes]",
"[Calendario].[AñoMes].&amp;[" &amp; TEXT(M$6,"yyyymm") &amp; "]",
"[Base].[Metrica]",
"[Base].[Metrica].&amp;[" &amp; $A64 &amp; "]",
"[Base].[SEGMENTO_DESCRIP]",
"[Base].[SEGMENTO_DESCRIP].&amp;[" &amp; $C$6 &amp; "]",
"[Base].[SITUACION]",
"[Base].[SITUACION].&amp;[" &amp; $C64 &amp; "]"
),0)/1000</f>
        <v>0.42903012549999997</v>
      </c>
      <c r="N64" s="8">
        <f>IFERROR(
GETPIVOTDATA(
"[Base].[Importe]",
TDinamica_R!$A$5,
"[Calendario].[AñoMes]",
"[Calendario].[AñoMes].&amp;[" &amp; TEXT(N$6,"yyyymm") &amp; "]",
"[Base].[Metrica]",
"[Base].[Metrica].&amp;[" &amp; $A64 &amp; "]",
"[Base].[SEGMENTO_DESCRIP]",
"[Base].[SEGMENTO_DESCRIP].&amp;[" &amp; $C$6 &amp; "]",
"[Base].[SITUACION]",
"[Base].[SITUACION].&amp;[" &amp; $C64 &amp; "]"
),0)/1000</f>
        <v>0.48197129743</v>
      </c>
      <c r="O64" s="8">
        <f>IFERROR(
GETPIVOTDATA(
"[Base].[Importe]",
TDinamica_R!$A$5,
"[Calendario].[AñoMes]",
"[Calendario].[AñoMes].&amp;[" &amp; TEXT(O$6,"yyyymm") &amp; "]",
"[Base].[Metrica]",
"[Base].[Metrica].&amp;[" &amp; $A64 &amp; "]",
"[Base].[SEGMENTO_DESCRIP]",
"[Base].[SEGMENTO_DESCRIP].&amp;[" &amp; $C$6 &amp; "]",
"[Base].[SITUACION]",
"[Base].[SITUACION].&amp;[" &amp; $C64 &amp; "]"
),0)/1000</f>
        <v>0.43708872809999999</v>
      </c>
      <c r="P64" s="8">
        <f>IFERROR(
GETPIVOTDATA(
"[Base].[Importe]",
TDinamica_R!$A$5,
"[Calendario].[AñoMes]",
"[Calendario].[AñoMes].&amp;[" &amp; TEXT(P$6,"yyyymm") &amp; "]",
"[Base].[Metrica]",
"[Base].[Metrica].&amp;[" &amp; $A64 &amp; "]",
"[Base].[SEGMENTO_DESCRIP]",
"[Base].[SEGMENTO_DESCRIP].&amp;[" &amp; $C$6 &amp; "]",
"[Base].[SITUACION]",
"[Base].[SITUACION].&amp;[" &amp; $C64 &amp; "]"
),0)/1000</f>
        <v>0.51281216982</v>
      </c>
      <c r="Q64" s="8">
        <f>IFERROR(
GETPIVOTDATA(
"[Base].[Importe]",
TDinamica_R!$A$5,
"[Calendario].[AñoMes]",
"[Calendario].[AñoMes].&amp;[" &amp; TEXT(Q$6,"yyyymm") &amp; "]",
"[Base].[Metrica]",
"[Base].[Metrica].&amp;[" &amp; $A64 &amp; "]",
"[Base].[SEGMENTO_DESCRIP]",
"[Base].[SEGMENTO_DESCRIP].&amp;[" &amp; $C$6 &amp; "]",
"[Base].[SITUACION]",
"[Base].[SITUACION].&amp;[" &amp; $C64 &amp; "]"
),0)/1000</f>
        <v>0.44777716239999998</v>
      </c>
      <c r="R64" s="8">
        <f>IFERROR(
GETPIVOTDATA(
"[Base].[Importe]",
TDinamica_R!$A$5,
"[Calendario].[AñoMes]",
"[Calendario].[AñoMes].&amp;[" &amp; TEXT(R$6,"yyyymm") &amp; "]",
"[Base].[Metrica]",
"[Base].[Metrica].&amp;[" &amp; $A64 &amp; "]",
"[Base].[SEGMENTO_DESCRIP]",
"[Base].[SEGMENTO_DESCRIP].&amp;[" &amp; $C$6 &amp; "]",
"[Base].[SITUACION]",
"[Base].[SITUACION].&amp;[" &amp; $C64 &amp; "]"
),0)/1000</f>
        <v>0.37028184701</v>
      </c>
      <c r="S64" s="8">
        <f>IFERROR(
GETPIVOTDATA(
"[Base].[Importe]",
TDinamica_R!$A$5,
"[Calendario].[AñoMes]",
"[Calendario].[AñoMes].&amp;[" &amp; TEXT(S$6,"yyyymm") &amp; "]",
"[Base].[Metrica]",
"[Base].[Metrica].&amp;[" &amp; $A64 &amp; "]",
"[Base].[SEGMENTO_DESCRIP]",
"[Base].[SEGMENTO_DESCRIP].&amp;[" &amp; $C$6 &amp; "]",
"[Base].[SITUACION]",
"[Base].[SITUACION].&amp;[" &amp; $C64 &amp; "]"
),0)/1000</f>
        <v>0.44041190174999995</v>
      </c>
      <c r="T64" s="8">
        <f>IFERROR(
GETPIVOTDATA(
"[Base].[Importe]",
TDinamica_R!$A$5,
"[Calendario].[AñoMes]",
"[Calendario].[AñoMes].&amp;[" &amp; TEXT(T$6,"yyyymm") &amp; "]",
"[Base].[Metrica]",
"[Base].[Metrica].&amp;[" &amp; $A64 &amp; "]",
"[Base].[SEGMENTO_DESCRIP]",
"[Base].[SEGMENTO_DESCRIP].&amp;[" &amp; $C$6 &amp; "]",
"[Base].[SITUACION]",
"[Base].[SITUACION].&amp;[" &amp; $C64 &amp; "]"
),0)/1000</f>
        <v>0.38366067308000001</v>
      </c>
      <c r="U64" s="8">
        <f>IFERROR(
GETPIVOTDATA(
"[Base].[Importe]",
TDinamica_R!$A$5,
"[Calendario].[AñoMes]",
"[Calendario].[AñoMes].&amp;[" &amp; TEXT(U$6,"yyyymm") &amp; "]",
"[Base].[Metrica]",
"[Base].[Metrica].&amp;[" &amp; $A64 &amp; "]",
"[Base].[SEGMENTO_DESCRIP]",
"[Base].[SEGMENTO_DESCRIP].&amp;[" &amp; $C$6 &amp; "]",
"[Base].[SITUACION]",
"[Base].[SITUACION].&amp;[" &amp; $C64 &amp; "]"
),0)/1000</f>
        <v>0.45512651762</v>
      </c>
      <c r="V64" s="8">
        <f>IFERROR(
GETPIVOTDATA(
"[Base].[Importe]",
TDinamica_R!$A$5,
"[Calendario].[AñoMes]",
"[Calendario].[AñoMes].&amp;[" &amp; TEXT(V$6,"yyyymm") &amp; "]",
"[Base].[Metrica]",
"[Base].[Metrica].&amp;[" &amp; $A64 &amp; "]",
"[Base].[SEGMENTO_DESCRIP]",
"[Base].[SEGMENTO_DESCRIP].&amp;[" &amp; $C$6 &amp; "]",
"[Base].[SITUACION]",
"[Base].[SITUACION].&amp;[" &amp; $C64 &amp; "]"
),0)/1000</f>
        <v>0.45860474898999998</v>
      </c>
      <c r="W64" s="8">
        <f>IFERROR(
GETPIVOTDATA(
"[Base].[Importe]",
TDinamica_R!$A$5,
"[Calendario].[AñoMes]",
"[Calendario].[AñoMes].&amp;[" &amp; TEXT(W$6,"yyyymm") &amp; "]",
"[Base].[Metrica]",
"[Base].[Metrica].&amp;[" &amp; $A64 &amp; "]",
"[Base].[SEGMENTO_DESCRIP]",
"[Base].[SEGMENTO_DESCRIP].&amp;[" &amp; $C$6 &amp; "]",
"[Base].[SITUACION]",
"[Base].[SITUACION].&amp;[" &amp; $C64 &amp; "]"
),0)/1000</f>
        <v>0.47427035349000002</v>
      </c>
      <c r="X64" s="8">
        <f>IFERROR(
GETPIVOTDATA(
"[Base].[Importe]",
TDinamica_R!$A$5,
"[Calendario].[AñoMes]",
"[Calendario].[AñoMes].&amp;[" &amp; TEXT(X$6,"yyyymm") &amp; "]",
"[Base].[Metrica]",
"[Base].[Metrica].&amp;[" &amp; $A64 &amp; "]",
"[Base].[SEGMENTO_DESCRIP]",
"[Base].[SEGMENTO_DESCRIP].&amp;[" &amp; $C$6 &amp; "]",
"[Base].[SITUACION]",
"[Base].[SITUACION].&amp;[" &amp; $C64 &amp; "]"
),0)/1000</f>
        <v>0.91500800885</v>
      </c>
      <c r="Y64" s="8">
        <f>IFERROR(
GETPIVOTDATA(
"[Base].[Importe]",
TDinamica_R!$A$5,
"[Calendario].[AñoMes]",
"[Calendario].[AñoMes].&amp;[" &amp; TEXT(Y$6,"yyyymm") &amp; "]",
"[Base].[Metrica]",
"[Base].[Metrica].&amp;[" &amp; $A64 &amp; "]",
"[Base].[SEGMENTO_DESCRIP]",
"[Base].[SEGMENTO_DESCRIP].&amp;[" &amp; $C$6 &amp; "]",
"[Base].[SITUACION]",
"[Base].[SITUACION].&amp;[" &amp; $C64 &amp; "]"
),0)/1000</f>
        <v>-8.2182868892000008E-2</v>
      </c>
      <c r="Z64" s="8">
        <f>IFERROR(
GETPIVOTDATA(
"[Base].[Importe]",
TDinamica_R!$A$5,
"[Calendario].[AñoMes]",
"[Calendario].[AñoMes].&amp;[" &amp; TEXT(Z$6,"yyyymm") &amp; "]",
"[Base].[Metrica]",
"[Base].[Metrica].&amp;[" &amp; $A64 &amp; "]",
"[Base].[SEGMENTO_DESCRIP]",
"[Base].[SEGMENTO_DESCRIP].&amp;[" &amp; $C$6 &amp; "]",
"[Base].[SITUACION]",
"[Base].[SITUACION].&amp;[" &amp; $C64 &amp; "]"
),0)/1000</f>
        <v>0.42183576108999998</v>
      </c>
      <c r="AA64" s="8">
        <f>IFERROR(
GETPIVOTDATA(
"[Base].[Importe]",
TDinamica_R!$A$5,
"[Calendario].[AñoMes]",
"[Calendario].[AñoMes].&amp;[" &amp; TEXT(AA$6,"yyyymm") &amp; "]",
"[Base].[Metrica]",
"[Base].[Metrica].&amp;[" &amp; $A64 &amp; "]",
"[Base].[SEGMENTO_DESCRIP]",
"[Base].[SEGMENTO_DESCRIP].&amp;[" &amp; $C$6 &amp; "]",
"[Base].[SITUACION]",
"[Base].[SITUACION].&amp;[" &amp; $C64 &amp; "]"
),0)/1000</f>
        <v>0.39799448390000003</v>
      </c>
      <c r="AB64" s="8">
        <f>IFERROR(
GETPIVOTDATA(
"[Base].[Importe]",
TDinamica_R!$A$5,
"[Calendario].[AñoMes]",
"[Calendario].[AñoMes].&amp;[" &amp; TEXT(AB$6,"yyyymm") &amp; "]",
"[Base].[Metrica]",
"[Base].[Metrica].&amp;[" &amp; $A64 &amp; "]",
"[Base].[SEGMENTO_DESCRIP]",
"[Base].[SEGMENTO_DESCRIP].&amp;[" &amp; $C$6 &amp; "]",
"[Base].[SITUACION]",
"[Base].[SITUACION].&amp;[" &amp; $C64 &amp; "]"
),0)/1000</f>
        <v>0.58675460933000001</v>
      </c>
      <c r="AC64" s="8">
        <f>IFERROR(
GETPIVOTDATA(
"[Base].[Importe]",
TDinamica_R!$A$5,
"[Calendario].[AñoMes]",
"[Calendario].[AñoMes].&amp;[" &amp; TEXT(AC$6,"yyyymm") &amp; "]",
"[Base].[Metrica]",
"[Base].[Metrica].&amp;[" &amp; $A64 &amp; "]",
"[Base].[SEGMENTO_DESCRIP]",
"[Base].[SEGMENTO_DESCRIP].&amp;[" &amp; $C$6 &amp; "]",
"[Base].[SITUACION]",
"[Base].[SITUACION].&amp;[" &amp; $C64 &amp; "]"
),0)/1000</f>
        <v>0.43708859538</v>
      </c>
      <c r="AD64" s="8">
        <f>IFERROR(
GETPIVOTDATA(
"[Base].[Importe]",
TDinamica_R!$A$5,
"[Calendario].[AñoMes]",
"[Calendario].[AñoMes].&amp;[" &amp; TEXT(AD$6,"yyyymm") &amp; "]",
"[Base].[Metrica]",
"[Base].[Metrica].&amp;[" &amp; $A64 &amp; "]",
"[Base].[SEGMENTO_DESCRIP]",
"[Base].[SEGMENTO_DESCRIP].&amp;[" &amp; $C$6 &amp; "]",
"[Base].[SITUACION]",
"[Base].[SITUACION].&amp;[" &amp; $C64 &amp; "]"
),0)/1000</f>
        <v>0.36354973613999997</v>
      </c>
      <c r="AE64" s="8">
        <f>IFERROR(
GETPIVOTDATA(
"[Base].[Importe]",
TDinamica_R!$A$5,
"[Calendario].[AñoMes]",
"[Calendario].[AñoMes].&amp;[" &amp; TEXT(AE$6,"yyyymm") &amp; "]",
"[Base].[Metrica]",
"[Base].[Metrica].&amp;[" &amp; $A64 &amp; "]",
"[Base].[SEGMENTO_DESCRIP]",
"[Base].[SEGMENTO_DESCRIP].&amp;[" &amp; $C$6 &amp; "]",
"[Base].[SITUACION]",
"[Base].[SITUACION].&amp;[" &amp; $C64 &amp; "]"
),0)/1000</f>
        <v>0.41270721111000003</v>
      </c>
      <c r="AF64" s="8">
        <f>IFERROR(
GETPIVOTDATA(
"[Base].[Importe]",
TDinamica_R!$A$5,
"[Calendario].[AñoMes]",
"[Calendario].[AñoMes].&amp;[" &amp; TEXT(AF$6,"yyyymm") &amp; "]",
"[Base].[Metrica]",
"[Base].[Metrica].&amp;[" &amp; $A64 &amp; "]",
"[Base].[SEGMENTO_DESCRIP]",
"[Base].[SEGMENTO_DESCRIP].&amp;[" &amp; $C$6 &amp; "]",
"[Base].[SITUACION]",
"[Base].[SITUACION].&amp;[" &amp; $C64 &amp; "]"
),0)/1000</f>
        <v>0.42887659551000001</v>
      </c>
      <c r="AG64" s="8">
        <f>IFERROR(
GETPIVOTDATA(
"[Base].[Importe]",
TDinamica_R!$A$5,
"[Calendario].[AñoMes]",
"[Calendario].[AñoMes].&amp;[" &amp; TEXT(AG$6,"yyyymm") &amp; "]",
"[Base].[Metrica]",
"[Base].[Metrica].&amp;[" &amp; $A64 &amp; "]",
"[Base].[SEGMENTO_DESCRIP]",
"[Base].[SEGMENTO_DESCRIP].&amp;[" &amp; $C$6 &amp; "]",
"[Base].[SITUACION]",
"[Base].[SITUACION].&amp;[" &amp; $C64 &amp; "]"
),0)/1000</f>
        <v>0.40930671857000001</v>
      </c>
      <c r="AH64" s="8">
        <f>IFERROR(
GETPIVOTDATA(
"[Base].[Importe]",
TDinamica_R!$A$5,
"[Calendario].[AñoMes]",
"[Calendario].[AñoMes].&amp;[" &amp; TEXT(AH$6,"yyyymm") &amp; "]",
"[Base].[Metrica]",
"[Base].[Metrica].&amp;[" &amp; $A64 &amp; "]",
"[Base].[SEGMENTO_DESCRIP]",
"[Base].[SEGMENTO_DESCRIP].&amp;[" &amp; $C$6 &amp; "]",
"[Base].[SITUACION]",
"[Base].[SITUACION].&amp;[" &amp; $C64 &amp; "]"
),0)/1000</f>
        <v>0.34787185054999997</v>
      </c>
      <c r="AI64" s="8">
        <f>IFERROR(
GETPIVOTDATA(
"[Base].[Importe]",
TDinamica_R!$A$5,
"[Calendario].[AñoMes]",
"[Calendario].[AñoMes].&amp;[" &amp; TEXT(AI$6,"yyyymm") &amp; "]",
"[Base].[Metrica]",
"[Base].[Metrica].&amp;[" &amp; $A64 &amp; "]",
"[Base].[SEGMENTO_DESCRIP]",
"[Base].[SEGMENTO_DESCRIP].&amp;[" &amp; $C$6 &amp; "]",
"[Base].[SITUACION]",
"[Base].[SITUACION].&amp;[" &amp; $C64 &amp; "]"
),0)/1000</f>
        <v>0.44903287226999999</v>
      </c>
      <c r="AJ64" s="8">
        <f>IFERROR(
GETPIVOTDATA(
"[Base].[Importe]",
TDinamica_R!$A$5,
"[Calendario].[AñoMes]",
"[Calendario].[AñoMes].&amp;[" &amp; TEXT(AJ$6,"yyyymm") &amp; "]",
"[Base].[Metrica]",
"[Base].[Metrica].&amp;[" &amp; $A64 &amp; "]",
"[Base].[SEGMENTO_DESCRIP]",
"[Base].[SEGMENTO_DESCRIP].&amp;[" &amp; $C$6 &amp; "]",
"[Base].[SITUACION]",
"[Base].[SITUACION].&amp;[" &amp; $C64 &amp; "]"
),0)/1000</f>
        <v>0.44957221812999998</v>
      </c>
      <c r="AK64" s="8">
        <f>IFERROR(
GETPIVOTDATA(
"[Base].[Importe]",
TDinamica_R!$A$5,
"[Calendario].[AñoMes]",
"[Calendario].[AñoMes].&amp;[" &amp; TEXT(AK$6,"yyyymm") &amp; "]",
"[Base].[Metrica]",
"[Base].[Metrica].&amp;[" &amp; $A64 &amp; "]",
"[Base].[SEGMENTO_DESCRIP]",
"[Base].[SEGMENTO_DESCRIP].&amp;[" &amp; $C$6 &amp; "]",
"[Base].[SITUACION]",
"[Base].[SITUACION].&amp;[" &amp; $C64 &amp; "]"
),0)/1000</f>
        <v>0.50498989599999999</v>
      </c>
      <c r="AL64" s="8">
        <f>IFERROR(
GETPIVOTDATA(
"[Base].[Importe]",
TDinamica_R!$A$5,
"[Calendario].[AñoMes]",
"[Calendario].[AñoMes].&amp;[" &amp; TEXT(AL$6,"yyyymm") &amp; "]",
"[Base].[Metrica]",
"[Base].[Metrica].&amp;[" &amp; $A64 &amp; "]",
"[Base].[SEGMENTO_DESCRIP]",
"[Base].[SEGMENTO_DESCRIP].&amp;[" &amp; $C$6 &amp; "]",
"[Base].[SITUACION]",
"[Base].[SITUACION].&amp;[" &amp; $C64 &amp; "]"
),0)/1000</f>
        <v>0.72731139769000008</v>
      </c>
      <c r="AM64" s="8">
        <f>IFERROR(
GETPIVOTDATA(
"[Base].[Importe]",
TDinamica_R!$A$5,
"[Calendario].[AñoMes]",
"[Calendario].[AñoMes].&amp;[" &amp; TEXT(AM$6,"yyyymm") &amp; "]",
"[Base].[Metrica]",
"[Base].[Metrica].&amp;[" &amp; $A64 &amp; "]",
"[Base].[SEGMENTO_DESCRIP]",
"[Base].[SEGMENTO_DESCRIP].&amp;[" &amp; $C$6 &amp; "]",
"[Base].[SITUACION]",
"[Base].[SITUACION].&amp;[" &amp; $C64 &amp; "]"
),0)/1000</f>
        <v>0.67670979301</v>
      </c>
      <c r="AN64" s="8">
        <f>IFERROR(
GETPIVOTDATA(
"[Base].[Importe]",
TDinamica_R!$A$5,
"[Calendario].[AñoMes]",
"[Calendario].[AñoMes].&amp;[" &amp; TEXT(AN$6,"yyyymm") &amp; "]",
"[Base].[Metrica]",
"[Base].[Metrica].&amp;[" &amp; $A64 &amp; "]",
"[Base].[SEGMENTO_DESCRIP]",
"[Base].[SEGMENTO_DESCRIP].&amp;[" &amp; $C$6 &amp; "]",
"[Base].[SITUACION]",
"[Base].[SITUACION].&amp;[" &amp; $C64 &amp; "]"
),0)/1000</f>
        <v>0.87752370459974427</v>
      </c>
      <c r="AO64" s="8">
        <f>IFERROR(
GETPIVOTDATA(
"[Base].[Importe]",
TDinamica_R!$A$5,
"[Calendario].[AñoMes]",
"[Calendario].[AñoMes].&amp;[" &amp; TEXT(AO$6,"yyyymm") &amp; "]",
"[Base].[Metrica]",
"[Base].[Metrica].&amp;[" &amp; $A64 &amp; "]",
"[Base].[SEGMENTO_DESCRIP]",
"[Base].[SEGMENTO_DESCRIP].&amp;[" &amp; $C$6 &amp; "]",
"[Base].[SITUACION]",
"[Base].[SITUACION].&amp;[" &amp; $C64 &amp; "]"
),0)/1000</f>
        <v>0.79701660284879572</v>
      </c>
      <c r="AP64" s="8">
        <f>IFERROR(
GETPIVOTDATA(
"[Base].[Importe]",
TDinamica_R!$A$5,
"[Calendario].[AñoMes]",
"[Calendario].[AñoMes].&amp;[" &amp; TEXT(AP$6,"yyyymm") &amp; "]",
"[Base].[Metrica]",
"[Base].[Metrica].&amp;[" &amp; $A64 &amp; "]",
"[Base].[SEGMENTO_DESCRIP]",
"[Base].[SEGMENTO_DESCRIP].&amp;[" &amp; $C$6 &amp; "]",
"[Base].[SITUACION]",
"[Base].[SITUACION].&amp;[" &amp; $C64 &amp; "]"
),0)/1000</f>
        <v>0.68962900873697819</v>
      </c>
      <c r="AQ64" s="8">
        <f>IFERROR(
GETPIVOTDATA(
"[Base].[Importe]",
TDinamica_R!$A$5,
"[Calendario].[AñoMes]",
"[Calendario].[AñoMes].&amp;[" &amp; TEXT(AQ$6,"yyyymm") &amp; "]",
"[Base].[Metrica]",
"[Base].[Metrica].&amp;[" &amp; $A64 &amp; "]",
"[Base].[SEGMENTO_DESCRIP]",
"[Base].[SEGMENTO_DESCRIP].&amp;[" &amp; $C$6 &amp; "]",
"[Base].[SITUACION]",
"[Base].[SITUACION].&amp;[" &amp; $C64 &amp; "]"
),0)/1000</f>
        <v>1.1067242904758785</v>
      </c>
      <c r="AR64" s="8">
        <f>IFERROR(
GETPIVOTDATA(
"[Base].[Importe]",
TDinamica_R!$A$5,
"[Calendario].[AñoMes]",
"[Calendario].[AñoMes].&amp;[" &amp; TEXT(AR$6,"yyyymm") &amp; "]",
"[Base].[Metrica]",
"[Base].[Metrica].&amp;[" &amp; $A64 &amp; "]",
"[Base].[SEGMENTO_DESCRIP]",
"[Base].[SEGMENTO_DESCRIP].&amp;[" &amp; $C$6 &amp; "]",
"[Base].[SITUACION]",
"[Base].[SITUACION].&amp;[" &amp; $C64 &amp; "]"
),0)/1000</f>
        <v>0.9545539665362941</v>
      </c>
      <c r="AS64" s="8">
        <f>IFERROR(
GETPIVOTDATA(
"[Base].[Importe]",
TDinamica_R!$A$5,
"[Calendario].[AñoMes]",
"[Calendario].[AñoMes].&amp;[" &amp; TEXT(AS$6,"yyyymm") &amp; "]",
"[Base].[Metrica]",
"[Base].[Metrica].&amp;[" &amp; $A64 &amp; "]",
"[Base].[SEGMENTO_DESCRIP]",
"[Base].[SEGMENTO_DESCRIP].&amp;[" &amp; $C$6 &amp; "]",
"[Base].[SITUACION]",
"[Base].[SITUACION].&amp;[" &amp; $C64 &amp; "]"
),0)/1000</f>
        <v>1.1253261408533717</v>
      </c>
      <c r="AT64" s="8">
        <f>IFERROR(
GETPIVOTDATA(
"[Base].[Importe]",
TDinamica_R!$A$5,
"[Calendario].[AñoMes]",
"[Calendario].[AñoMes].&amp;[" &amp; TEXT(AT$6,"yyyymm")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U64" s="8">
        <f>IFERROR(
GETPIVOTDATA(
"[Base].[Importe]",
TDinamica_R!$A$5,
"[Calendario].[AñoMes]",
"[Calendario].[AñoMes].&amp;[" &amp; TEXT(AU$6,"yyyymm")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V64" s="8">
        <f>IFERROR(
GETPIVOTDATA(
"[Base].[Importe]",
TDinamica_R!$A$5,
"[Calendario].[AñoMes]",
"[Calendario].[AñoMes].&amp;[" &amp; TEXT(AV$6,"yyyymm")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W64" s="8">
        <f>IFERROR(
GETPIVOTDATA(
"[Base].[Importe]",
TDinamica_R!$A$5,
"[Calendario].[AñoMes]",
"[Calendario].[AñoMes].&amp;[" &amp; TEXT(AW$6,"yyyymm")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X64" s="8">
        <f>IFERROR(
GETPIVOTDATA(
"[Base].[Importe]",
TDinamica_R!$A$5,
"[Calendario].[AñoMes]",
"[Calendario].[AñoMes].&amp;[" &amp; TEXT(AX$6,"yyyymm")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Y64" s="8">
        <f>IFERROR(
GETPIVOTDATA(
"[Base].[Importe]",
TDinamica_R!$A$5,
"[Calendario].[AñoMes]",
"[Calendario].[AñoMes].&amp;[" &amp; TEXT(AY$6,"yyyymm") &amp; "]",
"[Base].[Metrica]",
"[Base].[Metrica].&amp;[" &amp; $A64 &amp; "]",
"[Base].[SEGMENTO_DESCRIP]",
"[Base].[SEGMENTO_DESCRIP].&amp;[" &amp; $C$6 &amp; "]",
"[Base].[SITUACION]",
"[Base].[SITUACION].&amp;[" &amp; $C64 &amp; "]"
),0)/1000</f>
        <v>0</v>
      </c>
      <c r="AZ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"[BASE_HIPO_PPTO].[Periodo]","[BASE_HIPO_PPTO].[Periodo].&amp;["&amp;TEXT(AZ$6,"yyyymm")&amp;"]"),
0)/1000</f>
        <v>0.40917380900675082</v>
      </c>
      <c r="BA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"[BASE_HIPO_PPTO].[Periodo]","[BASE_HIPO_PPTO].[Periodo].&amp;["&amp;TEXT(BA$6,"yyyymm")&amp;"]"),
0)/1000</f>
        <v>0.41242569081238173</v>
      </c>
      <c r="BB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"[BASE_HIPO_PPTO].[Periodo]","[BASE_HIPO_PPTO].[Periodo].&amp;["&amp;TEXT(BB$6,"yyyymm")&amp;"]"),
0)/1000</f>
        <v>0.41435413954211758</v>
      </c>
      <c r="BC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"[BASE_HIPO_PPTO].[Periodo]","[BASE_HIPO_PPTO].[Periodo].&amp;["&amp;TEXT(BC$6,"yyyymm")&amp;"]"),
0)/1000</f>
        <v>0.41529102207746299</v>
      </c>
      <c r="BD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"[BASE_HIPO_PPTO].[Periodo]","[BASE_HIPO_PPTO].[Periodo].&amp;["&amp;TEXT(BD$6,"yyyymm")&amp;"]"),
0)/1000</f>
        <v>0.41829587150164144</v>
      </c>
      <c r="BE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"[BASE_HIPO_PPTO].[Periodo]","[BASE_HIPO_PPTO].[Periodo].&amp;["&amp;TEXT(BE$6,"yyyymm")&amp;"]"),
0)/1000</f>
        <v>0.41958997018614214</v>
      </c>
      <c r="BF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"[BASE_HIPO_PPTO].[Periodo]","[BASE_HIPO_PPTO].[Periodo].&amp;["&amp;TEXT(BF$6,"yyyymm")&amp;"]"),
0)/1000</f>
        <v>0.42358980963184634</v>
      </c>
      <c r="BG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"[BASE_HIPO_PPTO].[Periodo]","[BASE_HIPO_PPTO].[Periodo].&amp;["&amp;TEXT(BG$6,"yyyymm")&amp;"]"),
0)/1000</f>
        <v>0.42667602058543502</v>
      </c>
      <c r="BH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"[BASE_HIPO_PPTO].[Periodo]","[BASE_HIPO_PPTO].[Periodo].&amp;["&amp;TEXT(BH$6,"yyyymm")&amp;"]"),
0)/1000</f>
        <v>0.43065765864899441</v>
      </c>
      <c r="BI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"[BASE_HIPO_PPTO].[Periodo]","[BASE_HIPO_PPTO].[Periodo].&amp;["&amp;TEXT(BI$6,"yyyymm")&amp;"]"),
0)/1000</f>
        <v>0.43425864827173627</v>
      </c>
      <c r="BJ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"[BASE_HIPO_PPTO].[Periodo]","[BASE_HIPO_PPTO].[Periodo].&amp;["&amp;TEXT(BJ$6,"yyyymm")&amp;"]"),
0)/1000</f>
        <v>0.43830572121687478</v>
      </c>
      <c r="BK64" s="8">
        <f>IFERROR(
GETPIVOTDATA(
"[BASE_HIPO_PPTO].[Importe]",
TDinamica_P!$A$5,
"[BASE_HIPO_PPTO].[Metrica]","[BASE_HIPO_PPTO].[Metrica].&amp;["&amp;$A64&amp;"]",
"[BASE_HIPO_PPTO].[SEGMENTO_DESCRIP]","[BASE_HIPO_PPTO].[SEGMENTO_DESCRIP].&amp;["&amp;$C$6&amp;"]",
"[BASE_HIPO_PPTO].[SITUACION]","[BASE_HIPO_PPTO].[SITUACION].&amp;["&amp;$C64&amp;"]",
"[BASE_HIPO_PPTO].[Periodo]","[BASE_HIPO_PPTO].[Periodo].&amp;["&amp;TEXT(BK$6,"yyyymm")&amp;"]"),
0)/1000</f>
        <v>0.44077268309838064</v>
      </c>
      <c r="BO64" s="24">
        <f t="shared" si="63"/>
        <v>2.3641693161855182</v>
      </c>
      <c r="BP64" s="24">
        <f t="shared" si="63"/>
        <v>1.23595363936125</v>
      </c>
      <c r="BQ64" s="24">
        <f t="shared" si="63"/>
        <v>1.6745403074485399</v>
      </c>
      <c r="BR64" s="24">
        <f t="shared" si="63"/>
        <v>1.3873929408499999</v>
      </c>
      <c r="BS64" s="24">
        <f t="shared" si="63"/>
        <v>1.3308711792299999</v>
      </c>
      <c r="BT64" s="24">
        <f t="shared" si="63"/>
        <v>1.8144481502500001</v>
      </c>
    </row>
    <row r="65" spans="1:72" hidden="1" outlineLevel="1" x14ac:dyDescent="0.25">
      <c r="A65" s="11" t="s">
        <v>71</v>
      </c>
      <c r="C65" s="2" t="s">
        <v>128</v>
      </c>
      <c r="D65" s="8">
        <f>IFERROR(
GETPIVOTDATA(
"[Base].[Importe]",
TDinamica_R!$A$5,
"[Calendario].[AñoMes]",
"[Calendario].[AñoMes].&amp;[" &amp; TEXT(D$6,"yyyymm") &amp; "]",
"[Base].[Metrica]",
"[Base].[Metrica].&amp;[" &amp; $A65 &amp; "]",
"[Base].[SEGMENTO_DESCRIP]",
"[Base].[SEGMENTO_DESCRIP].&amp;[" &amp; $C$6 &amp; "]",
"[Base].[SITUACION]",
"[Base].[SITUACION].&amp;[" &amp; $C65 &amp; "]"
),0)/1000</f>
        <v>-0.25193090575999999</v>
      </c>
      <c r="E65" s="8">
        <f>IFERROR(
GETPIVOTDATA(
"[Base].[Importe]",
TDinamica_R!$A$5,
"[Calendario].[AñoMes]",
"[Calendario].[AñoMes].&amp;[" &amp; TEXT(E$6,"yyyymm") &amp; "]",
"[Base].[Metrica]",
"[Base].[Metrica].&amp;[" &amp; $A65 &amp; "]",
"[Base].[SEGMENTO_DESCRIP]",
"[Base].[SEGMENTO_DESCRIP].&amp;[" &amp; $C$6 &amp; "]",
"[Base].[SITUACION]",
"[Base].[SITUACION].&amp;[" &amp; $C65 &amp; "]"
),0)/1000</f>
        <v>-0.20839919703999998</v>
      </c>
      <c r="F65" s="8">
        <f>IFERROR(
GETPIVOTDATA(
"[Base].[Importe]",
TDinamica_R!$A$5,
"[Calendario].[AñoMes]",
"[Calendario].[AñoMes].&amp;[" &amp; TEXT(F$6,"yyyymm") &amp; "]",
"[Base].[Metrica]",
"[Base].[Metrica].&amp;[" &amp; $A65 &amp; "]",
"[Base].[SEGMENTO_DESCRIP]",
"[Base].[SEGMENTO_DESCRIP].&amp;[" &amp; $C$6 &amp; "]",
"[Base].[SITUACION]",
"[Base].[SITUACION].&amp;[" &amp; $C65 &amp; "]"
),0)/1000</f>
        <v>-0.39606045024000008</v>
      </c>
      <c r="G65" s="8">
        <f>IFERROR(
GETPIVOTDATA(
"[Base].[Importe]",
TDinamica_R!$A$5,
"[Calendario].[AñoMes]",
"[Calendario].[AñoMes].&amp;[" &amp; TEXT(G$6,"yyyymm") &amp; "]",
"[Base].[Metrica]",
"[Base].[Metrica].&amp;[" &amp; $A65 &amp; "]",
"[Base].[SEGMENTO_DESCRIP]",
"[Base].[SEGMENTO_DESCRIP].&amp;[" &amp; $C$6 &amp; "]",
"[Base].[SITUACION]",
"[Base].[SITUACION].&amp;[" &amp; $C65 &amp; "]"
),0)/1000</f>
        <v>4.3311885677599999</v>
      </c>
      <c r="H65" s="8">
        <f>IFERROR(
GETPIVOTDATA(
"[Base].[Importe]",
TDinamica_R!$A$5,
"[Calendario].[AñoMes]",
"[Calendario].[AñoMes].&amp;[" &amp; TEXT(H$6,"yyyymm") &amp; "]",
"[Base].[Metrica]",
"[Base].[Metrica].&amp;[" &amp; $A65 &amp; "]",
"[Base].[SEGMENTO_DESCRIP]",
"[Base].[SEGMENTO_DESCRIP].&amp;[" &amp; $C$6 &amp; "]",
"[Base].[SITUACION]",
"[Base].[SITUACION].&amp;[" &amp; $C65 &amp; "]"
),0)/1000</f>
        <v>4.8256961406299999</v>
      </c>
      <c r="I65" s="8">
        <f>IFERROR(
GETPIVOTDATA(
"[Base].[Importe]",
TDinamica_R!$A$5,
"[Calendario].[AñoMes]",
"[Calendario].[AñoMes].&amp;[" &amp; TEXT(I$6,"yyyymm") &amp; "]",
"[Base].[Metrica]",
"[Base].[Metrica].&amp;[" &amp; $A65 &amp; "]",
"[Base].[SEGMENTO_DESCRIP]",
"[Base].[SEGMENTO_DESCRIP].&amp;[" &amp; $C$6 &amp; "]",
"[Base].[SITUACION]",
"[Base].[SITUACION].&amp;[" &amp; $C65 &amp; "]"
),0)/1000</f>
        <v>3.1969040130119994</v>
      </c>
      <c r="J65" s="8">
        <f>IFERROR(
GETPIVOTDATA(
"[Base].[Importe]",
TDinamica_R!$A$5,
"[Calendario].[AñoMes]",
"[Calendario].[AñoMes].&amp;[" &amp; TEXT(J$6,"yyyymm") &amp; "]",
"[Base].[Metrica]",
"[Base].[Metrica].&amp;[" &amp; $A65 &amp; "]",
"[Base].[SEGMENTO_DESCRIP]",
"[Base].[SEGMENTO_DESCRIP].&amp;[" &amp; $C$6 &amp; "]",
"[Base].[SITUACION]",
"[Base].[SITUACION].&amp;[" &amp; $C65 &amp; "]"
),0)/1000</f>
        <v>-0.90783434260400009</v>
      </c>
      <c r="K65" s="8">
        <f>IFERROR(
GETPIVOTDATA(
"[Base].[Importe]",
TDinamica_R!$A$5,
"[Calendario].[AñoMes]",
"[Calendario].[AñoMes].&amp;[" &amp; TEXT(K$6,"yyyymm") &amp; "]",
"[Base].[Metrica]",
"[Base].[Metrica].&amp;[" &amp; $A65 &amp; "]",
"[Base].[SEGMENTO_DESCRIP]",
"[Base].[SEGMENTO_DESCRIP].&amp;[" &amp; $C$6 &amp; "]",
"[Base].[SITUACION]",
"[Base].[SITUACION].&amp;[" &amp; $C65 &amp; "]"
),0)/1000</f>
        <v>-0.82325309644</v>
      </c>
      <c r="L65" s="8">
        <f>IFERROR(
GETPIVOTDATA(
"[Base].[Importe]",
TDinamica_R!$A$5,
"[Calendario].[AñoMes]",
"[Calendario].[AñoMes].&amp;[" &amp; TEXT(L$6,"yyyymm") &amp; "]",
"[Base].[Metrica]",
"[Base].[Metrica].&amp;[" &amp; $A65 &amp; "]",
"[Base].[SEGMENTO_DESCRIP]",
"[Base].[SEGMENTO_DESCRIP].&amp;[" &amp; $C$6 &amp; "]",
"[Base].[SITUACION]",
"[Base].[SITUACION].&amp;[" &amp; $C65 &amp; "]"
),0)/1000</f>
        <v>-1.2443095657079999</v>
      </c>
      <c r="M65" s="8">
        <f>IFERROR(
GETPIVOTDATA(
"[Base].[Importe]",
TDinamica_R!$A$5,
"[Calendario].[AñoMes]",
"[Calendario].[AñoMes].&amp;[" &amp; TEXT(M$6,"yyyymm") &amp; "]",
"[Base].[Metrica]",
"[Base].[Metrica].&amp;[" &amp; $A65 &amp; "]",
"[Base].[SEGMENTO_DESCRIP]",
"[Base].[SEGMENTO_DESCRIP].&amp;[" &amp; $C$6 &amp; "]",
"[Base].[SITUACION]",
"[Base].[SITUACION].&amp;[" &amp; $C65 &amp; "]"
),0)/1000</f>
        <v>-0.70025740467300002</v>
      </c>
      <c r="N65" s="8">
        <f>IFERROR(
GETPIVOTDATA(
"[Base].[Importe]",
TDinamica_R!$A$5,
"[Calendario].[AñoMes]",
"[Calendario].[AñoMes].&amp;[" &amp; TEXT(N$6,"yyyymm") &amp; "]",
"[Base].[Metrica]",
"[Base].[Metrica].&amp;[" &amp; $A65 &amp; "]",
"[Base].[SEGMENTO_DESCRIP]",
"[Base].[SEGMENTO_DESCRIP].&amp;[" &amp; $C$6 &amp; "]",
"[Base].[SITUACION]",
"[Base].[SITUACION].&amp;[" &amp; $C65 &amp; "]"
),0)/1000</f>
        <v>-0.67701981337999995</v>
      </c>
      <c r="O65" s="8">
        <f>IFERROR(
GETPIVOTDATA(
"[Base].[Importe]",
TDinamica_R!$A$5,
"[Calendario].[AñoMes]",
"[Calendario].[AñoMes].&amp;[" &amp; TEXT(O$6,"yyyymm") &amp; "]",
"[Base].[Metrica]",
"[Base].[Metrica].&amp;[" &amp; $A65 &amp; "]",
"[Base].[SEGMENTO_DESCRIP]",
"[Base].[SEGMENTO_DESCRIP].&amp;[" &amp; $C$6 &amp; "]",
"[Base].[SITUACION]",
"[Base].[SITUACION].&amp;[" &amp; $C65 &amp; "]"
),0)/1000</f>
        <v>-0.26743125861</v>
      </c>
      <c r="P65" s="8">
        <f>IFERROR(
GETPIVOTDATA(
"[Base].[Importe]",
TDinamica_R!$A$5,
"[Calendario].[AñoMes]",
"[Calendario].[AñoMes].&amp;[" &amp; TEXT(P$6,"yyyymm") &amp; "]",
"[Base].[Metrica]",
"[Base].[Metrica].&amp;[" &amp; $A65 &amp; "]",
"[Base].[SEGMENTO_DESCRIP]",
"[Base].[SEGMENTO_DESCRIP].&amp;[" &amp; $C$6 &amp; "]",
"[Base].[SITUACION]",
"[Base].[SITUACION].&amp;[" &amp; $C65 &amp; "]"
),0)/1000</f>
        <v>-0.6847102169</v>
      </c>
      <c r="Q65" s="8">
        <f>IFERROR(
GETPIVOTDATA(
"[Base].[Importe]",
TDinamica_R!$A$5,
"[Calendario].[AñoMes]",
"[Calendario].[AñoMes].&amp;[" &amp; TEXT(Q$6,"yyyymm") &amp; "]",
"[Base].[Metrica]",
"[Base].[Metrica].&amp;[" &amp; $A65 &amp; "]",
"[Base].[SEGMENTO_DESCRIP]",
"[Base].[SEGMENTO_DESCRIP].&amp;[" &amp; $C$6 &amp; "]",
"[Base].[SITUACION]",
"[Base].[SITUACION].&amp;[" &amp; $C65 &amp; "]"
),0)/1000</f>
        <v>-0.44595102370000006</v>
      </c>
      <c r="R65" s="8">
        <f>IFERROR(
GETPIVOTDATA(
"[Base].[Importe]",
TDinamica_R!$A$5,
"[Calendario].[AñoMes]",
"[Calendario].[AñoMes].&amp;[" &amp; TEXT(R$6,"yyyymm") &amp; "]",
"[Base].[Metrica]",
"[Base].[Metrica].&amp;[" &amp; $A65 &amp; "]",
"[Base].[SEGMENTO_DESCRIP]",
"[Base].[SEGMENTO_DESCRIP].&amp;[" &amp; $C$6 &amp; "]",
"[Base].[SITUACION]",
"[Base].[SITUACION].&amp;[" &amp; $C65 &amp; "]"
),0)/1000</f>
        <v>-0.51616807518999996</v>
      </c>
      <c r="S65" s="8">
        <f>IFERROR(
GETPIVOTDATA(
"[Base].[Importe]",
TDinamica_R!$A$5,
"[Calendario].[AñoMes]",
"[Calendario].[AñoMes].&amp;[" &amp; TEXT(S$6,"yyyymm") &amp; "]",
"[Base].[Metrica]",
"[Base].[Metrica].&amp;[" &amp; $A65 &amp; "]",
"[Base].[SEGMENTO_DESCRIP]",
"[Base].[SEGMENTO_DESCRIP].&amp;[" &amp; $C$6 &amp; "]",
"[Base].[SITUACION]",
"[Base].[SITUACION].&amp;[" &amp; $C65 &amp; "]"
),0)/1000</f>
        <v>-0.46124700073999997</v>
      </c>
      <c r="T65" s="8">
        <f>IFERROR(
GETPIVOTDATA(
"[Base].[Importe]",
TDinamica_R!$A$5,
"[Calendario].[AñoMes]",
"[Calendario].[AñoMes].&amp;[" &amp; TEXT(T$6,"yyyymm") &amp; "]",
"[Base].[Metrica]",
"[Base].[Metrica].&amp;[" &amp; $A65 &amp; "]",
"[Base].[SEGMENTO_DESCRIP]",
"[Base].[SEGMENTO_DESCRIP].&amp;[" &amp; $C$6 &amp; "]",
"[Base].[SITUACION]",
"[Base].[SITUACION].&amp;[" &amp; $C65 &amp; "]"
),0)/1000</f>
        <v>-0.46269345351000002</v>
      </c>
      <c r="U65" s="8">
        <f>IFERROR(
GETPIVOTDATA(
"[Base].[Importe]",
TDinamica_R!$A$5,
"[Calendario].[AñoMes]",
"[Calendario].[AñoMes].&amp;[" &amp; TEXT(U$6,"yyyymm") &amp; "]",
"[Base].[Metrica]",
"[Base].[Metrica].&amp;[" &amp; $A65 &amp; "]",
"[Base].[SEGMENTO_DESCRIP]",
"[Base].[SEGMENTO_DESCRIP].&amp;[" &amp; $C$6 &amp; "]",
"[Base].[SITUACION]",
"[Base].[SITUACION].&amp;[" &amp; $C65 &amp; "]"
),0)/1000</f>
        <v>-0.39548981543799999</v>
      </c>
      <c r="V65" s="8">
        <f>IFERROR(
GETPIVOTDATA(
"[Base].[Importe]",
TDinamica_R!$A$5,
"[Calendario].[AñoMes]",
"[Calendario].[AñoMes].&amp;[" &amp; TEXT(V$6,"yyyymm") &amp; "]",
"[Base].[Metrica]",
"[Base].[Metrica].&amp;[" &amp; $A65 &amp; "]",
"[Base].[SEGMENTO_DESCRIP]",
"[Base].[SEGMENTO_DESCRIP].&amp;[" &amp; $C$6 &amp; "]",
"[Base].[SITUACION]",
"[Base].[SITUACION].&amp;[" &amp; $C65 &amp; "]"
),0)/1000</f>
        <v>-0.23448709277000007</v>
      </c>
      <c r="W65" s="8">
        <f>IFERROR(
GETPIVOTDATA(
"[Base].[Importe]",
TDinamica_R!$A$5,
"[Calendario].[AñoMes]",
"[Calendario].[AñoMes].&amp;[" &amp; TEXT(W$6,"yyyymm") &amp; "]",
"[Base].[Metrica]",
"[Base].[Metrica].&amp;[" &amp; $A65 &amp; "]",
"[Base].[SEGMENTO_DESCRIP]",
"[Base].[SEGMENTO_DESCRIP].&amp;[" &amp; $C$6 &amp; "]",
"[Base].[SITUACION]",
"[Base].[SITUACION].&amp;[" &amp; $C65 &amp; "]"
),0)/1000</f>
        <v>-0.21317272768600001</v>
      </c>
      <c r="X65" s="8">
        <f>IFERROR(
GETPIVOTDATA(
"[Base].[Importe]",
TDinamica_R!$A$5,
"[Calendario].[AñoMes]",
"[Calendario].[AñoMes].&amp;[" &amp; TEXT(X$6,"yyyymm") &amp; "]",
"[Base].[Metrica]",
"[Base].[Metrica].&amp;[" &amp; $A65 &amp; "]",
"[Base].[SEGMENTO_DESCRIP]",
"[Base].[SEGMENTO_DESCRIP].&amp;[" &amp; $C$6 &amp; "]",
"[Base].[SITUACION]",
"[Base].[SITUACION].&amp;[" &amp; $C65 &amp; "]"
),0)/1000</f>
        <v>-0.30797087113999999</v>
      </c>
      <c r="Y65" s="8">
        <f>IFERROR(
GETPIVOTDATA(
"[Base].[Importe]",
TDinamica_R!$A$5,
"[Calendario].[AñoMes]",
"[Calendario].[AñoMes].&amp;[" &amp; TEXT(Y$6,"yyyymm") &amp; "]",
"[Base].[Metrica]",
"[Base].[Metrica].&amp;[" &amp; $A65 &amp; "]",
"[Base].[SEGMENTO_DESCRIP]",
"[Base].[SEGMENTO_DESCRIP].&amp;[" &amp; $C$6 &amp; "]",
"[Base].[SITUACION]",
"[Base].[SITUACION].&amp;[" &amp; $C65 &amp; "]"
),0)/1000</f>
        <v>-0.53949388403100007</v>
      </c>
      <c r="Z65" s="8">
        <f>IFERROR(
GETPIVOTDATA(
"[Base].[Importe]",
TDinamica_R!$A$5,
"[Calendario].[AñoMes]",
"[Calendario].[AñoMes].&amp;[" &amp; TEXT(Z$6,"yyyymm") &amp; "]",
"[Base].[Metrica]",
"[Base].[Metrica].&amp;[" &amp; $A65 &amp; "]",
"[Base].[SEGMENTO_DESCRIP]",
"[Base].[SEGMENTO_DESCRIP].&amp;[" &amp; $C$6 &amp; "]",
"[Base].[SITUACION]",
"[Base].[SITUACION].&amp;[" &amp; $C65 &amp; "]"
),0)/1000</f>
        <v>-0.2543582278599999</v>
      </c>
      <c r="AA65" s="8">
        <f>IFERROR(
GETPIVOTDATA(
"[Base].[Importe]",
TDinamica_R!$A$5,
"[Calendario].[AñoMes]",
"[Calendario].[AñoMes].&amp;[" &amp; TEXT(AA$6,"yyyymm") &amp; "]",
"[Base].[Metrica]",
"[Base].[Metrica].&amp;[" &amp; $A65 &amp; "]",
"[Base].[SEGMENTO_DESCRIP]",
"[Base].[SEGMENTO_DESCRIP].&amp;[" &amp; $C$6 &amp; "]",
"[Base].[SITUACION]",
"[Base].[SITUACION].&amp;[" &amp; $C65 &amp; "]"
),0)/1000</f>
        <v>4.5092966493100013</v>
      </c>
      <c r="AB65" s="8">
        <f>IFERROR(
GETPIVOTDATA(
"[Base].[Importe]",
TDinamica_R!$A$5,
"[Calendario].[AñoMes]",
"[Calendario].[AñoMes].&amp;[" &amp; TEXT(AB$6,"yyyymm") &amp; "]",
"[Base].[Metrica]",
"[Base].[Metrica].&amp;[" &amp; $A65 &amp; "]",
"[Base].[SEGMENTO_DESCRIP]",
"[Base].[SEGMENTO_DESCRIP].&amp;[" &amp; $C$6 &amp; "]",
"[Base].[SITUACION]",
"[Base].[SITUACION].&amp;[" &amp; $C65 &amp; "]"
),0)/1000</f>
        <v>-0.291772164103</v>
      </c>
      <c r="AC65" s="8">
        <f>IFERROR(
GETPIVOTDATA(
"[Base].[Importe]",
TDinamica_R!$A$5,
"[Calendario].[AñoMes]",
"[Calendario].[AñoMes].&amp;[" &amp; TEXT(AC$6,"yyyymm") &amp; "]",
"[Base].[Metrica]",
"[Base].[Metrica].&amp;[" &amp; $A65 &amp; "]",
"[Base].[SEGMENTO_DESCRIP]",
"[Base].[SEGMENTO_DESCRIP].&amp;[" &amp; $C$6 &amp; "]",
"[Base].[SITUACION]",
"[Base].[SITUACION].&amp;[" &amp; $C65 &amp; "]"
),0)/1000</f>
        <v>3.9462284302999917E-2</v>
      </c>
      <c r="AD65" s="8">
        <f>IFERROR(
GETPIVOTDATA(
"[Base].[Importe]",
TDinamica_R!$A$5,
"[Calendario].[AñoMes]",
"[Calendario].[AñoMes].&amp;[" &amp; TEXT(AD$6,"yyyymm") &amp; "]",
"[Base].[Metrica]",
"[Base].[Metrica].&amp;[" &amp; $A65 &amp; "]",
"[Base].[SEGMENTO_DESCRIP]",
"[Base].[SEGMENTO_DESCRIP].&amp;[" &amp; $C$6 &amp; "]",
"[Base].[SITUACION]",
"[Base].[SITUACION].&amp;[" &amp; $C65 &amp; "]"
),0)/1000</f>
        <v>-0.21464019874000007</v>
      </c>
      <c r="AE65" s="8">
        <f>IFERROR(
GETPIVOTDATA(
"[Base].[Importe]",
TDinamica_R!$A$5,
"[Calendario].[AñoMes]",
"[Calendario].[AñoMes].&amp;[" &amp; TEXT(AE$6,"yyyymm") &amp; "]",
"[Base].[Metrica]",
"[Base].[Metrica].&amp;[" &amp; $A65 &amp; "]",
"[Base].[SEGMENTO_DESCRIP]",
"[Base].[SEGMENTO_DESCRIP].&amp;[" &amp; $C$6 &amp; "]",
"[Base].[SITUACION]",
"[Base].[SITUACION].&amp;[" &amp; $C65 &amp; "]"
),0)/1000</f>
        <v>4.408390104982999</v>
      </c>
      <c r="AF65" s="8">
        <f>IFERROR(
GETPIVOTDATA(
"[Base].[Importe]",
TDinamica_R!$A$5,
"[Calendario].[AñoMes]",
"[Calendario].[AñoMes].&amp;[" &amp; TEXT(AF$6,"yyyymm") &amp; "]",
"[Base].[Metrica]",
"[Base].[Metrica].&amp;[" &amp; $A65 &amp; "]",
"[Base].[SEGMENTO_DESCRIP]",
"[Base].[SEGMENTO_DESCRIP].&amp;[" &amp; $C$6 &amp; "]",
"[Base].[SITUACION]",
"[Base].[SITUACION].&amp;[" &amp; $C65 &amp; "]"
),0)/1000</f>
        <v>2.4051737436999994</v>
      </c>
      <c r="AG65" s="8">
        <f>IFERROR(
GETPIVOTDATA(
"[Base].[Importe]",
TDinamica_R!$A$5,
"[Calendario].[AñoMes]",
"[Calendario].[AñoMes].&amp;[" &amp; TEXT(AG$6,"yyyymm") &amp; "]",
"[Base].[Metrica]",
"[Base].[Metrica].&amp;[" &amp; $A65 &amp; "]",
"[Base].[SEGMENTO_DESCRIP]",
"[Base].[SEGMENTO_DESCRIP].&amp;[" &amp; $C$6 &amp; "]",
"[Base].[SITUACION]",
"[Base].[SITUACION].&amp;[" &amp; $C65 &amp; "]"
),0)/1000</f>
        <v>-5.2545926550000066E-2</v>
      </c>
      <c r="AH65" s="8">
        <f>IFERROR(
GETPIVOTDATA(
"[Base].[Importe]",
TDinamica_R!$A$5,
"[Calendario].[AñoMes]",
"[Calendario].[AñoMes].&amp;[" &amp; TEXT(AH$6,"yyyymm") &amp; "]",
"[Base].[Metrica]",
"[Base].[Metrica].&amp;[" &amp; $A65 &amp; "]",
"[Base].[SEGMENTO_DESCRIP]",
"[Base].[SEGMENTO_DESCRIP].&amp;[" &amp; $C$6 &amp; "]",
"[Base].[SITUACION]",
"[Base].[SITUACION].&amp;[" &amp; $C65 &amp; "]"
),0)/1000</f>
        <v>2.0623131002589998</v>
      </c>
      <c r="AI65" s="8">
        <f>IFERROR(
GETPIVOTDATA(
"[Base].[Importe]",
TDinamica_R!$A$5,
"[Calendario].[AñoMes]",
"[Calendario].[AñoMes].&amp;[" &amp; TEXT(AI$6,"yyyymm") &amp; "]",
"[Base].[Metrica]",
"[Base].[Metrica].&amp;[" &amp; $A65 &amp; "]",
"[Base].[SEGMENTO_DESCRIP]",
"[Base].[SEGMENTO_DESCRIP].&amp;[" &amp; $C$6 &amp; "]",
"[Base].[SITUACION]",
"[Base].[SITUACION].&amp;[" &amp; $C65 &amp; "]"
),0)/1000</f>
        <v>2.0023533414529995</v>
      </c>
      <c r="AJ65" s="8">
        <f>IFERROR(
GETPIVOTDATA(
"[Base].[Importe]",
TDinamica_R!$A$5,
"[Calendario].[AñoMes]",
"[Calendario].[AñoMes].&amp;[" &amp; TEXT(AJ$6,"yyyymm") &amp; "]",
"[Base].[Metrica]",
"[Base].[Metrica].&amp;[" &amp; $A65 &amp; "]",
"[Base].[SEGMENTO_DESCRIP]",
"[Base].[SEGMENTO_DESCRIP].&amp;[" &amp; $C$6 &amp; "]",
"[Base].[SITUACION]",
"[Base].[SITUACION].&amp;[" &amp; $C65 &amp; "]"
),0)/1000</f>
        <v>11.120748680870001</v>
      </c>
      <c r="AK65" s="8">
        <f>IFERROR(
GETPIVOTDATA(
"[Base].[Importe]",
TDinamica_R!$A$5,
"[Calendario].[AñoMes]",
"[Calendario].[AñoMes].&amp;[" &amp; TEXT(AK$6,"yyyymm") &amp; "]",
"[Base].[Metrica]",
"[Base].[Metrica].&amp;[" &amp; $A65 &amp; "]",
"[Base].[SEGMENTO_DESCRIP]",
"[Base].[SEGMENTO_DESCRIP].&amp;[" &amp; $C$6 &amp; "]",
"[Base].[SITUACION]",
"[Base].[SITUACION].&amp;[" &amp; $C65 &amp; "]"
),0)/1000</f>
        <v>7.4926606989399991</v>
      </c>
      <c r="AL65" s="8">
        <f>IFERROR(
GETPIVOTDATA(
"[Base].[Importe]",
TDinamica_R!$A$5,
"[Calendario].[AñoMes]",
"[Calendario].[AñoMes].&amp;[" &amp; TEXT(AL$6,"yyyymm") &amp; "]",
"[Base].[Metrica]",
"[Base].[Metrica].&amp;[" &amp; $A65 &amp; "]",
"[Base].[SEGMENTO_DESCRIP]",
"[Base].[SEGMENTO_DESCRIP].&amp;[" &amp; $C$6 &amp; "]",
"[Base].[SITUACION]",
"[Base].[SITUACION].&amp;[" &amp; $C65 &amp; "]"
),0)/1000</f>
        <v>4.89434006766</v>
      </c>
      <c r="AM65" s="8">
        <f>IFERROR(
GETPIVOTDATA(
"[Base].[Importe]",
TDinamica_R!$A$5,
"[Calendario].[AñoMes]",
"[Calendario].[AñoMes].&amp;[" &amp; TEXT(AM$6,"yyyymm") &amp; "]",
"[Base].[Metrica]",
"[Base].[Metrica].&amp;[" &amp; $A65 &amp; "]",
"[Base].[SEGMENTO_DESCRIP]",
"[Base].[SEGMENTO_DESCRIP].&amp;[" &amp; $C$6 &amp; "]",
"[Base].[SITUACION]",
"[Base].[SITUACION].&amp;[" &amp; $C65 &amp; "]"
),0)/1000</f>
        <v>17.112653475270005</v>
      </c>
      <c r="AN65" s="8">
        <f>IFERROR(
GETPIVOTDATA(
"[Base].[Importe]",
TDinamica_R!$A$5,
"[Calendario].[AñoMes]",
"[Calendario].[AñoMes].&amp;[" &amp; TEXT(AN$6,"yyyymm") &amp; "]",
"[Base].[Metrica]",
"[Base].[Metrica].&amp;[" &amp; $A65 &amp; "]",
"[Base].[SEGMENTO_DESCRIP]",
"[Base].[SEGMENTO_DESCRIP].&amp;[" &amp; $C$6 &amp; "]",
"[Base].[SITUACION]",
"[Base].[SITUACION].&amp;[" &amp; $C65 &amp; "]"
),0)/1000</f>
        <v>6.8042501860539311</v>
      </c>
      <c r="AO65" s="8">
        <f>IFERROR(
GETPIVOTDATA(
"[Base].[Importe]",
TDinamica_R!$A$5,
"[Calendario].[AñoMes]",
"[Calendario].[AñoMes].&amp;[" &amp; TEXT(AO$6,"yyyymm") &amp; "]",
"[Base].[Metrica]",
"[Base].[Metrica].&amp;[" &amp; $A65 &amp; "]",
"[Base].[SEGMENTO_DESCRIP]",
"[Base].[SEGMENTO_DESCRIP].&amp;[" &amp; $C$6 &amp; "]",
"[Base].[SITUACION]",
"[Base].[SITUACION].&amp;[" &amp; $C65 &amp; "]"
),0)/1000</f>
        <v>2.8166678953362925</v>
      </c>
      <c r="AP65" s="8">
        <f>IFERROR(
GETPIVOTDATA(
"[Base].[Importe]",
TDinamica_R!$A$5,
"[Calendario].[AñoMes]",
"[Calendario].[AñoMes].&amp;[" &amp; TEXT(AP$6,"yyyymm") &amp; "]",
"[Base].[Metrica]",
"[Base].[Metrica].&amp;[" &amp; $A65 &amp; "]",
"[Base].[SEGMENTO_DESCRIP]",
"[Base].[SEGMENTO_DESCRIP].&amp;[" &amp; $C$6 &amp; "]",
"[Base].[SITUACION]",
"[Base].[SITUACION].&amp;[" &amp; $C65 &amp; "]"
),0)/1000</f>
        <v>7.9367813607430655</v>
      </c>
      <c r="AQ65" s="8">
        <f>IFERROR(
GETPIVOTDATA(
"[Base].[Importe]",
TDinamica_R!$A$5,
"[Calendario].[AñoMes]",
"[Calendario].[AñoMes].&amp;[" &amp; TEXT(AQ$6,"yyyymm") &amp; "]",
"[Base].[Metrica]",
"[Base].[Metrica].&amp;[" &amp; $A65 &amp; "]",
"[Base].[SEGMENTO_DESCRIP]",
"[Base].[SEGMENTO_DESCRIP].&amp;[" &amp; $C$6 &amp; "]",
"[Base].[SITUACION]",
"[Base].[SITUACION].&amp;[" &amp; $C65 &amp; "]"
),0)/1000</f>
        <v>15.164806411270702</v>
      </c>
      <c r="AR65" s="8">
        <f>IFERROR(
GETPIVOTDATA(
"[Base].[Importe]",
TDinamica_R!$A$5,
"[Calendario].[AñoMes]",
"[Calendario].[AñoMes].&amp;[" &amp; TEXT(AR$6,"yyyymm") &amp; "]",
"[Base].[Metrica]",
"[Base].[Metrica].&amp;[" &amp; $A65 &amp; "]",
"[Base].[SEGMENTO_DESCRIP]",
"[Base].[SEGMENTO_DESCRIP].&amp;[" &amp; $C$6 &amp; "]",
"[Base].[SITUACION]",
"[Base].[SITUACION].&amp;[" &amp; $C65 &amp; "]"
),0)/1000</f>
        <v>2.1695471051753397</v>
      </c>
      <c r="AS65" s="8">
        <f>IFERROR(
GETPIVOTDATA(
"[Base].[Importe]",
TDinamica_R!$A$5,
"[Calendario].[AñoMes]",
"[Calendario].[AñoMes].&amp;[" &amp; TEXT(AS$6,"yyyymm") &amp; "]",
"[Base].[Metrica]",
"[Base].[Metrica].&amp;[" &amp; $A65 &amp; "]",
"[Base].[SEGMENTO_DESCRIP]",
"[Base].[SEGMENTO_DESCRIP].&amp;[" &amp; $C$6 &amp; "]",
"[Base].[SITUACION]",
"[Base].[SITUACION].&amp;[" &amp; $C65 &amp; "]"
),0)/1000</f>
        <v>4.3396317961016191</v>
      </c>
      <c r="AT65" s="8">
        <f>IFERROR(
GETPIVOTDATA(
"[Base].[Importe]",
TDinamica_R!$A$5,
"[Calendario].[AñoMes]",
"[Calendario].[AñoMes].&amp;[" &amp; TEXT(AT$6,"yyyymm")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U65" s="8">
        <f>IFERROR(
GETPIVOTDATA(
"[Base].[Importe]",
TDinamica_R!$A$5,
"[Calendario].[AñoMes]",
"[Calendario].[AñoMes].&amp;[" &amp; TEXT(AU$6,"yyyymm")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V65" s="8">
        <f>IFERROR(
GETPIVOTDATA(
"[Base].[Importe]",
TDinamica_R!$A$5,
"[Calendario].[AñoMes]",
"[Calendario].[AñoMes].&amp;[" &amp; TEXT(AV$6,"yyyymm")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W65" s="8">
        <f>IFERROR(
GETPIVOTDATA(
"[Base].[Importe]",
TDinamica_R!$A$5,
"[Calendario].[AñoMes]",
"[Calendario].[AñoMes].&amp;[" &amp; TEXT(AW$6,"yyyymm")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X65" s="8">
        <f>IFERROR(
GETPIVOTDATA(
"[Base].[Importe]",
TDinamica_R!$A$5,
"[Calendario].[AñoMes]",
"[Calendario].[AñoMes].&amp;[" &amp; TEXT(AX$6,"yyyymm")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Y65" s="8">
        <f>IFERROR(
GETPIVOTDATA(
"[Base].[Importe]",
TDinamica_R!$A$5,
"[Calendario].[AñoMes]",
"[Calendario].[AñoMes].&amp;[" &amp; TEXT(AY$6,"yyyymm") &amp; "]",
"[Base].[Metrica]",
"[Base].[Metrica].&amp;[" &amp; $A65 &amp; "]",
"[Base].[SEGMENTO_DESCRIP]",
"[Base].[SEGMENTO_DESCRIP].&amp;[" &amp; $C$6 &amp; "]",
"[Base].[SITUACION]",
"[Base].[SITUACION].&amp;[" &amp; $C65 &amp; "]"
),0)/1000</f>
        <v>0</v>
      </c>
      <c r="AZ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"[BASE_HIPO_PPTO].[Periodo]","[BASE_HIPO_PPTO].[Periodo].&amp;["&amp;TEXT(AZ$6,"yyyymm")&amp;"]"),
0)/1000</f>
        <v>3.0073136391620019</v>
      </c>
      <c r="BA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"[BASE_HIPO_PPTO].[Periodo]","[BASE_HIPO_PPTO].[Periodo].&amp;["&amp;TEXT(BA$6,"yyyymm")&amp;"]"),
0)/1000</f>
        <v>3.0073136391620019</v>
      </c>
      <c r="BB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"[BASE_HIPO_PPTO].[Periodo]","[BASE_HIPO_PPTO].[Periodo].&amp;["&amp;TEXT(BB$6,"yyyymm")&amp;"]"),
0)/1000</f>
        <v>3.0073136391620019</v>
      </c>
      <c r="BC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"[BASE_HIPO_PPTO].[Periodo]","[BASE_HIPO_PPTO].[Periodo].&amp;["&amp;TEXT(BC$6,"yyyymm")&amp;"]"),
0)/1000</f>
        <v>3.0073136391620019</v>
      </c>
      <c r="BD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"[BASE_HIPO_PPTO].[Periodo]","[BASE_HIPO_PPTO].[Periodo].&amp;["&amp;TEXT(BD$6,"yyyymm")&amp;"]"),
0)/1000</f>
        <v>3.0073136391620019</v>
      </c>
      <c r="BE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"[BASE_HIPO_PPTO].[Periodo]","[BASE_HIPO_PPTO].[Periodo].&amp;["&amp;TEXT(BE$6,"yyyymm")&amp;"]"),
0)/1000</f>
        <v>3.0073136391620019</v>
      </c>
      <c r="BF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"[BASE_HIPO_PPTO].[Periodo]","[BASE_HIPO_PPTO].[Periodo].&amp;["&amp;TEXT(BF$6,"yyyymm")&amp;"]"),
0)/1000</f>
        <v>3.0073136391620019</v>
      </c>
      <c r="BG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"[BASE_HIPO_PPTO].[Periodo]","[BASE_HIPO_PPTO].[Periodo].&amp;["&amp;TEXT(BG$6,"yyyymm")&amp;"]"),
0)/1000</f>
        <v>3.0073136391620019</v>
      </c>
      <c r="BH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"[BASE_HIPO_PPTO].[Periodo]","[BASE_HIPO_PPTO].[Periodo].&amp;["&amp;TEXT(BH$6,"yyyymm")&amp;"]"),
0)/1000</f>
        <v>3.0073136391620019</v>
      </c>
      <c r="BI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"[BASE_HIPO_PPTO].[Periodo]","[BASE_HIPO_PPTO].[Periodo].&amp;["&amp;TEXT(BI$6,"yyyymm")&amp;"]"),
0)/1000</f>
        <v>3.0073136391620019</v>
      </c>
      <c r="BJ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"[BASE_HIPO_PPTO].[Periodo]","[BASE_HIPO_PPTO].[Periodo].&amp;["&amp;TEXT(BJ$6,"yyyymm")&amp;"]"),
0)/1000</f>
        <v>3.0073136391620019</v>
      </c>
      <c r="BK65" s="8">
        <f>IFERROR(
GETPIVOTDATA(
"[BASE_HIPO_PPTO].[Importe]",
TDinamica_P!$A$5,
"[BASE_HIPO_PPTO].[Metrica]","[BASE_HIPO_PPTO].[Metrica].&amp;["&amp;$A65&amp;"]",
"[BASE_HIPO_PPTO].[SEGMENTO_DESCRIP]","[BASE_HIPO_PPTO].[SEGMENTO_DESCRIP].&amp;["&amp;$C$6&amp;"]",
"[BASE_HIPO_PPTO].[SITUACION]","[BASE_HIPO_PPTO].[SITUACION].&amp;["&amp;$C65&amp;"]",
"[BASE_HIPO_PPTO].[Periodo]","[BASE_HIPO_PPTO].[Periodo].&amp;["&amp;TEXT(BK$6,"yyyymm")&amp;"]"),
0)/1000</f>
        <v>3.0073136391620019</v>
      </c>
      <c r="BO65" s="24">
        <f t="shared" si="63"/>
        <v>17.557699442133291</v>
      </c>
      <c r="BP65" s="24">
        <f t="shared" si="63"/>
        <v>9.0219409174860061</v>
      </c>
      <c r="BQ65" s="24">
        <f t="shared" si="63"/>
        <v>9.620918081390224</v>
      </c>
      <c r="BR65" s="24">
        <f t="shared" si="63"/>
        <v>-0.46695007854000015</v>
      </c>
      <c r="BS65" s="24">
        <f t="shared" si="63"/>
        <v>-1.64682931579</v>
      </c>
      <c r="BT65" s="24">
        <f t="shared" si="63"/>
        <v>-0.85639055304</v>
      </c>
    </row>
    <row r="66" spans="1:72" hidden="1" outlineLevel="1" x14ac:dyDescent="0.25">
      <c r="A66" s="11" t="s">
        <v>71</v>
      </c>
      <c r="C66" s="2" t="s">
        <v>129</v>
      </c>
      <c r="D66" s="8">
        <f>IFERROR(
GETPIVOTDATA(
"[Base].[Importe]",
TDinamica_R!$A$5,
"[Calendario].[AñoMes]",
"[Calendario].[AñoMes].&amp;[" &amp; TEXT(D$6,"yyyymm") &amp; "]",
"[Base].[Metrica]",
"[Base].[Metrica].&amp;[" &amp; $A66 &amp; "]",
"[Base].[SEGMENTO_DESCRIP]",
"[Base].[SEGMENTO_DESCRIP].&amp;[" &amp; $C$6 &amp; "]",
"[Base].[SITUACION]",
"[Base].[SITUACION].&amp;[" &amp; $C66 &amp; "]"
),0)/1000</f>
        <v>9.2499999999999995E-3</v>
      </c>
      <c r="E66" s="8">
        <f>IFERROR(
GETPIVOTDATA(
"[Base].[Importe]",
TDinamica_R!$A$5,
"[Calendario].[AñoMes]",
"[Calendario].[AñoMes].&amp;[" &amp; TEXT(E$6,"yyyymm")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F66" s="8">
        <f>IFERROR(
GETPIVOTDATA(
"[Base].[Importe]",
TDinamica_R!$A$5,
"[Calendario].[AñoMes]",
"[Calendario].[AñoMes].&amp;[" &amp; TEXT(F$6,"yyyymm") &amp; "]",
"[Base].[Metrica]",
"[Base].[Metrica].&amp;[" &amp; $A66 &amp; "]",
"[Base].[SEGMENTO_DESCRIP]",
"[Base].[SEGMENTO_DESCRIP].&amp;[" &amp; $C$6 &amp; "]",
"[Base].[SITUACION]",
"[Base].[SITUACION].&amp;[" &amp; $C66 &amp; "]"
),0)/1000</f>
        <v>4.2659599997999995E-2</v>
      </c>
      <c r="G66" s="8">
        <f>IFERROR(
GETPIVOTDATA(
"[Base].[Importe]",
TDinamica_R!$A$5,
"[Calendario].[AñoMes]",
"[Calendario].[AñoMes].&amp;[" &amp; TEXT(G$6,"yyyymm") &amp; "]",
"[Base].[Metrica]",
"[Base].[Metrica].&amp;[" &amp; $A66 &amp; "]",
"[Base].[SEGMENTO_DESCRIP]",
"[Base].[SEGMENTO_DESCRIP].&amp;[" &amp; $C$6 &amp; "]",
"[Base].[SITUACION]",
"[Base].[SITUACION].&amp;[" &amp; $C66 &amp; "]"
),0)/1000</f>
        <v>3.3496679995999999E-2</v>
      </c>
      <c r="H66" s="8">
        <f>IFERROR(
GETPIVOTDATA(
"[Base].[Importe]",
TDinamica_R!$A$5,
"[Calendario].[AñoMes]",
"[Calendario].[AñoMes].&amp;[" &amp; TEXT(H$6,"yyyymm") &amp; "]",
"[Base].[Metrica]",
"[Base].[Metrica].&amp;[" &amp; $A66 &amp; "]",
"[Base].[SEGMENTO_DESCRIP]",
"[Base].[SEGMENTO_DESCRIP].&amp;[" &amp; $C$6 &amp; "]",
"[Base].[SITUACION]",
"[Base].[SITUACION].&amp;[" &amp; $C66 &amp; "]"
),0)/1000</f>
        <v>9.5500000030000008E-3</v>
      </c>
      <c r="I66" s="8">
        <f>IFERROR(
GETPIVOTDATA(
"[Base].[Importe]",
TDinamica_R!$A$5,
"[Calendario].[AñoMes]",
"[Calendario].[AñoMes].&amp;[" &amp; TEXT(I$6,"yyyymm") &amp; "]",
"[Base].[Metrica]",
"[Base].[Metrica].&amp;[" &amp; $A66 &amp; "]",
"[Base].[SEGMENTO_DESCRIP]",
"[Base].[SEGMENTO_DESCRIP].&amp;[" &amp; $C$6 &amp; "]",
"[Base].[SITUACION]",
"[Base].[SITUACION].&amp;[" &amp; $C66 &amp; "]"
),0)/1000</f>
        <v>3.2989999996999995E-2</v>
      </c>
      <c r="J66" s="8">
        <f>IFERROR(
GETPIVOTDATA(
"[Base].[Importe]",
TDinamica_R!$A$5,
"[Calendario].[AñoMes]",
"[Calendario].[AñoMes].&amp;[" &amp; TEXT(J$6,"yyyymm") &amp; "]",
"[Base].[Metrica]",
"[Base].[Metrica].&amp;[" &amp; $A66 &amp; "]",
"[Base].[SEGMENTO_DESCRIP]",
"[Base].[SEGMENTO_DESCRIP].&amp;[" &amp; $C$6 &amp; "]",
"[Base].[SITUACION]",
"[Base].[SITUACION].&amp;[" &amp; $C66 &amp; "]"
),0)/1000</f>
        <v>1.9280630004000002E-2</v>
      </c>
      <c r="K66" s="8">
        <f>IFERROR(
GETPIVOTDATA(
"[Base].[Importe]",
TDinamica_R!$A$5,
"[Calendario].[AñoMes]",
"[Calendario].[AñoMes].&amp;[" &amp; TEXT(K$6,"yyyymm") &amp; "]",
"[Base].[Metrica]",
"[Base].[Metrica].&amp;[" &amp; $A66 &amp; "]",
"[Base].[SEGMENTO_DESCRIP]",
"[Base].[SEGMENTO_DESCRIP].&amp;[" &amp; $C$6 &amp; "]",
"[Base].[SITUACION]",
"[Base].[SITUACION].&amp;[" &amp; $C66 &amp; "]"
),0)/1000</f>
        <v>9.7900000000000001E-3</v>
      </c>
      <c r="L66" s="8">
        <f>IFERROR(
GETPIVOTDATA(
"[Base].[Importe]",
TDinamica_R!$A$5,
"[Calendario].[AñoMes]",
"[Calendario].[AñoMes].&amp;[" &amp; TEXT(L$6,"yyyymm") &amp; "]",
"[Base].[Metrica]",
"[Base].[Metrica].&amp;[" &amp; $A66 &amp; "]",
"[Base].[SEGMENTO_DESCRIP]",
"[Base].[SEGMENTO_DESCRIP].&amp;[" &amp; $C$6 &amp; "]",
"[Base].[SITUACION]",
"[Base].[SITUACION].&amp;[" &amp; $C66 &amp; "]"
),0)/1000</f>
        <v>9.9000000009999995E-3</v>
      </c>
      <c r="M66" s="8">
        <f>IFERROR(
GETPIVOTDATA(
"[Base].[Importe]",
TDinamica_R!$A$5,
"[Calendario].[AñoMes]",
"[Calendario].[AñoMes].&amp;[" &amp; TEXT(M$6,"yyyymm") &amp; "]",
"[Base].[Metrica]",
"[Base].[Metrica].&amp;[" &amp; $A66 &amp; "]",
"[Base].[SEGMENTO_DESCRIP]",
"[Base].[SEGMENTO_DESCRIP].&amp;[" &amp; $C$6 &amp; "]",
"[Base].[SITUACION]",
"[Base].[SITUACION].&amp;[" &amp; $C66 &amp; "]"
),0)/1000</f>
        <v>9.9600000000000001E-3</v>
      </c>
      <c r="N66" s="8">
        <f>IFERROR(
GETPIVOTDATA(
"[Base].[Importe]",
TDinamica_R!$A$5,
"[Calendario].[AñoMes]",
"[Calendario].[AñoMes].&amp;[" &amp; TEXT(N$6,"yyyymm") &amp; "]",
"[Base].[Metrica]",
"[Base].[Metrica].&amp;[" &amp; $A66 &amp; "]",
"[Base].[SEGMENTO_DESCRIP]",
"[Base].[SEGMENTO_DESCRIP].&amp;[" &amp; $C$6 &amp; "]",
"[Base].[SITUACION]",
"[Base].[SITUACION].&amp;[" &amp; $C66 &amp; "]"
),0)/1000</f>
        <v>1.0060000000000001E-2</v>
      </c>
      <c r="O66" s="8">
        <f>IFERROR(
GETPIVOTDATA(
"[Base].[Importe]",
TDinamica_R!$A$5,
"[Calendario].[AñoMes]",
"[Calendario].[AñoMes].&amp;[" &amp; TEXT(O$6,"yyyymm") &amp; "]",
"[Base].[Metrica]",
"[Base].[Metrica].&amp;[" &amp; $A66 &amp; "]",
"[Base].[SEGMENTO_DESCRIP]",
"[Base].[SEGMENTO_DESCRIP].&amp;[" &amp; $C$6 &amp; "]",
"[Base].[SITUACION]",
"[Base].[SITUACION].&amp;[" &amp; $C66 &amp; "]"
),0)/1000</f>
        <v>1.0119999997000001E-2</v>
      </c>
      <c r="P66" s="8">
        <f>IFERROR(
GETPIVOTDATA(
"[Base].[Importe]",
TDinamica_R!$A$5,
"[Calendario].[AñoMes]",
"[Calendario].[AñoMes].&amp;[" &amp; TEXT(P$6,"yyyymm") &amp; "]",
"[Base].[Metrica]",
"[Base].[Metrica].&amp;[" &amp; $A66 &amp; "]",
"[Base].[SEGMENTO_DESCRIP]",
"[Base].[SEGMENTO_DESCRIP].&amp;[" &amp; $C$6 &amp; "]",
"[Base].[SITUACION]",
"[Base].[SITUACION].&amp;[" &amp; $C66 &amp; "]"
),0)/1000</f>
        <v>1.0199999999E-2</v>
      </c>
      <c r="Q66" s="8">
        <f>IFERROR(
GETPIVOTDATA(
"[Base].[Importe]",
TDinamica_R!$A$5,
"[Calendario].[AñoMes]",
"[Calendario].[AñoMes].&amp;[" &amp; TEXT(Q$6,"yyyymm") &amp; "]",
"[Base].[Metrica]",
"[Base].[Metrica].&amp;[" &amp; $A66 &amp; "]",
"[Base].[SEGMENTO_DESCRIP]",
"[Base].[SEGMENTO_DESCRIP].&amp;[" &amp; $C$6 &amp; "]",
"[Base].[SITUACION]",
"[Base].[SITUACION].&amp;[" &amp; $C66 &amp; "]"
),0)/1000</f>
        <v>1.0300000004000002E-2</v>
      </c>
      <c r="R66" s="8">
        <f>IFERROR(
GETPIVOTDATA(
"[Base].[Importe]",
TDinamica_R!$A$5,
"[Calendario].[AñoMes]",
"[Calendario].[AñoMes].&amp;[" &amp; TEXT(R$6,"yyyymm") &amp; "]",
"[Base].[Metrica]",
"[Base].[Metrica].&amp;[" &amp; $A66 &amp; "]",
"[Base].[SEGMENTO_DESCRIP]",
"[Base].[SEGMENTO_DESCRIP].&amp;[" &amp; $C$6 &amp; "]",
"[Base].[SITUACION]",
"[Base].[SITUACION].&amp;[" &amp; $C66 &amp; "]"
),0)/1000</f>
        <v>1.0370000000000001E-2</v>
      </c>
      <c r="S66" s="8">
        <f>IFERROR(
GETPIVOTDATA(
"[Base].[Importe]",
TDinamica_R!$A$5,
"[Calendario].[AñoMes]",
"[Calendario].[AñoMes].&amp;[" &amp; TEXT(S$6,"yyyymm")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T66" s="8">
        <f>IFERROR(
GETPIVOTDATA(
"[Base].[Importe]",
TDinamica_R!$A$5,
"[Calendario].[AñoMes]",
"[Calendario].[AñoMes].&amp;[" &amp; TEXT(T$6,"yyyymm") &amp; "]",
"[Base].[Metrica]",
"[Base].[Metrica].&amp;[" &amp; $A66 &amp; "]",
"[Base].[SEGMENTO_DESCRIP]",
"[Base].[SEGMENTO_DESCRIP].&amp;[" &amp; $C$6 &amp; "]",
"[Base].[SITUACION]",
"[Base].[SITUACION].&amp;[" &amp; $C66 &amp; "]"
),0)/1000</f>
        <v>2.3140000000999996E-2</v>
      </c>
      <c r="U66" s="8">
        <f>IFERROR(
GETPIVOTDATA(
"[Base].[Importe]",
TDinamica_R!$A$5,
"[Calendario].[AñoMes]",
"[Calendario].[AñoMes].&amp;[" &amp; TEXT(U$6,"yyyymm")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V66" s="8">
        <f>IFERROR(
GETPIVOTDATA(
"[Base].[Importe]",
TDinamica_R!$A$5,
"[Calendario].[AñoMes]",
"[Calendario].[AñoMes].&amp;[" &amp; TEXT(V$6,"yyyymm")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W66" s="8">
        <f>IFERROR(
GETPIVOTDATA(
"[Base].[Importe]",
TDinamica_R!$A$5,
"[Calendario].[AñoMes]",
"[Calendario].[AñoMes].&amp;[" &amp; TEXT(W$6,"yyyymm")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X66" s="8">
        <f>IFERROR(
GETPIVOTDATA(
"[Base].[Importe]",
TDinamica_R!$A$5,
"[Calendario].[AñoMes]",
"[Calendario].[AñoMes].&amp;[" &amp; TEXT(X$6,"yyyymm")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Y66" s="8">
        <f>IFERROR(
GETPIVOTDATA(
"[Base].[Importe]",
TDinamica_R!$A$5,
"[Calendario].[AñoMes]",
"[Calendario].[AñoMes].&amp;[" &amp; TEXT(Y$6,"yyyymm")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Z66" s="8">
        <f>IFERROR(
GETPIVOTDATA(
"[Base].[Importe]",
TDinamica_R!$A$5,
"[Calendario].[AñoMes]",
"[Calendario].[AñoMes].&amp;[" &amp; TEXT(Z$6,"yyyymm")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A66" s="8">
        <f>IFERROR(
GETPIVOTDATA(
"[Base].[Importe]",
TDinamica_R!$A$5,
"[Calendario].[AñoMes]",
"[Calendario].[AñoMes].&amp;[" &amp; TEXT(AA$6,"yyyymm")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B66" s="8">
        <f>IFERROR(
GETPIVOTDATA(
"[Base].[Importe]",
TDinamica_R!$A$5,
"[Calendario].[AñoMes]",
"[Calendario].[AñoMes].&amp;[" &amp; TEXT(AB$6,"yyyymm")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C66" s="8">
        <f>IFERROR(
GETPIVOTDATA(
"[Base].[Importe]",
TDinamica_R!$A$5,
"[Calendario].[AñoMes]",
"[Calendario].[AñoMes].&amp;[" &amp; TEXT(AC$6,"yyyymm")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D66" s="8">
        <f>IFERROR(
GETPIVOTDATA(
"[Base].[Importe]",
TDinamica_R!$A$5,
"[Calendario].[AñoMes]",
"[Calendario].[AñoMes].&amp;[" &amp; TEXT(AD$6,"yyyymm")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E66" s="8">
        <f>IFERROR(
GETPIVOTDATA(
"[Base].[Importe]",
TDinamica_R!$A$5,
"[Calendario].[AñoMes]",
"[Calendario].[AñoMes].&amp;[" &amp; TEXT(AE$6,"yyyymm")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F66" s="8">
        <f>IFERROR(
GETPIVOTDATA(
"[Base].[Importe]",
TDinamica_R!$A$5,
"[Calendario].[AñoMes]",
"[Calendario].[AñoMes].&amp;[" &amp; TEXT(AF$6,"yyyymm")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G66" s="8">
        <f>IFERROR(
GETPIVOTDATA(
"[Base].[Importe]",
TDinamica_R!$A$5,
"[Calendario].[AñoMes]",
"[Calendario].[AñoMes].&amp;[" &amp; TEXT(AG$6,"yyyymm")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H66" s="8">
        <f>IFERROR(
GETPIVOTDATA(
"[Base].[Importe]",
TDinamica_R!$A$5,
"[Calendario].[AñoMes]",
"[Calendario].[AñoMes].&amp;[" &amp; TEXT(AH$6,"yyyymm")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I66" s="8">
        <f>IFERROR(
GETPIVOTDATA(
"[Base].[Importe]",
TDinamica_R!$A$5,
"[Calendario].[AñoMes]",
"[Calendario].[AñoMes].&amp;[" &amp; TEXT(AI$6,"yyyymm")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J66" s="8">
        <f>IFERROR(
GETPIVOTDATA(
"[Base].[Importe]",
TDinamica_R!$A$5,
"[Calendario].[AñoMes]",
"[Calendario].[AñoMes].&amp;[" &amp; TEXT(AJ$6,"yyyymm")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K66" s="8">
        <f>IFERROR(
GETPIVOTDATA(
"[Base].[Importe]",
TDinamica_R!$A$5,
"[Calendario].[AñoMes]",
"[Calendario].[AñoMes].&amp;[" &amp; TEXT(AK$6,"yyyymm")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L66" s="8">
        <f>IFERROR(
GETPIVOTDATA(
"[Base].[Importe]",
TDinamica_R!$A$5,
"[Calendario].[AñoMes]",
"[Calendario].[AñoMes].&amp;[" &amp; TEXT(AL$6,"yyyymm")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M66" s="8">
        <f>IFERROR(
GETPIVOTDATA(
"[Base].[Importe]",
TDinamica_R!$A$5,
"[Calendario].[AñoMes]",
"[Calendario].[AñoMes].&amp;[" &amp; TEXT(AM$6,"yyyymm")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N66" s="8">
        <f>IFERROR(
GETPIVOTDATA(
"[Base].[Importe]",
TDinamica_R!$A$5,
"[Calendario].[AñoMes]",
"[Calendario].[AñoMes].&amp;[" &amp; TEXT(AN$6,"yyyymm")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O66" s="8">
        <f>IFERROR(
GETPIVOTDATA(
"[Base].[Importe]",
TDinamica_R!$A$5,
"[Calendario].[AñoMes]",
"[Calendario].[AñoMes].&amp;[" &amp; TEXT(AO$6,"yyyymm")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P66" s="8">
        <f>IFERROR(
GETPIVOTDATA(
"[Base].[Importe]",
TDinamica_R!$A$5,
"[Calendario].[AñoMes]",
"[Calendario].[AñoMes].&amp;[" &amp; TEXT(AP$6,"yyyymm")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Q66" s="8">
        <f>IFERROR(
GETPIVOTDATA(
"[Base].[Importe]",
TDinamica_R!$A$5,
"[Calendario].[AñoMes]",
"[Calendario].[AñoMes].&amp;[" &amp; TEXT(AQ$6,"yyyymm") &amp; "]",
"[Base].[Metrica]",
"[Base].[Metrica].&amp;[" &amp; $A66 &amp; "]",
"[Base].[SEGMENTO_DESCRIP]",
"[Base].[SEGMENTO_DESCRIP].&amp;[" &amp; $C$6 &amp; "]",
"[Base].[SITUACION]",
"[Base].[SITUACION].&amp;[" &amp; $C66 &amp; "]"
),0)/1000</f>
        <v>0.26000000000000006</v>
      </c>
      <c r="AR66" s="8">
        <f>IFERROR(
GETPIVOTDATA(
"[Base].[Importe]",
TDinamica_R!$A$5,
"[Calendario].[AñoMes]",
"[Calendario].[AñoMes].&amp;[" &amp; TEXT(AR$6,"yyyymm")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S66" s="8">
        <f>IFERROR(
GETPIVOTDATA(
"[Base].[Importe]",
TDinamica_R!$A$5,
"[Calendario].[AñoMes]",
"[Calendario].[AñoMes].&amp;[" &amp; TEXT(AS$6,"yyyymm")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T66" s="8">
        <f>IFERROR(
GETPIVOTDATA(
"[Base].[Importe]",
TDinamica_R!$A$5,
"[Calendario].[AñoMes]",
"[Calendario].[AñoMes].&amp;[" &amp; TEXT(AT$6,"yyyymm")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U66" s="8">
        <f>IFERROR(
GETPIVOTDATA(
"[Base].[Importe]",
TDinamica_R!$A$5,
"[Calendario].[AñoMes]",
"[Calendario].[AñoMes].&amp;[" &amp; TEXT(AU$6,"yyyymm")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V66" s="8">
        <f>IFERROR(
GETPIVOTDATA(
"[Base].[Importe]",
TDinamica_R!$A$5,
"[Calendario].[AñoMes]",
"[Calendario].[AñoMes].&amp;[" &amp; TEXT(AV$6,"yyyymm")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W66" s="8">
        <f>IFERROR(
GETPIVOTDATA(
"[Base].[Importe]",
TDinamica_R!$A$5,
"[Calendario].[AñoMes]",
"[Calendario].[AñoMes].&amp;[" &amp; TEXT(AW$6,"yyyymm")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X66" s="8">
        <f>IFERROR(
GETPIVOTDATA(
"[Base].[Importe]",
TDinamica_R!$A$5,
"[Calendario].[AñoMes]",
"[Calendario].[AñoMes].&amp;[" &amp; TEXT(AX$6,"yyyymm")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Y66" s="8">
        <f>IFERROR(
GETPIVOTDATA(
"[Base].[Importe]",
TDinamica_R!$A$5,
"[Calendario].[AñoMes]",
"[Calendario].[AñoMes].&amp;[" &amp; TEXT(AY$6,"yyyymm") &amp; "]",
"[Base].[Metrica]",
"[Base].[Metrica].&amp;[" &amp; $A66 &amp; "]",
"[Base].[SEGMENTO_DESCRIP]",
"[Base].[SEGMENTO_DESCRIP].&amp;[" &amp; $C$6 &amp; "]",
"[Base].[SITUACION]",
"[Base].[SITUACION].&amp;[" &amp; $C66 &amp; "]"
),0)/1000</f>
        <v>0</v>
      </c>
      <c r="AZ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"[BASE_HIPO_PPTO].[Periodo]","[BASE_HIPO_PPTO].[Periodo].&amp;["&amp;TEXT(AZ$6,"yyyymm")&amp;"]"),
0)/1000</f>
        <v>0</v>
      </c>
      <c r="BA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"[BASE_HIPO_PPTO].[Periodo]","[BASE_HIPO_PPTO].[Periodo].&amp;["&amp;TEXT(BA$6,"yyyymm")&amp;"]"),
0)/1000</f>
        <v>0</v>
      </c>
      <c r="BB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"[BASE_HIPO_PPTO].[Periodo]","[BASE_HIPO_PPTO].[Periodo].&amp;["&amp;TEXT(BB$6,"yyyymm")&amp;"]"),
0)/1000</f>
        <v>0</v>
      </c>
      <c r="BC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"[BASE_HIPO_PPTO].[Periodo]","[BASE_HIPO_PPTO].[Periodo].&amp;["&amp;TEXT(BC$6,"yyyymm")&amp;"]"),
0)/1000</f>
        <v>0</v>
      </c>
      <c r="BD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"[BASE_HIPO_PPTO].[Periodo]","[BASE_HIPO_PPTO].[Periodo].&amp;["&amp;TEXT(BD$6,"yyyymm")&amp;"]"),
0)/1000</f>
        <v>0</v>
      </c>
      <c r="BE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"[BASE_HIPO_PPTO].[Periodo]","[BASE_HIPO_PPTO].[Periodo].&amp;["&amp;TEXT(BE$6,"yyyymm")&amp;"]"),
0)/1000</f>
        <v>0</v>
      </c>
      <c r="BF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"[BASE_HIPO_PPTO].[Periodo]","[BASE_HIPO_PPTO].[Periodo].&amp;["&amp;TEXT(BF$6,"yyyymm")&amp;"]"),
0)/1000</f>
        <v>0</v>
      </c>
      <c r="BG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"[BASE_HIPO_PPTO].[Periodo]","[BASE_HIPO_PPTO].[Periodo].&amp;["&amp;TEXT(BG$6,"yyyymm")&amp;"]"),
0)/1000</f>
        <v>0</v>
      </c>
      <c r="BH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"[BASE_HIPO_PPTO].[Periodo]","[BASE_HIPO_PPTO].[Periodo].&amp;["&amp;TEXT(BH$6,"yyyymm")&amp;"]"),
0)/1000</f>
        <v>0</v>
      </c>
      <c r="BI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"[BASE_HIPO_PPTO].[Periodo]","[BASE_HIPO_PPTO].[Periodo].&amp;["&amp;TEXT(BI$6,"yyyymm")&amp;"]"),
0)/1000</f>
        <v>0</v>
      </c>
      <c r="BJ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"[BASE_HIPO_PPTO].[Periodo]","[BASE_HIPO_PPTO].[Periodo].&amp;["&amp;TEXT(BJ$6,"yyyymm")&amp;"]"),
0)/1000</f>
        <v>0</v>
      </c>
      <c r="BK66" s="8">
        <f>IFERROR(
GETPIVOTDATA(
"[BASE_HIPO_PPTO].[Importe]",
TDinamica_P!$A$5,
"[BASE_HIPO_PPTO].[Metrica]","[BASE_HIPO_PPTO].[Metrica].&amp;["&amp;$A66&amp;"]",
"[BASE_HIPO_PPTO].[SEGMENTO_DESCRIP]","[BASE_HIPO_PPTO].[SEGMENTO_DESCRIP].&amp;["&amp;$C$6&amp;"]",
"[BASE_HIPO_PPTO].[SITUACION]","[BASE_HIPO_PPTO].[SITUACION].&amp;["&amp;$C66&amp;"]",
"[BASE_HIPO_PPTO].[Periodo]","[BASE_HIPO_PPTO].[Periodo].&amp;["&amp;TEXT(BK$6,"yyyymm")&amp;"]"),
0)/1000</f>
        <v>0</v>
      </c>
      <c r="BO66" s="24">
        <f t="shared" si="63"/>
        <v>0</v>
      </c>
      <c r="BP66" s="24">
        <f t="shared" si="63"/>
        <v>0</v>
      </c>
      <c r="BQ66" s="24">
        <f t="shared" si="63"/>
        <v>0</v>
      </c>
      <c r="BR66" s="24">
        <f t="shared" si="63"/>
        <v>0</v>
      </c>
      <c r="BS66" s="24">
        <f t="shared" si="63"/>
        <v>3.0870000003000001E-2</v>
      </c>
      <c r="BT66" s="24">
        <f t="shared" si="63"/>
        <v>5.1909599997999996E-2</v>
      </c>
    </row>
    <row r="67" spans="1:72" hidden="1" outlineLevel="1" x14ac:dyDescent="0.25">
      <c r="A67" s="11" t="s">
        <v>71</v>
      </c>
      <c r="C67" s="2"/>
      <c r="D67" s="8">
        <f>IFERROR(
GETPIVOTDATA(
"[Base].[Importe]",
TDinamica_R!$A$5,
"[Calendario].[AñoMes]",
"[Calendario].[AñoMes].&amp;[" &amp; TEXT(D$6,"yyyymm")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E67" s="8">
        <f>IFERROR(
GETPIVOTDATA(
"[Base].[Importe]",
TDinamica_R!$A$5,
"[Calendario].[AñoMes]",
"[Calendario].[AñoMes].&amp;[" &amp; TEXT(E$6,"yyyymm")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F67" s="8">
        <f>IFERROR(
GETPIVOTDATA(
"[Base].[Importe]",
TDinamica_R!$A$5,
"[Calendario].[AñoMes]",
"[Calendario].[AñoMes].&amp;[" &amp; TEXT(F$6,"yyyymm")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G67" s="8">
        <f>IFERROR(
GETPIVOTDATA(
"[Base].[Importe]",
TDinamica_R!$A$5,
"[Calendario].[AñoMes]",
"[Calendario].[AñoMes].&amp;[" &amp; TEXT(G$6,"yyyymm")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H67" s="8">
        <f>IFERROR(
GETPIVOTDATA(
"[Base].[Importe]",
TDinamica_R!$A$5,
"[Calendario].[AñoMes]",
"[Calendario].[AñoMes].&amp;[" &amp; TEXT(H$6,"yyyymm")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I67" s="8">
        <f>IFERROR(
GETPIVOTDATA(
"[Base].[Importe]",
TDinamica_R!$A$5,
"[Calendario].[AñoMes]",
"[Calendario].[AñoMes].&amp;[" &amp; TEXT(I$6,"yyyymm")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J67" s="8">
        <f>IFERROR(
GETPIVOTDATA(
"[Base].[Importe]",
TDinamica_R!$A$5,
"[Calendario].[AñoMes]",
"[Calendario].[AñoMes].&amp;[" &amp; TEXT(J$6,"yyyymm")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K67" s="8">
        <f>IFERROR(
GETPIVOTDATA(
"[Base].[Importe]",
TDinamica_R!$A$5,
"[Calendario].[AñoMes]",
"[Calendario].[AñoMes].&amp;[" &amp; TEXT(K$6,"yyyymm")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L67" s="8">
        <f>IFERROR(
GETPIVOTDATA(
"[Base].[Importe]",
TDinamica_R!$A$5,
"[Calendario].[AñoMes]",
"[Calendario].[AñoMes].&amp;[" &amp; TEXT(L$6,"yyyymm")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M67" s="8">
        <f>IFERROR(
GETPIVOTDATA(
"[Base].[Importe]",
TDinamica_R!$A$5,
"[Calendario].[AñoMes]",
"[Calendario].[AñoMes].&amp;[" &amp; TEXT(M$6,"yyyymm")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N67" s="8">
        <f>IFERROR(
GETPIVOTDATA(
"[Base].[Importe]",
TDinamica_R!$A$5,
"[Calendario].[AñoMes]",
"[Calendario].[AñoMes].&amp;[" &amp; TEXT(N$6,"yyyymm")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O67" s="8">
        <f>IFERROR(
GETPIVOTDATA(
"[Base].[Importe]",
TDinamica_R!$A$5,
"[Calendario].[AñoMes]",
"[Calendario].[AñoMes].&amp;[" &amp; TEXT(O$6,"yyyymm")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P67" s="8">
        <f>IFERROR(
GETPIVOTDATA(
"[Base].[Importe]",
TDinamica_R!$A$5,
"[Calendario].[AñoMes]",
"[Calendario].[AñoMes].&amp;[" &amp; TEXT(P$6,"yyyymm")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Q67" s="8">
        <f>IFERROR(
GETPIVOTDATA(
"[Base].[Importe]",
TDinamica_R!$A$5,
"[Calendario].[AñoMes]",
"[Calendario].[AñoMes].&amp;[" &amp; TEXT(Q$6,"yyyymm")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R67" s="8">
        <f>IFERROR(
GETPIVOTDATA(
"[Base].[Importe]",
TDinamica_R!$A$5,
"[Calendario].[AñoMes]",
"[Calendario].[AñoMes].&amp;[" &amp; TEXT(R$6,"yyyymm")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S67" s="8">
        <f>IFERROR(
GETPIVOTDATA(
"[Base].[Importe]",
TDinamica_R!$A$5,
"[Calendario].[AñoMes]",
"[Calendario].[AñoMes].&amp;[" &amp; TEXT(S$6,"yyyymm")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T67" s="8">
        <f>IFERROR(
GETPIVOTDATA(
"[Base].[Importe]",
TDinamica_R!$A$5,
"[Calendario].[AñoMes]",
"[Calendario].[AñoMes].&amp;[" &amp; TEXT(T$6,"yyyymm")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U67" s="8">
        <f>IFERROR(
GETPIVOTDATA(
"[Base].[Importe]",
TDinamica_R!$A$5,
"[Calendario].[AñoMes]",
"[Calendario].[AñoMes].&amp;[" &amp; TEXT(U$6,"yyyymm")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V67" s="8">
        <f>IFERROR(
GETPIVOTDATA(
"[Base].[Importe]",
TDinamica_R!$A$5,
"[Calendario].[AñoMes]",
"[Calendario].[AñoMes].&amp;[" &amp; TEXT(V$6,"yyyymm")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W67" s="8">
        <f>IFERROR(
GETPIVOTDATA(
"[Base].[Importe]",
TDinamica_R!$A$5,
"[Calendario].[AñoMes]",
"[Calendario].[AñoMes].&amp;[" &amp; TEXT(W$6,"yyyymm")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X67" s="8">
        <f>IFERROR(
GETPIVOTDATA(
"[Base].[Importe]",
TDinamica_R!$A$5,
"[Calendario].[AñoMes]",
"[Calendario].[AñoMes].&amp;[" &amp; TEXT(X$6,"yyyymm")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Y67" s="8">
        <f>IFERROR(
GETPIVOTDATA(
"[Base].[Importe]",
TDinamica_R!$A$5,
"[Calendario].[AñoMes]",
"[Calendario].[AñoMes].&amp;[" &amp; TEXT(Y$6,"yyyymm")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Z67" s="8">
        <f>IFERROR(
GETPIVOTDATA(
"[Base].[Importe]",
TDinamica_R!$A$5,
"[Calendario].[AñoMes]",
"[Calendario].[AñoMes].&amp;[" &amp; TEXT(Z$6,"yyyymm")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A67" s="8">
        <f>IFERROR(
GETPIVOTDATA(
"[Base].[Importe]",
TDinamica_R!$A$5,
"[Calendario].[AñoMes]",
"[Calendario].[AñoMes].&amp;[" &amp; TEXT(AA$6,"yyyymm")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B67" s="8">
        <f>IFERROR(
GETPIVOTDATA(
"[Base].[Importe]",
TDinamica_R!$A$5,
"[Calendario].[AñoMes]",
"[Calendario].[AñoMes].&amp;[" &amp; TEXT(AB$6,"yyyymm")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C67" s="8">
        <f>IFERROR(
GETPIVOTDATA(
"[Base].[Importe]",
TDinamica_R!$A$5,
"[Calendario].[AñoMes]",
"[Calendario].[AñoMes].&amp;[" &amp; TEXT(AC$6,"yyyymm")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D67" s="8">
        <f>IFERROR(
GETPIVOTDATA(
"[Base].[Importe]",
TDinamica_R!$A$5,
"[Calendario].[AñoMes]",
"[Calendario].[AñoMes].&amp;[" &amp; TEXT(AD$6,"yyyymm")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E67" s="8">
        <f>IFERROR(
GETPIVOTDATA(
"[Base].[Importe]",
TDinamica_R!$A$5,
"[Calendario].[AñoMes]",
"[Calendario].[AñoMes].&amp;[" &amp; TEXT(AE$6,"yyyymm")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F67" s="8">
        <f>IFERROR(
GETPIVOTDATA(
"[Base].[Importe]",
TDinamica_R!$A$5,
"[Calendario].[AñoMes]",
"[Calendario].[AñoMes].&amp;[" &amp; TEXT(AF$6,"yyyymm")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G67" s="8">
        <f>IFERROR(
GETPIVOTDATA(
"[Base].[Importe]",
TDinamica_R!$A$5,
"[Calendario].[AñoMes]",
"[Calendario].[AñoMes].&amp;[" &amp; TEXT(AG$6,"yyyymm")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H67" s="8">
        <f>IFERROR(
GETPIVOTDATA(
"[Base].[Importe]",
TDinamica_R!$A$5,
"[Calendario].[AñoMes]",
"[Calendario].[AñoMes].&amp;[" &amp; TEXT(AH$6,"yyyymm")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I67" s="8">
        <f>IFERROR(
GETPIVOTDATA(
"[Base].[Importe]",
TDinamica_R!$A$5,
"[Calendario].[AñoMes]",
"[Calendario].[AñoMes].&amp;[" &amp; TEXT(AI$6,"yyyymm")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J67" s="8">
        <f>IFERROR(
GETPIVOTDATA(
"[Base].[Importe]",
TDinamica_R!$A$5,
"[Calendario].[AñoMes]",
"[Calendario].[AñoMes].&amp;[" &amp; TEXT(AJ$6,"yyyymm")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K67" s="8">
        <f>IFERROR(
GETPIVOTDATA(
"[Base].[Importe]",
TDinamica_R!$A$5,
"[Calendario].[AñoMes]",
"[Calendario].[AñoMes].&amp;[" &amp; TEXT(AK$6,"yyyymm")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L67" s="8">
        <f>IFERROR(
GETPIVOTDATA(
"[Base].[Importe]",
TDinamica_R!$A$5,
"[Calendario].[AñoMes]",
"[Calendario].[AñoMes].&amp;[" &amp; TEXT(AL$6,"yyyymm")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M67" s="8">
        <f>IFERROR(
GETPIVOTDATA(
"[Base].[Importe]",
TDinamica_R!$A$5,
"[Calendario].[AñoMes]",
"[Calendario].[AñoMes].&amp;[" &amp; TEXT(AM$6,"yyyymm")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N67" s="8">
        <f>IFERROR(
GETPIVOTDATA(
"[Base].[Importe]",
TDinamica_R!$A$5,
"[Calendario].[AñoMes]",
"[Calendario].[AñoMes].&amp;[" &amp; TEXT(AN$6,"yyyymm")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O67" s="8">
        <f>IFERROR(
GETPIVOTDATA(
"[Base].[Importe]",
TDinamica_R!$A$5,
"[Calendario].[AñoMes]",
"[Calendario].[AñoMes].&amp;[" &amp; TEXT(AO$6,"yyyymm")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P67" s="8">
        <f>IFERROR(
GETPIVOTDATA(
"[Base].[Importe]",
TDinamica_R!$A$5,
"[Calendario].[AñoMes]",
"[Calendario].[AñoMes].&amp;[" &amp; TEXT(AP$6,"yyyymm")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Q67" s="8">
        <f>IFERROR(
GETPIVOTDATA(
"[Base].[Importe]",
TDinamica_R!$A$5,
"[Calendario].[AñoMes]",
"[Calendario].[AñoMes].&amp;[" &amp; TEXT(AQ$6,"yyyymm")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R67" s="8">
        <f>IFERROR(
GETPIVOTDATA(
"[Base].[Importe]",
TDinamica_R!$A$5,
"[Calendario].[AñoMes]",
"[Calendario].[AñoMes].&amp;[" &amp; TEXT(AR$6,"yyyymm")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S67" s="8">
        <f>IFERROR(
GETPIVOTDATA(
"[Base].[Importe]",
TDinamica_R!$A$5,
"[Calendario].[AñoMes]",
"[Calendario].[AñoMes].&amp;[" &amp; TEXT(AS$6,"yyyymm")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T67" s="8">
        <f>IFERROR(
GETPIVOTDATA(
"[Base].[Importe]",
TDinamica_R!$A$5,
"[Calendario].[AñoMes]",
"[Calendario].[AñoMes].&amp;[" &amp; TEXT(AT$6,"yyyymm")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U67" s="8">
        <f>IFERROR(
GETPIVOTDATA(
"[Base].[Importe]",
TDinamica_R!$A$5,
"[Calendario].[AñoMes]",
"[Calendario].[AñoMes].&amp;[" &amp; TEXT(AU$6,"yyyymm")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V67" s="8">
        <f>IFERROR(
GETPIVOTDATA(
"[Base].[Importe]",
TDinamica_R!$A$5,
"[Calendario].[AñoMes]",
"[Calendario].[AñoMes].&amp;[" &amp; TEXT(AV$6,"yyyymm")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W67" s="8">
        <f>IFERROR(
GETPIVOTDATA(
"[Base].[Importe]",
TDinamica_R!$A$5,
"[Calendario].[AñoMes]",
"[Calendario].[AñoMes].&amp;[" &amp; TEXT(AW$6,"yyyymm")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X67" s="8">
        <f>IFERROR(
GETPIVOTDATA(
"[Base].[Importe]",
TDinamica_R!$A$5,
"[Calendario].[AñoMes]",
"[Calendario].[AñoMes].&amp;[" &amp; TEXT(AX$6,"yyyymm")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Y67" s="8">
        <f>IFERROR(
GETPIVOTDATA(
"[Base].[Importe]",
TDinamica_R!$A$5,
"[Calendario].[AñoMes]",
"[Calendario].[AñoMes].&amp;[" &amp; TEXT(AY$6,"yyyymm") &amp; "]",
"[Base].[Metrica]",
"[Base].[Metrica].&amp;[" &amp; $A67 &amp; "]",
"[Base].[SEGMENTO_DESCRIP]",
"[Base].[SEGMENTO_DESCRIP].&amp;[" &amp; $C$6 &amp; "]",
"[Base].[SITUACION]",
"[Base].[SITUACION].&amp;[" &amp; $C67 &amp; "]"
),0)/1000</f>
        <v>0</v>
      </c>
      <c r="AZ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"[BASE_HIPO_PPTO].[Periodo]","[BASE_HIPO_PPTO].[Periodo].&amp;["&amp;TEXT(AZ$6,"yyyymm")&amp;"]"),
0)/1000</f>
        <v>0</v>
      </c>
      <c r="BA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"[BASE_HIPO_PPTO].[Periodo]","[BASE_HIPO_PPTO].[Periodo].&amp;["&amp;TEXT(BA$6,"yyyymm")&amp;"]"),
0)/1000</f>
        <v>0</v>
      </c>
      <c r="BB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"[BASE_HIPO_PPTO].[Periodo]","[BASE_HIPO_PPTO].[Periodo].&amp;["&amp;TEXT(BB$6,"yyyymm")&amp;"]"),
0)/1000</f>
        <v>0</v>
      </c>
      <c r="BC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"[BASE_HIPO_PPTO].[Periodo]","[BASE_HIPO_PPTO].[Periodo].&amp;["&amp;TEXT(BC$6,"yyyymm")&amp;"]"),
0)/1000</f>
        <v>0</v>
      </c>
      <c r="BD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"[BASE_HIPO_PPTO].[Periodo]","[BASE_HIPO_PPTO].[Periodo].&amp;["&amp;TEXT(BD$6,"yyyymm")&amp;"]"),
0)/1000</f>
        <v>0</v>
      </c>
      <c r="BE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"[BASE_HIPO_PPTO].[Periodo]","[BASE_HIPO_PPTO].[Periodo].&amp;["&amp;TEXT(BE$6,"yyyymm")&amp;"]"),
0)/1000</f>
        <v>0</v>
      </c>
      <c r="BF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"[BASE_HIPO_PPTO].[Periodo]","[BASE_HIPO_PPTO].[Periodo].&amp;["&amp;TEXT(BF$6,"yyyymm")&amp;"]"),
0)/1000</f>
        <v>0</v>
      </c>
      <c r="BG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"[BASE_HIPO_PPTO].[Periodo]","[BASE_HIPO_PPTO].[Periodo].&amp;["&amp;TEXT(BG$6,"yyyymm")&amp;"]"),
0)/1000</f>
        <v>0</v>
      </c>
      <c r="BH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"[BASE_HIPO_PPTO].[Periodo]","[BASE_HIPO_PPTO].[Periodo].&amp;["&amp;TEXT(BH$6,"yyyymm")&amp;"]"),
0)/1000</f>
        <v>0</v>
      </c>
      <c r="BI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"[BASE_HIPO_PPTO].[Periodo]","[BASE_HIPO_PPTO].[Periodo].&amp;["&amp;TEXT(BI$6,"yyyymm")&amp;"]"),
0)/1000</f>
        <v>0</v>
      </c>
      <c r="BJ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"[BASE_HIPO_PPTO].[Periodo]","[BASE_HIPO_PPTO].[Periodo].&amp;["&amp;TEXT(BJ$6,"yyyymm")&amp;"]"),
0)/1000</f>
        <v>0</v>
      </c>
      <c r="BK67" s="8">
        <f>IFERROR(
GETPIVOTDATA(
"[BASE_HIPO_PPTO].[Importe]",
TDinamica_P!$A$5,
"[BASE_HIPO_PPTO].[Metrica]","[BASE_HIPO_PPTO].[Metrica].&amp;["&amp;$A67&amp;"]",
"[BASE_HIPO_PPTO].[SEGMENTO_DESCRIP]","[BASE_HIPO_PPTO].[SEGMENTO_DESCRIP].&amp;["&amp;$C$6&amp;"]",
"[BASE_HIPO_PPTO].[SITUACION]","[BASE_HIPO_PPTO].[SITUACION].&amp;["&amp;$C67&amp;"]",
"[BASE_HIPO_PPTO].[Periodo]","[BASE_HIPO_PPTO].[Periodo].&amp;["&amp;TEXT(BK$6,"yyyymm")&amp;"]"),
0)/1000</f>
        <v>0</v>
      </c>
      <c r="BO67" s="24">
        <f t="shared" si="63"/>
        <v>0</v>
      </c>
      <c r="BP67" s="24">
        <f t="shared" si="63"/>
        <v>0</v>
      </c>
      <c r="BQ67" s="24">
        <f t="shared" si="63"/>
        <v>0</v>
      </c>
      <c r="BR67" s="24">
        <f t="shared" si="63"/>
        <v>0</v>
      </c>
      <c r="BS67" s="24">
        <f t="shared" si="63"/>
        <v>0</v>
      </c>
      <c r="BT67" s="24">
        <f t="shared" si="63"/>
        <v>0</v>
      </c>
    </row>
    <row r="68" spans="1:72" hidden="1" outlineLevel="1" x14ac:dyDescent="0.25">
      <c r="A68" s="11" t="s">
        <v>71</v>
      </c>
      <c r="C68" s="2"/>
      <c r="D68" s="8">
        <f>IFERROR(
GETPIVOTDATA(
"[Base].[Importe]",
TDinamica_R!$A$5,
"[Calendario].[AñoMes]",
"[Calendario].[AñoMes].&amp;[" &amp; TEXT(D$6,"yyyymm")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E68" s="8">
        <f>IFERROR(
GETPIVOTDATA(
"[Base].[Importe]",
TDinamica_R!$A$5,
"[Calendario].[AñoMes]",
"[Calendario].[AñoMes].&amp;[" &amp; TEXT(E$6,"yyyymm")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F68" s="8">
        <f>IFERROR(
GETPIVOTDATA(
"[Base].[Importe]",
TDinamica_R!$A$5,
"[Calendario].[AñoMes]",
"[Calendario].[AñoMes].&amp;[" &amp; TEXT(F$6,"yyyymm")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G68" s="8">
        <f>IFERROR(
GETPIVOTDATA(
"[Base].[Importe]",
TDinamica_R!$A$5,
"[Calendario].[AñoMes]",
"[Calendario].[AñoMes].&amp;[" &amp; TEXT(G$6,"yyyymm")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H68" s="8">
        <f>IFERROR(
GETPIVOTDATA(
"[Base].[Importe]",
TDinamica_R!$A$5,
"[Calendario].[AñoMes]",
"[Calendario].[AñoMes].&amp;[" &amp; TEXT(H$6,"yyyymm")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I68" s="8">
        <f>IFERROR(
GETPIVOTDATA(
"[Base].[Importe]",
TDinamica_R!$A$5,
"[Calendario].[AñoMes]",
"[Calendario].[AñoMes].&amp;[" &amp; TEXT(I$6,"yyyymm")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J68" s="8">
        <f>IFERROR(
GETPIVOTDATA(
"[Base].[Importe]",
TDinamica_R!$A$5,
"[Calendario].[AñoMes]",
"[Calendario].[AñoMes].&amp;[" &amp; TEXT(J$6,"yyyymm")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K68" s="8">
        <f>IFERROR(
GETPIVOTDATA(
"[Base].[Importe]",
TDinamica_R!$A$5,
"[Calendario].[AñoMes]",
"[Calendario].[AñoMes].&amp;[" &amp; TEXT(K$6,"yyyymm")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L68" s="8">
        <f>IFERROR(
GETPIVOTDATA(
"[Base].[Importe]",
TDinamica_R!$A$5,
"[Calendario].[AñoMes]",
"[Calendario].[AñoMes].&amp;[" &amp; TEXT(L$6,"yyyymm")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M68" s="8">
        <f>IFERROR(
GETPIVOTDATA(
"[Base].[Importe]",
TDinamica_R!$A$5,
"[Calendario].[AñoMes]",
"[Calendario].[AñoMes].&amp;[" &amp; TEXT(M$6,"yyyymm")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N68" s="8">
        <f>IFERROR(
GETPIVOTDATA(
"[Base].[Importe]",
TDinamica_R!$A$5,
"[Calendario].[AñoMes]",
"[Calendario].[AñoMes].&amp;[" &amp; TEXT(N$6,"yyyymm")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O68" s="8">
        <f>IFERROR(
GETPIVOTDATA(
"[Base].[Importe]",
TDinamica_R!$A$5,
"[Calendario].[AñoMes]",
"[Calendario].[AñoMes].&amp;[" &amp; TEXT(O$6,"yyyymm")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P68" s="8">
        <f>IFERROR(
GETPIVOTDATA(
"[Base].[Importe]",
TDinamica_R!$A$5,
"[Calendario].[AñoMes]",
"[Calendario].[AñoMes].&amp;[" &amp; TEXT(P$6,"yyyymm")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Q68" s="8">
        <f>IFERROR(
GETPIVOTDATA(
"[Base].[Importe]",
TDinamica_R!$A$5,
"[Calendario].[AñoMes]",
"[Calendario].[AñoMes].&amp;[" &amp; TEXT(Q$6,"yyyymm")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R68" s="8">
        <f>IFERROR(
GETPIVOTDATA(
"[Base].[Importe]",
TDinamica_R!$A$5,
"[Calendario].[AñoMes]",
"[Calendario].[AñoMes].&amp;[" &amp; TEXT(R$6,"yyyymm")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S68" s="8">
        <f>IFERROR(
GETPIVOTDATA(
"[Base].[Importe]",
TDinamica_R!$A$5,
"[Calendario].[AñoMes]",
"[Calendario].[AñoMes].&amp;[" &amp; TEXT(S$6,"yyyymm")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T68" s="8">
        <f>IFERROR(
GETPIVOTDATA(
"[Base].[Importe]",
TDinamica_R!$A$5,
"[Calendario].[AñoMes]",
"[Calendario].[AñoMes].&amp;[" &amp; TEXT(T$6,"yyyymm")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U68" s="8">
        <f>IFERROR(
GETPIVOTDATA(
"[Base].[Importe]",
TDinamica_R!$A$5,
"[Calendario].[AñoMes]",
"[Calendario].[AñoMes].&amp;[" &amp; TEXT(U$6,"yyyymm")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V68" s="8">
        <f>IFERROR(
GETPIVOTDATA(
"[Base].[Importe]",
TDinamica_R!$A$5,
"[Calendario].[AñoMes]",
"[Calendario].[AñoMes].&amp;[" &amp; TEXT(V$6,"yyyymm")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W68" s="8">
        <f>IFERROR(
GETPIVOTDATA(
"[Base].[Importe]",
TDinamica_R!$A$5,
"[Calendario].[AñoMes]",
"[Calendario].[AñoMes].&amp;[" &amp; TEXT(W$6,"yyyymm")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X68" s="8">
        <f>IFERROR(
GETPIVOTDATA(
"[Base].[Importe]",
TDinamica_R!$A$5,
"[Calendario].[AñoMes]",
"[Calendario].[AñoMes].&amp;[" &amp; TEXT(X$6,"yyyymm")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Y68" s="8">
        <f>IFERROR(
GETPIVOTDATA(
"[Base].[Importe]",
TDinamica_R!$A$5,
"[Calendario].[AñoMes]",
"[Calendario].[AñoMes].&amp;[" &amp; TEXT(Y$6,"yyyymm")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Z68" s="8">
        <f>IFERROR(
GETPIVOTDATA(
"[Base].[Importe]",
TDinamica_R!$A$5,
"[Calendario].[AñoMes]",
"[Calendario].[AñoMes].&amp;[" &amp; TEXT(Z$6,"yyyymm")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A68" s="8">
        <f>IFERROR(
GETPIVOTDATA(
"[Base].[Importe]",
TDinamica_R!$A$5,
"[Calendario].[AñoMes]",
"[Calendario].[AñoMes].&amp;[" &amp; TEXT(AA$6,"yyyymm")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B68" s="8">
        <f>IFERROR(
GETPIVOTDATA(
"[Base].[Importe]",
TDinamica_R!$A$5,
"[Calendario].[AñoMes]",
"[Calendario].[AñoMes].&amp;[" &amp; TEXT(AB$6,"yyyymm")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C68" s="8">
        <f>IFERROR(
GETPIVOTDATA(
"[Base].[Importe]",
TDinamica_R!$A$5,
"[Calendario].[AñoMes]",
"[Calendario].[AñoMes].&amp;[" &amp; TEXT(AC$6,"yyyymm")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D68" s="8">
        <f>IFERROR(
GETPIVOTDATA(
"[Base].[Importe]",
TDinamica_R!$A$5,
"[Calendario].[AñoMes]",
"[Calendario].[AñoMes].&amp;[" &amp; TEXT(AD$6,"yyyymm")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E68" s="8">
        <f>IFERROR(
GETPIVOTDATA(
"[Base].[Importe]",
TDinamica_R!$A$5,
"[Calendario].[AñoMes]",
"[Calendario].[AñoMes].&amp;[" &amp; TEXT(AE$6,"yyyymm")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F68" s="8">
        <f>IFERROR(
GETPIVOTDATA(
"[Base].[Importe]",
TDinamica_R!$A$5,
"[Calendario].[AñoMes]",
"[Calendario].[AñoMes].&amp;[" &amp; TEXT(AF$6,"yyyymm")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G68" s="8">
        <f>IFERROR(
GETPIVOTDATA(
"[Base].[Importe]",
TDinamica_R!$A$5,
"[Calendario].[AñoMes]",
"[Calendario].[AñoMes].&amp;[" &amp; TEXT(AG$6,"yyyymm")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H68" s="8">
        <f>IFERROR(
GETPIVOTDATA(
"[Base].[Importe]",
TDinamica_R!$A$5,
"[Calendario].[AñoMes]",
"[Calendario].[AñoMes].&amp;[" &amp; TEXT(AH$6,"yyyymm")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I68" s="8">
        <f>IFERROR(
GETPIVOTDATA(
"[Base].[Importe]",
TDinamica_R!$A$5,
"[Calendario].[AñoMes]",
"[Calendario].[AñoMes].&amp;[" &amp; TEXT(AI$6,"yyyymm")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J68" s="8">
        <f>IFERROR(
GETPIVOTDATA(
"[Base].[Importe]",
TDinamica_R!$A$5,
"[Calendario].[AñoMes]",
"[Calendario].[AñoMes].&amp;[" &amp; TEXT(AJ$6,"yyyymm")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K68" s="8">
        <f>IFERROR(
GETPIVOTDATA(
"[Base].[Importe]",
TDinamica_R!$A$5,
"[Calendario].[AñoMes]",
"[Calendario].[AñoMes].&amp;[" &amp; TEXT(AK$6,"yyyymm")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L68" s="8">
        <f>IFERROR(
GETPIVOTDATA(
"[Base].[Importe]",
TDinamica_R!$A$5,
"[Calendario].[AñoMes]",
"[Calendario].[AñoMes].&amp;[" &amp; TEXT(AL$6,"yyyymm")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M68" s="8">
        <f>IFERROR(
GETPIVOTDATA(
"[Base].[Importe]",
TDinamica_R!$A$5,
"[Calendario].[AñoMes]",
"[Calendario].[AñoMes].&amp;[" &amp; TEXT(AM$6,"yyyymm")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N68" s="8">
        <f>IFERROR(
GETPIVOTDATA(
"[Base].[Importe]",
TDinamica_R!$A$5,
"[Calendario].[AñoMes]",
"[Calendario].[AñoMes].&amp;[" &amp; TEXT(AN$6,"yyyymm")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O68" s="8">
        <f>IFERROR(
GETPIVOTDATA(
"[Base].[Importe]",
TDinamica_R!$A$5,
"[Calendario].[AñoMes]",
"[Calendario].[AñoMes].&amp;[" &amp; TEXT(AO$6,"yyyymm")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P68" s="8">
        <f>IFERROR(
GETPIVOTDATA(
"[Base].[Importe]",
TDinamica_R!$A$5,
"[Calendario].[AñoMes]",
"[Calendario].[AñoMes].&amp;[" &amp; TEXT(AP$6,"yyyymm")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Q68" s="8">
        <f>IFERROR(
GETPIVOTDATA(
"[Base].[Importe]",
TDinamica_R!$A$5,
"[Calendario].[AñoMes]",
"[Calendario].[AñoMes].&amp;[" &amp; TEXT(AQ$6,"yyyymm")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R68" s="8">
        <f>IFERROR(
GETPIVOTDATA(
"[Base].[Importe]",
TDinamica_R!$A$5,
"[Calendario].[AñoMes]",
"[Calendario].[AñoMes].&amp;[" &amp; TEXT(AR$6,"yyyymm")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S68" s="8">
        <f>IFERROR(
GETPIVOTDATA(
"[Base].[Importe]",
TDinamica_R!$A$5,
"[Calendario].[AñoMes]",
"[Calendario].[AñoMes].&amp;[" &amp; TEXT(AS$6,"yyyymm")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T68" s="8">
        <f>IFERROR(
GETPIVOTDATA(
"[Base].[Importe]",
TDinamica_R!$A$5,
"[Calendario].[AñoMes]",
"[Calendario].[AñoMes].&amp;[" &amp; TEXT(AT$6,"yyyymm")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U68" s="8">
        <f>IFERROR(
GETPIVOTDATA(
"[Base].[Importe]",
TDinamica_R!$A$5,
"[Calendario].[AñoMes]",
"[Calendario].[AñoMes].&amp;[" &amp; TEXT(AU$6,"yyyymm")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V68" s="8">
        <f>IFERROR(
GETPIVOTDATA(
"[Base].[Importe]",
TDinamica_R!$A$5,
"[Calendario].[AñoMes]",
"[Calendario].[AñoMes].&amp;[" &amp; TEXT(AV$6,"yyyymm")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W68" s="8">
        <f>IFERROR(
GETPIVOTDATA(
"[Base].[Importe]",
TDinamica_R!$A$5,
"[Calendario].[AñoMes]",
"[Calendario].[AñoMes].&amp;[" &amp; TEXT(AW$6,"yyyymm")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X68" s="8">
        <f>IFERROR(
GETPIVOTDATA(
"[Base].[Importe]",
TDinamica_R!$A$5,
"[Calendario].[AñoMes]",
"[Calendario].[AñoMes].&amp;[" &amp; TEXT(AX$6,"yyyymm")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Y68" s="8">
        <f>IFERROR(
GETPIVOTDATA(
"[Base].[Importe]",
TDinamica_R!$A$5,
"[Calendario].[AñoMes]",
"[Calendario].[AñoMes].&amp;[" &amp; TEXT(AY$6,"yyyymm") &amp; "]",
"[Base].[Metrica]",
"[Base].[Metrica].&amp;[" &amp; $A68 &amp; "]",
"[Base].[SEGMENTO_DESCRIP]",
"[Base].[SEGMENTO_DESCRIP].&amp;[" &amp; $C$6 &amp; "]",
"[Base].[SITUACION]",
"[Base].[SITUACION].&amp;[" &amp; $C68 &amp; "]"
),0)/1000</f>
        <v>0</v>
      </c>
      <c r="AZ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"[BASE_HIPO_PPTO].[Periodo]","[BASE_HIPO_PPTO].[Periodo].&amp;["&amp;TEXT(AZ$6,"yyyymm")&amp;"]"),
0)/1000</f>
        <v>0</v>
      </c>
      <c r="BA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"[BASE_HIPO_PPTO].[Periodo]","[BASE_HIPO_PPTO].[Periodo].&amp;["&amp;TEXT(BA$6,"yyyymm")&amp;"]"),
0)/1000</f>
        <v>0</v>
      </c>
      <c r="BB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"[BASE_HIPO_PPTO].[Periodo]","[BASE_HIPO_PPTO].[Periodo].&amp;["&amp;TEXT(BB$6,"yyyymm")&amp;"]"),
0)/1000</f>
        <v>0</v>
      </c>
      <c r="BC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"[BASE_HIPO_PPTO].[Periodo]","[BASE_HIPO_PPTO].[Periodo].&amp;["&amp;TEXT(BC$6,"yyyymm")&amp;"]"),
0)/1000</f>
        <v>0</v>
      </c>
      <c r="BD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"[BASE_HIPO_PPTO].[Periodo]","[BASE_HIPO_PPTO].[Periodo].&amp;["&amp;TEXT(BD$6,"yyyymm")&amp;"]"),
0)/1000</f>
        <v>0</v>
      </c>
      <c r="BE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"[BASE_HIPO_PPTO].[Periodo]","[BASE_HIPO_PPTO].[Periodo].&amp;["&amp;TEXT(BE$6,"yyyymm")&amp;"]"),
0)/1000</f>
        <v>0</v>
      </c>
      <c r="BF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"[BASE_HIPO_PPTO].[Periodo]","[BASE_HIPO_PPTO].[Periodo].&amp;["&amp;TEXT(BF$6,"yyyymm")&amp;"]"),
0)/1000</f>
        <v>0</v>
      </c>
      <c r="BG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"[BASE_HIPO_PPTO].[Periodo]","[BASE_HIPO_PPTO].[Periodo].&amp;["&amp;TEXT(BG$6,"yyyymm")&amp;"]"),
0)/1000</f>
        <v>0</v>
      </c>
      <c r="BH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"[BASE_HIPO_PPTO].[Periodo]","[BASE_HIPO_PPTO].[Periodo].&amp;["&amp;TEXT(BH$6,"yyyymm")&amp;"]"),
0)/1000</f>
        <v>0</v>
      </c>
      <c r="BI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"[BASE_HIPO_PPTO].[Periodo]","[BASE_HIPO_PPTO].[Periodo].&amp;["&amp;TEXT(BI$6,"yyyymm")&amp;"]"),
0)/1000</f>
        <v>0</v>
      </c>
      <c r="BJ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"[BASE_HIPO_PPTO].[Periodo]","[BASE_HIPO_PPTO].[Periodo].&amp;["&amp;TEXT(BJ$6,"yyyymm")&amp;"]"),
0)/1000</f>
        <v>0</v>
      </c>
      <c r="BK68" s="8">
        <f>IFERROR(
GETPIVOTDATA(
"[BASE_HIPO_PPTO].[Importe]",
TDinamica_P!$A$5,
"[BASE_HIPO_PPTO].[Metrica]","[BASE_HIPO_PPTO].[Metrica].&amp;["&amp;$A68&amp;"]",
"[BASE_HIPO_PPTO].[SEGMENTO_DESCRIP]","[BASE_HIPO_PPTO].[SEGMENTO_DESCRIP].&amp;["&amp;$C$6&amp;"]",
"[BASE_HIPO_PPTO].[SITUACION]","[BASE_HIPO_PPTO].[SITUACION].&amp;["&amp;$C68&amp;"]",
"[BASE_HIPO_PPTO].[Periodo]","[BASE_HIPO_PPTO].[Periodo].&amp;["&amp;TEXT(BK$6,"yyyymm")&amp;"]"),
0)/1000</f>
        <v>0</v>
      </c>
      <c r="BO68" s="24">
        <f t="shared" si="63"/>
        <v>0</v>
      </c>
      <c r="BP68" s="24">
        <f t="shared" si="63"/>
        <v>0</v>
      </c>
      <c r="BQ68" s="24">
        <f t="shared" si="63"/>
        <v>0</v>
      </c>
      <c r="BR68" s="24">
        <f t="shared" si="63"/>
        <v>0</v>
      </c>
      <c r="BS68" s="24">
        <f t="shared" si="63"/>
        <v>0</v>
      </c>
      <c r="BT68" s="24">
        <f t="shared" si="63"/>
        <v>0</v>
      </c>
    </row>
    <row r="69" spans="1:72" hidden="1" outlineLevel="1" x14ac:dyDescent="0.25">
      <c r="A69" s="11" t="s">
        <v>71</v>
      </c>
      <c r="C69" s="2"/>
      <c r="D69" s="8">
        <f>IFERROR(
GETPIVOTDATA(
"[Base].[Importe]",
TDinamica_R!$A$5,
"[Calendario].[AñoMes]",
"[Calendario].[AñoMes].&amp;[" &amp; TEXT(D$6,"yyyymm")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E69" s="8">
        <f>IFERROR(
GETPIVOTDATA(
"[Base].[Importe]",
TDinamica_R!$A$5,
"[Calendario].[AñoMes]",
"[Calendario].[AñoMes].&amp;[" &amp; TEXT(E$6,"yyyymm")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F69" s="8">
        <f>IFERROR(
GETPIVOTDATA(
"[Base].[Importe]",
TDinamica_R!$A$5,
"[Calendario].[AñoMes]",
"[Calendario].[AñoMes].&amp;[" &amp; TEXT(F$6,"yyyymm")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G69" s="8">
        <f>IFERROR(
GETPIVOTDATA(
"[Base].[Importe]",
TDinamica_R!$A$5,
"[Calendario].[AñoMes]",
"[Calendario].[AñoMes].&amp;[" &amp; TEXT(G$6,"yyyymm")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H69" s="8">
        <f>IFERROR(
GETPIVOTDATA(
"[Base].[Importe]",
TDinamica_R!$A$5,
"[Calendario].[AñoMes]",
"[Calendario].[AñoMes].&amp;[" &amp; TEXT(H$6,"yyyymm")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I69" s="8">
        <f>IFERROR(
GETPIVOTDATA(
"[Base].[Importe]",
TDinamica_R!$A$5,
"[Calendario].[AñoMes]",
"[Calendario].[AñoMes].&amp;[" &amp; TEXT(I$6,"yyyymm")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J69" s="8">
        <f>IFERROR(
GETPIVOTDATA(
"[Base].[Importe]",
TDinamica_R!$A$5,
"[Calendario].[AñoMes]",
"[Calendario].[AñoMes].&amp;[" &amp; TEXT(J$6,"yyyymm")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K69" s="8">
        <f>IFERROR(
GETPIVOTDATA(
"[Base].[Importe]",
TDinamica_R!$A$5,
"[Calendario].[AñoMes]",
"[Calendario].[AñoMes].&amp;[" &amp; TEXT(K$6,"yyyymm")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L69" s="8">
        <f>IFERROR(
GETPIVOTDATA(
"[Base].[Importe]",
TDinamica_R!$A$5,
"[Calendario].[AñoMes]",
"[Calendario].[AñoMes].&amp;[" &amp; TEXT(L$6,"yyyymm")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M69" s="8">
        <f>IFERROR(
GETPIVOTDATA(
"[Base].[Importe]",
TDinamica_R!$A$5,
"[Calendario].[AñoMes]",
"[Calendario].[AñoMes].&amp;[" &amp; TEXT(M$6,"yyyymm")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N69" s="8">
        <f>IFERROR(
GETPIVOTDATA(
"[Base].[Importe]",
TDinamica_R!$A$5,
"[Calendario].[AñoMes]",
"[Calendario].[AñoMes].&amp;[" &amp; TEXT(N$6,"yyyymm")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O69" s="8">
        <f>IFERROR(
GETPIVOTDATA(
"[Base].[Importe]",
TDinamica_R!$A$5,
"[Calendario].[AñoMes]",
"[Calendario].[AñoMes].&amp;[" &amp; TEXT(O$6,"yyyymm")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P69" s="8">
        <f>IFERROR(
GETPIVOTDATA(
"[Base].[Importe]",
TDinamica_R!$A$5,
"[Calendario].[AñoMes]",
"[Calendario].[AñoMes].&amp;[" &amp; TEXT(P$6,"yyyymm")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Q69" s="8">
        <f>IFERROR(
GETPIVOTDATA(
"[Base].[Importe]",
TDinamica_R!$A$5,
"[Calendario].[AñoMes]",
"[Calendario].[AñoMes].&amp;[" &amp; TEXT(Q$6,"yyyymm")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R69" s="8">
        <f>IFERROR(
GETPIVOTDATA(
"[Base].[Importe]",
TDinamica_R!$A$5,
"[Calendario].[AñoMes]",
"[Calendario].[AñoMes].&amp;[" &amp; TEXT(R$6,"yyyymm")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S69" s="8">
        <f>IFERROR(
GETPIVOTDATA(
"[Base].[Importe]",
TDinamica_R!$A$5,
"[Calendario].[AñoMes]",
"[Calendario].[AñoMes].&amp;[" &amp; TEXT(S$6,"yyyymm")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T69" s="8">
        <f>IFERROR(
GETPIVOTDATA(
"[Base].[Importe]",
TDinamica_R!$A$5,
"[Calendario].[AñoMes]",
"[Calendario].[AñoMes].&amp;[" &amp; TEXT(T$6,"yyyymm")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U69" s="8">
        <f>IFERROR(
GETPIVOTDATA(
"[Base].[Importe]",
TDinamica_R!$A$5,
"[Calendario].[AñoMes]",
"[Calendario].[AñoMes].&amp;[" &amp; TEXT(U$6,"yyyymm")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V69" s="8">
        <f>IFERROR(
GETPIVOTDATA(
"[Base].[Importe]",
TDinamica_R!$A$5,
"[Calendario].[AñoMes]",
"[Calendario].[AñoMes].&amp;[" &amp; TEXT(V$6,"yyyymm")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W69" s="8">
        <f>IFERROR(
GETPIVOTDATA(
"[Base].[Importe]",
TDinamica_R!$A$5,
"[Calendario].[AñoMes]",
"[Calendario].[AñoMes].&amp;[" &amp; TEXT(W$6,"yyyymm")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X69" s="8">
        <f>IFERROR(
GETPIVOTDATA(
"[Base].[Importe]",
TDinamica_R!$A$5,
"[Calendario].[AñoMes]",
"[Calendario].[AñoMes].&amp;[" &amp; TEXT(X$6,"yyyymm")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Y69" s="8">
        <f>IFERROR(
GETPIVOTDATA(
"[Base].[Importe]",
TDinamica_R!$A$5,
"[Calendario].[AñoMes]",
"[Calendario].[AñoMes].&amp;[" &amp; TEXT(Y$6,"yyyymm")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Z69" s="8">
        <f>IFERROR(
GETPIVOTDATA(
"[Base].[Importe]",
TDinamica_R!$A$5,
"[Calendario].[AñoMes]",
"[Calendario].[AñoMes].&amp;[" &amp; TEXT(Z$6,"yyyymm")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A69" s="8">
        <f>IFERROR(
GETPIVOTDATA(
"[Base].[Importe]",
TDinamica_R!$A$5,
"[Calendario].[AñoMes]",
"[Calendario].[AñoMes].&amp;[" &amp; TEXT(AA$6,"yyyymm")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B69" s="8">
        <f>IFERROR(
GETPIVOTDATA(
"[Base].[Importe]",
TDinamica_R!$A$5,
"[Calendario].[AñoMes]",
"[Calendario].[AñoMes].&amp;[" &amp; TEXT(AB$6,"yyyymm")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C69" s="8">
        <f>IFERROR(
GETPIVOTDATA(
"[Base].[Importe]",
TDinamica_R!$A$5,
"[Calendario].[AñoMes]",
"[Calendario].[AñoMes].&amp;[" &amp; TEXT(AC$6,"yyyymm")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D69" s="8">
        <f>IFERROR(
GETPIVOTDATA(
"[Base].[Importe]",
TDinamica_R!$A$5,
"[Calendario].[AñoMes]",
"[Calendario].[AñoMes].&amp;[" &amp; TEXT(AD$6,"yyyymm")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E69" s="8">
        <f>IFERROR(
GETPIVOTDATA(
"[Base].[Importe]",
TDinamica_R!$A$5,
"[Calendario].[AñoMes]",
"[Calendario].[AñoMes].&amp;[" &amp; TEXT(AE$6,"yyyymm")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F69" s="8">
        <f>IFERROR(
GETPIVOTDATA(
"[Base].[Importe]",
TDinamica_R!$A$5,
"[Calendario].[AñoMes]",
"[Calendario].[AñoMes].&amp;[" &amp; TEXT(AF$6,"yyyymm")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G69" s="8">
        <f>IFERROR(
GETPIVOTDATA(
"[Base].[Importe]",
TDinamica_R!$A$5,
"[Calendario].[AñoMes]",
"[Calendario].[AñoMes].&amp;[" &amp; TEXT(AG$6,"yyyymm")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H69" s="8">
        <f>IFERROR(
GETPIVOTDATA(
"[Base].[Importe]",
TDinamica_R!$A$5,
"[Calendario].[AñoMes]",
"[Calendario].[AñoMes].&amp;[" &amp; TEXT(AH$6,"yyyymm")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I69" s="8">
        <f>IFERROR(
GETPIVOTDATA(
"[Base].[Importe]",
TDinamica_R!$A$5,
"[Calendario].[AñoMes]",
"[Calendario].[AñoMes].&amp;[" &amp; TEXT(AI$6,"yyyymm")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J69" s="8">
        <f>IFERROR(
GETPIVOTDATA(
"[Base].[Importe]",
TDinamica_R!$A$5,
"[Calendario].[AñoMes]",
"[Calendario].[AñoMes].&amp;[" &amp; TEXT(AJ$6,"yyyymm")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K69" s="8">
        <f>IFERROR(
GETPIVOTDATA(
"[Base].[Importe]",
TDinamica_R!$A$5,
"[Calendario].[AñoMes]",
"[Calendario].[AñoMes].&amp;[" &amp; TEXT(AK$6,"yyyymm")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L69" s="8">
        <f>IFERROR(
GETPIVOTDATA(
"[Base].[Importe]",
TDinamica_R!$A$5,
"[Calendario].[AñoMes]",
"[Calendario].[AñoMes].&amp;[" &amp; TEXT(AL$6,"yyyymm")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M69" s="8">
        <f>IFERROR(
GETPIVOTDATA(
"[Base].[Importe]",
TDinamica_R!$A$5,
"[Calendario].[AñoMes]",
"[Calendario].[AñoMes].&amp;[" &amp; TEXT(AM$6,"yyyymm")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N69" s="8">
        <f>IFERROR(
GETPIVOTDATA(
"[Base].[Importe]",
TDinamica_R!$A$5,
"[Calendario].[AñoMes]",
"[Calendario].[AñoMes].&amp;[" &amp; TEXT(AN$6,"yyyymm")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O69" s="8">
        <f>IFERROR(
GETPIVOTDATA(
"[Base].[Importe]",
TDinamica_R!$A$5,
"[Calendario].[AñoMes]",
"[Calendario].[AñoMes].&amp;[" &amp; TEXT(AO$6,"yyyymm")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P69" s="8">
        <f>IFERROR(
GETPIVOTDATA(
"[Base].[Importe]",
TDinamica_R!$A$5,
"[Calendario].[AñoMes]",
"[Calendario].[AñoMes].&amp;[" &amp; TEXT(AP$6,"yyyymm")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Q69" s="8">
        <f>IFERROR(
GETPIVOTDATA(
"[Base].[Importe]",
TDinamica_R!$A$5,
"[Calendario].[AñoMes]",
"[Calendario].[AñoMes].&amp;[" &amp; TEXT(AQ$6,"yyyymm")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R69" s="8">
        <f>IFERROR(
GETPIVOTDATA(
"[Base].[Importe]",
TDinamica_R!$A$5,
"[Calendario].[AñoMes]",
"[Calendario].[AñoMes].&amp;[" &amp; TEXT(AR$6,"yyyymm")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S69" s="8">
        <f>IFERROR(
GETPIVOTDATA(
"[Base].[Importe]",
TDinamica_R!$A$5,
"[Calendario].[AñoMes]",
"[Calendario].[AñoMes].&amp;[" &amp; TEXT(AS$6,"yyyymm")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T69" s="8">
        <f>IFERROR(
GETPIVOTDATA(
"[Base].[Importe]",
TDinamica_R!$A$5,
"[Calendario].[AñoMes]",
"[Calendario].[AñoMes].&amp;[" &amp; TEXT(AT$6,"yyyymm")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U69" s="8">
        <f>IFERROR(
GETPIVOTDATA(
"[Base].[Importe]",
TDinamica_R!$A$5,
"[Calendario].[AñoMes]",
"[Calendario].[AñoMes].&amp;[" &amp; TEXT(AU$6,"yyyymm")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V69" s="8">
        <f>IFERROR(
GETPIVOTDATA(
"[Base].[Importe]",
TDinamica_R!$A$5,
"[Calendario].[AñoMes]",
"[Calendario].[AñoMes].&amp;[" &amp; TEXT(AV$6,"yyyymm")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W69" s="8">
        <f>IFERROR(
GETPIVOTDATA(
"[Base].[Importe]",
TDinamica_R!$A$5,
"[Calendario].[AñoMes]",
"[Calendario].[AñoMes].&amp;[" &amp; TEXT(AW$6,"yyyymm")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X69" s="8">
        <f>IFERROR(
GETPIVOTDATA(
"[Base].[Importe]",
TDinamica_R!$A$5,
"[Calendario].[AñoMes]",
"[Calendario].[AñoMes].&amp;[" &amp; TEXT(AX$6,"yyyymm")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Y69" s="8">
        <f>IFERROR(
GETPIVOTDATA(
"[Base].[Importe]",
TDinamica_R!$A$5,
"[Calendario].[AñoMes]",
"[Calendario].[AñoMes].&amp;[" &amp; TEXT(AY$6,"yyyymm") &amp; "]",
"[Base].[Metrica]",
"[Base].[Metrica].&amp;[" &amp; $A69 &amp; "]",
"[Base].[SEGMENTO_DESCRIP]",
"[Base].[SEGMENTO_DESCRIP].&amp;[" &amp; $C$6 &amp; "]",
"[Base].[SITUACION]",
"[Base].[SITUACION].&amp;[" &amp; $C69 &amp; "]"
),0)/1000</f>
        <v>0</v>
      </c>
      <c r="AZ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"[BASE_HIPO_PPTO].[Periodo]","[BASE_HIPO_PPTO].[Periodo].&amp;["&amp;TEXT(AZ$6,"yyyymm")&amp;"]"),
0)/1000</f>
        <v>0</v>
      </c>
      <c r="BA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"[BASE_HIPO_PPTO].[Periodo]","[BASE_HIPO_PPTO].[Periodo].&amp;["&amp;TEXT(BA$6,"yyyymm")&amp;"]"),
0)/1000</f>
        <v>0</v>
      </c>
      <c r="BB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"[BASE_HIPO_PPTO].[Periodo]","[BASE_HIPO_PPTO].[Periodo].&amp;["&amp;TEXT(BB$6,"yyyymm")&amp;"]"),
0)/1000</f>
        <v>0</v>
      </c>
      <c r="BC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"[BASE_HIPO_PPTO].[Periodo]","[BASE_HIPO_PPTO].[Periodo].&amp;["&amp;TEXT(BC$6,"yyyymm")&amp;"]"),
0)/1000</f>
        <v>0</v>
      </c>
      <c r="BD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"[BASE_HIPO_PPTO].[Periodo]","[BASE_HIPO_PPTO].[Periodo].&amp;["&amp;TEXT(BD$6,"yyyymm")&amp;"]"),
0)/1000</f>
        <v>0</v>
      </c>
      <c r="BE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"[BASE_HIPO_PPTO].[Periodo]","[BASE_HIPO_PPTO].[Periodo].&amp;["&amp;TEXT(BE$6,"yyyymm")&amp;"]"),
0)/1000</f>
        <v>0</v>
      </c>
      <c r="BF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"[BASE_HIPO_PPTO].[Periodo]","[BASE_HIPO_PPTO].[Periodo].&amp;["&amp;TEXT(BF$6,"yyyymm")&amp;"]"),
0)/1000</f>
        <v>0</v>
      </c>
      <c r="BG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"[BASE_HIPO_PPTO].[Periodo]","[BASE_HIPO_PPTO].[Periodo].&amp;["&amp;TEXT(BG$6,"yyyymm")&amp;"]"),
0)/1000</f>
        <v>0</v>
      </c>
      <c r="BH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"[BASE_HIPO_PPTO].[Periodo]","[BASE_HIPO_PPTO].[Periodo].&amp;["&amp;TEXT(BH$6,"yyyymm")&amp;"]"),
0)/1000</f>
        <v>0</v>
      </c>
      <c r="BI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"[BASE_HIPO_PPTO].[Periodo]","[BASE_HIPO_PPTO].[Periodo].&amp;["&amp;TEXT(BI$6,"yyyymm")&amp;"]"),
0)/1000</f>
        <v>0</v>
      </c>
      <c r="BJ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"[BASE_HIPO_PPTO].[Periodo]","[BASE_HIPO_PPTO].[Periodo].&amp;["&amp;TEXT(BJ$6,"yyyymm")&amp;"]"),
0)/1000</f>
        <v>0</v>
      </c>
      <c r="BK69" s="8">
        <f>IFERROR(
GETPIVOTDATA(
"[BASE_HIPO_PPTO].[Importe]",
TDinamica_P!$A$5,
"[BASE_HIPO_PPTO].[Metrica]","[BASE_HIPO_PPTO].[Metrica].&amp;["&amp;$A69&amp;"]",
"[BASE_HIPO_PPTO].[SEGMENTO_DESCRIP]","[BASE_HIPO_PPTO].[SEGMENTO_DESCRIP].&amp;["&amp;$C$6&amp;"]",
"[BASE_HIPO_PPTO].[SITUACION]","[BASE_HIPO_PPTO].[SITUACION].&amp;["&amp;$C69&amp;"]",
"[BASE_HIPO_PPTO].[Periodo]","[BASE_HIPO_PPTO].[Periodo].&amp;["&amp;TEXT(BK$6,"yyyymm")&amp;"]"),
0)/1000</f>
        <v>0</v>
      </c>
      <c r="BO69" s="24">
        <f t="shared" si="63"/>
        <v>0</v>
      </c>
      <c r="BP69" s="24">
        <f t="shared" si="63"/>
        <v>0</v>
      </c>
      <c r="BQ69" s="24">
        <f t="shared" si="63"/>
        <v>0</v>
      </c>
      <c r="BR69" s="24">
        <f t="shared" si="63"/>
        <v>0</v>
      </c>
      <c r="BS69" s="24">
        <f t="shared" si="63"/>
        <v>0</v>
      </c>
      <c r="BT69" s="24">
        <f t="shared" si="63"/>
        <v>0</v>
      </c>
    </row>
    <row r="70" spans="1:72" hidden="1" outlineLevel="1" x14ac:dyDescent="0.25">
      <c r="A70" s="11" t="s">
        <v>71</v>
      </c>
      <c r="C70" s="2"/>
      <c r="D70" s="8">
        <f>IFERROR(
GETPIVOTDATA(
"[Base].[Importe]",
TDinamica_R!$A$5,
"[Calendario].[AñoMes]",
"[Calendario].[AñoMes].&amp;[" &amp; TEXT(D$6,"yyyymm")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E70" s="8">
        <f>IFERROR(
GETPIVOTDATA(
"[Base].[Importe]",
TDinamica_R!$A$5,
"[Calendario].[AñoMes]",
"[Calendario].[AñoMes].&amp;[" &amp; TEXT(E$6,"yyyymm")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F70" s="8">
        <f>IFERROR(
GETPIVOTDATA(
"[Base].[Importe]",
TDinamica_R!$A$5,
"[Calendario].[AñoMes]",
"[Calendario].[AñoMes].&amp;[" &amp; TEXT(F$6,"yyyymm")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G70" s="8">
        <f>IFERROR(
GETPIVOTDATA(
"[Base].[Importe]",
TDinamica_R!$A$5,
"[Calendario].[AñoMes]",
"[Calendario].[AñoMes].&amp;[" &amp; TEXT(G$6,"yyyymm")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H70" s="8">
        <f>IFERROR(
GETPIVOTDATA(
"[Base].[Importe]",
TDinamica_R!$A$5,
"[Calendario].[AñoMes]",
"[Calendario].[AñoMes].&amp;[" &amp; TEXT(H$6,"yyyymm")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I70" s="8">
        <f>IFERROR(
GETPIVOTDATA(
"[Base].[Importe]",
TDinamica_R!$A$5,
"[Calendario].[AñoMes]",
"[Calendario].[AñoMes].&amp;[" &amp; TEXT(I$6,"yyyymm")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J70" s="8">
        <f>IFERROR(
GETPIVOTDATA(
"[Base].[Importe]",
TDinamica_R!$A$5,
"[Calendario].[AñoMes]",
"[Calendario].[AñoMes].&amp;[" &amp; TEXT(J$6,"yyyymm")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K70" s="8">
        <f>IFERROR(
GETPIVOTDATA(
"[Base].[Importe]",
TDinamica_R!$A$5,
"[Calendario].[AñoMes]",
"[Calendario].[AñoMes].&amp;[" &amp; TEXT(K$6,"yyyymm")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L70" s="8">
        <f>IFERROR(
GETPIVOTDATA(
"[Base].[Importe]",
TDinamica_R!$A$5,
"[Calendario].[AñoMes]",
"[Calendario].[AñoMes].&amp;[" &amp; TEXT(L$6,"yyyymm")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M70" s="8">
        <f>IFERROR(
GETPIVOTDATA(
"[Base].[Importe]",
TDinamica_R!$A$5,
"[Calendario].[AñoMes]",
"[Calendario].[AñoMes].&amp;[" &amp; TEXT(M$6,"yyyymm")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N70" s="8">
        <f>IFERROR(
GETPIVOTDATA(
"[Base].[Importe]",
TDinamica_R!$A$5,
"[Calendario].[AñoMes]",
"[Calendario].[AñoMes].&amp;[" &amp; TEXT(N$6,"yyyymm")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O70" s="8">
        <f>IFERROR(
GETPIVOTDATA(
"[Base].[Importe]",
TDinamica_R!$A$5,
"[Calendario].[AñoMes]",
"[Calendario].[AñoMes].&amp;[" &amp; TEXT(O$6,"yyyymm")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P70" s="8">
        <f>IFERROR(
GETPIVOTDATA(
"[Base].[Importe]",
TDinamica_R!$A$5,
"[Calendario].[AñoMes]",
"[Calendario].[AñoMes].&amp;[" &amp; TEXT(P$6,"yyyymm")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Q70" s="8">
        <f>IFERROR(
GETPIVOTDATA(
"[Base].[Importe]",
TDinamica_R!$A$5,
"[Calendario].[AñoMes]",
"[Calendario].[AñoMes].&amp;[" &amp; TEXT(Q$6,"yyyymm")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R70" s="8">
        <f>IFERROR(
GETPIVOTDATA(
"[Base].[Importe]",
TDinamica_R!$A$5,
"[Calendario].[AñoMes]",
"[Calendario].[AñoMes].&amp;[" &amp; TEXT(R$6,"yyyymm")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S70" s="8">
        <f>IFERROR(
GETPIVOTDATA(
"[Base].[Importe]",
TDinamica_R!$A$5,
"[Calendario].[AñoMes]",
"[Calendario].[AñoMes].&amp;[" &amp; TEXT(S$6,"yyyymm")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T70" s="8">
        <f>IFERROR(
GETPIVOTDATA(
"[Base].[Importe]",
TDinamica_R!$A$5,
"[Calendario].[AñoMes]",
"[Calendario].[AñoMes].&amp;[" &amp; TEXT(T$6,"yyyymm")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U70" s="8">
        <f>IFERROR(
GETPIVOTDATA(
"[Base].[Importe]",
TDinamica_R!$A$5,
"[Calendario].[AñoMes]",
"[Calendario].[AñoMes].&amp;[" &amp; TEXT(U$6,"yyyymm")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V70" s="8">
        <f>IFERROR(
GETPIVOTDATA(
"[Base].[Importe]",
TDinamica_R!$A$5,
"[Calendario].[AñoMes]",
"[Calendario].[AñoMes].&amp;[" &amp; TEXT(V$6,"yyyymm")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W70" s="8">
        <f>IFERROR(
GETPIVOTDATA(
"[Base].[Importe]",
TDinamica_R!$A$5,
"[Calendario].[AñoMes]",
"[Calendario].[AñoMes].&amp;[" &amp; TEXT(W$6,"yyyymm")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X70" s="8">
        <f>IFERROR(
GETPIVOTDATA(
"[Base].[Importe]",
TDinamica_R!$A$5,
"[Calendario].[AñoMes]",
"[Calendario].[AñoMes].&amp;[" &amp; TEXT(X$6,"yyyymm")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Y70" s="8">
        <f>IFERROR(
GETPIVOTDATA(
"[Base].[Importe]",
TDinamica_R!$A$5,
"[Calendario].[AñoMes]",
"[Calendario].[AñoMes].&amp;[" &amp; TEXT(Y$6,"yyyymm")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Z70" s="8">
        <f>IFERROR(
GETPIVOTDATA(
"[Base].[Importe]",
TDinamica_R!$A$5,
"[Calendario].[AñoMes]",
"[Calendario].[AñoMes].&amp;[" &amp; TEXT(Z$6,"yyyymm")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A70" s="8">
        <f>IFERROR(
GETPIVOTDATA(
"[Base].[Importe]",
TDinamica_R!$A$5,
"[Calendario].[AñoMes]",
"[Calendario].[AñoMes].&amp;[" &amp; TEXT(AA$6,"yyyymm")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B70" s="8">
        <f>IFERROR(
GETPIVOTDATA(
"[Base].[Importe]",
TDinamica_R!$A$5,
"[Calendario].[AñoMes]",
"[Calendario].[AñoMes].&amp;[" &amp; TEXT(AB$6,"yyyymm")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C70" s="8">
        <f>IFERROR(
GETPIVOTDATA(
"[Base].[Importe]",
TDinamica_R!$A$5,
"[Calendario].[AñoMes]",
"[Calendario].[AñoMes].&amp;[" &amp; TEXT(AC$6,"yyyymm")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D70" s="8">
        <f>IFERROR(
GETPIVOTDATA(
"[Base].[Importe]",
TDinamica_R!$A$5,
"[Calendario].[AñoMes]",
"[Calendario].[AñoMes].&amp;[" &amp; TEXT(AD$6,"yyyymm")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E70" s="8">
        <f>IFERROR(
GETPIVOTDATA(
"[Base].[Importe]",
TDinamica_R!$A$5,
"[Calendario].[AñoMes]",
"[Calendario].[AñoMes].&amp;[" &amp; TEXT(AE$6,"yyyymm")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F70" s="8">
        <f>IFERROR(
GETPIVOTDATA(
"[Base].[Importe]",
TDinamica_R!$A$5,
"[Calendario].[AñoMes]",
"[Calendario].[AñoMes].&amp;[" &amp; TEXT(AF$6,"yyyymm")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G70" s="8">
        <f>IFERROR(
GETPIVOTDATA(
"[Base].[Importe]",
TDinamica_R!$A$5,
"[Calendario].[AñoMes]",
"[Calendario].[AñoMes].&amp;[" &amp; TEXT(AG$6,"yyyymm")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H70" s="8">
        <f>IFERROR(
GETPIVOTDATA(
"[Base].[Importe]",
TDinamica_R!$A$5,
"[Calendario].[AñoMes]",
"[Calendario].[AñoMes].&amp;[" &amp; TEXT(AH$6,"yyyymm")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I70" s="8">
        <f>IFERROR(
GETPIVOTDATA(
"[Base].[Importe]",
TDinamica_R!$A$5,
"[Calendario].[AñoMes]",
"[Calendario].[AñoMes].&amp;[" &amp; TEXT(AI$6,"yyyymm")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J70" s="8">
        <f>IFERROR(
GETPIVOTDATA(
"[Base].[Importe]",
TDinamica_R!$A$5,
"[Calendario].[AñoMes]",
"[Calendario].[AñoMes].&amp;[" &amp; TEXT(AJ$6,"yyyymm")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K70" s="8">
        <f>IFERROR(
GETPIVOTDATA(
"[Base].[Importe]",
TDinamica_R!$A$5,
"[Calendario].[AñoMes]",
"[Calendario].[AñoMes].&amp;[" &amp; TEXT(AK$6,"yyyymm")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L70" s="8">
        <f>IFERROR(
GETPIVOTDATA(
"[Base].[Importe]",
TDinamica_R!$A$5,
"[Calendario].[AñoMes]",
"[Calendario].[AñoMes].&amp;[" &amp; TEXT(AL$6,"yyyymm")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M70" s="8">
        <f>IFERROR(
GETPIVOTDATA(
"[Base].[Importe]",
TDinamica_R!$A$5,
"[Calendario].[AñoMes]",
"[Calendario].[AñoMes].&amp;[" &amp; TEXT(AM$6,"yyyymm")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N70" s="8">
        <f>IFERROR(
GETPIVOTDATA(
"[Base].[Importe]",
TDinamica_R!$A$5,
"[Calendario].[AñoMes]",
"[Calendario].[AñoMes].&amp;[" &amp; TEXT(AN$6,"yyyymm")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O70" s="8">
        <f>IFERROR(
GETPIVOTDATA(
"[Base].[Importe]",
TDinamica_R!$A$5,
"[Calendario].[AñoMes]",
"[Calendario].[AñoMes].&amp;[" &amp; TEXT(AO$6,"yyyymm")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P70" s="8">
        <f>IFERROR(
GETPIVOTDATA(
"[Base].[Importe]",
TDinamica_R!$A$5,
"[Calendario].[AñoMes]",
"[Calendario].[AñoMes].&amp;[" &amp; TEXT(AP$6,"yyyymm")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Q70" s="8">
        <f>IFERROR(
GETPIVOTDATA(
"[Base].[Importe]",
TDinamica_R!$A$5,
"[Calendario].[AñoMes]",
"[Calendario].[AñoMes].&amp;[" &amp; TEXT(AQ$6,"yyyymm")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R70" s="8">
        <f>IFERROR(
GETPIVOTDATA(
"[Base].[Importe]",
TDinamica_R!$A$5,
"[Calendario].[AñoMes]",
"[Calendario].[AñoMes].&amp;[" &amp; TEXT(AR$6,"yyyymm")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S70" s="8">
        <f>IFERROR(
GETPIVOTDATA(
"[Base].[Importe]",
TDinamica_R!$A$5,
"[Calendario].[AñoMes]",
"[Calendario].[AñoMes].&amp;[" &amp; TEXT(AS$6,"yyyymm")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T70" s="8">
        <f>IFERROR(
GETPIVOTDATA(
"[Base].[Importe]",
TDinamica_R!$A$5,
"[Calendario].[AñoMes]",
"[Calendario].[AñoMes].&amp;[" &amp; TEXT(AT$6,"yyyymm")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U70" s="8">
        <f>IFERROR(
GETPIVOTDATA(
"[Base].[Importe]",
TDinamica_R!$A$5,
"[Calendario].[AñoMes]",
"[Calendario].[AñoMes].&amp;[" &amp; TEXT(AU$6,"yyyymm")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V70" s="8">
        <f>IFERROR(
GETPIVOTDATA(
"[Base].[Importe]",
TDinamica_R!$A$5,
"[Calendario].[AñoMes]",
"[Calendario].[AñoMes].&amp;[" &amp; TEXT(AV$6,"yyyymm")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W70" s="8">
        <f>IFERROR(
GETPIVOTDATA(
"[Base].[Importe]",
TDinamica_R!$A$5,
"[Calendario].[AñoMes]",
"[Calendario].[AñoMes].&amp;[" &amp; TEXT(AW$6,"yyyymm")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X70" s="8">
        <f>IFERROR(
GETPIVOTDATA(
"[Base].[Importe]",
TDinamica_R!$A$5,
"[Calendario].[AñoMes]",
"[Calendario].[AñoMes].&amp;[" &amp; TEXT(AX$6,"yyyymm")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Y70" s="8">
        <f>IFERROR(
GETPIVOTDATA(
"[Base].[Importe]",
TDinamica_R!$A$5,
"[Calendario].[AñoMes]",
"[Calendario].[AñoMes].&amp;[" &amp; TEXT(AY$6,"yyyymm") &amp; "]",
"[Base].[Metrica]",
"[Base].[Metrica].&amp;[" &amp; $A70 &amp; "]",
"[Base].[SEGMENTO_DESCRIP]",
"[Base].[SEGMENTO_DESCRIP].&amp;[" &amp; $C$6 &amp; "]",
"[Base].[SITUACION]",
"[Base].[SITUACION].&amp;[" &amp; $C70 &amp; "]"
),0)/1000</f>
        <v>0</v>
      </c>
      <c r="AZ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"[BASE_HIPO_PPTO].[Periodo]","[BASE_HIPO_PPTO].[Periodo].&amp;["&amp;TEXT(AZ$6,"yyyymm")&amp;"]"),
0)/1000</f>
        <v>0</v>
      </c>
      <c r="BA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"[BASE_HIPO_PPTO].[Periodo]","[BASE_HIPO_PPTO].[Periodo].&amp;["&amp;TEXT(BA$6,"yyyymm")&amp;"]"),
0)/1000</f>
        <v>0</v>
      </c>
      <c r="BB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"[BASE_HIPO_PPTO].[Periodo]","[BASE_HIPO_PPTO].[Periodo].&amp;["&amp;TEXT(BB$6,"yyyymm")&amp;"]"),
0)/1000</f>
        <v>0</v>
      </c>
      <c r="BC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"[BASE_HIPO_PPTO].[Periodo]","[BASE_HIPO_PPTO].[Periodo].&amp;["&amp;TEXT(BC$6,"yyyymm")&amp;"]"),
0)/1000</f>
        <v>0</v>
      </c>
      <c r="BD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"[BASE_HIPO_PPTO].[Periodo]","[BASE_HIPO_PPTO].[Periodo].&amp;["&amp;TEXT(BD$6,"yyyymm")&amp;"]"),
0)/1000</f>
        <v>0</v>
      </c>
      <c r="BE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"[BASE_HIPO_PPTO].[Periodo]","[BASE_HIPO_PPTO].[Periodo].&amp;["&amp;TEXT(BE$6,"yyyymm")&amp;"]"),
0)/1000</f>
        <v>0</v>
      </c>
      <c r="BF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"[BASE_HIPO_PPTO].[Periodo]","[BASE_HIPO_PPTO].[Periodo].&amp;["&amp;TEXT(BF$6,"yyyymm")&amp;"]"),
0)/1000</f>
        <v>0</v>
      </c>
      <c r="BG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"[BASE_HIPO_PPTO].[Periodo]","[BASE_HIPO_PPTO].[Periodo].&amp;["&amp;TEXT(BG$6,"yyyymm")&amp;"]"),
0)/1000</f>
        <v>0</v>
      </c>
      <c r="BH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"[BASE_HIPO_PPTO].[Periodo]","[BASE_HIPO_PPTO].[Periodo].&amp;["&amp;TEXT(BH$6,"yyyymm")&amp;"]"),
0)/1000</f>
        <v>0</v>
      </c>
      <c r="BI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"[BASE_HIPO_PPTO].[Periodo]","[BASE_HIPO_PPTO].[Periodo].&amp;["&amp;TEXT(BI$6,"yyyymm")&amp;"]"),
0)/1000</f>
        <v>0</v>
      </c>
      <c r="BJ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"[BASE_HIPO_PPTO].[Periodo]","[BASE_HIPO_PPTO].[Periodo].&amp;["&amp;TEXT(BJ$6,"yyyymm")&amp;"]"),
0)/1000</f>
        <v>0</v>
      </c>
      <c r="BK70" s="8">
        <f>IFERROR(
GETPIVOTDATA(
"[BASE_HIPO_PPTO].[Importe]",
TDinamica_P!$A$5,
"[BASE_HIPO_PPTO].[Metrica]","[BASE_HIPO_PPTO].[Metrica].&amp;["&amp;$A70&amp;"]",
"[BASE_HIPO_PPTO].[SEGMENTO_DESCRIP]","[BASE_HIPO_PPTO].[SEGMENTO_DESCRIP].&amp;["&amp;$C$6&amp;"]",
"[BASE_HIPO_PPTO].[SITUACION]","[BASE_HIPO_PPTO].[SITUACION].&amp;["&amp;$C70&amp;"]",
"[BASE_HIPO_PPTO].[Periodo]","[BASE_HIPO_PPTO].[Periodo].&amp;["&amp;TEXT(BK$6,"yyyymm")&amp;"]"),
0)/1000</f>
        <v>0</v>
      </c>
      <c r="BO70" s="24">
        <f t="shared" si="63"/>
        <v>0</v>
      </c>
      <c r="BP70" s="24">
        <f t="shared" si="63"/>
        <v>0</v>
      </c>
      <c r="BQ70" s="24">
        <f t="shared" si="63"/>
        <v>0</v>
      </c>
      <c r="BR70" s="24">
        <f t="shared" si="63"/>
        <v>0</v>
      </c>
      <c r="BS70" s="24">
        <f t="shared" si="63"/>
        <v>0</v>
      </c>
      <c r="BT70" s="24">
        <f t="shared" si="63"/>
        <v>0</v>
      </c>
    </row>
    <row r="71" spans="1:72" hidden="1" outlineLevel="1" x14ac:dyDescent="0.25">
      <c r="A71" s="11" t="s">
        <v>71</v>
      </c>
      <c r="C71" s="2"/>
      <c r="D71" s="8">
        <f>IFERROR(
GETPIVOTDATA(
"[Base].[Importe]",
TDinamica_R!$A$5,
"[Calendario].[AñoMes]",
"[Calendario].[AñoMes].&amp;[" &amp; TEXT(D$6,"yyyymm")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E71" s="8">
        <f>IFERROR(
GETPIVOTDATA(
"[Base].[Importe]",
TDinamica_R!$A$5,
"[Calendario].[AñoMes]",
"[Calendario].[AñoMes].&amp;[" &amp; TEXT(E$6,"yyyymm")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F71" s="8">
        <f>IFERROR(
GETPIVOTDATA(
"[Base].[Importe]",
TDinamica_R!$A$5,
"[Calendario].[AñoMes]",
"[Calendario].[AñoMes].&amp;[" &amp; TEXT(F$6,"yyyymm")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G71" s="8">
        <f>IFERROR(
GETPIVOTDATA(
"[Base].[Importe]",
TDinamica_R!$A$5,
"[Calendario].[AñoMes]",
"[Calendario].[AñoMes].&amp;[" &amp; TEXT(G$6,"yyyymm")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H71" s="8">
        <f>IFERROR(
GETPIVOTDATA(
"[Base].[Importe]",
TDinamica_R!$A$5,
"[Calendario].[AñoMes]",
"[Calendario].[AñoMes].&amp;[" &amp; TEXT(H$6,"yyyymm")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I71" s="8">
        <f>IFERROR(
GETPIVOTDATA(
"[Base].[Importe]",
TDinamica_R!$A$5,
"[Calendario].[AñoMes]",
"[Calendario].[AñoMes].&amp;[" &amp; TEXT(I$6,"yyyymm")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J71" s="8">
        <f>IFERROR(
GETPIVOTDATA(
"[Base].[Importe]",
TDinamica_R!$A$5,
"[Calendario].[AñoMes]",
"[Calendario].[AñoMes].&amp;[" &amp; TEXT(J$6,"yyyymm")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K71" s="8">
        <f>IFERROR(
GETPIVOTDATA(
"[Base].[Importe]",
TDinamica_R!$A$5,
"[Calendario].[AñoMes]",
"[Calendario].[AñoMes].&amp;[" &amp; TEXT(K$6,"yyyymm")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L71" s="8">
        <f>IFERROR(
GETPIVOTDATA(
"[Base].[Importe]",
TDinamica_R!$A$5,
"[Calendario].[AñoMes]",
"[Calendario].[AñoMes].&amp;[" &amp; TEXT(L$6,"yyyymm")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M71" s="8">
        <f>IFERROR(
GETPIVOTDATA(
"[Base].[Importe]",
TDinamica_R!$A$5,
"[Calendario].[AñoMes]",
"[Calendario].[AñoMes].&amp;[" &amp; TEXT(M$6,"yyyymm")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N71" s="8">
        <f>IFERROR(
GETPIVOTDATA(
"[Base].[Importe]",
TDinamica_R!$A$5,
"[Calendario].[AñoMes]",
"[Calendario].[AñoMes].&amp;[" &amp; TEXT(N$6,"yyyymm")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O71" s="8">
        <f>IFERROR(
GETPIVOTDATA(
"[Base].[Importe]",
TDinamica_R!$A$5,
"[Calendario].[AñoMes]",
"[Calendario].[AñoMes].&amp;[" &amp; TEXT(O$6,"yyyymm")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P71" s="8">
        <f>IFERROR(
GETPIVOTDATA(
"[Base].[Importe]",
TDinamica_R!$A$5,
"[Calendario].[AñoMes]",
"[Calendario].[AñoMes].&amp;[" &amp; TEXT(P$6,"yyyymm")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Q71" s="8">
        <f>IFERROR(
GETPIVOTDATA(
"[Base].[Importe]",
TDinamica_R!$A$5,
"[Calendario].[AñoMes]",
"[Calendario].[AñoMes].&amp;[" &amp; TEXT(Q$6,"yyyymm")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R71" s="8">
        <f>IFERROR(
GETPIVOTDATA(
"[Base].[Importe]",
TDinamica_R!$A$5,
"[Calendario].[AñoMes]",
"[Calendario].[AñoMes].&amp;[" &amp; TEXT(R$6,"yyyymm")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S71" s="8">
        <f>IFERROR(
GETPIVOTDATA(
"[Base].[Importe]",
TDinamica_R!$A$5,
"[Calendario].[AñoMes]",
"[Calendario].[AñoMes].&amp;[" &amp; TEXT(S$6,"yyyymm")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T71" s="8">
        <f>IFERROR(
GETPIVOTDATA(
"[Base].[Importe]",
TDinamica_R!$A$5,
"[Calendario].[AñoMes]",
"[Calendario].[AñoMes].&amp;[" &amp; TEXT(T$6,"yyyymm")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U71" s="8">
        <f>IFERROR(
GETPIVOTDATA(
"[Base].[Importe]",
TDinamica_R!$A$5,
"[Calendario].[AñoMes]",
"[Calendario].[AñoMes].&amp;[" &amp; TEXT(U$6,"yyyymm")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V71" s="8">
        <f>IFERROR(
GETPIVOTDATA(
"[Base].[Importe]",
TDinamica_R!$A$5,
"[Calendario].[AñoMes]",
"[Calendario].[AñoMes].&amp;[" &amp; TEXT(V$6,"yyyymm")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W71" s="8">
        <f>IFERROR(
GETPIVOTDATA(
"[Base].[Importe]",
TDinamica_R!$A$5,
"[Calendario].[AñoMes]",
"[Calendario].[AñoMes].&amp;[" &amp; TEXT(W$6,"yyyymm")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X71" s="8">
        <f>IFERROR(
GETPIVOTDATA(
"[Base].[Importe]",
TDinamica_R!$A$5,
"[Calendario].[AñoMes]",
"[Calendario].[AñoMes].&amp;[" &amp; TEXT(X$6,"yyyymm")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Y71" s="8">
        <f>IFERROR(
GETPIVOTDATA(
"[Base].[Importe]",
TDinamica_R!$A$5,
"[Calendario].[AñoMes]",
"[Calendario].[AñoMes].&amp;[" &amp; TEXT(Y$6,"yyyymm")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Z71" s="8">
        <f>IFERROR(
GETPIVOTDATA(
"[Base].[Importe]",
TDinamica_R!$A$5,
"[Calendario].[AñoMes]",
"[Calendario].[AñoMes].&amp;[" &amp; TEXT(Z$6,"yyyymm")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A71" s="8">
        <f>IFERROR(
GETPIVOTDATA(
"[Base].[Importe]",
TDinamica_R!$A$5,
"[Calendario].[AñoMes]",
"[Calendario].[AñoMes].&amp;[" &amp; TEXT(AA$6,"yyyymm")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B71" s="8">
        <f>IFERROR(
GETPIVOTDATA(
"[Base].[Importe]",
TDinamica_R!$A$5,
"[Calendario].[AñoMes]",
"[Calendario].[AñoMes].&amp;[" &amp; TEXT(AB$6,"yyyymm")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C71" s="8">
        <f>IFERROR(
GETPIVOTDATA(
"[Base].[Importe]",
TDinamica_R!$A$5,
"[Calendario].[AñoMes]",
"[Calendario].[AñoMes].&amp;[" &amp; TEXT(AC$6,"yyyymm")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D71" s="8">
        <f>IFERROR(
GETPIVOTDATA(
"[Base].[Importe]",
TDinamica_R!$A$5,
"[Calendario].[AñoMes]",
"[Calendario].[AñoMes].&amp;[" &amp; TEXT(AD$6,"yyyymm")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E71" s="8">
        <f>IFERROR(
GETPIVOTDATA(
"[Base].[Importe]",
TDinamica_R!$A$5,
"[Calendario].[AñoMes]",
"[Calendario].[AñoMes].&amp;[" &amp; TEXT(AE$6,"yyyymm")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F71" s="8">
        <f>IFERROR(
GETPIVOTDATA(
"[Base].[Importe]",
TDinamica_R!$A$5,
"[Calendario].[AñoMes]",
"[Calendario].[AñoMes].&amp;[" &amp; TEXT(AF$6,"yyyymm")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G71" s="8">
        <f>IFERROR(
GETPIVOTDATA(
"[Base].[Importe]",
TDinamica_R!$A$5,
"[Calendario].[AñoMes]",
"[Calendario].[AñoMes].&amp;[" &amp; TEXT(AG$6,"yyyymm")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H71" s="8">
        <f>IFERROR(
GETPIVOTDATA(
"[Base].[Importe]",
TDinamica_R!$A$5,
"[Calendario].[AñoMes]",
"[Calendario].[AñoMes].&amp;[" &amp; TEXT(AH$6,"yyyymm")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I71" s="8">
        <f>IFERROR(
GETPIVOTDATA(
"[Base].[Importe]",
TDinamica_R!$A$5,
"[Calendario].[AñoMes]",
"[Calendario].[AñoMes].&amp;[" &amp; TEXT(AI$6,"yyyymm")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J71" s="8">
        <f>IFERROR(
GETPIVOTDATA(
"[Base].[Importe]",
TDinamica_R!$A$5,
"[Calendario].[AñoMes]",
"[Calendario].[AñoMes].&amp;[" &amp; TEXT(AJ$6,"yyyymm")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K71" s="8">
        <f>IFERROR(
GETPIVOTDATA(
"[Base].[Importe]",
TDinamica_R!$A$5,
"[Calendario].[AñoMes]",
"[Calendario].[AñoMes].&amp;[" &amp; TEXT(AK$6,"yyyymm")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L71" s="8">
        <f>IFERROR(
GETPIVOTDATA(
"[Base].[Importe]",
TDinamica_R!$A$5,
"[Calendario].[AñoMes]",
"[Calendario].[AñoMes].&amp;[" &amp; TEXT(AL$6,"yyyymm")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M71" s="8">
        <f>IFERROR(
GETPIVOTDATA(
"[Base].[Importe]",
TDinamica_R!$A$5,
"[Calendario].[AñoMes]",
"[Calendario].[AñoMes].&amp;[" &amp; TEXT(AM$6,"yyyymm")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N71" s="8">
        <f>IFERROR(
GETPIVOTDATA(
"[Base].[Importe]",
TDinamica_R!$A$5,
"[Calendario].[AñoMes]",
"[Calendario].[AñoMes].&amp;[" &amp; TEXT(AN$6,"yyyymm")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O71" s="8">
        <f>IFERROR(
GETPIVOTDATA(
"[Base].[Importe]",
TDinamica_R!$A$5,
"[Calendario].[AñoMes]",
"[Calendario].[AñoMes].&amp;[" &amp; TEXT(AO$6,"yyyymm")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P71" s="8">
        <f>IFERROR(
GETPIVOTDATA(
"[Base].[Importe]",
TDinamica_R!$A$5,
"[Calendario].[AñoMes]",
"[Calendario].[AñoMes].&amp;[" &amp; TEXT(AP$6,"yyyymm")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Q71" s="8">
        <f>IFERROR(
GETPIVOTDATA(
"[Base].[Importe]",
TDinamica_R!$A$5,
"[Calendario].[AñoMes]",
"[Calendario].[AñoMes].&amp;[" &amp; TEXT(AQ$6,"yyyymm")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R71" s="8">
        <f>IFERROR(
GETPIVOTDATA(
"[Base].[Importe]",
TDinamica_R!$A$5,
"[Calendario].[AñoMes]",
"[Calendario].[AñoMes].&amp;[" &amp; TEXT(AR$6,"yyyymm")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S71" s="8">
        <f>IFERROR(
GETPIVOTDATA(
"[Base].[Importe]",
TDinamica_R!$A$5,
"[Calendario].[AñoMes]",
"[Calendario].[AñoMes].&amp;[" &amp; TEXT(AS$6,"yyyymm")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T71" s="8">
        <f>IFERROR(
GETPIVOTDATA(
"[Base].[Importe]",
TDinamica_R!$A$5,
"[Calendario].[AñoMes]",
"[Calendario].[AñoMes].&amp;[" &amp; TEXT(AT$6,"yyyymm")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U71" s="8">
        <f>IFERROR(
GETPIVOTDATA(
"[Base].[Importe]",
TDinamica_R!$A$5,
"[Calendario].[AñoMes]",
"[Calendario].[AñoMes].&amp;[" &amp; TEXT(AU$6,"yyyymm")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V71" s="8">
        <f>IFERROR(
GETPIVOTDATA(
"[Base].[Importe]",
TDinamica_R!$A$5,
"[Calendario].[AñoMes]",
"[Calendario].[AñoMes].&amp;[" &amp; TEXT(AV$6,"yyyymm")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W71" s="8">
        <f>IFERROR(
GETPIVOTDATA(
"[Base].[Importe]",
TDinamica_R!$A$5,
"[Calendario].[AñoMes]",
"[Calendario].[AñoMes].&amp;[" &amp; TEXT(AW$6,"yyyymm")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X71" s="8">
        <f>IFERROR(
GETPIVOTDATA(
"[Base].[Importe]",
TDinamica_R!$A$5,
"[Calendario].[AñoMes]",
"[Calendario].[AñoMes].&amp;[" &amp; TEXT(AX$6,"yyyymm")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Y71" s="8">
        <f>IFERROR(
GETPIVOTDATA(
"[Base].[Importe]",
TDinamica_R!$A$5,
"[Calendario].[AñoMes]",
"[Calendario].[AñoMes].&amp;[" &amp; TEXT(AY$6,"yyyymm") &amp; "]",
"[Base].[Metrica]",
"[Base].[Metrica].&amp;[" &amp; $A71 &amp; "]",
"[Base].[SEGMENTO_DESCRIP]",
"[Base].[SEGMENTO_DESCRIP].&amp;[" &amp; $C$6 &amp; "]",
"[Base].[SITUACION]",
"[Base].[SITUACION].&amp;[" &amp; $C71 &amp; "]"
),0)/1000</f>
        <v>0</v>
      </c>
      <c r="AZ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"[BASE_HIPO_PPTO].[Periodo]","[BASE_HIPO_PPTO].[Periodo].&amp;["&amp;TEXT(AZ$6,"yyyymm")&amp;"]"),
0)/1000</f>
        <v>0</v>
      </c>
      <c r="BA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"[BASE_HIPO_PPTO].[Periodo]","[BASE_HIPO_PPTO].[Periodo].&amp;["&amp;TEXT(BA$6,"yyyymm")&amp;"]"),
0)/1000</f>
        <v>0</v>
      </c>
      <c r="BB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"[BASE_HIPO_PPTO].[Periodo]","[BASE_HIPO_PPTO].[Periodo].&amp;["&amp;TEXT(BB$6,"yyyymm")&amp;"]"),
0)/1000</f>
        <v>0</v>
      </c>
      <c r="BC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"[BASE_HIPO_PPTO].[Periodo]","[BASE_HIPO_PPTO].[Periodo].&amp;["&amp;TEXT(BC$6,"yyyymm")&amp;"]"),
0)/1000</f>
        <v>0</v>
      </c>
      <c r="BD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"[BASE_HIPO_PPTO].[Periodo]","[BASE_HIPO_PPTO].[Periodo].&amp;["&amp;TEXT(BD$6,"yyyymm")&amp;"]"),
0)/1000</f>
        <v>0</v>
      </c>
      <c r="BE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"[BASE_HIPO_PPTO].[Periodo]","[BASE_HIPO_PPTO].[Periodo].&amp;["&amp;TEXT(BE$6,"yyyymm")&amp;"]"),
0)/1000</f>
        <v>0</v>
      </c>
      <c r="BF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"[BASE_HIPO_PPTO].[Periodo]","[BASE_HIPO_PPTO].[Periodo].&amp;["&amp;TEXT(BF$6,"yyyymm")&amp;"]"),
0)/1000</f>
        <v>0</v>
      </c>
      <c r="BG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"[BASE_HIPO_PPTO].[Periodo]","[BASE_HIPO_PPTO].[Periodo].&amp;["&amp;TEXT(BG$6,"yyyymm")&amp;"]"),
0)/1000</f>
        <v>0</v>
      </c>
      <c r="BH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"[BASE_HIPO_PPTO].[Periodo]","[BASE_HIPO_PPTO].[Periodo].&amp;["&amp;TEXT(BH$6,"yyyymm")&amp;"]"),
0)/1000</f>
        <v>0</v>
      </c>
      <c r="BI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"[BASE_HIPO_PPTO].[Periodo]","[BASE_HIPO_PPTO].[Periodo].&amp;["&amp;TEXT(BI$6,"yyyymm")&amp;"]"),
0)/1000</f>
        <v>0</v>
      </c>
      <c r="BJ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"[BASE_HIPO_PPTO].[Periodo]","[BASE_HIPO_PPTO].[Periodo].&amp;["&amp;TEXT(BJ$6,"yyyymm")&amp;"]"),
0)/1000</f>
        <v>0</v>
      </c>
      <c r="BK71" s="8">
        <f>IFERROR(
GETPIVOTDATA(
"[BASE_HIPO_PPTO].[Importe]",
TDinamica_P!$A$5,
"[BASE_HIPO_PPTO].[Metrica]","[BASE_HIPO_PPTO].[Metrica].&amp;["&amp;$A71&amp;"]",
"[BASE_HIPO_PPTO].[SEGMENTO_DESCRIP]","[BASE_HIPO_PPTO].[SEGMENTO_DESCRIP].&amp;["&amp;$C$6&amp;"]",
"[BASE_HIPO_PPTO].[SITUACION]","[BASE_HIPO_PPTO].[SITUACION].&amp;["&amp;$C71&amp;"]",
"[BASE_HIPO_PPTO].[Periodo]","[BASE_HIPO_PPTO].[Periodo].&amp;["&amp;TEXT(BK$6,"yyyymm")&amp;"]"),
0)/1000</f>
        <v>0</v>
      </c>
      <c r="BO71" s="24">
        <f t="shared" si="63"/>
        <v>0</v>
      </c>
      <c r="BP71" s="24">
        <f t="shared" si="63"/>
        <v>0</v>
      </c>
      <c r="BQ71" s="24">
        <f t="shared" si="63"/>
        <v>0</v>
      </c>
      <c r="BR71" s="24">
        <f t="shared" si="63"/>
        <v>0</v>
      </c>
      <c r="BS71" s="24">
        <f t="shared" si="63"/>
        <v>0</v>
      </c>
      <c r="BT71" s="24">
        <f t="shared" si="63"/>
        <v>0</v>
      </c>
    </row>
    <row r="72" spans="1:72" hidden="1" outlineLevel="1" x14ac:dyDescent="0.25">
      <c r="A72" s="11" t="s">
        <v>71</v>
      </c>
      <c r="C72" s="2"/>
      <c r="D72" s="8">
        <f>IFERROR(
GETPIVOTDATA(
"[Base].[Importe]",
TDinamica_R!$A$5,
"[Calendario].[AñoMes]",
"[Calendario].[AñoMes].&amp;[" &amp; TEXT(D$6,"yyyymm")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E72" s="8">
        <f>IFERROR(
GETPIVOTDATA(
"[Base].[Importe]",
TDinamica_R!$A$5,
"[Calendario].[AñoMes]",
"[Calendario].[AñoMes].&amp;[" &amp; TEXT(E$6,"yyyymm")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F72" s="8">
        <f>IFERROR(
GETPIVOTDATA(
"[Base].[Importe]",
TDinamica_R!$A$5,
"[Calendario].[AñoMes]",
"[Calendario].[AñoMes].&amp;[" &amp; TEXT(F$6,"yyyymm")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G72" s="8">
        <f>IFERROR(
GETPIVOTDATA(
"[Base].[Importe]",
TDinamica_R!$A$5,
"[Calendario].[AñoMes]",
"[Calendario].[AñoMes].&amp;[" &amp; TEXT(G$6,"yyyymm")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H72" s="8">
        <f>IFERROR(
GETPIVOTDATA(
"[Base].[Importe]",
TDinamica_R!$A$5,
"[Calendario].[AñoMes]",
"[Calendario].[AñoMes].&amp;[" &amp; TEXT(H$6,"yyyymm")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I72" s="8">
        <f>IFERROR(
GETPIVOTDATA(
"[Base].[Importe]",
TDinamica_R!$A$5,
"[Calendario].[AñoMes]",
"[Calendario].[AñoMes].&amp;[" &amp; TEXT(I$6,"yyyymm")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J72" s="8">
        <f>IFERROR(
GETPIVOTDATA(
"[Base].[Importe]",
TDinamica_R!$A$5,
"[Calendario].[AñoMes]",
"[Calendario].[AñoMes].&amp;[" &amp; TEXT(J$6,"yyyymm")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K72" s="8">
        <f>IFERROR(
GETPIVOTDATA(
"[Base].[Importe]",
TDinamica_R!$A$5,
"[Calendario].[AñoMes]",
"[Calendario].[AñoMes].&amp;[" &amp; TEXT(K$6,"yyyymm")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L72" s="8">
        <f>IFERROR(
GETPIVOTDATA(
"[Base].[Importe]",
TDinamica_R!$A$5,
"[Calendario].[AñoMes]",
"[Calendario].[AñoMes].&amp;[" &amp; TEXT(L$6,"yyyymm")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M72" s="8">
        <f>IFERROR(
GETPIVOTDATA(
"[Base].[Importe]",
TDinamica_R!$A$5,
"[Calendario].[AñoMes]",
"[Calendario].[AñoMes].&amp;[" &amp; TEXT(M$6,"yyyymm")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N72" s="8">
        <f>IFERROR(
GETPIVOTDATA(
"[Base].[Importe]",
TDinamica_R!$A$5,
"[Calendario].[AñoMes]",
"[Calendario].[AñoMes].&amp;[" &amp; TEXT(N$6,"yyyymm")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O72" s="8">
        <f>IFERROR(
GETPIVOTDATA(
"[Base].[Importe]",
TDinamica_R!$A$5,
"[Calendario].[AñoMes]",
"[Calendario].[AñoMes].&amp;[" &amp; TEXT(O$6,"yyyymm")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P72" s="8">
        <f>IFERROR(
GETPIVOTDATA(
"[Base].[Importe]",
TDinamica_R!$A$5,
"[Calendario].[AñoMes]",
"[Calendario].[AñoMes].&amp;[" &amp; TEXT(P$6,"yyyymm")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Q72" s="8">
        <f>IFERROR(
GETPIVOTDATA(
"[Base].[Importe]",
TDinamica_R!$A$5,
"[Calendario].[AñoMes]",
"[Calendario].[AñoMes].&amp;[" &amp; TEXT(Q$6,"yyyymm")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R72" s="8">
        <f>IFERROR(
GETPIVOTDATA(
"[Base].[Importe]",
TDinamica_R!$A$5,
"[Calendario].[AñoMes]",
"[Calendario].[AñoMes].&amp;[" &amp; TEXT(R$6,"yyyymm")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S72" s="8">
        <f>IFERROR(
GETPIVOTDATA(
"[Base].[Importe]",
TDinamica_R!$A$5,
"[Calendario].[AñoMes]",
"[Calendario].[AñoMes].&amp;[" &amp; TEXT(S$6,"yyyymm")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T72" s="8">
        <f>IFERROR(
GETPIVOTDATA(
"[Base].[Importe]",
TDinamica_R!$A$5,
"[Calendario].[AñoMes]",
"[Calendario].[AñoMes].&amp;[" &amp; TEXT(T$6,"yyyymm")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U72" s="8">
        <f>IFERROR(
GETPIVOTDATA(
"[Base].[Importe]",
TDinamica_R!$A$5,
"[Calendario].[AñoMes]",
"[Calendario].[AñoMes].&amp;[" &amp; TEXT(U$6,"yyyymm")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V72" s="8">
        <f>IFERROR(
GETPIVOTDATA(
"[Base].[Importe]",
TDinamica_R!$A$5,
"[Calendario].[AñoMes]",
"[Calendario].[AñoMes].&amp;[" &amp; TEXT(V$6,"yyyymm")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W72" s="8">
        <f>IFERROR(
GETPIVOTDATA(
"[Base].[Importe]",
TDinamica_R!$A$5,
"[Calendario].[AñoMes]",
"[Calendario].[AñoMes].&amp;[" &amp; TEXT(W$6,"yyyymm")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X72" s="8">
        <f>IFERROR(
GETPIVOTDATA(
"[Base].[Importe]",
TDinamica_R!$A$5,
"[Calendario].[AñoMes]",
"[Calendario].[AñoMes].&amp;[" &amp; TEXT(X$6,"yyyymm")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Y72" s="8">
        <f>IFERROR(
GETPIVOTDATA(
"[Base].[Importe]",
TDinamica_R!$A$5,
"[Calendario].[AñoMes]",
"[Calendario].[AñoMes].&amp;[" &amp; TEXT(Y$6,"yyyymm")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Z72" s="8">
        <f>IFERROR(
GETPIVOTDATA(
"[Base].[Importe]",
TDinamica_R!$A$5,
"[Calendario].[AñoMes]",
"[Calendario].[AñoMes].&amp;[" &amp; TEXT(Z$6,"yyyymm")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A72" s="8">
        <f>IFERROR(
GETPIVOTDATA(
"[Base].[Importe]",
TDinamica_R!$A$5,
"[Calendario].[AñoMes]",
"[Calendario].[AñoMes].&amp;[" &amp; TEXT(AA$6,"yyyymm")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B72" s="8">
        <f>IFERROR(
GETPIVOTDATA(
"[Base].[Importe]",
TDinamica_R!$A$5,
"[Calendario].[AñoMes]",
"[Calendario].[AñoMes].&amp;[" &amp; TEXT(AB$6,"yyyymm")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C72" s="8">
        <f>IFERROR(
GETPIVOTDATA(
"[Base].[Importe]",
TDinamica_R!$A$5,
"[Calendario].[AñoMes]",
"[Calendario].[AñoMes].&amp;[" &amp; TEXT(AC$6,"yyyymm")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D72" s="8">
        <f>IFERROR(
GETPIVOTDATA(
"[Base].[Importe]",
TDinamica_R!$A$5,
"[Calendario].[AñoMes]",
"[Calendario].[AñoMes].&amp;[" &amp; TEXT(AD$6,"yyyymm")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E72" s="8">
        <f>IFERROR(
GETPIVOTDATA(
"[Base].[Importe]",
TDinamica_R!$A$5,
"[Calendario].[AñoMes]",
"[Calendario].[AñoMes].&amp;[" &amp; TEXT(AE$6,"yyyymm")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F72" s="8">
        <f>IFERROR(
GETPIVOTDATA(
"[Base].[Importe]",
TDinamica_R!$A$5,
"[Calendario].[AñoMes]",
"[Calendario].[AñoMes].&amp;[" &amp; TEXT(AF$6,"yyyymm")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G72" s="8">
        <f>IFERROR(
GETPIVOTDATA(
"[Base].[Importe]",
TDinamica_R!$A$5,
"[Calendario].[AñoMes]",
"[Calendario].[AñoMes].&amp;[" &amp; TEXT(AG$6,"yyyymm")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H72" s="8">
        <f>IFERROR(
GETPIVOTDATA(
"[Base].[Importe]",
TDinamica_R!$A$5,
"[Calendario].[AñoMes]",
"[Calendario].[AñoMes].&amp;[" &amp; TEXT(AH$6,"yyyymm")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I72" s="8">
        <f>IFERROR(
GETPIVOTDATA(
"[Base].[Importe]",
TDinamica_R!$A$5,
"[Calendario].[AñoMes]",
"[Calendario].[AñoMes].&amp;[" &amp; TEXT(AI$6,"yyyymm")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J72" s="8">
        <f>IFERROR(
GETPIVOTDATA(
"[Base].[Importe]",
TDinamica_R!$A$5,
"[Calendario].[AñoMes]",
"[Calendario].[AñoMes].&amp;[" &amp; TEXT(AJ$6,"yyyymm")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K72" s="8">
        <f>IFERROR(
GETPIVOTDATA(
"[Base].[Importe]",
TDinamica_R!$A$5,
"[Calendario].[AñoMes]",
"[Calendario].[AñoMes].&amp;[" &amp; TEXT(AK$6,"yyyymm")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L72" s="8">
        <f>IFERROR(
GETPIVOTDATA(
"[Base].[Importe]",
TDinamica_R!$A$5,
"[Calendario].[AñoMes]",
"[Calendario].[AñoMes].&amp;[" &amp; TEXT(AL$6,"yyyymm")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M72" s="8">
        <f>IFERROR(
GETPIVOTDATA(
"[Base].[Importe]",
TDinamica_R!$A$5,
"[Calendario].[AñoMes]",
"[Calendario].[AñoMes].&amp;[" &amp; TEXT(AM$6,"yyyymm")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N72" s="8">
        <f>IFERROR(
GETPIVOTDATA(
"[Base].[Importe]",
TDinamica_R!$A$5,
"[Calendario].[AñoMes]",
"[Calendario].[AñoMes].&amp;[" &amp; TEXT(AN$6,"yyyymm")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O72" s="8">
        <f>IFERROR(
GETPIVOTDATA(
"[Base].[Importe]",
TDinamica_R!$A$5,
"[Calendario].[AñoMes]",
"[Calendario].[AñoMes].&amp;[" &amp; TEXT(AO$6,"yyyymm")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P72" s="8">
        <f>IFERROR(
GETPIVOTDATA(
"[Base].[Importe]",
TDinamica_R!$A$5,
"[Calendario].[AñoMes]",
"[Calendario].[AñoMes].&amp;[" &amp; TEXT(AP$6,"yyyymm")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Q72" s="8">
        <f>IFERROR(
GETPIVOTDATA(
"[Base].[Importe]",
TDinamica_R!$A$5,
"[Calendario].[AñoMes]",
"[Calendario].[AñoMes].&amp;[" &amp; TEXT(AQ$6,"yyyymm")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R72" s="8">
        <f>IFERROR(
GETPIVOTDATA(
"[Base].[Importe]",
TDinamica_R!$A$5,
"[Calendario].[AñoMes]",
"[Calendario].[AñoMes].&amp;[" &amp; TEXT(AR$6,"yyyymm")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S72" s="8">
        <f>IFERROR(
GETPIVOTDATA(
"[Base].[Importe]",
TDinamica_R!$A$5,
"[Calendario].[AñoMes]",
"[Calendario].[AñoMes].&amp;[" &amp; TEXT(AS$6,"yyyymm")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T72" s="8">
        <f>IFERROR(
GETPIVOTDATA(
"[Base].[Importe]",
TDinamica_R!$A$5,
"[Calendario].[AñoMes]",
"[Calendario].[AñoMes].&amp;[" &amp; TEXT(AT$6,"yyyymm")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U72" s="8">
        <f>IFERROR(
GETPIVOTDATA(
"[Base].[Importe]",
TDinamica_R!$A$5,
"[Calendario].[AñoMes]",
"[Calendario].[AñoMes].&amp;[" &amp; TEXT(AU$6,"yyyymm")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V72" s="8">
        <f>IFERROR(
GETPIVOTDATA(
"[Base].[Importe]",
TDinamica_R!$A$5,
"[Calendario].[AñoMes]",
"[Calendario].[AñoMes].&amp;[" &amp; TEXT(AV$6,"yyyymm")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W72" s="8">
        <f>IFERROR(
GETPIVOTDATA(
"[Base].[Importe]",
TDinamica_R!$A$5,
"[Calendario].[AñoMes]",
"[Calendario].[AñoMes].&amp;[" &amp; TEXT(AW$6,"yyyymm")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X72" s="8">
        <f>IFERROR(
GETPIVOTDATA(
"[Base].[Importe]",
TDinamica_R!$A$5,
"[Calendario].[AñoMes]",
"[Calendario].[AñoMes].&amp;[" &amp; TEXT(AX$6,"yyyymm")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Y72" s="8">
        <f>IFERROR(
GETPIVOTDATA(
"[Base].[Importe]",
TDinamica_R!$A$5,
"[Calendario].[AñoMes]",
"[Calendario].[AñoMes].&amp;[" &amp; TEXT(AY$6,"yyyymm") &amp; "]",
"[Base].[Metrica]",
"[Base].[Metrica].&amp;[" &amp; $A72 &amp; "]",
"[Base].[SEGMENTO_DESCRIP]",
"[Base].[SEGMENTO_DESCRIP].&amp;[" &amp; $C$6 &amp; "]",
"[Base].[SITUACION]",
"[Base].[SITUACION].&amp;[" &amp; $C72 &amp; "]"
),0)/1000</f>
        <v>0</v>
      </c>
      <c r="AZ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"[BASE_HIPO_PPTO].[Periodo]","[BASE_HIPO_PPTO].[Periodo].&amp;["&amp;TEXT(AZ$6,"yyyymm")&amp;"]"),
0)/1000</f>
        <v>0</v>
      </c>
      <c r="BA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"[BASE_HIPO_PPTO].[Periodo]","[BASE_HIPO_PPTO].[Periodo].&amp;["&amp;TEXT(BA$6,"yyyymm")&amp;"]"),
0)/1000</f>
        <v>0</v>
      </c>
      <c r="BB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"[BASE_HIPO_PPTO].[Periodo]","[BASE_HIPO_PPTO].[Periodo].&amp;["&amp;TEXT(BB$6,"yyyymm")&amp;"]"),
0)/1000</f>
        <v>0</v>
      </c>
      <c r="BC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"[BASE_HIPO_PPTO].[Periodo]","[BASE_HIPO_PPTO].[Periodo].&amp;["&amp;TEXT(BC$6,"yyyymm")&amp;"]"),
0)/1000</f>
        <v>0</v>
      </c>
      <c r="BD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"[BASE_HIPO_PPTO].[Periodo]","[BASE_HIPO_PPTO].[Periodo].&amp;["&amp;TEXT(BD$6,"yyyymm")&amp;"]"),
0)/1000</f>
        <v>0</v>
      </c>
      <c r="BE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"[BASE_HIPO_PPTO].[Periodo]","[BASE_HIPO_PPTO].[Periodo].&amp;["&amp;TEXT(BE$6,"yyyymm")&amp;"]"),
0)/1000</f>
        <v>0</v>
      </c>
      <c r="BF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"[BASE_HIPO_PPTO].[Periodo]","[BASE_HIPO_PPTO].[Periodo].&amp;["&amp;TEXT(BF$6,"yyyymm")&amp;"]"),
0)/1000</f>
        <v>0</v>
      </c>
      <c r="BG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"[BASE_HIPO_PPTO].[Periodo]","[BASE_HIPO_PPTO].[Periodo].&amp;["&amp;TEXT(BG$6,"yyyymm")&amp;"]"),
0)/1000</f>
        <v>0</v>
      </c>
      <c r="BH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"[BASE_HIPO_PPTO].[Periodo]","[BASE_HIPO_PPTO].[Periodo].&amp;["&amp;TEXT(BH$6,"yyyymm")&amp;"]"),
0)/1000</f>
        <v>0</v>
      </c>
      <c r="BI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"[BASE_HIPO_PPTO].[Periodo]","[BASE_HIPO_PPTO].[Periodo].&amp;["&amp;TEXT(BI$6,"yyyymm")&amp;"]"),
0)/1000</f>
        <v>0</v>
      </c>
      <c r="BJ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"[BASE_HIPO_PPTO].[Periodo]","[BASE_HIPO_PPTO].[Periodo].&amp;["&amp;TEXT(BJ$6,"yyyymm")&amp;"]"),
0)/1000</f>
        <v>0</v>
      </c>
      <c r="BK72" s="8">
        <f>IFERROR(
GETPIVOTDATA(
"[BASE_HIPO_PPTO].[Importe]",
TDinamica_P!$A$5,
"[BASE_HIPO_PPTO].[Metrica]","[BASE_HIPO_PPTO].[Metrica].&amp;["&amp;$A72&amp;"]",
"[BASE_HIPO_PPTO].[SEGMENTO_DESCRIP]","[BASE_HIPO_PPTO].[SEGMENTO_DESCRIP].&amp;["&amp;$C$6&amp;"]",
"[BASE_HIPO_PPTO].[SITUACION]","[BASE_HIPO_PPTO].[SITUACION].&amp;["&amp;$C72&amp;"]",
"[BASE_HIPO_PPTO].[Periodo]","[BASE_HIPO_PPTO].[Periodo].&amp;["&amp;TEXT(BK$6,"yyyymm")&amp;"]"),
0)/1000</f>
        <v>0</v>
      </c>
      <c r="BO72" s="24">
        <f t="shared" si="63"/>
        <v>0</v>
      </c>
      <c r="BP72" s="24">
        <f t="shared" si="63"/>
        <v>0</v>
      </c>
      <c r="BQ72" s="24">
        <f t="shared" si="63"/>
        <v>0</v>
      </c>
      <c r="BR72" s="24">
        <f t="shared" si="63"/>
        <v>0</v>
      </c>
      <c r="BS72" s="24">
        <f t="shared" si="63"/>
        <v>0</v>
      </c>
      <c r="BT72" s="24">
        <f t="shared" si="63"/>
        <v>0</v>
      </c>
    </row>
    <row r="73" spans="1:72" hidden="1" outlineLevel="1" x14ac:dyDescent="0.25">
      <c r="A73" s="11" t="s">
        <v>71</v>
      </c>
      <c r="C73" s="2"/>
      <c r="D73" s="8">
        <f>IFERROR(
GETPIVOTDATA(
"[Base].[Importe]",
TDinamica_R!$A$5,
"[Calendario].[AñoMes]",
"[Calendario].[AñoMes].&amp;[" &amp; TEXT(D$6,"yyyymm")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E73" s="8">
        <f>IFERROR(
GETPIVOTDATA(
"[Base].[Importe]",
TDinamica_R!$A$5,
"[Calendario].[AñoMes]",
"[Calendario].[AñoMes].&amp;[" &amp; TEXT(E$6,"yyyymm")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F73" s="8">
        <f>IFERROR(
GETPIVOTDATA(
"[Base].[Importe]",
TDinamica_R!$A$5,
"[Calendario].[AñoMes]",
"[Calendario].[AñoMes].&amp;[" &amp; TEXT(F$6,"yyyymm")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G73" s="8">
        <f>IFERROR(
GETPIVOTDATA(
"[Base].[Importe]",
TDinamica_R!$A$5,
"[Calendario].[AñoMes]",
"[Calendario].[AñoMes].&amp;[" &amp; TEXT(G$6,"yyyymm")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H73" s="8">
        <f>IFERROR(
GETPIVOTDATA(
"[Base].[Importe]",
TDinamica_R!$A$5,
"[Calendario].[AñoMes]",
"[Calendario].[AñoMes].&amp;[" &amp; TEXT(H$6,"yyyymm")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I73" s="8">
        <f>IFERROR(
GETPIVOTDATA(
"[Base].[Importe]",
TDinamica_R!$A$5,
"[Calendario].[AñoMes]",
"[Calendario].[AñoMes].&amp;[" &amp; TEXT(I$6,"yyyymm")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J73" s="8">
        <f>IFERROR(
GETPIVOTDATA(
"[Base].[Importe]",
TDinamica_R!$A$5,
"[Calendario].[AñoMes]",
"[Calendario].[AñoMes].&amp;[" &amp; TEXT(J$6,"yyyymm")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K73" s="8">
        <f>IFERROR(
GETPIVOTDATA(
"[Base].[Importe]",
TDinamica_R!$A$5,
"[Calendario].[AñoMes]",
"[Calendario].[AñoMes].&amp;[" &amp; TEXT(K$6,"yyyymm")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L73" s="8">
        <f>IFERROR(
GETPIVOTDATA(
"[Base].[Importe]",
TDinamica_R!$A$5,
"[Calendario].[AñoMes]",
"[Calendario].[AñoMes].&amp;[" &amp; TEXT(L$6,"yyyymm")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M73" s="8">
        <f>IFERROR(
GETPIVOTDATA(
"[Base].[Importe]",
TDinamica_R!$A$5,
"[Calendario].[AñoMes]",
"[Calendario].[AñoMes].&amp;[" &amp; TEXT(M$6,"yyyymm")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N73" s="8">
        <f>IFERROR(
GETPIVOTDATA(
"[Base].[Importe]",
TDinamica_R!$A$5,
"[Calendario].[AñoMes]",
"[Calendario].[AñoMes].&amp;[" &amp; TEXT(N$6,"yyyymm")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O73" s="8">
        <f>IFERROR(
GETPIVOTDATA(
"[Base].[Importe]",
TDinamica_R!$A$5,
"[Calendario].[AñoMes]",
"[Calendario].[AñoMes].&amp;[" &amp; TEXT(O$6,"yyyymm")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P73" s="8">
        <f>IFERROR(
GETPIVOTDATA(
"[Base].[Importe]",
TDinamica_R!$A$5,
"[Calendario].[AñoMes]",
"[Calendario].[AñoMes].&amp;[" &amp; TEXT(P$6,"yyyymm")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Q73" s="8">
        <f>IFERROR(
GETPIVOTDATA(
"[Base].[Importe]",
TDinamica_R!$A$5,
"[Calendario].[AñoMes]",
"[Calendario].[AñoMes].&amp;[" &amp; TEXT(Q$6,"yyyymm")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R73" s="8">
        <f>IFERROR(
GETPIVOTDATA(
"[Base].[Importe]",
TDinamica_R!$A$5,
"[Calendario].[AñoMes]",
"[Calendario].[AñoMes].&amp;[" &amp; TEXT(R$6,"yyyymm")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S73" s="8">
        <f>IFERROR(
GETPIVOTDATA(
"[Base].[Importe]",
TDinamica_R!$A$5,
"[Calendario].[AñoMes]",
"[Calendario].[AñoMes].&amp;[" &amp; TEXT(S$6,"yyyymm")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T73" s="8">
        <f>IFERROR(
GETPIVOTDATA(
"[Base].[Importe]",
TDinamica_R!$A$5,
"[Calendario].[AñoMes]",
"[Calendario].[AñoMes].&amp;[" &amp; TEXT(T$6,"yyyymm")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U73" s="8">
        <f>IFERROR(
GETPIVOTDATA(
"[Base].[Importe]",
TDinamica_R!$A$5,
"[Calendario].[AñoMes]",
"[Calendario].[AñoMes].&amp;[" &amp; TEXT(U$6,"yyyymm")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V73" s="8">
        <f>IFERROR(
GETPIVOTDATA(
"[Base].[Importe]",
TDinamica_R!$A$5,
"[Calendario].[AñoMes]",
"[Calendario].[AñoMes].&amp;[" &amp; TEXT(V$6,"yyyymm")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W73" s="8">
        <f>IFERROR(
GETPIVOTDATA(
"[Base].[Importe]",
TDinamica_R!$A$5,
"[Calendario].[AñoMes]",
"[Calendario].[AñoMes].&amp;[" &amp; TEXT(W$6,"yyyymm")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X73" s="8">
        <f>IFERROR(
GETPIVOTDATA(
"[Base].[Importe]",
TDinamica_R!$A$5,
"[Calendario].[AñoMes]",
"[Calendario].[AñoMes].&amp;[" &amp; TEXT(X$6,"yyyymm")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Y73" s="8">
        <f>IFERROR(
GETPIVOTDATA(
"[Base].[Importe]",
TDinamica_R!$A$5,
"[Calendario].[AñoMes]",
"[Calendario].[AñoMes].&amp;[" &amp; TEXT(Y$6,"yyyymm")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Z73" s="8">
        <f>IFERROR(
GETPIVOTDATA(
"[Base].[Importe]",
TDinamica_R!$A$5,
"[Calendario].[AñoMes]",
"[Calendario].[AñoMes].&amp;[" &amp; TEXT(Z$6,"yyyymm")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A73" s="8">
        <f>IFERROR(
GETPIVOTDATA(
"[Base].[Importe]",
TDinamica_R!$A$5,
"[Calendario].[AñoMes]",
"[Calendario].[AñoMes].&amp;[" &amp; TEXT(AA$6,"yyyymm")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B73" s="8">
        <f>IFERROR(
GETPIVOTDATA(
"[Base].[Importe]",
TDinamica_R!$A$5,
"[Calendario].[AñoMes]",
"[Calendario].[AñoMes].&amp;[" &amp; TEXT(AB$6,"yyyymm")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C73" s="8">
        <f>IFERROR(
GETPIVOTDATA(
"[Base].[Importe]",
TDinamica_R!$A$5,
"[Calendario].[AñoMes]",
"[Calendario].[AñoMes].&amp;[" &amp; TEXT(AC$6,"yyyymm")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D73" s="8">
        <f>IFERROR(
GETPIVOTDATA(
"[Base].[Importe]",
TDinamica_R!$A$5,
"[Calendario].[AñoMes]",
"[Calendario].[AñoMes].&amp;[" &amp; TEXT(AD$6,"yyyymm")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E73" s="8">
        <f>IFERROR(
GETPIVOTDATA(
"[Base].[Importe]",
TDinamica_R!$A$5,
"[Calendario].[AñoMes]",
"[Calendario].[AñoMes].&amp;[" &amp; TEXT(AE$6,"yyyymm")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F73" s="8">
        <f>IFERROR(
GETPIVOTDATA(
"[Base].[Importe]",
TDinamica_R!$A$5,
"[Calendario].[AñoMes]",
"[Calendario].[AñoMes].&amp;[" &amp; TEXT(AF$6,"yyyymm")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G73" s="8">
        <f>IFERROR(
GETPIVOTDATA(
"[Base].[Importe]",
TDinamica_R!$A$5,
"[Calendario].[AñoMes]",
"[Calendario].[AñoMes].&amp;[" &amp; TEXT(AG$6,"yyyymm")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H73" s="8">
        <f>IFERROR(
GETPIVOTDATA(
"[Base].[Importe]",
TDinamica_R!$A$5,
"[Calendario].[AñoMes]",
"[Calendario].[AñoMes].&amp;[" &amp; TEXT(AH$6,"yyyymm")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I73" s="8">
        <f>IFERROR(
GETPIVOTDATA(
"[Base].[Importe]",
TDinamica_R!$A$5,
"[Calendario].[AñoMes]",
"[Calendario].[AñoMes].&amp;[" &amp; TEXT(AI$6,"yyyymm")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J73" s="8">
        <f>IFERROR(
GETPIVOTDATA(
"[Base].[Importe]",
TDinamica_R!$A$5,
"[Calendario].[AñoMes]",
"[Calendario].[AñoMes].&amp;[" &amp; TEXT(AJ$6,"yyyymm")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K73" s="8">
        <f>IFERROR(
GETPIVOTDATA(
"[Base].[Importe]",
TDinamica_R!$A$5,
"[Calendario].[AñoMes]",
"[Calendario].[AñoMes].&amp;[" &amp; TEXT(AK$6,"yyyymm")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L73" s="8">
        <f>IFERROR(
GETPIVOTDATA(
"[Base].[Importe]",
TDinamica_R!$A$5,
"[Calendario].[AñoMes]",
"[Calendario].[AñoMes].&amp;[" &amp; TEXT(AL$6,"yyyymm")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M73" s="8">
        <f>IFERROR(
GETPIVOTDATA(
"[Base].[Importe]",
TDinamica_R!$A$5,
"[Calendario].[AñoMes]",
"[Calendario].[AñoMes].&amp;[" &amp; TEXT(AM$6,"yyyymm")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N73" s="8">
        <f>IFERROR(
GETPIVOTDATA(
"[Base].[Importe]",
TDinamica_R!$A$5,
"[Calendario].[AñoMes]",
"[Calendario].[AñoMes].&amp;[" &amp; TEXT(AN$6,"yyyymm")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O73" s="8">
        <f>IFERROR(
GETPIVOTDATA(
"[Base].[Importe]",
TDinamica_R!$A$5,
"[Calendario].[AñoMes]",
"[Calendario].[AñoMes].&amp;[" &amp; TEXT(AO$6,"yyyymm")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P73" s="8">
        <f>IFERROR(
GETPIVOTDATA(
"[Base].[Importe]",
TDinamica_R!$A$5,
"[Calendario].[AñoMes]",
"[Calendario].[AñoMes].&amp;[" &amp; TEXT(AP$6,"yyyymm")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Q73" s="8">
        <f>IFERROR(
GETPIVOTDATA(
"[Base].[Importe]",
TDinamica_R!$A$5,
"[Calendario].[AñoMes]",
"[Calendario].[AñoMes].&amp;[" &amp; TEXT(AQ$6,"yyyymm")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R73" s="8">
        <f>IFERROR(
GETPIVOTDATA(
"[Base].[Importe]",
TDinamica_R!$A$5,
"[Calendario].[AñoMes]",
"[Calendario].[AñoMes].&amp;[" &amp; TEXT(AR$6,"yyyymm")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S73" s="8">
        <f>IFERROR(
GETPIVOTDATA(
"[Base].[Importe]",
TDinamica_R!$A$5,
"[Calendario].[AñoMes]",
"[Calendario].[AñoMes].&amp;[" &amp; TEXT(AS$6,"yyyymm")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T73" s="8">
        <f>IFERROR(
GETPIVOTDATA(
"[Base].[Importe]",
TDinamica_R!$A$5,
"[Calendario].[AñoMes]",
"[Calendario].[AñoMes].&amp;[" &amp; TEXT(AT$6,"yyyymm")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U73" s="8">
        <f>IFERROR(
GETPIVOTDATA(
"[Base].[Importe]",
TDinamica_R!$A$5,
"[Calendario].[AñoMes]",
"[Calendario].[AñoMes].&amp;[" &amp; TEXT(AU$6,"yyyymm")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V73" s="8">
        <f>IFERROR(
GETPIVOTDATA(
"[Base].[Importe]",
TDinamica_R!$A$5,
"[Calendario].[AñoMes]",
"[Calendario].[AñoMes].&amp;[" &amp; TEXT(AV$6,"yyyymm")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W73" s="8">
        <f>IFERROR(
GETPIVOTDATA(
"[Base].[Importe]",
TDinamica_R!$A$5,
"[Calendario].[AñoMes]",
"[Calendario].[AñoMes].&amp;[" &amp; TEXT(AW$6,"yyyymm")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X73" s="8">
        <f>IFERROR(
GETPIVOTDATA(
"[Base].[Importe]",
TDinamica_R!$A$5,
"[Calendario].[AñoMes]",
"[Calendario].[AñoMes].&amp;[" &amp; TEXT(AX$6,"yyyymm")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Y73" s="8">
        <f>IFERROR(
GETPIVOTDATA(
"[Base].[Importe]",
TDinamica_R!$A$5,
"[Calendario].[AñoMes]",
"[Calendario].[AñoMes].&amp;[" &amp; TEXT(AY$6,"yyyymm") &amp; "]",
"[Base].[Metrica]",
"[Base].[Metrica].&amp;[" &amp; $A73 &amp; "]",
"[Base].[SEGMENTO_DESCRIP]",
"[Base].[SEGMENTO_DESCRIP].&amp;[" &amp; $C$6 &amp; "]",
"[Base].[SITUACION]",
"[Base].[SITUACION].&amp;[" &amp; $C73 &amp; "]"
),0)/1000</f>
        <v>0</v>
      </c>
      <c r="AZ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"[BASE_HIPO_PPTO].[Periodo]","[BASE_HIPO_PPTO].[Periodo].&amp;["&amp;TEXT(AZ$6,"yyyymm")&amp;"]"),
0)/1000</f>
        <v>0</v>
      </c>
      <c r="BA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"[BASE_HIPO_PPTO].[Periodo]","[BASE_HIPO_PPTO].[Periodo].&amp;["&amp;TEXT(BA$6,"yyyymm")&amp;"]"),
0)/1000</f>
        <v>0</v>
      </c>
      <c r="BB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"[BASE_HIPO_PPTO].[Periodo]","[BASE_HIPO_PPTO].[Periodo].&amp;["&amp;TEXT(BB$6,"yyyymm")&amp;"]"),
0)/1000</f>
        <v>0</v>
      </c>
      <c r="BC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"[BASE_HIPO_PPTO].[Periodo]","[BASE_HIPO_PPTO].[Periodo].&amp;["&amp;TEXT(BC$6,"yyyymm")&amp;"]"),
0)/1000</f>
        <v>0</v>
      </c>
      <c r="BD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"[BASE_HIPO_PPTO].[Periodo]","[BASE_HIPO_PPTO].[Periodo].&amp;["&amp;TEXT(BD$6,"yyyymm")&amp;"]"),
0)/1000</f>
        <v>0</v>
      </c>
      <c r="BE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"[BASE_HIPO_PPTO].[Periodo]","[BASE_HIPO_PPTO].[Periodo].&amp;["&amp;TEXT(BE$6,"yyyymm")&amp;"]"),
0)/1000</f>
        <v>0</v>
      </c>
      <c r="BF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"[BASE_HIPO_PPTO].[Periodo]","[BASE_HIPO_PPTO].[Periodo].&amp;["&amp;TEXT(BF$6,"yyyymm")&amp;"]"),
0)/1000</f>
        <v>0</v>
      </c>
      <c r="BG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"[BASE_HIPO_PPTO].[Periodo]","[BASE_HIPO_PPTO].[Periodo].&amp;["&amp;TEXT(BG$6,"yyyymm")&amp;"]"),
0)/1000</f>
        <v>0</v>
      </c>
      <c r="BH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"[BASE_HIPO_PPTO].[Periodo]","[BASE_HIPO_PPTO].[Periodo].&amp;["&amp;TEXT(BH$6,"yyyymm")&amp;"]"),
0)/1000</f>
        <v>0</v>
      </c>
      <c r="BI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"[BASE_HIPO_PPTO].[Periodo]","[BASE_HIPO_PPTO].[Periodo].&amp;["&amp;TEXT(BI$6,"yyyymm")&amp;"]"),
0)/1000</f>
        <v>0</v>
      </c>
      <c r="BJ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"[BASE_HIPO_PPTO].[Periodo]","[BASE_HIPO_PPTO].[Periodo].&amp;["&amp;TEXT(BJ$6,"yyyymm")&amp;"]"),
0)/1000</f>
        <v>0</v>
      </c>
      <c r="BK73" s="8">
        <f>IFERROR(
GETPIVOTDATA(
"[BASE_HIPO_PPTO].[Importe]",
TDinamica_P!$A$5,
"[BASE_HIPO_PPTO].[Metrica]","[BASE_HIPO_PPTO].[Metrica].&amp;["&amp;$A73&amp;"]",
"[BASE_HIPO_PPTO].[SEGMENTO_DESCRIP]","[BASE_HIPO_PPTO].[SEGMENTO_DESCRIP].&amp;["&amp;$C$6&amp;"]",
"[BASE_HIPO_PPTO].[SITUACION]","[BASE_HIPO_PPTO].[SITUACION].&amp;["&amp;$C73&amp;"]",
"[BASE_HIPO_PPTO].[Periodo]","[BASE_HIPO_PPTO].[Periodo].&amp;["&amp;TEXT(BK$6,"yyyymm")&amp;"]"),
0)/1000</f>
        <v>0</v>
      </c>
      <c r="BO73" s="24">
        <f t="shared" ref="BO73:BT82" si="64">SUMIFS($D73:$BM73,$D$6:$BM$6,"&gt;="&amp;BO$2,$D$6:$BM$6,"&lt;="&amp;BO$6,$D$5:$BM$5,BO$5)</f>
        <v>0</v>
      </c>
      <c r="BP73" s="24">
        <f t="shared" si="64"/>
        <v>0</v>
      </c>
      <c r="BQ73" s="24">
        <f t="shared" si="64"/>
        <v>0</v>
      </c>
      <c r="BR73" s="24">
        <f t="shared" si="64"/>
        <v>0</v>
      </c>
      <c r="BS73" s="24">
        <f t="shared" si="64"/>
        <v>0</v>
      </c>
      <c r="BT73" s="24">
        <f t="shared" si="64"/>
        <v>0</v>
      </c>
    </row>
    <row r="74" spans="1:72" hidden="1" outlineLevel="1" x14ac:dyDescent="0.25">
      <c r="A74" s="11" t="s">
        <v>71</v>
      </c>
      <c r="C74" s="2"/>
      <c r="D74" s="8">
        <f>IFERROR(
GETPIVOTDATA(
"[Base].[Importe]",
TDinamica_R!$A$5,
"[Calendario].[AñoMes]",
"[Calendario].[AñoMes].&amp;[" &amp; TEXT(D$6,"yyyymm")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E74" s="8">
        <f>IFERROR(
GETPIVOTDATA(
"[Base].[Importe]",
TDinamica_R!$A$5,
"[Calendario].[AñoMes]",
"[Calendario].[AñoMes].&amp;[" &amp; TEXT(E$6,"yyyymm")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F74" s="8">
        <f>IFERROR(
GETPIVOTDATA(
"[Base].[Importe]",
TDinamica_R!$A$5,
"[Calendario].[AñoMes]",
"[Calendario].[AñoMes].&amp;[" &amp; TEXT(F$6,"yyyymm")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G74" s="8">
        <f>IFERROR(
GETPIVOTDATA(
"[Base].[Importe]",
TDinamica_R!$A$5,
"[Calendario].[AñoMes]",
"[Calendario].[AñoMes].&amp;[" &amp; TEXT(G$6,"yyyymm")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H74" s="8">
        <f>IFERROR(
GETPIVOTDATA(
"[Base].[Importe]",
TDinamica_R!$A$5,
"[Calendario].[AñoMes]",
"[Calendario].[AñoMes].&amp;[" &amp; TEXT(H$6,"yyyymm")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I74" s="8">
        <f>IFERROR(
GETPIVOTDATA(
"[Base].[Importe]",
TDinamica_R!$A$5,
"[Calendario].[AñoMes]",
"[Calendario].[AñoMes].&amp;[" &amp; TEXT(I$6,"yyyymm")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J74" s="8">
        <f>IFERROR(
GETPIVOTDATA(
"[Base].[Importe]",
TDinamica_R!$A$5,
"[Calendario].[AñoMes]",
"[Calendario].[AñoMes].&amp;[" &amp; TEXT(J$6,"yyyymm")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K74" s="8">
        <f>IFERROR(
GETPIVOTDATA(
"[Base].[Importe]",
TDinamica_R!$A$5,
"[Calendario].[AñoMes]",
"[Calendario].[AñoMes].&amp;[" &amp; TEXT(K$6,"yyyymm")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L74" s="8">
        <f>IFERROR(
GETPIVOTDATA(
"[Base].[Importe]",
TDinamica_R!$A$5,
"[Calendario].[AñoMes]",
"[Calendario].[AñoMes].&amp;[" &amp; TEXT(L$6,"yyyymm")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M74" s="8">
        <f>IFERROR(
GETPIVOTDATA(
"[Base].[Importe]",
TDinamica_R!$A$5,
"[Calendario].[AñoMes]",
"[Calendario].[AñoMes].&amp;[" &amp; TEXT(M$6,"yyyymm")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N74" s="8">
        <f>IFERROR(
GETPIVOTDATA(
"[Base].[Importe]",
TDinamica_R!$A$5,
"[Calendario].[AñoMes]",
"[Calendario].[AñoMes].&amp;[" &amp; TEXT(N$6,"yyyymm")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O74" s="8">
        <f>IFERROR(
GETPIVOTDATA(
"[Base].[Importe]",
TDinamica_R!$A$5,
"[Calendario].[AñoMes]",
"[Calendario].[AñoMes].&amp;[" &amp; TEXT(O$6,"yyyymm")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P74" s="8">
        <f>IFERROR(
GETPIVOTDATA(
"[Base].[Importe]",
TDinamica_R!$A$5,
"[Calendario].[AñoMes]",
"[Calendario].[AñoMes].&amp;[" &amp; TEXT(P$6,"yyyymm")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Q74" s="8">
        <f>IFERROR(
GETPIVOTDATA(
"[Base].[Importe]",
TDinamica_R!$A$5,
"[Calendario].[AñoMes]",
"[Calendario].[AñoMes].&amp;[" &amp; TEXT(Q$6,"yyyymm")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R74" s="8">
        <f>IFERROR(
GETPIVOTDATA(
"[Base].[Importe]",
TDinamica_R!$A$5,
"[Calendario].[AñoMes]",
"[Calendario].[AñoMes].&amp;[" &amp; TEXT(R$6,"yyyymm")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S74" s="8">
        <f>IFERROR(
GETPIVOTDATA(
"[Base].[Importe]",
TDinamica_R!$A$5,
"[Calendario].[AñoMes]",
"[Calendario].[AñoMes].&amp;[" &amp; TEXT(S$6,"yyyymm")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T74" s="8">
        <f>IFERROR(
GETPIVOTDATA(
"[Base].[Importe]",
TDinamica_R!$A$5,
"[Calendario].[AñoMes]",
"[Calendario].[AñoMes].&amp;[" &amp; TEXT(T$6,"yyyymm")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U74" s="8">
        <f>IFERROR(
GETPIVOTDATA(
"[Base].[Importe]",
TDinamica_R!$A$5,
"[Calendario].[AñoMes]",
"[Calendario].[AñoMes].&amp;[" &amp; TEXT(U$6,"yyyymm")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V74" s="8">
        <f>IFERROR(
GETPIVOTDATA(
"[Base].[Importe]",
TDinamica_R!$A$5,
"[Calendario].[AñoMes]",
"[Calendario].[AñoMes].&amp;[" &amp; TEXT(V$6,"yyyymm")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W74" s="8">
        <f>IFERROR(
GETPIVOTDATA(
"[Base].[Importe]",
TDinamica_R!$A$5,
"[Calendario].[AñoMes]",
"[Calendario].[AñoMes].&amp;[" &amp; TEXT(W$6,"yyyymm")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X74" s="8">
        <f>IFERROR(
GETPIVOTDATA(
"[Base].[Importe]",
TDinamica_R!$A$5,
"[Calendario].[AñoMes]",
"[Calendario].[AñoMes].&amp;[" &amp; TEXT(X$6,"yyyymm")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Y74" s="8">
        <f>IFERROR(
GETPIVOTDATA(
"[Base].[Importe]",
TDinamica_R!$A$5,
"[Calendario].[AñoMes]",
"[Calendario].[AñoMes].&amp;[" &amp; TEXT(Y$6,"yyyymm")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Z74" s="8">
        <f>IFERROR(
GETPIVOTDATA(
"[Base].[Importe]",
TDinamica_R!$A$5,
"[Calendario].[AñoMes]",
"[Calendario].[AñoMes].&amp;[" &amp; TEXT(Z$6,"yyyymm")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A74" s="8">
        <f>IFERROR(
GETPIVOTDATA(
"[Base].[Importe]",
TDinamica_R!$A$5,
"[Calendario].[AñoMes]",
"[Calendario].[AñoMes].&amp;[" &amp; TEXT(AA$6,"yyyymm")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B74" s="8">
        <f>IFERROR(
GETPIVOTDATA(
"[Base].[Importe]",
TDinamica_R!$A$5,
"[Calendario].[AñoMes]",
"[Calendario].[AñoMes].&amp;[" &amp; TEXT(AB$6,"yyyymm")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C74" s="8">
        <f>IFERROR(
GETPIVOTDATA(
"[Base].[Importe]",
TDinamica_R!$A$5,
"[Calendario].[AñoMes]",
"[Calendario].[AñoMes].&amp;[" &amp; TEXT(AC$6,"yyyymm")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D74" s="8">
        <f>IFERROR(
GETPIVOTDATA(
"[Base].[Importe]",
TDinamica_R!$A$5,
"[Calendario].[AñoMes]",
"[Calendario].[AñoMes].&amp;[" &amp; TEXT(AD$6,"yyyymm")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E74" s="8">
        <f>IFERROR(
GETPIVOTDATA(
"[Base].[Importe]",
TDinamica_R!$A$5,
"[Calendario].[AñoMes]",
"[Calendario].[AñoMes].&amp;[" &amp; TEXT(AE$6,"yyyymm")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F74" s="8">
        <f>IFERROR(
GETPIVOTDATA(
"[Base].[Importe]",
TDinamica_R!$A$5,
"[Calendario].[AñoMes]",
"[Calendario].[AñoMes].&amp;[" &amp; TEXT(AF$6,"yyyymm")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G74" s="8">
        <f>IFERROR(
GETPIVOTDATA(
"[Base].[Importe]",
TDinamica_R!$A$5,
"[Calendario].[AñoMes]",
"[Calendario].[AñoMes].&amp;[" &amp; TEXT(AG$6,"yyyymm")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H74" s="8">
        <f>IFERROR(
GETPIVOTDATA(
"[Base].[Importe]",
TDinamica_R!$A$5,
"[Calendario].[AñoMes]",
"[Calendario].[AñoMes].&amp;[" &amp; TEXT(AH$6,"yyyymm")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I74" s="8">
        <f>IFERROR(
GETPIVOTDATA(
"[Base].[Importe]",
TDinamica_R!$A$5,
"[Calendario].[AñoMes]",
"[Calendario].[AñoMes].&amp;[" &amp; TEXT(AI$6,"yyyymm")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J74" s="8">
        <f>IFERROR(
GETPIVOTDATA(
"[Base].[Importe]",
TDinamica_R!$A$5,
"[Calendario].[AñoMes]",
"[Calendario].[AñoMes].&amp;[" &amp; TEXT(AJ$6,"yyyymm")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K74" s="8">
        <f>IFERROR(
GETPIVOTDATA(
"[Base].[Importe]",
TDinamica_R!$A$5,
"[Calendario].[AñoMes]",
"[Calendario].[AñoMes].&amp;[" &amp; TEXT(AK$6,"yyyymm")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L74" s="8">
        <f>IFERROR(
GETPIVOTDATA(
"[Base].[Importe]",
TDinamica_R!$A$5,
"[Calendario].[AñoMes]",
"[Calendario].[AñoMes].&amp;[" &amp; TEXT(AL$6,"yyyymm")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M74" s="8">
        <f>IFERROR(
GETPIVOTDATA(
"[Base].[Importe]",
TDinamica_R!$A$5,
"[Calendario].[AñoMes]",
"[Calendario].[AñoMes].&amp;[" &amp; TEXT(AM$6,"yyyymm")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N74" s="8">
        <f>IFERROR(
GETPIVOTDATA(
"[Base].[Importe]",
TDinamica_R!$A$5,
"[Calendario].[AñoMes]",
"[Calendario].[AñoMes].&amp;[" &amp; TEXT(AN$6,"yyyymm")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O74" s="8">
        <f>IFERROR(
GETPIVOTDATA(
"[Base].[Importe]",
TDinamica_R!$A$5,
"[Calendario].[AñoMes]",
"[Calendario].[AñoMes].&amp;[" &amp; TEXT(AO$6,"yyyymm")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P74" s="8">
        <f>IFERROR(
GETPIVOTDATA(
"[Base].[Importe]",
TDinamica_R!$A$5,
"[Calendario].[AñoMes]",
"[Calendario].[AñoMes].&amp;[" &amp; TEXT(AP$6,"yyyymm")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Q74" s="8">
        <f>IFERROR(
GETPIVOTDATA(
"[Base].[Importe]",
TDinamica_R!$A$5,
"[Calendario].[AñoMes]",
"[Calendario].[AñoMes].&amp;[" &amp; TEXT(AQ$6,"yyyymm")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R74" s="8">
        <f>IFERROR(
GETPIVOTDATA(
"[Base].[Importe]",
TDinamica_R!$A$5,
"[Calendario].[AñoMes]",
"[Calendario].[AñoMes].&amp;[" &amp; TEXT(AR$6,"yyyymm")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S74" s="8">
        <f>IFERROR(
GETPIVOTDATA(
"[Base].[Importe]",
TDinamica_R!$A$5,
"[Calendario].[AñoMes]",
"[Calendario].[AñoMes].&amp;[" &amp; TEXT(AS$6,"yyyymm")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T74" s="8">
        <f>IFERROR(
GETPIVOTDATA(
"[Base].[Importe]",
TDinamica_R!$A$5,
"[Calendario].[AñoMes]",
"[Calendario].[AñoMes].&amp;[" &amp; TEXT(AT$6,"yyyymm")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U74" s="8">
        <f>IFERROR(
GETPIVOTDATA(
"[Base].[Importe]",
TDinamica_R!$A$5,
"[Calendario].[AñoMes]",
"[Calendario].[AñoMes].&amp;[" &amp; TEXT(AU$6,"yyyymm")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V74" s="8">
        <f>IFERROR(
GETPIVOTDATA(
"[Base].[Importe]",
TDinamica_R!$A$5,
"[Calendario].[AñoMes]",
"[Calendario].[AñoMes].&amp;[" &amp; TEXT(AV$6,"yyyymm")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W74" s="8">
        <f>IFERROR(
GETPIVOTDATA(
"[Base].[Importe]",
TDinamica_R!$A$5,
"[Calendario].[AñoMes]",
"[Calendario].[AñoMes].&amp;[" &amp; TEXT(AW$6,"yyyymm")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X74" s="8">
        <f>IFERROR(
GETPIVOTDATA(
"[Base].[Importe]",
TDinamica_R!$A$5,
"[Calendario].[AñoMes]",
"[Calendario].[AñoMes].&amp;[" &amp; TEXT(AX$6,"yyyymm")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Y74" s="8">
        <f>IFERROR(
GETPIVOTDATA(
"[Base].[Importe]",
TDinamica_R!$A$5,
"[Calendario].[AñoMes]",
"[Calendario].[AñoMes].&amp;[" &amp; TEXT(AY$6,"yyyymm") &amp; "]",
"[Base].[Metrica]",
"[Base].[Metrica].&amp;[" &amp; $A74 &amp; "]",
"[Base].[SEGMENTO_DESCRIP]",
"[Base].[SEGMENTO_DESCRIP].&amp;[" &amp; $C$6 &amp; "]",
"[Base].[SITUACION]",
"[Base].[SITUACION].&amp;[" &amp; $C74 &amp; "]"
),0)/1000</f>
        <v>0</v>
      </c>
      <c r="AZ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"[BASE_HIPO_PPTO].[Periodo]","[BASE_HIPO_PPTO].[Periodo].&amp;["&amp;TEXT(AZ$6,"yyyymm")&amp;"]"),
0)/1000</f>
        <v>0</v>
      </c>
      <c r="BA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"[BASE_HIPO_PPTO].[Periodo]","[BASE_HIPO_PPTO].[Periodo].&amp;["&amp;TEXT(BA$6,"yyyymm")&amp;"]"),
0)/1000</f>
        <v>0</v>
      </c>
      <c r="BB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"[BASE_HIPO_PPTO].[Periodo]","[BASE_HIPO_PPTO].[Periodo].&amp;["&amp;TEXT(BB$6,"yyyymm")&amp;"]"),
0)/1000</f>
        <v>0</v>
      </c>
      <c r="BC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"[BASE_HIPO_PPTO].[Periodo]","[BASE_HIPO_PPTO].[Periodo].&amp;["&amp;TEXT(BC$6,"yyyymm")&amp;"]"),
0)/1000</f>
        <v>0</v>
      </c>
      <c r="BD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"[BASE_HIPO_PPTO].[Periodo]","[BASE_HIPO_PPTO].[Periodo].&amp;["&amp;TEXT(BD$6,"yyyymm")&amp;"]"),
0)/1000</f>
        <v>0</v>
      </c>
      <c r="BE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"[BASE_HIPO_PPTO].[Periodo]","[BASE_HIPO_PPTO].[Periodo].&amp;["&amp;TEXT(BE$6,"yyyymm")&amp;"]"),
0)/1000</f>
        <v>0</v>
      </c>
      <c r="BF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"[BASE_HIPO_PPTO].[Periodo]","[BASE_HIPO_PPTO].[Periodo].&amp;["&amp;TEXT(BF$6,"yyyymm")&amp;"]"),
0)/1000</f>
        <v>0</v>
      </c>
      <c r="BG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"[BASE_HIPO_PPTO].[Periodo]","[BASE_HIPO_PPTO].[Periodo].&amp;["&amp;TEXT(BG$6,"yyyymm")&amp;"]"),
0)/1000</f>
        <v>0</v>
      </c>
      <c r="BH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"[BASE_HIPO_PPTO].[Periodo]","[BASE_HIPO_PPTO].[Periodo].&amp;["&amp;TEXT(BH$6,"yyyymm")&amp;"]"),
0)/1000</f>
        <v>0</v>
      </c>
      <c r="BI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"[BASE_HIPO_PPTO].[Periodo]","[BASE_HIPO_PPTO].[Periodo].&amp;["&amp;TEXT(BI$6,"yyyymm")&amp;"]"),
0)/1000</f>
        <v>0</v>
      </c>
      <c r="BJ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"[BASE_HIPO_PPTO].[Periodo]","[BASE_HIPO_PPTO].[Periodo].&amp;["&amp;TEXT(BJ$6,"yyyymm")&amp;"]"),
0)/1000</f>
        <v>0</v>
      </c>
      <c r="BK74" s="8">
        <f>IFERROR(
GETPIVOTDATA(
"[BASE_HIPO_PPTO].[Importe]",
TDinamica_P!$A$5,
"[BASE_HIPO_PPTO].[Metrica]","[BASE_HIPO_PPTO].[Metrica].&amp;["&amp;$A74&amp;"]",
"[BASE_HIPO_PPTO].[SEGMENTO_DESCRIP]","[BASE_HIPO_PPTO].[SEGMENTO_DESCRIP].&amp;["&amp;$C$6&amp;"]",
"[BASE_HIPO_PPTO].[SITUACION]","[BASE_HIPO_PPTO].[SITUACION].&amp;["&amp;$C74&amp;"]",
"[BASE_HIPO_PPTO].[Periodo]","[BASE_HIPO_PPTO].[Periodo].&amp;["&amp;TEXT(BK$6,"yyyymm")&amp;"]"),
0)/1000</f>
        <v>0</v>
      </c>
      <c r="BO74" s="24">
        <f t="shared" si="64"/>
        <v>0</v>
      </c>
      <c r="BP74" s="24">
        <f t="shared" si="64"/>
        <v>0</v>
      </c>
      <c r="BQ74" s="24">
        <f t="shared" si="64"/>
        <v>0</v>
      </c>
      <c r="BR74" s="24">
        <f t="shared" si="64"/>
        <v>0</v>
      </c>
      <c r="BS74" s="24">
        <f t="shared" si="64"/>
        <v>0</v>
      </c>
      <c r="BT74" s="24">
        <f t="shared" si="64"/>
        <v>0</v>
      </c>
    </row>
    <row r="75" spans="1:72" hidden="1" outlineLevel="1" x14ac:dyDescent="0.25">
      <c r="A75" s="11" t="s">
        <v>71</v>
      </c>
      <c r="C75" s="2"/>
      <c r="D75" s="8">
        <f>IFERROR(
GETPIVOTDATA(
"[Base].[Importe]",
TDinamica_R!$A$5,
"[Calendario].[AñoMes]",
"[Calendario].[AñoMes].&amp;[" &amp; TEXT(D$6,"yyyymm")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E75" s="8">
        <f>IFERROR(
GETPIVOTDATA(
"[Base].[Importe]",
TDinamica_R!$A$5,
"[Calendario].[AñoMes]",
"[Calendario].[AñoMes].&amp;[" &amp; TEXT(E$6,"yyyymm")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F75" s="8">
        <f>IFERROR(
GETPIVOTDATA(
"[Base].[Importe]",
TDinamica_R!$A$5,
"[Calendario].[AñoMes]",
"[Calendario].[AñoMes].&amp;[" &amp; TEXT(F$6,"yyyymm")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G75" s="8">
        <f>IFERROR(
GETPIVOTDATA(
"[Base].[Importe]",
TDinamica_R!$A$5,
"[Calendario].[AñoMes]",
"[Calendario].[AñoMes].&amp;[" &amp; TEXT(G$6,"yyyymm")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H75" s="8">
        <f>IFERROR(
GETPIVOTDATA(
"[Base].[Importe]",
TDinamica_R!$A$5,
"[Calendario].[AñoMes]",
"[Calendario].[AñoMes].&amp;[" &amp; TEXT(H$6,"yyyymm")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I75" s="8">
        <f>IFERROR(
GETPIVOTDATA(
"[Base].[Importe]",
TDinamica_R!$A$5,
"[Calendario].[AñoMes]",
"[Calendario].[AñoMes].&amp;[" &amp; TEXT(I$6,"yyyymm")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J75" s="8">
        <f>IFERROR(
GETPIVOTDATA(
"[Base].[Importe]",
TDinamica_R!$A$5,
"[Calendario].[AñoMes]",
"[Calendario].[AñoMes].&amp;[" &amp; TEXT(J$6,"yyyymm")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K75" s="8">
        <f>IFERROR(
GETPIVOTDATA(
"[Base].[Importe]",
TDinamica_R!$A$5,
"[Calendario].[AñoMes]",
"[Calendario].[AñoMes].&amp;[" &amp; TEXT(K$6,"yyyymm")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L75" s="8">
        <f>IFERROR(
GETPIVOTDATA(
"[Base].[Importe]",
TDinamica_R!$A$5,
"[Calendario].[AñoMes]",
"[Calendario].[AñoMes].&amp;[" &amp; TEXT(L$6,"yyyymm")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M75" s="8">
        <f>IFERROR(
GETPIVOTDATA(
"[Base].[Importe]",
TDinamica_R!$A$5,
"[Calendario].[AñoMes]",
"[Calendario].[AñoMes].&amp;[" &amp; TEXT(M$6,"yyyymm")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N75" s="8">
        <f>IFERROR(
GETPIVOTDATA(
"[Base].[Importe]",
TDinamica_R!$A$5,
"[Calendario].[AñoMes]",
"[Calendario].[AñoMes].&amp;[" &amp; TEXT(N$6,"yyyymm")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O75" s="8">
        <f>IFERROR(
GETPIVOTDATA(
"[Base].[Importe]",
TDinamica_R!$A$5,
"[Calendario].[AñoMes]",
"[Calendario].[AñoMes].&amp;[" &amp; TEXT(O$6,"yyyymm")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P75" s="8">
        <f>IFERROR(
GETPIVOTDATA(
"[Base].[Importe]",
TDinamica_R!$A$5,
"[Calendario].[AñoMes]",
"[Calendario].[AñoMes].&amp;[" &amp; TEXT(P$6,"yyyymm")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Q75" s="8">
        <f>IFERROR(
GETPIVOTDATA(
"[Base].[Importe]",
TDinamica_R!$A$5,
"[Calendario].[AñoMes]",
"[Calendario].[AñoMes].&amp;[" &amp; TEXT(Q$6,"yyyymm")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R75" s="8">
        <f>IFERROR(
GETPIVOTDATA(
"[Base].[Importe]",
TDinamica_R!$A$5,
"[Calendario].[AñoMes]",
"[Calendario].[AñoMes].&amp;[" &amp; TEXT(R$6,"yyyymm")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S75" s="8">
        <f>IFERROR(
GETPIVOTDATA(
"[Base].[Importe]",
TDinamica_R!$A$5,
"[Calendario].[AñoMes]",
"[Calendario].[AñoMes].&amp;[" &amp; TEXT(S$6,"yyyymm")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T75" s="8">
        <f>IFERROR(
GETPIVOTDATA(
"[Base].[Importe]",
TDinamica_R!$A$5,
"[Calendario].[AñoMes]",
"[Calendario].[AñoMes].&amp;[" &amp; TEXT(T$6,"yyyymm")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U75" s="8">
        <f>IFERROR(
GETPIVOTDATA(
"[Base].[Importe]",
TDinamica_R!$A$5,
"[Calendario].[AñoMes]",
"[Calendario].[AñoMes].&amp;[" &amp; TEXT(U$6,"yyyymm")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V75" s="8">
        <f>IFERROR(
GETPIVOTDATA(
"[Base].[Importe]",
TDinamica_R!$A$5,
"[Calendario].[AñoMes]",
"[Calendario].[AñoMes].&amp;[" &amp; TEXT(V$6,"yyyymm")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W75" s="8">
        <f>IFERROR(
GETPIVOTDATA(
"[Base].[Importe]",
TDinamica_R!$A$5,
"[Calendario].[AñoMes]",
"[Calendario].[AñoMes].&amp;[" &amp; TEXT(W$6,"yyyymm")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X75" s="8">
        <f>IFERROR(
GETPIVOTDATA(
"[Base].[Importe]",
TDinamica_R!$A$5,
"[Calendario].[AñoMes]",
"[Calendario].[AñoMes].&amp;[" &amp; TEXT(X$6,"yyyymm")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Y75" s="8">
        <f>IFERROR(
GETPIVOTDATA(
"[Base].[Importe]",
TDinamica_R!$A$5,
"[Calendario].[AñoMes]",
"[Calendario].[AñoMes].&amp;[" &amp; TEXT(Y$6,"yyyymm")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Z75" s="8">
        <f>IFERROR(
GETPIVOTDATA(
"[Base].[Importe]",
TDinamica_R!$A$5,
"[Calendario].[AñoMes]",
"[Calendario].[AñoMes].&amp;[" &amp; TEXT(Z$6,"yyyymm")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A75" s="8">
        <f>IFERROR(
GETPIVOTDATA(
"[Base].[Importe]",
TDinamica_R!$A$5,
"[Calendario].[AñoMes]",
"[Calendario].[AñoMes].&amp;[" &amp; TEXT(AA$6,"yyyymm")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B75" s="8">
        <f>IFERROR(
GETPIVOTDATA(
"[Base].[Importe]",
TDinamica_R!$A$5,
"[Calendario].[AñoMes]",
"[Calendario].[AñoMes].&amp;[" &amp; TEXT(AB$6,"yyyymm")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C75" s="8">
        <f>IFERROR(
GETPIVOTDATA(
"[Base].[Importe]",
TDinamica_R!$A$5,
"[Calendario].[AñoMes]",
"[Calendario].[AñoMes].&amp;[" &amp; TEXT(AC$6,"yyyymm")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D75" s="8">
        <f>IFERROR(
GETPIVOTDATA(
"[Base].[Importe]",
TDinamica_R!$A$5,
"[Calendario].[AñoMes]",
"[Calendario].[AñoMes].&amp;[" &amp; TEXT(AD$6,"yyyymm")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E75" s="8">
        <f>IFERROR(
GETPIVOTDATA(
"[Base].[Importe]",
TDinamica_R!$A$5,
"[Calendario].[AñoMes]",
"[Calendario].[AñoMes].&amp;[" &amp; TEXT(AE$6,"yyyymm")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F75" s="8">
        <f>IFERROR(
GETPIVOTDATA(
"[Base].[Importe]",
TDinamica_R!$A$5,
"[Calendario].[AñoMes]",
"[Calendario].[AñoMes].&amp;[" &amp; TEXT(AF$6,"yyyymm")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G75" s="8">
        <f>IFERROR(
GETPIVOTDATA(
"[Base].[Importe]",
TDinamica_R!$A$5,
"[Calendario].[AñoMes]",
"[Calendario].[AñoMes].&amp;[" &amp; TEXT(AG$6,"yyyymm")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H75" s="8">
        <f>IFERROR(
GETPIVOTDATA(
"[Base].[Importe]",
TDinamica_R!$A$5,
"[Calendario].[AñoMes]",
"[Calendario].[AñoMes].&amp;[" &amp; TEXT(AH$6,"yyyymm")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I75" s="8">
        <f>IFERROR(
GETPIVOTDATA(
"[Base].[Importe]",
TDinamica_R!$A$5,
"[Calendario].[AñoMes]",
"[Calendario].[AñoMes].&amp;[" &amp; TEXT(AI$6,"yyyymm")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J75" s="8">
        <f>IFERROR(
GETPIVOTDATA(
"[Base].[Importe]",
TDinamica_R!$A$5,
"[Calendario].[AñoMes]",
"[Calendario].[AñoMes].&amp;[" &amp; TEXT(AJ$6,"yyyymm")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K75" s="8">
        <f>IFERROR(
GETPIVOTDATA(
"[Base].[Importe]",
TDinamica_R!$A$5,
"[Calendario].[AñoMes]",
"[Calendario].[AñoMes].&amp;[" &amp; TEXT(AK$6,"yyyymm")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L75" s="8">
        <f>IFERROR(
GETPIVOTDATA(
"[Base].[Importe]",
TDinamica_R!$A$5,
"[Calendario].[AñoMes]",
"[Calendario].[AñoMes].&amp;[" &amp; TEXT(AL$6,"yyyymm")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M75" s="8">
        <f>IFERROR(
GETPIVOTDATA(
"[Base].[Importe]",
TDinamica_R!$A$5,
"[Calendario].[AñoMes]",
"[Calendario].[AñoMes].&amp;[" &amp; TEXT(AM$6,"yyyymm")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N75" s="8">
        <f>IFERROR(
GETPIVOTDATA(
"[Base].[Importe]",
TDinamica_R!$A$5,
"[Calendario].[AñoMes]",
"[Calendario].[AñoMes].&amp;[" &amp; TEXT(AN$6,"yyyymm")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O75" s="8">
        <f>IFERROR(
GETPIVOTDATA(
"[Base].[Importe]",
TDinamica_R!$A$5,
"[Calendario].[AñoMes]",
"[Calendario].[AñoMes].&amp;[" &amp; TEXT(AO$6,"yyyymm")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P75" s="8">
        <f>IFERROR(
GETPIVOTDATA(
"[Base].[Importe]",
TDinamica_R!$A$5,
"[Calendario].[AñoMes]",
"[Calendario].[AñoMes].&amp;[" &amp; TEXT(AP$6,"yyyymm")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Q75" s="8">
        <f>IFERROR(
GETPIVOTDATA(
"[Base].[Importe]",
TDinamica_R!$A$5,
"[Calendario].[AñoMes]",
"[Calendario].[AñoMes].&amp;[" &amp; TEXT(AQ$6,"yyyymm")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R75" s="8">
        <f>IFERROR(
GETPIVOTDATA(
"[Base].[Importe]",
TDinamica_R!$A$5,
"[Calendario].[AñoMes]",
"[Calendario].[AñoMes].&amp;[" &amp; TEXT(AR$6,"yyyymm")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S75" s="8">
        <f>IFERROR(
GETPIVOTDATA(
"[Base].[Importe]",
TDinamica_R!$A$5,
"[Calendario].[AñoMes]",
"[Calendario].[AñoMes].&amp;[" &amp; TEXT(AS$6,"yyyymm")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T75" s="8">
        <f>IFERROR(
GETPIVOTDATA(
"[Base].[Importe]",
TDinamica_R!$A$5,
"[Calendario].[AñoMes]",
"[Calendario].[AñoMes].&amp;[" &amp; TEXT(AT$6,"yyyymm")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U75" s="8">
        <f>IFERROR(
GETPIVOTDATA(
"[Base].[Importe]",
TDinamica_R!$A$5,
"[Calendario].[AñoMes]",
"[Calendario].[AñoMes].&amp;[" &amp; TEXT(AU$6,"yyyymm")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V75" s="8">
        <f>IFERROR(
GETPIVOTDATA(
"[Base].[Importe]",
TDinamica_R!$A$5,
"[Calendario].[AñoMes]",
"[Calendario].[AñoMes].&amp;[" &amp; TEXT(AV$6,"yyyymm")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W75" s="8">
        <f>IFERROR(
GETPIVOTDATA(
"[Base].[Importe]",
TDinamica_R!$A$5,
"[Calendario].[AñoMes]",
"[Calendario].[AñoMes].&amp;[" &amp; TEXT(AW$6,"yyyymm")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X75" s="8">
        <f>IFERROR(
GETPIVOTDATA(
"[Base].[Importe]",
TDinamica_R!$A$5,
"[Calendario].[AñoMes]",
"[Calendario].[AñoMes].&amp;[" &amp; TEXT(AX$6,"yyyymm")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Y75" s="8">
        <f>IFERROR(
GETPIVOTDATA(
"[Base].[Importe]",
TDinamica_R!$A$5,
"[Calendario].[AñoMes]",
"[Calendario].[AñoMes].&amp;[" &amp; TEXT(AY$6,"yyyymm") &amp; "]",
"[Base].[Metrica]",
"[Base].[Metrica].&amp;[" &amp; $A75 &amp; "]",
"[Base].[SEGMENTO_DESCRIP]",
"[Base].[SEGMENTO_DESCRIP].&amp;[" &amp; $C$6 &amp; "]",
"[Base].[SITUACION]",
"[Base].[SITUACION].&amp;[" &amp; $C75 &amp; "]"
),0)/1000</f>
        <v>0</v>
      </c>
      <c r="AZ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"[BASE_HIPO_PPTO].[Periodo]","[BASE_HIPO_PPTO].[Periodo].&amp;["&amp;TEXT(AZ$6,"yyyymm")&amp;"]"),
0)/1000</f>
        <v>0</v>
      </c>
      <c r="BA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"[BASE_HIPO_PPTO].[Periodo]","[BASE_HIPO_PPTO].[Periodo].&amp;["&amp;TEXT(BA$6,"yyyymm")&amp;"]"),
0)/1000</f>
        <v>0</v>
      </c>
      <c r="BB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"[BASE_HIPO_PPTO].[Periodo]","[BASE_HIPO_PPTO].[Periodo].&amp;["&amp;TEXT(BB$6,"yyyymm")&amp;"]"),
0)/1000</f>
        <v>0</v>
      </c>
      <c r="BC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"[BASE_HIPO_PPTO].[Periodo]","[BASE_HIPO_PPTO].[Periodo].&amp;["&amp;TEXT(BC$6,"yyyymm")&amp;"]"),
0)/1000</f>
        <v>0</v>
      </c>
      <c r="BD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"[BASE_HIPO_PPTO].[Periodo]","[BASE_HIPO_PPTO].[Periodo].&amp;["&amp;TEXT(BD$6,"yyyymm")&amp;"]"),
0)/1000</f>
        <v>0</v>
      </c>
      <c r="BE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"[BASE_HIPO_PPTO].[Periodo]","[BASE_HIPO_PPTO].[Periodo].&amp;["&amp;TEXT(BE$6,"yyyymm")&amp;"]"),
0)/1000</f>
        <v>0</v>
      </c>
      <c r="BF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"[BASE_HIPO_PPTO].[Periodo]","[BASE_HIPO_PPTO].[Periodo].&amp;["&amp;TEXT(BF$6,"yyyymm")&amp;"]"),
0)/1000</f>
        <v>0</v>
      </c>
      <c r="BG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"[BASE_HIPO_PPTO].[Periodo]","[BASE_HIPO_PPTO].[Periodo].&amp;["&amp;TEXT(BG$6,"yyyymm")&amp;"]"),
0)/1000</f>
        <v>0</v>
      </c>
      <c r="BH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"[BASE_HIPO_PPTO].[Periodo]","[BASE_HIPO_PPTO].[Periodo].&amp;["&amp;TEXT(BH$6,"yyyymm")&amp;"]"),
0)/1000</f>
        <v>0</v>
      </c>
      <c r="BI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"[BASE_HIPO_PPTO].[Periodo]","[BASE_HIPO_PPTO].[Periodo].&amp;["&amp;TEXT(BI$6,"yyyymm")&amp;"]"),
0)/1000</f>
        <v>0</v>
      </c>
      <c r="BJ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"[BASE_HIPO_PPTO].[Periodo]","[BASE_HIPO_PPTO].[Periodo].&amp;["&amp;TEXT(BJ$6,"yyyymm")&amp;"]"),
0)/1000</f>
        <v>0</v>
      </c>
      <c r="BK75" s="8">
        <f>IFERROR(
GETPIVOTDATA(
"[BASE_HIPO_PPTO].[Importe]",
TDinamica_P!$A$5,
"[BASE_HIPO_PPTO].[Metrica]","[BASE_HIPO_PPTO].[Metrica].&amp;["&amp;$A75&amp;"]",
"[BASE_HIPO_PPTO].[SEGMENTO_DESCRIP]","[BASE_HIPO_PPTO].[SEGMENTO_DESCRIP].&amp;["&amp;$C$6&amp;"]",
"[BASE_HIPO_PPTO].[SITUACION]","[BASE_HIPO_PPTO].[SITUACION].&amp;["&amp;$C75&amp;"]",
"[BASE_HIPO_PPTO].[Periodo]","[BASE_HIPO_PPTO].[Periodo].&amp;["&amp;TEXT(BK$6,"yyyymm")&amp;"]"),
0)/1000</f>
        <v>0</v>
      </c>
      <c r="BO75" s="24">
        <f t="shared" si="64"/>
        <v>0</v>
      </c>
      <c r="BP75" s="24">
        <f t="shared" si="64"/>
        <v>0</v>
      </c>
      <c r="BQ75" s="24">
        <f t="shared" si="64"/>
        <v>0</v>
      </c>
      <c r="BR75" s="24">
        <f t="shared" si="64"/>
        <v>0</v>
      </c>
      <c r="BS75" s="24">
        <f t="shared" si="64"/>
        <v>0</v>
      </c>
      <c r="BT75" s="24">
        <f t="shared" si="64"/>
        <v>0</v>
      </c>
    </row>
    <row r="76" spans="1:72" hidden="1" outlineLevel="1" x14ac:dyDescent="0.25">
      <c r="A76" s="11" t="s">
        <v>71</v>
      </c>
      <c r="C76" s="2"/>
      <c r="D76" s="8">
        <f>IFERROR(
GETPIVOTDATA(
"[Base].[Importe]",
TDinamica_R!$A$5,
"[Calendario].[AñoMes]",
"[Calendario].[AñoMes].&amp;[" &amp; TEXT(D$6,"yyyymm")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E76" s="8">
        <f>IFERROR(
GETPIVOTDATA(
"[Base].[Importe]",
TDinamica_R!$A$5,
"[Calendario].[AñoMes]",
"[Calendario].[AñoMes].&amp;[" &amp; TEXT(E$6,"yyyymm")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F76" s="8">
        <f>IFERROR(
GETPIVOTDATA(
"[Base].[Importe]",
TDinamica_R!$A$5,
"[Calendario].[AñoMes]",
"[Calendario].[AñoMes].&amp;[" &amp; TEXT(F$6,"yyyymm")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G76" s="8">
        <f>IFERROR(
GETPIVOTDATA(
"[Base].[Importe]",
TDinamica_R!$A$5,
"[Calendario].[AñoMes]",
"[Calendario].[AñoMes].&amp;[" &amp; TEXT(G$6,"yyyymm")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H76" s="8">
        <f>IFERROR(
GETPIVOTDATA(
"[Base].[Importe]",
TDinamica_R!$A$5,
"[Calendario].[AñoMes]",
"[Calendario].[AñoMes].&amp;[" &amp; TEXT(H$6,"yyyymm")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I76" s="8">
        <f>IFERROR(
GETPIVOTDATA(
"[Base].[Importe]",
TDinamica_R!$A$5,
"[Calendario].[AñoMes]",
"[Calendario].[AñoMes].&amp;[" &amp; TEXT(I$6,"yyyymm")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J76" s="8">
        <f>IFERROR(
GETPIVOTDATA(
"[Base].[Importe]",
TDinamica_R!$A$5,
"[Calendario].[AñoMes]",
"[Calendario].[AñoMes].&amp;[" &amp; TEXT(J$6,"yyyymm")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K76" s="8">
        <f>IFERROR(
GETPIVOTDATA(
"[Base].[Importe]",
TDinamica_R!$A$5,
"[Calendario].[AñoMes]",
"[Calendario].[AñoMes].&amp;[" &amp; TEXT(K$6,"yyyymm")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L76" s="8">
        <f>IFERROR(
GETPIVOTDATA(
"[Base].[Importe]",
TDinamica_R!$A$5,
"[Calendario].[AñoMes]",
"[Calendario].[AñoMes].&amp;[" &amp; TEXT(L$6,"yyyymm")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M76" s="8">
        <f>IFERROR(
GETPIVOTDATA(
"[Base].[Importe]",
TDinamica_R!$A$5,
"[Calendario].[AñoMes]",
"[Calendario].[AñoMes].&amp;[" &amp; TEXT(M$6,"yyyymm")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N76" s="8">
        <f>IFERROR(
GETPIVOTDATA(
"[Base].[Importe]",
TDinamica_R!$A$5,
"[Calendario].[AñoMes]",
"[Calendario].[AñoMes].&amp;[" &amp; TEXT(N$6,"yyyymm")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O76" s="8">
        <f>IFERROR(
GETPIVOTDATA(
"[Base].[Importe]",
TDinamica_R!$A$5,
"[Calendario].[AñoMes]",
"[Calendario].[AñoMes].&amp;[" &amp; TEXT(O$6,"yyyymm")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P76" s="8">
        <f>IFERROR(
GETPIVOTDATA(
"[Base].[Importe]",
TDinamica_R!$A$5,
"[Calendario].[AñoMes]",
"[Calendario].[AñoMes].&amp;[" &amp; TEXT(P$6,"yyyymm")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Q76" s="8">
        <f>IFERROR(
GETPIVOTDATA(
"[Base].[Importe]",
TDinamica_R!$A$5,
"[Calendario].[AñoMes]",
"[Calendario].[AñoMes].&amp;[" &amp; TEXT(Q$6,"yyyymm")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R76" s="8">
        <f>IFERROR(
GETPIVOTDATA(
"[Base].[Importe]",
TDinamica_R!$A$5,
"[Calendario].[AñoMes]",
"[Calendario].[AñoMes].&amp;[" &amp; TEXT(R$6,"yyyymm")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S76" s="8">
        <f>IFERROR(
GETPIVOTDATA(
"[Base].[Importe]",
TDinamica_R!$A$5,
"[Calendario].[AñoMes]",
"[Calendario].[AñoMes].&amp;[" &amp; TEXT(S$6,"yyyymm")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T76" s="8">
        <f>IFERROR(
GETPIVOTDATA(
"[Base].[Importe]",
TDinamica_R!$A$5,
"[Calendario].[AñoMes]",
"[Calendario].[AñoMes].&amp;[" &amp; TEXT(T$6,"yyyymm")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U76" s="8">
        <f>IFERROR(
GETPIVOTDATA(
"[Base].[Importe]",
TDinamica_R!$A$5,
"[Calendario].[AñoMes]",
"[Calendario].[AñoMes].&amp;[" &amp; TEXT(U$6,"yyyymm")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V76" s="8">
        <f>IFERROR(
GETPIVOTDATA(
"[Base].[Importe]",
TDinamica_R!$A$5,
"[Calendario].[AñoMes]",
"[Calendario].[AñoMes].&amp;[" &amp; TEXT(V$6,"yyyymm")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W76" s="8">
        <f>IFERROR(
GETPIVOTDATA(
"[Base].[Importe]",
TDinamica_R!$A$5,
"[Calendario].[AñoMes]",
"[Calendario].[AñoMes].&amp;[" &amp; TEXT(W$6,"yyyymm")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X76" s="8">
        <f>IFERROR(
GETPIVOTDATA(
"[Base].[Importe]",
TDinamica_R!$A$5,
"[Calendario].[AñoMes]",
"[Calendario].[AñoMes].&amp;[" &amp; TEXT(X$6,"yyyymm")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Y76" s="8">
        <f>IFERROR(
GETPIVOTDATA(
"[Base].[Importe]",
TDinamica_R!$A$5,
"[Calendario].[AñoMes]",
"[Calendario].[AñoMes].&amp;[" &amp; TEXT(Y$6,"yyyymm")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Z76" s="8">
        <f>IFERROR(
GETPIVOTDATA(
"[Base].[Importe]",
TDinamica_R!$A$5,
"[Calendario].[AñoMes]",
"[Calendario].[AñoMes].&amp;[" &amp; TEXT(Z$6,"yyyymm")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A76" s="8">
        <f>IFERROR(
GETPIVOTDATA(
"[Base].[Importe]",
TDinamica_R!$A$5,
"[Calendario].[AñoMes]",
"[Calendario].[AñoMes].&amp;[" &amp; TEXT(AA$6,"yyyymm")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B76" s="8">
        <f>IFERROR(
GETPIVOTDATA(
"[Base].[Importe]",
TDinamica_R!$A$5,
"[Calendario].[AñoMes]",
"[Calendario].[AñoMes].&amp;[" &amp; TEXT(AB$6,"yyyymm")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C76" s="8">
        <f>IFERROR(
GETPIVOTDATA(
"[Base].[Importe]",
TDinamica_R!$A$5,
"[Calendario].[AñoMes]",
"[Calendario].[AñoMes].&amp;[" &amp; TEXT(AC$6,"yyyymm")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D76" s="8">
        <f>IFERROR(
GETPIVOTDATA(
"[Base].[Importe]",
TDinamica_R!$A$5,
"[Calendario].[AñoMes]",
"[Calendario].[AñoMes].&amp;[" &amp; TEXT(AD$6,"yyyymm")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E76" s="8">
        <f>IFERROR(
GETPIVOTDATA(
"[Base].[Importe]",
TDinamica_R!$A$5,
"[Calendario].[AñoMes]",
"[Calendario].[AñoMes].&amp;[" &amp; TEXT(AE$6,"yyyymm")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F76" s="8">
        <f>IFERROR(
GETPIVOTDATA(
"[Base].[Importe]",
TDinamica_R!$A$5,
"[Calendario].[AñoMes]",
"[Calendario].[AñoMes].&amp;[" &amp; TEXT(AF$6,"yyyymm")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G76" s="8">
        <f>IFERROR(
GETPIVOTDATA(
"[Base].[Importe]",
TDinamica_R!$A$5,
"[Calendario].[AñoMes]",
"[Calendario].[AñoMes].&amp;[" &amp; TEXT(AG$6,"yyyymm")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H76" s="8">
        <f>IFERROR(
GETPIVOTDATA(
"[Base].[Importe]",
TDinamica_R!$A$5,
"[Calendario].[AñoMes]",
"[Calendario].[AñoMes].&amp;[" &amp; TEXT(AH$6,"yyyymm")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I76" s="8">
        <f>IFERROR(
GETPIVOTDATA(
"[Base].[Importe]",
TDinamica_R!$A$5,
"[Calendario].[AñoMes]",
"[Calendario].[AñoMes].&amp;[" &amp; TEXT(AI$6,"yyyymm")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J76" s="8">
        <f>IFERROR(
GETPIVOTDATA(
"[Base].[Importe]",
TDinamica_R!$A$5,
"[Calendario].[AñoMes]",
"[Calendario].[AñoMes].&amp;[" &amp; TEXT(AJ$6,"yyyymm")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K76" s="8">
        <f>IFERROR(
GETPIVOTDATA(
"[Base].[Importe]",
TDinamica_R!$A$5,
"[Calendario].[AñoMes]",
"[Calendario].[AñoMes].&amp;[" &amp; TEXT(AK$6,"yyyymm")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L76" s="8">
        <f>IFERROR(
GETPIVOTDATA(
"[Base].[Importe]",
TDinamica_R!$A$5,
"[Calendario].[AñoMes]",
"[Calendario].[AñoMes].&amp;[" &amp; TEXT(AL$6,"yyyymm")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M76" s="8">
        <f>IFERROR(
GETPIVOTDATA(
"[Base].[Importe]",
TDinamica_R!$A$5,
"[Calendario].[AñoMes]",
"[Calendario].[AñoMes].&amp;[" &amp; TEXT(AM$6,"yyyymm")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N76" s="8">
        <f>IFERROR(
GETPIVOTDATA(
"[Base].[Importe]",
TDinamica_R!$A$5,
"[Calendario].[AñoMes]",
"[Calendario].[AñoMes].&amp;[" &amp; TEXT(AN$6,"yyyymm")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O76" s="8">
        <f>IFERROR(
GETPIVOTDATA(
"[Base].[Importe]",
TDinamica_R!$A$5,
"[Calendario].[AñoMes]",
"[Calendario].[AñoMes].&amp;[" &amp; TEXT(AO$6,"yyyymm")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P76" s="8">
        <f>IFERROR(
GETPIVOTDATA(
"[Base].[Importe]",
TDinamica_R!$A$5,
"[Calendario].[AñoMes]",
"[Calendario].[AñoMes].&amp;[" &amp; TEXT(AP$6,"yyyymm")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Q76" s="8">
        <f>IFERROR(
GETPIVOTDATA(
"[Base].[Importe]",
TDinamica_R!$A$5,
"[Calendario].[AñoMes]",
"[Calendario].[AñoMes].&amp;[" &amp; TEXT(AQ$6,"yyyymm")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R76" s="8">
        <f>IFERROR(
GETPIVOTDATA(
"[Base].[Importe]",
TDinamica_R!$A$5,
"[Calendario].[AñoMes]",
"[Calendario].[AñoMes].&amp;[" &amp; TEXT(AR$6,"yyyymm")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S76" s="8">
        <f>IFERROR(
GETPIVOTDATA(
"[Base].[Importe]",
TDinamica_R!$A$5,
"[Calendario].[AñoMes]",
"[Calendario].[AñoMes].&amp;[" &amp; TEXT(AS$6,"yyyymm")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T76" s="8">
        <f>IFERROR(
GETPIVOTDATA(
"[Base].[Importe]",
TDinamica_R!$A$5,
"[Calendario].[AñoMes]",
"[Calendario].[AñoMes].&amp;[" &amp; TEXT(AT$6,"yyyymm")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U76" s="8">
        <f>IFERROR(
GETPIVOTDATA(
"[Base].[Importe]",
TDinamica_R!$A$5,
"[Calendario].[AñoMes]",
"[Calendario].[AñoMes].&amp;[" &amp; TEXT(AU$6,"yyyymm")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V76" s="8">
        <f>IFERROR(
GETPIVOTDATA(
"[Base].[Importe]",
TDinamica_R!$A$5,
"[Calendario].[AñoMes]",
"[Calendario].[AñoMes].&amp;[" &amp; TEXT(AV$6,"yyyymm")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W76" s="8">
        <f>IFERROR(
GETPIVOTDATA(
"[Base].[Importe]",
TDinamica_R!$A$5,
"[Calendario].[AñoMes]",
"[Calendario].[AñoMes].&amp;[" &amp; TEXT(AW$6,"yyyymm")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X76" s="8">
        <f>IFERROR(
GETPIVOTDATA(
"[Base].[Importe]",
TDinamica_R!$A$5,
"[Calendario].[AñoMes]",
"[Calendario].[AñoMes].&amp;[" &amp; TEXT(AX$6,"yyyymm")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Y76" s="8">
        <f>IFERROR(
GETPIVOTDATA(
"[Base].[Importe]",
TDinamica_R!$A$5,
"[Calendario].[AñoMes]",
"[Calendario].[AñoMes].&amp;[" &amp; TEXT(AY$6,"yyyymm") &amp; "]",
"[Base].[Metrica]",
"[Base].[Metrica].&amp;[" &amp; $A76 &amp; "]",
"[Base].[SEGMENTO_DESCRIP]",
"[Base].[SEGMENTO_DESCRIP].&amp;[" &amp; $C$6 &amp; "]",
"[Base].[SITUACION]",
"[Base].[SITUACION].&amp;[" &amp; $C76 &amp; "]"
),0)/1000</f>
        <v>0</v>
      </c>
      <c r="AZ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"[BASE_HIPO_PPTO].[Periodo]","[BASE_HIPO_PPTO].[Periodo].&amp;["&amp;TEXT(AZ$6,"yyyymm")&amp;"]"),
0)/1000</f>
        <v>0</v>
      </c>
      <c r="BA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"[BASE_HIPO_PPTO].[Periodo]","[BASE_HIPO_PPTO].[Periodo].&amp;["&amp;TEXT(BA$6,"yyyymm")&amp;"]"),
0)/1000</f>
        <v>0</v>
      </c>
      <c r="BB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"[BASE_HIPO_PPTO].[Periodo]","[BASE_HIPO_PPTO].[Periodo].&amp;["&amp;TEXT(BB$6,"yyyymm")&amp;"]"),
0)/1000</f>
        <v>0</v>
      </c>
      <c r="BC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"[BASE_HIPO_PPTO].[Periodo]","[BASE_HIPO_PPTO].[Periodo].&amp;["&amp;TEXT(BC$6,"yyyymm")&amp;"]"),
0)/1000</f>
        <v>0</v>
      </c>
      <c r="BD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"[BASE_HIPO_PPTO].[Periodo]","[BASE_HIPO_PPTO].[Periodo].&amp;["&amp;TEXT(BD$6,"yyyymm")&amp;"]"),
0)/1000</f>
        <v>0</v>
      </c>
      <c r="BE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"[BASE_HIPO_PPTO].[Periodo]","[BASE_HIPO_PPTO].[Periodo].&amp;["&amp;TEXT(BE$6,"yyyymm")&amp;"]"),
0)/1000</f>
        <v>0</v>
      </c>
      <c r="BF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"[BASE_HIPO_PPTO].[Periodo]","[BASE_HIPO_PPTO].[Periodo].&amp;["&amp;TEXT(BF$6,"yyyymm")&amp;"]"),
0)/1000</f>
        <v>0</v>
      </c>
      <c r="BG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"[BASE_HIPO_PPTO].[Periodo]","[BASE_HIPO_PPTO].[Periodo].&amp;["&amp;TEXT(BG$6,"yyyymm")&amp;"]"),
0)/1000</f>
        <v>0</v>
      </c>
      <c r="BH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"[BASE_HIPO_PPTO].[Periodo]","[BASE_HIPO_PPTO].[Periodo].&amp;["&amp;TEXT(BH$6,"yyyymm")&amp;"]"),
0)/1000</f>
        <v>0</v>
      </c>
      <c r="BI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"[BASE_HIPO_PPTO].[Periodo]","[BASE_HIPO_PPTO].[Periodo].&amp;["&amp;TEXT(BI$6,"yyyymm")&amp;"]"),
0)/1000</f>
        <v>0</v>
      </c>
      <c r="BJ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"[BASE_HIPO_PPTO].[Periodo]","[BASE_HIPO_PPTO].[Periodo].&amp;["&amp;TEXT(BJ$6,"yyyymm")&amp;"]"),
0)/1000</f>
        <v>0</v>
      </c>
      <c r="BK76" s="8">
        <f>IFERROR(
GETPIVOTDATA(
"[BASE_HIPO_PPTO].[Importe]",
TDinamica_P!$A$5,
"[BASE_HIPO_PPTO].[Metrica]","[BASE_HIPO_PPTO].[Metrica].&amp;["&amp;$A76&amp;"]",
"[BASE_HIPO_PPTO].[SEGMENTO_DESCRIP]","[BASE_HIPO_PPTO].[SEGMENTO_DESCRIP].&amp;["&amp;$C$6&amp;"]",
"[BASE_HIPO_PPTO].[SITUACION]","[BASE_HIPO_PPTO].[SITUACION].&amp;["&amp;$C76&amp;"]",
"[BASE_HIPO_PPTO].[Periodo]","[BASE_HIPO_PPTO].[Periodo].&amp;["&amp;TEXT(BK$6,"yyyymm")&amp;"]"),
0)/1000</f>
        <v>0</v>
      </c>
      <c r="BO76" s="24">
        <f t="shared" si="64"/>
        <v>0</v>
      </c>
      <c r="BP76" s="24">
        <f t="shared" si="64"/>
        <v>0</v>
      </c>
      <c r="BQ76" s="24">
        <f t="shared" si="64"/>
        <v>0</v>
      </c>
      <c r="BR76" s="24">
        <f t="shared" si="64"/>
        <v>0</v>
      </c>
      <c r="BS76" s="24">
        <f t="shared" si="64"/>
        <v>0</v>
      </c>
      <c r="BT76" s="24">
        <f t="shared" si="64"/>
        <v>0</v>
      </c>
    </row>
    <row r="77" spans="1:72" hidden="1" outlineLevel="1" x14ac:dyDescent="0.25">
      <c r="A77" s="11" t="s">
        <v>71</v>
      </c>
      <c r="C77" s="2"/>
      <c r="D77" s="8">
        <f>IFERROR(
GETPIVOTDATA(
"[Base].[Importe]",
TDinamica_R!$A$5,
"[Calendario].[AñoMes]",
"[Calendario].[AñoMes].&amp;[" &amp; TEXT(D$6,"yyyymm")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E77" s="8">
        <f>IFERROR(
GETPIVOTDATA(
"[Base].[Importe]",
TDinamica_R!$A$5,
"[Calendario].[AñoMes]",
"[Calendario].[AñoMes].&amp;[" &amp; TEXT(E$6,"yyyymm")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F77" s="8">
        <f>IFERROR(
GETPIVOTDATA(
"[Base].[Importe]",
TDinamica_R!$A$5,
"[Calendario].[AñoMes]",
"[Calendario].[AñoMes].&amp;[" &amp; TEXT(F$6,"yyyymm")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G77" s="8">
        <f>IFERROR(
GETPIVOTDATA(
"[Base].[Importe]",
TDinamica_R!$A$5,
"[Calendario].[AñoMes]",
"[Calendario].[AñoMes].&amp;[" &amp; TEXT(G$6,"yyyymm")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H77" s="8">
        <f>IFERROR(
GETPIVOTDATA(
"[Base].[Importe]",
TDinamica_R!$A$5,
"[Calendario].[AñoMes]",
"[Calendario].[AñoMes].&amp;[" &amp; TEXT(H$6,"yyyymm")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I77" s="8">
        <f>IFERROR(
GETPIVOTDATA(
"[Base].[Importe]",
TDinamica_R!$A$5,
"[Calendario].[AñoMes]",
"[Calendario].[AñoMes].&amp;[" &amp; TEXT(I$6,"yyyymm")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J77" s="8">
        <f>IFERROR(
GETPIVOTDATA(
"[Base].[Importe]",
TDinamica_R!$A$5,
"[Calendario].[AñoMes]",
"[Calendario].[AñoMes].&amp;[" &amp; TEXT(J$6,"yyyymm")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K77" s="8">
        <f>IFERROR(
GETPIVOTDATA(
"[Base].[Importe]",
TDinamica_R!$A$5,
"[Calendario].[AñoMes]",
"[Calendario].[AñoMes].&amp;[" &amp; TEXT(K$6,"yyyymm")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L77" s="8">
        <f>IFERROR(
GETPIVOTDATA(
"[Base].[Importe]",
TDinamica_R!$A$5,
"[Calendario].[AñoMes]",
"[Calendario].[AñoMes].&amp;[" &amp; TEXT(L$6,"yyyymm")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M77" s="8">
        <f>IFERROR(
GETPIVOTDATA(
"[Base].[Importe]",
TDinamica_R!$A$5,
"[Calendario].[AñoMes]",
"[Calendario].[AñoMes].&amp;[" &amp; TEXT(M$6,"yyyymm")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N77" s="8">
        <f>IFERROR(
GETPIVOTDATA(
"[Base].[Importe]",
TDinamica_R!$A$5,
"[Calendario].[AñoMes]",
"[Calendario].[AñoMes].&amp;[" &amp; TEXT(N$6,"yyyymm")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O77" s="8">
        <f>IFERROR(
GETPIVOTDATA(
"[Base].[Importe]",
TDinamica_R!$A$5,
"[Calendario].[AñoMes]",
"[Calendario].[AñoMes].&amp;[" &amp; TEXT(O$6,"yyyymm")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P77" s="8">
        <f>IFERROR(
GETPIVOTDATA(
"[Base].[Importe]",
TDinamica_R!$A$5,
"[Calendario].[AñoMes]",
"[Calendario].[AñoMes].&amp;[" &amp; TEXT(P$6,"yyyymm")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Q77" s="8">
        <f>IFERROR(
GETPIVOTDATA(
"[Base].[Importe]",
TDinamica_R!$A$5,
"[Calendario].[AñoMes]",
"[Calendario].[AñoMes].&amp;[" &amp; TEXT(Q$6,"yyyymm")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R77" s="8">
        <f>IFERROR(
GETPIVOTDATA(
"[Base].[Importe]",
TDinamica_R!$A$5,
"[Calendario].[AñoMes]",
"[Calendario].[AñoMes].&amp;[" &amp; TEXT(R$6,"yyyymm")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S77" s="8">
        <f>IFERROR(
GETPIVOTDATA(
"[Base].[Importe]",
TDinamica_R!$A$5,
"[Calendario].[AñoMes]",
"[Calendario].[AñoMes].&amp;[" &amp; TEXT(S$6,"yyyymm")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T77" s="8">
        <f>IFERROR(
GETPIVOTDATA(
"[Base].[Importe]",
TDinamica_R!$A$5,
"[Calendario].[AñoMes]",
"[Calendario].[AñoMes].&amp;[" &amp; TEXT(T$6,"yyyymm")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U77" s="8">
        <f>IFERROR(
GETPIVOTDATA(
"[Base].[Importe]",
TDinamica_R!$A$5,
"[Calendario].[AñoMes]",
"[Calendario].[AñoMes].&amp;[" &amp; TEXT(U$6,"yyyymm")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V77" s="8">
        <f>IFERROR(
GETPIVOTDATA(
"[Base].[Importe]",
TDinamica_R!$A$5,
"[Calendario].[AñoMes]",
"[Calendario].[AñoMes].&amp;[" &amp; TEXT(V$6,"yyyymm")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W77" s="8">
        <f>IFERROR(
GETPIVOTDATA(
"[Base].[Importe]",
TDinamica_R!$A$5,
"[Calendario].[AñoMes]",
"[Calendario].[AñoMes].&amp;[" &amp; TEXT(W$6,"yyyymm")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X77" s="8">
        <f>IFERROR(
GETPIVOTDATA(
"[Base].[Importe]",
TDinamica_R!$A$5,
"[Calendario].[AñoMes]",
"[Calendario].[AñoMes].&amp;[" &amp; TEXT(X$6,"yyyymm")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Y77" s="8">
        <f>IFERROR(
GETPIVOTDATA(
"[Base].[Importe]",
TDinamica_R!$A$5,
"[Calendario].[AñoMes]",
"[Calendario].[AñoMes].&amp;[" &amp; TEXT(Y$6,"yyyymm")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Z77" s="8">
        <f>IFERROR(
GETPIVOTDATA(
"[Base].[Importe]",
TDinamica_R!$A$5,
"[Calendario].[AñoMes]",
"[Calendario].[AñoMes].&amp;[" &amp; TEXT(Z$6,"yyyymm")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A77" s="8">
        <f>IFERROR(
GETPIVOTDATA(
"[Base].[Importe]",
TDinamica_R!$A$5,
"[Calendario].[AñoMes]",
"[Calendario].[AñoMes].&amp;[" &amp; TEXT(AA$6,"yyyymm")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B77" s="8">
        <f>IFERROR(
GETPIVOTDATA(
"[Base].[Importe]",
TDinamica_R!$A$5,
"[Calendario].[AñoMes]",
"[Calendario].[AñoMes].&amp;[" &amp; TEXT(AB$6,"yyyymm")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C77" s="8">
        <f>IFERROR(
GETPIVOTDATA(
"[Base].[Importe]",
TDinamica_R!$A$5,
"[Calendario].[AñoMes]",
"[Calendario].[AñoMes].&amp;[" &amp; TEXT(AC$6,"yyyymm")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D77" s="8">
        <f>IFERROR(
GETPIVOTDATA(
"[Base].[Importe]",
TDinamica_R!$A$5,
"[Calendario].[AñoMes]",
"[Calendario].[AñoMes].&amp;[" &amp; TEXT(AD$6,"yyyymm")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E77" s="8">
        <f>IFERROR(
GETPIVOTDATA(
"[Base].[Importe]",
TDinamica_R!$A$5,
"[Calendario].[AñoMes]",
"[Calendario].[AñoMes].&amp;[" &amp; TEXT(AE$6,"yyyymm")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F77" s="8">
        <f>IFERROR(
GETPIVOTDATA(
"[Base].[Importe]",
TDinamica_R!$A$5,
"[Calendario].[AñoMes]",
"[Calendario].[AñoMes].&amp;[" &amp; TEXT(AF$6,"yyyymm")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G77" s="8">
        <f>IFERROR(
GETPIVOTDATA(
"[Base].[Importe]",
TDinamica_R!$A$5,
"[Calendario].[AñoMes]",
"[Calendario].[AñoMes].&amp;[" &amp; TEXT(AG$6,"yyyymm")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H77" s="8">
        <f>IFERROR(
GETPIVOTDATA(
"[Base].[Importe]",
TDinamica_R!$A$5,
"[Calendario].[AñoMes]",
"[Calendario].[AñoMes].&amp;[" &amp; TEXT(AH$6,"yyyymm")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I77" s="8">
        <f>IFERROR(
GETPIVOTDATA(
"[Base].[Importe]",
TDinamica_R!$A$5,
"[Calendario].[AñoMes]",
"[Calendario].[AñoMes].&amp;[" &amp; TEXT(AI$6,"yyyymm")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J77" s="8">
        <f>IFERROR(
GETPIVOTDATA(
"[Base].[Importe]",
TDinamica_R!$A$5,
"[Calendario].[AñoMes]",
"[Calendario].[AñoMes].&amp;[" &amp; TEXT(AJ$6,"yyyymm")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K77" s="8">
        <f>IFERROR(
GETPIVOTDATA(
"[Base].[Importe]",
TDinamica_R!$A$5,
"[Calendario].[AñoMes]",
"[Calendario].[AñoMes].&amp;[" &amp; TEXT(AK$6,"yyyymm")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L77" s="8">
        <f>IFERROR(
GETPIVOTDATA(
"[Base].[Importe]",
TDinamica_R!$A$5,
"[Calendario].[AñoMes]",
"[Calendario].[AñoMes].&amp;[" &amp; TEXT(AL$6,"yyyymm")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M77" s="8">
        <f>IFERROR(
GETPIVOTDATA(
"[Base].[Importe]",
TDinamica_R!$A$5,
"[Calendario].[AñoMes]",
"[Calendario].[AñoMes].&amp;[" &amp; TEXT(AM$6,"yyyymm")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N77" s="8">
        <f>IFERROR(
GETPIVOTDATA(
"[Base].[Importe]",
TDinamica_R!$A$5,
"[Calendario].[AñoMes]",
"[Calendario].[AñoMes].&amp;[" &amp; TEXT(AN$6,"yyyymm")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O77" s="8">
        <f>IFERROR(
GETPIVOTDATA(
"[Base].[Importe]",
TDinamica_R!$A$5,
"[Calendario].[AñoMes]",
"[Calendario].[AñoMes].&amp;[" &amp; TEXT(AO$6,"yyyymm")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P77" s="8">
        <f>IFERROR(
GETPIVOTDATA(
"[Base].[Importe]",
TDinamica_R!$A$5,
"[Calendario].[AñoMes]",
"[Calendario].[AñoMes].&amp;[" &amp; TEXT(AP$6,"yyyymm")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Q77" s="8">
        <f>IFERROR(
GETPIVOTDATA(
"[Base].[Importe]",
TDinamica_R!$A$5,
"[Calendario].[AñoMes]",
"[Calendario].[AñoMes].&amp;[" &amp; TEXT(AQ$6,"yyyymm")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R77" s="8">
        <f>IFERROR(
GETPIVOTDATA(
"[Base].[Importe]",
TDinamica_R!$A$5,
"[Calendario].[AñoMes]",
"[Calendario].[AñoMes].&amp;[" &amp; TEXT(AR$6,"yyyymm")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S77" s="8">
        <f>IFERROR(
GETPIVOTDATA(
"[Base].[Importe]",
TDinamica_R!$A$5,
"[Calendario].[AñoMes]",
"[Calendario].[AñoMes].&amp;[" &amp; TEXT(AS$6,"yyyymm")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T77" s="8">
        <f>IFERROR(
GETPIVOTDATA(
"[Base].[Importe]",
TDinamica_R!$A$5,
"[Calendario].[AñoMes]",
"[Calendario].[AñoMes].&amp;[" &amp; TEXT(AT$6,"yyyymm")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U77" s="8">
        <f>IFERROR(
GETPIVOTDATA(
"[Base].[Importe]",
TDinamica_R!$A$5,
"[Calendario].[AñoMes]",
"[Calendario].[AñoMes].&amp;[" &amp; TEXT(AU$6,"yyyymm")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V77" s="8">
        <f>IFERROR(
GETPIVOTDATA(
"[Base].[Importe]",
TDinamica_R!$A$5,
"[Calendario].[AñoMes]",
"[Calendario].[AñoMes].&amp;[" &amp; TEXT(AV$6,"yyyymm")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W77" s="8">
        <f>IFERROR(
GETPIVOTDATA(
"[Base].[Importe]",
TDinamica_R!$A$5,
"[Calendario].[AñoMes]",
"[Calendario].[AñoMes].&amp;[" &amp; TEXT(AW$6,"yyyymm")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X77" s="8">
        <f>IFERROR(
GETPIVOTDATA(
"[Base].[Importe]",
TDinamica_R!$A$5,
"[Calendario].[AñoMes]",
"[Calendario].[AñoMes].&amp;[" &amp; TEXT(AX$6,"yyyymm")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Y77" s="8">
        <f>IFERROR(
GETPIVOTDATA(
"[Base].[Importe]",
TDinamica_R!$A$5,
"[Calendario].[AñoMes]",
"[Calendario].[AñoMes].&amp;[" &amp; TEXT(AY$6,"yyyymm") &amp; "]",
"[Base].[Metrica]",
"[Base].[Metrica].&amp;[" &amp; $A77 &amp; "]",
"[Base].[SEGMENTO_DESCRIP]",
"[Base].[SEGMENTO_DESCRIP].&amp;[" &amp; $C$6 &amp; "]",
"[Base].[SITUACION]",
"[Base].[SITUACION].&amp;[" &amp; $C77 &amp; "]"
),0)/1000</f>
        <v>0</v>
      </c>
      <c r="AZ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"[BASE_HIPO_PPTO].[Periodo]","[BASE_HIPO_PPTO].[Periodo].&amp;["&amp;TEXT(AZ$6,"yyyymm")&amp;"]"),
0)/1000</f>
        <v>0</v>
      </c>
      <c r="BA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"[BASE_HIPO_PPTO].[Periodo]","[BASE_HIPO_PPTO].[Periodo].&amp;["&amp;TEXT(BA$6,"yyyymm")&amp;"]"),
0)/1000</f>
        <v>0</v>
      </c>
      <c r="BB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"[BASE_HIPO_PPTO].[Periodo]","[BASE_HIPO_PPTO].[Periodo].&amp;["&amp;TEXT(BB$6,"yyyymm")&amp;"]"),
0)/1000</f>
        <v>0</v>
      </c>
      <c r="BC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"[BASE_HIPO_PPTO].[Periodo]","[BASE_HIPO_PPTO].[Periodo].&amp;["&amp;TEXT(BC$6,"yyyymm")&amp;"]"),
0)/1000</f>
        <v>0</v>
      </c>
      <c r="BD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"[BASE_HIPO_PPTO].[Periodo]","[BASE_HIPO_PPTO].[Periodo].&amp;["&amp;TEXT(BD$6,"yyyymm")&amp;"]"),
0)/1000</f>
        <v>0</v>
      </c>
      <c r="BE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"[BASE_HIPO_PPTO].[Periodo]","[BASE_HIPO_PPTO].[Periodo].&amp;["&amp;TEXT(BE$6,"yyyymm")&amp;"]"),
0)/1000</f>
        <v>0</v>
      </c>
      <c r="BF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"[BASE_HIPO_PPTO].[Periodo]","[BASE_HIPO_PPTO].[Periodo].&amp;["&amp;TEXT(BF$6,"yyyymm")&amp;"]"),
0)/1000</f>
        <v>0</v>
      </c>
      <c r="BG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"[BASE_HIPO_PPTO].[Periodo]","[BASE_HIPO_PPTO].[Periodo].&amp;["&amp;TEXT(BG$6,"yyyymm")&amp;"]"),
0)/1000</f>
        <v>0</v>
      </c>
      <c r="BH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"[BASE_HIPO_PPTO].[Periodo]","[BASE_HIPO_PPTO].[Periodo].&amp;["&amp;TEXT(BH$6,"yyyymm")&amp;"]"),
0)/1000</f>
        <v>0</v>
      </c>
      <c r="BI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"[BASE_HIPO_PPTO].[Periodo]","[BASE_HIPO_PPTO].[Periodo].&amp;["&amp;TEXT(BI$6,"yyyymm")&amp;"]"),
0)/1000</f>
        <v>0</v>
      </c>
      <c r="BJ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"[BASE_HIPO_PPTO].[Periodo]","[BASE_HIPO_PPTO].[Periodo].&amp;["&amp;TEXT(BJ$6,"yyyymm")&amp;"]"),
0)/1000</f>
        <v>0</v>
      </c>
      <c r="BK77" s="8">
        <f>IFERROR(
GETPIVOTDATA(
"[BASE_HIPO_PPTO].[Importe]",
TDinamica_P!$A$5,
"[BASE_HIPO_PPTO].[Metrica]","[BASE_HIPO_PPTO].[Metrica].&amp;["&amp;$A77&amp;"]",
"[BASE_HIPO_PPTO].[SEGMENTO_DESCRIP]","[BASE_HIPO_PPTO].[SEGMENTO_DESCRIP].&amp;["&amp;$C$6&amp;"]",
"[BASE_HIPO_PPTO].[SITUACION]","[BASE_HIPO_PPTO].[SITUACION].&amp;["&amp;$C77&amp;"]",
"[BASE_HIPO_PPTO].[Periodo]","[BASE_HIPO_PPTO].[Periodo].&amp;["&amp;TEXT(BK$6,"yyyymm")&amp;"]"),
0)/1000</f>
        <v>0</v>
      </c>
      <c r="BO77" s="24">
        <f t="shared" si="64"/>
        <v>0</v>
      </c>
      <c r="BP77" s="24">
        <f t="shared" si="64"/>
        <v>0</v>
      </c>
      <c r="BQ77" s="24">
        <f t="shared" si="64"/>
        <v>0</v>
      </c>
      <c r="BR77" s="24">
        <f t="shared" si="64"/>
        <v>0</v>
      </c>
      <c r="BS77" s="24">
        <f t="shared" si="64"/>
        <v>0</v>
      </c>
      <c r="BT77" s="24">
        <f t="shared" si="64"/>
        <v>0</v>
      </c>
    </row>
    <row r="78" spans="1:72" hidden="1" outlineLevel="1" x14ac:dyDescent="0.25">
      <c r="A78" s="11" t="s">
        <v>71</v>
      </c>
      <c r="C78" s="2"/>
      <c r="D78" s="8">
        <f>IFERROR(
GETPIVOTDATA(
"[Base].[Importe]",
TDinamica_R!$A$5,
"[Calendario].[AñoMes]",
"[Calendario].[AñoMes].&amp;[" &amp; TEXT(D$6,"yyyymm")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E78" s="8">
        <f>IFERROR(
GETPIVOTDATA(
"[Base].[Importe]",
TDinamica_R!$A$5,
"[Calendario].[AñoMes]",
"[Calendario].[AñoMes].&amp;[" &amp; TEXT(E$6,"yyyymm")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F78" s="8">
        <f>IFERROR(
GETPIVOTDATA(
"[Base].[Importe]",
TDinamica_R!$A$5,
"[Calendario].[AñoMes]",
"[Calendario].[AñoMes].&amp;[" &amp; TEXT(F$6,"yyyymm")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G78" s="8">
        <f>IFERROR(
GETPIVOTDATA(
"[Base].[Importe]",
TDinamica_R!$A$5,
"[Calendario].[AñoMes]",
"[Calendario].[AñoMes].&amp;[" &amp; TEXT(G$6,"yyyymm")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H78" s="8">
        <f>IFERROR(
GETPIVOTDATA(
"[Base].[Importe]",
TDinamica_R!$A$5,
"[Calendario].[AñoMes]",
"[Calendario].[AñoMes].&amp;[" &amp; TEXT(H$6,"yyyymm")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I78" s="8">
        <f>IFERROR(
GETPIVOTDATA(
"[Base].[Importe]",
TDinamica_R!$A$5,
"[Calendario].[AñoMes]",
"[Calendario].[AñoMes].&amp;[" &amp; TEXT(I$6,"yyyymm")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J78" s="8">
        <f>IFERROR(
GETPIVOTDATA(
"[Base].[Importe]",
TDinamica_R!$A$5,
"[Calendario].[AñoMes]",
"[Calendario].[AñoMes].&amp;[" &amp; TEXT(J$6,"yyyymm")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K78" s="8">
        <f>IFERROR(
GETPIVOTDATA(
"[Base].[Importe]",
TDinamica_R!$A$5,
"[Calendario].[AñoMes]",
"[Calendario].[AñoMes].&amp;[" &amp; TEXT(K$6,"yyyymm")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L78" s="8">
        <f>IFERROR(
GETPIVOTDATA(
"[Base].[Importe]",
TDinamica_R!$A$5,
"[Calendario].[AñoMes]",
"[Calendario].[AñoMes].&amp;[" &amp; TEXT(L$6,"yyyymm")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M78" s="8">
        <f>IFERROR(
GETPIVOTDATA(
"[Base].[Importe]",
TDinamica_R!$A$5,
"[Calendario].[AñoMes]",
"[Calendario].[AñoMes].&amp;[" &amp; TEXT(M$6,"yyyymm")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N78" s="8">
        <f>IFERROR(
GETPIVOTDATA(
"[Base].[Importe]",
TDinamica_R!$A$5,
"[Calendario].[AñoMes]",
"[Calendario].[AñoMes].&amp;[" &amp; TEXT(N$6,"yyyymm")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O78" s="8">
        <f>IFERROR(
GETPIVOTDATA(
"[Base].[Importe]",
TDinamica_R!$A$5,
"[Calendario].[AñoMes]",
"[Calendario].[AñoMes].&amp;[" &amp; TEXT(O$6,"yyyymm")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P78" s="8">
        <f>IFERROR(
GETPIVOTDATA(
"[Base].[Importe]",
TDinamica_R!$A$5,
"[Calendario].[AñoMes]",
"[Calendario].[AñoMes].&amp;[" &amp; TEXT(P$6,"yyyymm")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Q78" s="8">
        <f>IFERROR(
GETPIVOTDATA(
"[Base].[Importe]",
TDinamica_R!$A$5,
"[Calendario].[AñoMes]",
"[Calendario].[AñoMes].&amp;[" &amp; TEXT(Q$6,"yyyymm")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R78" s="8">
        <f>IFERROR(
GETPIVOTDATA(
"[Base].[Importe]",
TDinamica_R!$A$5,
"[Calendario].[AñoMes]",
"[Calendario].[AñoMes].&amp;[" &amp; TEXT(R$6,"yyyymm")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S78" s="8">
        <f>IFERROR(
GETPIVOTDATA(
"[Base].[Importe]",
TDinamica_R!$A$5,
"[Calendario].[AñoMes]",
"[Calendario].[AñoMes].&amp;[" &amp; TEXT(S$6,"yyyymm")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T78" s="8">
        <f>IFERROR(
GETPIVOTDATA(
"[Base].[Importe]",
TDinamica_R!$A$5,
"[Calendario].[AñoMes]",
"[Calendario].[AñoMes].&amp;[" &amp; TEXT(T$6,"yyyymm")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U78" s="8">
        <f>IFERROR(
GETPIVOTDATA(
"[Base].[Importe]",
TDinamica_R!$A$5,
"[Calendario].[AñoMes]",
"[Calendario].[AñoMes].&amp;[" &amp; TEXT(U$6,"yyyymm")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V78" s="8">
        <f>IFERROR(
GETPIVOTDATA(
"[Base].[Importe]",
TDinamica_R!$A$5,
"[Calendario].[AñoMes]",
"[Calendario].[AñoMes].&amp;[" &amp; TEXT(V$6,"yyyymm")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W78" s="8">
        <f>IFERROR(
GETPIVOTDATA(
"[Base].[Importe]",
TDinamica_R!$A$5,
"[Calendario].[AñoMes]",
"[Calendario].[AñoMes].&amp;[" &amp; TEXT(W$6,"yyyymm")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X78" s="8">
        <f>IFERROR(
GETPIVOTDATA(
"[Base].[Importe]",
TDinamica_R!$A$5,
"[Calendario].[AñoMes]",
"[Calendario].[AñoMes].&amp;[" &amp; TEXT(X$6,"yyyymm")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Y78" s="8">
        <f>IFERROR(
GETPIVOTDATA(
"[Base].[Importe]",
TDinamica_R!$A$5,
"[Calendario].[AñoMes]",
"[Calendario].[AñoMes].&amp;[" &amp; TEXT(Y$6,"yyyymm")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Z78" s="8">
        <f>IFERROR(
GETPIVOTDATA(
"[Base].[Importe]",
TDinamica_R!$A$5,
"[Calendario].[AñoMes]",
"[Calendario].[AñoMes].&amp;[" &amp; TEXT(Z$6,"yyyymm")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A78" s="8">
        <f>IFERROR(
GETPIVOTDATA(
"[Base].[Importe]",
TDinamica_R!$A$5,
"[Calendario].[AñoMes]",
"[Calendario].[AñoMes].&amp;[" &amp; TEXT(AA$6,"yyyymm")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B78" s="8">
        <f>IFERROR(
GETPIVOTDATA(
"[Base].[Importe]",
TDinamica_R!$A$5,
"[Calendario].[AñoMes]",
"[Calendario].[AñoMes].&amp;[" &amp; TEXT(AB$6,"yyyymm")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C78" s="8">
        <f>IFERROR(
GETPIVOTDATA(
"[Base].[Importe]",
TDinamica_R!$A$5,
"[Calendario].[AñoMes]",
"[Calendario].[AñoMes].&amp;[" &amp; TEXT(AC$6,"yyyymm")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D78" s="8">
        <f>IFERROR(
GETPIVOTDATA(
"[Base].[Importe]",
TDinamica_R!$A$5,
"[Calendario].[AñoMes]",
"[Calendario].[AñoMes].&amp;[" &amp; TEXT(AD$6,"yyyymm")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E78" s="8">
        <f>IFERROR(
GETPIVOTDATA(
"[Base].[Importe]",
TDinamica_R!$A$5,
"[Calendario].[AñoMes]",
"[Calendario].[AñoMes].&amp;[" &amp; TEXT(AE$6,"yyyymm")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F78" s="8">
        <f>IFERROR(
GETPIVOTDATA(
"[Base].[Importe]",
TDinamica_R!$A$5,
"[Calendario].[AñoMes]",
"[Calendario].[AñoMes].&amp;[" &amp; TEXT(AF$6,"yyyymm")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G78" s="8">
        <f>IFERROR(
GETPIVOTDATA(
"[Base].[Importe]",
TDinamica_R!$A$5,
"[Calendario].[AñoMes]",
"[Calendario].[AñoMes].&amp;[" &amp; TEXT(AG$6,"yyyymm")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H78" s="8">
        <f>IFERROR(
GETPIVOTDATA(
"[Base].[Importe]",
TDinamica_R!$A$5,
"[Calendario].[AñoMes]",
"[Calendario].[AñoMes].&amp;[" &amp; TEXT(AH$6,"yyyymm")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I78" s="8">
        <f>IFERROR(
GETPIVOTDATA(
"[Base].[Importe]",
TDinamica_R!$A$5,
"[Calendario].[AñoMes]",
"[Calendario].[AñoMes].&amp;[" &amp; TEXT(AI$6,"yyyymm")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J78" s="8">
        <f>IFERROR(
GETPIVOTDATA(
"[Base].[Importe]",
TDinamica_R!$A$5,
"[Calendario].[AñoMes]",
"[Calendario].[AñoMes].&amp;[" &amp; TEXT(AJ$6,"yyyymm")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K78" s="8">
        <f>IFERROR(
GETPIVOTDATA(
"[Base].[Importe]",
TDinamica_R!$A$5,
"[Calendario].[AñoMes]",
"[Calendario].[AñoMes].&amp;[" &amp; TEXT(AK$6,"yyyymm")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L78" s="8">
        <f>IFERROR(
GETPIVOTDATA(
"[Base].[Importe]",
TDinamica_R!$A$5,
"[Calendario].[AñoMes]",
"[Calendario].[AñoMes].&amp;[" &amp; TEXT(AL$6,"yyyymm")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M78" s="8">
        <f>IFERROR(
GETPIVOTDATA(
"[Base].[Importe]",
TDinamica_R!$A$5,
"[Calendario].[AñoMes]",
"[Calendario].[AñoMes].&amp;[" &amp; TEXT(AM$6,"yyyymm")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N78" s="8">
        <f>IFERROR(
GETPIVOTDATA(
"[Base].[Importe]",
TDinamica_R!$A$5,
"[Calendario].[AñoMes]",
"[Calendario].[AñoMes].&amp;[" &amp; TEXT(AN$6,"yyyymm")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O78" s="8">
        <f>IFERROR(
GETPIVOTDATA(
"[Base].[Importe]",
TDinamica_R!$A$5,
"[Calendario].[AñoMes]",
"[Calendario].[AñoMes].&amp;[" &amp; TEXT(AO$6,"yyyymm")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P78" s="8">
        <f>IFERROR(
GETPIVOTDATA(
"[Base].[Importe]",
TDinamica_R!$A$5,
"[Calendario].[AñoMes]",
"[Calendario].[AñoMes].&amp;[" &amp; TEXT(AP$6,"yyyymm")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Q78" s="8">
        <f>IFERROR(
GETPIVOTDATA(
"[Base].[Importe]",
TDinamica_R!$A$5,
"[Calendario].[AñoMes]",
"[Calendario].[AñoMes].&amp;[" &amp; TEXT(AQ$6,"yyyymm")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R78" s="8">
        <f>IFERROR(
GETPIVOTDATA(
"[Base].[Importe]",
TDinamica_R!$A$5,
"[Calendario].[AñoMes]",
"[Calendario].[AñoMes].&amp;[" &amp; TEXT(AR$6,"yyyymm")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S78" s="8">
        <f>IFERROR(
GETPIVOTDATA(
"[Base].[Importe]",
TDinamica_R!$A$5,
"[Calendario].[AñoMes]",
"[Calendario].[AñoMes].&amp;[" &amp; TEXT(AS$6,"yyyymm")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T78" s="8">
        <f>IFERROR(
GETPIVOTDATA(
"[Base].[Importe]",
TDinamica_R!$A$5,
"[Calendario].[AñoMes]",
"[Calendario].[AñoMes].&amp;[" &amp; TEXT(AT$6,"yyyymm")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U78" s="8">
        <f>IFERROR(
GETPIVOTDATA(
"[Base].[Importe]",
TDinamica_R!$A$5,
"[Calendario].[AñoMes]",
"[Calendario].[AñoMes].&amp;[" &amp; TEXT(AU$6,"yyyymm")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V78" s="8">
        <f>IFERROR(
GETPIVOTDATA(
"[Base].[Importe]",
TDinamica_R!$A$5,
"[Calendario].[AñoMes]",
"[Calendario].[AñoMes].&amp;[" &amp; TEXT(AV$6,"yyyymm")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W78" s="8">
        <f>IFERROR(
GETPIVOTDATA(
"[Base].[Importe]",
TDinamica_R!$A$5,
"[Calendario].[AñoMes]",
"[Calendario].[AñoMes].&amp;[" &amp; TEXT(AW$6,"yyyymm")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X78" s="8">
        <f>IFERROR(
GETPIVOTDATA(
"[Base].[Importe]",
TDinamica_R!$A$5,
"[Calendario].[AñoMes]",
"[Calendario].[AñoMes].&amp;[" &amp; TEXT(AX$6,"yyyymm")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Y78" s="8">
        <f>IFERROR(
GETPIVOTDATA(
"[Base].[Importe]",
TDinamica_R!$A$5,
"[Calendario].[AñoMes]",
"[Calendario].[AñoMes].&amp;[" &amp; TEXT(AY$6,"yyyymm") &amp; "]",
"[Base].[Metrica]",
"[Base].[Metrica].&amp;[" &amp; $A78 &amp; "]",
"[Base].[SEGMENTO_DESCRIP]",
"[Base].[SEGMENTO_DESCRIP].&amp;[" &amp; $C$6 &amp; "]",
"[Base].[SITUACION]",
"[Base].[SITUACION].&amp;[" &amp; $C78 &amp; "]"
),0)/1000</f>
        <v>0</v>
      </c>
      <c r="AZ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"[BASE_HIPO_PPTO].[Periodo]","[BASE_HIPO_PPTO].[Periodo].&amp;["&amp;TEXT(AZ$6,"yyyymm")&amp;"]"),
0)/1000</f>
        <v>0</v>
      </c>
      <c r="BA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"[BASE_HIPO_PPTO].[Periodo]","[BASE_HIPO_PPTO].[Periodo].&amp;["&amp;TEXT(BA$6,"yyyymm")&amp;"]"),
0)/1000</f>
        <v>0</v>
      </c>
      <c r="BB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"[BASE_HIPO_PPTO].[Periodo]","[BASE_HIPO_PPTO].[Periodo].&amp;["&amp;TEXT(BB$6,"yyyymm")&amp;"]"),
0)/1000</f>
        <v>0</v>
      </c>
      <c r="BC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"[BASE_HIPO_PPTO].[Periodo]","[BASE_HIPO_PPTO].[Periodo].&amp;["&amp;TEXT(BC$6,"yyyymm")&amp;"]"),
0)/1000</f>
        <v>0</v>
      </c>
      <c r="BD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"[BASE_HIPO_PPTO].[Periodo]","[BASE_HIPO_PPTO].[Periodo].&amp;["&amp;TEXT(BD$6,"yyyymm")&amp;"]"),
0)/1000</f>
        <v>0</v>
      </c>
      <c r="BE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"[BASE_HIPO_PPTO].[Periodo]","[BASE_HIPO_PPTO].[Periodo].&amp;["&amp;TEXT(BE$6,"yyyymm")&amp;"]"),
0)/1000</f>
        <v>0</v>
      </c>
      <c r="BF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"[BASE_HIPO_PPTO].[Periodo]","[BASE_HIPO_PPTO].[Periodo].&amp;["&amp;TEXT(BF$6,"yyyymm")&amp;"]"),
0)/1000</f>
        <v>0</v>
      </c>
      <c r="BG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"[BASE_HIPO_PPTO].[Periodo]","[BASE_HIPO_PPTO].[Periodo].&amp;["&amp;TEXT(BG$6,"yyyymm")&amp;"]"),
0)/1000</f>
        <v>0</v>
      </c>
      <c r="BH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"[BASE_HIPO_PPTO].[Periodo]","[BASE_HIPO_PPTO].[Periodo].&amp;["&amp;TEXT(BH$6,"yyyymm")&amp;"]"),
0)/1000</f>
        <v>0</v>
      </c>
      <c r="BI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"[BASE_HIPO_PPTO].[Periodo]","[BASE_HIPO_PPTO].[Periodo].&amp;["&amp;TEXT(BI$6,"yyyymm")&amp;"]"),
0)/1000</f>
        <v>0</v>
      </c>
      <c r="BJ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"[BASE_HIPO_PPTO].[Periodo]","[BASE_HIPO_PPTO].[Periodo].&amp;["&amp;TEXT(BJ$6,"yyyymm")&amp;"]"),
0)/1000</f>
        <v>0</v>
      </c>
      <c r="BK78" s="8">
        <f>IFERROR(
GETPIVOTDATA(
"[BASE_HIPO_PPTO].[Importe]",
TDinamica_P!$A$5,
"[BASE_HIPO_PPTO].[Metrica]","[BASE_HIPO_PPTO].[Metrica].&amp;["&amp;$A78&amp;"]",
"[BASE_HIPO_PPTO].[SEGMENTO_DESCRIP]","[BASE_HIPO_PPTO].[SEGMENTO_DESCRIP].&amp;["&amp;$C$6&amp;"]",
"[BASE_HIPO_PPTO].[SITUACION]","[BASE_HIPO_PPTO].[SITUACION].&amp;["&amp;$C78&amp;"]",
"[BASE_HIPO_PPTO].[Periodo]","[BASE_HIPO_PPTO].[Periodo].&amp;["&amp;TEXT(BK$6,"yyyymm")&amp;"]"),
0)/1000</f>
        <v>0</v>
      </c>
      <c r="BO78" s="24">
        <f t="shared" si="64"/>
        <v>0</v>
      </c>
      <c r="BP78" s="24">
        <f t="shared" si="64"/>
        <v>0</v>
      </c>
      <c r="BQ78" s="24">
        <f t="shared" si="64"/>
        <v>0</v>
      </c>
      <c r="BR78" s="24">
        <f t="shared" si="64"/>
        <v>0</v>
      </c>
      <c r="BS78" s="24">
        <f t="shared" si="64"/>
        <v>0</v>
      </c>
      <c r="BT78" s="24">
        <f t="shared" si="64"/>
        <v>0</v>
      </c>
    </row>
    <row r="79" spans="1:72" hidden="1" outlineLevel="1" x14ac:dyDescent="0.25">
      <c r="A79" s="11" t="s">
        <v>71</v>
      </c>
      <c r="C79" s="2"/>
      <c r="D79" s="8">
        <f>IFERROR(
GETPIVOTDATA(
"[Base].[Importe]",
TDinamica_R!$A$5,
"[Calendario].[AñoMes]",
"[Calendario].[AñoMes].&amp;[" &amp; TEXT(D$6,"yyyymm")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E79" s="8">
        <f>IFERROR(
GETPIVOTDATA(
"[Base].[Importe]",
TDinamica_R!$A$5,
"[Calendario].[AñoMes]",
"[Calendario].[AñoMes].&amp;[" &amp; TEXT(E$6,"yyyymm")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F79" s="8">
        <f>IFERROR(
GETPIVOTDATA(
"[Base].[Importe]",
TDinamica_R!$A$5,
"[Calendario].[AñoMes]",
"[Calendario].[AñoMes].&amp;[" &amp; TEXT(F$6,"yyyymm")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G79" s="8">
        <f>IFERROR(
GETPIVOTDATA(
"[Base].[Importe]",
TDinamica_R!$A$5,
"[Calendario].[AñoMes]",
"[Calendario].[AñoMes].&amp;[" &amp; TEXT(G$6,"yyyymm")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H79" s="8">
        <f>IFERROR(
GETPIVOTDATA(
"[Base].[Importe]",
TDinamica_R!$A$5,
"[Calendario].[AñoMes]",
"[Calendario].[AñoMes].&amp;[" &amp; TEXT(H$6,"yyyymm")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I79" s="8">
        <f>IFERROR(
GETPIVOTDATA(
"[Base].[Importe]",
TDinamica_R!$A$5,
"[Calendario].[AñoMes]",
"[Calendario].[AñoMes].&amp;[" &amp; TEXT(I$6,"yyyymm")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J79" s="8">
        <f>IFERROR(
GETPIVOTDATA(
"[Base].[Importe]",
TDinamica_R!$A$5,
"[Calendario].[AñoMes]",
"[Calendario].[AñoMes].&amp;[" &amp; TEXT(J$6,"yyyymm")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K79" s="8">
        <f>IFERROR(
GETPIVOTDATA(
"[Base].[Importe]",
TDinamica_R!$A$5,
"[Calendario].[AñoMes]",
"[Calendario].[AñoMes].&amp;[" &amp; TEXT(K$6,"yyyymm")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L79" s="8">
        <f>IFERROR(
GETPIVOTDATA(
"[Base].[Importe]",
TDinamica_R!$A$5,
"[Calendario].[AñoMes]",
"[Calendario].[AñoMes].&amp;[" &amp; TEXT(L$6,"yyyymm")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M79" s="8">
        <f>IFERROR(
GETPIVOTDATA(
"[Base].[Importe]",
TDinamica_R!$A$5,
"[Calendario].[AñoMes]",
"[Calendario].[AñoMes].&amp;[" &amp; TEXT(M$6,"yyyymm")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N79" s="8">
        <f>IFERROR(
GETPIVOTDATA(
"[Base].[Importe]",
TDinamica_R!$A$5,
"[Calendario].[AñoMes]",
"[Calendario].[AñoMes].&amp;[" &amp; TEXT(N$6,"yyyymm")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O79" s="8">
        <f>IFERROR(
GETPIVOTDATA(
"[Base].[Importe]",
TDinamica_R!$A$5,
"[Calendario].[AñoMes]",
"[Calendario].[AñoMes].&amp;[" &amp; TEXT(O$6,"yyyymm")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P79" s="8">
        <f>IFERROR(
GETPIVOTDATA(
"[Base].[Importe]",
TDinamica_R!$A$5,
"[Calendario].[AñoMes]",
"[Calendario].[AñoMes].&amp;[" &amp; TEXT(P$6,"yyyymm")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Q79" s="8">
        <f>IFERROR(
GETPIVOTDATA(
"[Base].[Importe]",
TDinamica_R!$A$5,
"[Calendario].[AñoMes]",
"[Calendario].[AñoMes].&amp;[" &amp; TEXT(Q$6,"yyyymm")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R79" s="8">
        <f>IFERROR(
GETPIVOTDATA(
"[Base].[Importe]",
TDinamica_R!$A$5,
"[Calendario].[AñoMes]",
"[Calendario].[AñoMes].&amp;[" &amp; TEXT(R$6,"yyyymm")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S79" s="8">
        <f>IFERROR(
GETPIVOTDATA(
"[Base].[Importe]",
TDinamica_R!$A$5,
"[Calendario].[AñoMes]",
"[Calendario].[AñoMes].&amp;[" &amp; TEXT(S$6,"yyyymm")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T79" s="8">
        <f>IFERROR(
GETPIVOTDATA(
"[Base].[Importe]",
TDinamica_R!$A$5,
"[Calendario].[AñoMes]",
"[Calendario].[AñoMes].&amp;[" &amp; TEXT(T$6,"yyyymm")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U79" s="8">
        <f>IFERROR(
GETPIVOTDATA(
"[Base].[Importe]",
TDinamica_R!$A$5,
"[Calendario].[AñoMes]",
"[Calendario].[AñoMes].&amp;[" &amp; TEXT(U$6,"yyyymm")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V79" s="8">
        <f>IFERROR(
GETPIVOTDATA(
"[Base].[Importe]",
TDinamica_R!$A$5,
"[Calendario].[AñoMes]",
"[Calendario].[AñoMes].&amp;[" &amp; TEXT(V$6,"yyyymm")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W79" s="8">
        <f>IFERROR(
GETPIVOTDATA(
"[Base].[Importe]",
TDinamica_R!$A$5,
"[Calendario].[AñoMes]",
"[Calendario].[AñoMes].&amp;[" &amp; TEXT(W$6,"yyyymm")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X79" s="8">
        <f>IFERROR(
GETPIVOTDATA(
"[Base].[Importe]",
TDinamica_R!$A$5,
"[Calendario].[AñoMes]",
"[Calendario].[AñoMes].&amp;[" &amp; TEXT(X$6,"yyyymm")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Y79" s="8">
        <f>IFERROR(
GETPIVOTDATA(
"[Base].[Importe]",
TDinamica_R!$A$5,
"[Calendario].[AñoMes]",
"[Calendario].[AñoMes].&amp;[" &amp; TEXT(Y$6,"yyyymm")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Z79" s="8">
        <f>IFERROR(
GETPIVOTDATA(
"[Base].[Importe]",
TDinamica_R!$A$5,
"[Calendario].[AñoMes]",
"[Calendario].[AñoMes].&amp;[" &amp; TEXT(Z$6,"yyyymm")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A79" s="8">
        <f>IFERROR(
GETPIVOTDATA(
"[Base].[Importe]",
TDinamica_R!$A$5,
"[Calendario].[AñoMes]",
"[Calendario].[AñoMes].&amp;[" &amp; TEXT(AA$6,"yyyymm")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B79" s="8">
        <f>IFERROR(
GETPIVOTDATA(
"[Base].[Importe]",
TDinamica_R!$A$5,
"[Calendario].[AñoMes]",
"[Calendario].[AñoMes].&amp;[" &amp; TEXT(AB$6,"yyyymm")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C79" s="8">
        <f>IFERROR(
GETPIVOTDATA(
"[Base].[Importe]",
TDinamica_R!$A$5,
"[Calendario].[AñoMes]",
"[Calendario].[AñoMes].&amp;[" &amp; TEXT(AC$6,"yyyymm")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D79" s="8">
        <f>IFERROR(
GETPIVOTDATA(
"[Base].[Importe]",
TDinamica_R!$A$5,
"[Calendario].[AñoMes]",
"[Calendario].[AñoMes].&amp;[" &amp; TEXT(AD$6,"yyyymm")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E79" s="8">
        <f>IFERROR(
GETPIVOTDATA(
"[Base].[Importe]",
TDinamica_R!$A$5,
"[Calendario].[AñoMes]",
"[Calendario].[AñoMes].&amp;[" &amp; TEXT(AE$6,"yyyymm")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F79" s="8">
        <f>IFERROR(
GETPIVOTDATA(
"[Base].[Importe]",
TDinamica_R!$A$5,
"[Calendario].[AñoMes]",
"[Calendario].[AñoMes].&amp;[" &amp; TEXT(AF$6,"yyyymm")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G79" s="8">
        <f>IFERROR(
GETPIVOTDATA(
"[Base].[Importe]",
TDinamica_R!$A$5,
"[Calendario].[AñoMes]",
"[Calendario].[AñoMes].&amp;[" &amp; TEXT(AG$6,"yyyymm")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H79" s="8">
        <f>IFERROR(
GETPIVOTDATA(
"[Base].[Importe]",
TDinamica_R!$A$5,
"[Calendario].[AñoMes]",
"[Calendario].[AñoMes].&amp;[" &amp; TEXT(AH$6,"yyyymm")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I79" s="8">
        <f>IFERROR(
GETPIVOTDATA(
"[Base].[Importe]",
TDinamica_R!$A$5,
"[Calendario].[AñoMes]",
"[Calendario].[AñoMes].&amp;[" &amp; TEXT(AI$6,"yyyymm")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J79" s="8">
        <f>IFERROR(
GETPIVOTDATA(
"[Base].[Importe]",
TDinamica_R!$A$5,
"[Calendario].[AñoMes]",
"[Calendario].[AñoMes].&amp;[" &amp; TEXT(AJ$6,"yyyymm")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K79" s="8">
        <f>IFERROR(
GETPIVOTDATA(
"[Base].[Importe]",
TDinamica_R!$A$5,
"[Calendario].[AñoMes]",
"[Calendario].[AñoMes].&amp;[" &amp; TEXT(AK$6,"yyyymm")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L79" s="8">
        <f>IFERROR(
GETPIVOTDATA(
"[Base].[Importe]",
TDinamica_R!$A$5,
"[Calendario].[AñoMes]",
"[Calendario].[AñoMes].&amp;[" &amp; TEXT(AL$6,"yyyymm")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M79" s="8">
        <f>IFERROR(
GETPIVOTDATA(
"[Base].[Importe]",
TDinamica_R!$A$5,
"[Calendario].[AñoMes]",
"[Calendario].[AñoMes].&amp;[" &amp; TEXT(AM$6,"yyyymm")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N79" s="8">
        <f>IFERROR(
GETPIVOTDATA(
"[Base].[Importe]",
TDinamica_R!$A$5,
"[Calendario].[AñoMes]",
"[Calendario].[AñoMes].&amp;[" &amp; TEXT(AN$6,"yyyymm")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O79" s="8">
        <f>IFERROR(
GETPIVOTDATA(
"[Base].[Importe]",
TDinamica_R!$A$5,
"[Calendario].[AñoMes]",
"[Calendario].[AñoMes].&amp;[" &amp; TEXT(AO$6,"yyyymm")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P79" s="8">
        <f>IFERROR(
GETPIVOTDATA(
"[Base].[Importe]",
TDinamica_R!$A$5,
"[Calendario].[AñoMes]",
"[Calendario].[AñoMes].&amp;[" &amp; TEXT(AP$6,"yyyymm")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Q79" s="8">
        <f>IFERROR(
GETPIVOTDATA(
"[Base].[Importe]",
TDinamica_R!$A$5,
"[Calendario].[AñoMes]",
"[Calendario].[AñoMes].&amp;[" &amp; TEXT(AQ$6,"yyyymm")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R79" s="8">
        <f>IFERROR(
GETPIVOTDATA(
"[Base].[Importe]",
TDinamica_R!$A$5,
"[Calendario].[AñoMes]",
"[Calendario].[AñoMes].&amp;[" &amp; TEXT(AR$6,"yyyymm")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S79" s="8">
        <f>IFERROR(
GETPIVOTDATA(
"[Base].[Importe]",
TDinamica_R!$A$5,
"[Calendario].[AñoMes]",
"[Calendario].[AñoMes].&amp;[" &amp; TEXT(AS$6,"yyyymm")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T79" s="8">
        <f>IFERROR(
GETPIVOTDATA(
"[Base].[Importe]",
TDinamica_R!$A$5,
"[Calendario].[AñoMes]",
"[Calendario].[AñoMes].&amp;[" &amp; TEXT(AT$6,"yyyymm")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U79" s="8">
        <f>IFERROR(
GETPIVOTDATA(
"[Base].[Importe]",
TDinamica_R!$A$5,
"[Calendario].[AñoMes]",
"[Calendario].[AñoMes].&amp;[" &amp; TEXT(AU$6,"yyyymm")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V79" s="8">
        <f>IFERROR(
GETPIVOTDATA(
"[Base].[Importe]",
TDinamica_R!$A$5,
"[Calendario].[AñoMes]",
"[Calendario].[AñoMes].&amp;[" &amp; TEXT(AV$6,"yyyymm")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W79" s="8">
        <f>IFERROR(
GETPIVOTDATA(
"[Base].[Importe]",
TDinamica_R!$A$5,
"[Calendario].[AñoMes]",
"[Calendario].[AñoMes].&amp;[" &amp; TEXT(AW$6,"yyyymm")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X79" s="8">
        <f>IFERROR(
GETPIVOTDATA(
"[Base].[Importe]",
TDinamica_R!$A$5,
"[Calendario].[AñoMes]",
"[Calendario].[AñoMes].&amp;[" &amp; TEXT(AX$6,"yyyymm")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Y79" s="8">
        <f>IFERROR(
GETPIVOTDATA(
"[Base].[Importe]",
TDinamica_R!$A$5,
"[Calendario].[AñoMes]",
"[Calendario].[AñoMes].&amp;[" &amp; TEXT(AY$6,"yyyymm") &amp; "]",
"[Base].[Metrica]",
"[Base].[Metrica].&amp;[" &amp; $A79 &amp; "]",
"[Base].[SEGMENTO_DESCRIP]",
"[Base].[SEGMENTO_DESCRIP].&amp;[" &amp; $C$6 &amp; "]",
"[Base].[SITUACION]",
"[Base].[SITUACION].&amp;[" &amp; $C79 &amp; "]"
),0)/1000</f>
        <v>0</v>
      </c>
      <c r="AZ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"[BASE_HIPO_PPTO].[Periodo]","[BASE_HIPO_PPTO].[Periodo].&amp;["&amp;TEXT(AZ$6,"yyyymm")&amp;"]"),
0)/1000</f>
        <v>0</v>
      </c>
      <c r="BA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"[BASE_HIPO_PPTO].[Periodo]","[BASE_HIPO_PPTO].[Periodo].&amp;["&amp;TEXT(BA$6,"yyyymm")&amp;"]"),
0)/1000</f>
        <v>0</v>
      </c>
      <c r="BB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"[BASE_HIPO_PPTO].[Periodo]","[BASE_HIPO_PPTO].[Periodo].&amp;["&amp;TEXT(BB$6,"yyyymm")&amp;"]"),
0)/1000</f>
        <v>0</v>
      </c>
      <c r="BC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"[BASE_HIPO_PPTO].[Periodo]","[BASE_HIPO_PPTO].[Periodo].&amp;["&amp;TEXT(BC$6,"yyyymm")&amp;"]"),
0)/1000</f>
        <v>0</v>
      </c>
      <c r="BD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"[BASE_HIPO_PPTO].[Periodo]","[BASE_HIPO_PPTO].[Periodo].&amp;["&amp;TEXT(BD$6,"yyyymm")&amp;"]"),
0)/1000</f>
        <v>0</v>
      </c>
      <c r="BE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"[BASE_HIPO_PPTO].[Periodo]","[BASE_HIPO_PPTO].[Periodo].&amp;["&amp;TEXT(BE$6,"yyyymm")&amp;"]"),
0)/1000</f>
        <v>0</v>
      </c>
      <c r="BF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"[BASE_HIPO_PPTO].[Periodo]","[BASE_HIPO_PPTO].[Periodo].&amp;["&amp;TEXT(BF$6,"yyyymm")&amp;"]"),
0)/1000</f>
        <v>0</v>
      </c>
      <c r="BG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"[BASE_HIPO_PPTO].[Periodo]","[BASE_HIPO_PPTO].[Periodo].&amp;["&amp;TEXT(BG$6,"yyyymm")&amp;"]"),
0)/1000</f>
        <v>0</v>
      </c>
      <c r="BH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"[BASE_HIPO_PPTO].[Periodo]","[BASE_HIPO_PPTO].[Periodo].&amp;["&amp;TEXT(BH$6,"yyyymm")&amp;"]"),
0)/1000</f>
        <v>0</v>
      </c>
      <c r="BI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"[BASE_HIPO_PPTO].[Periodo]","[BASE_HIPO_PPTO].[Periodo].&amp;["&amp;TEXT(BI$6,"yyyymm")&amp;"]"),
0)/1000</f>
        <v>0</v>
      </c>
      <c r="BJ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"[BASE_HIPO_PPTO].[Periodo]","[BASE_HIPO_PPTO].[Periodo].&amp;["&amp;TEXT(BJ$6,"yyyymm")&amp;"]"),
0)/1000</f>
        <v>0</v>
      </c>
      <c r="BK79" s="8">
        <f>IFERROR(
GETPIVOTDATA(
"[BASE_HIPO_PPTO].[Importe]",
TDinamica_P!$A$5,
"[BASE_HIPO_PPTO].[Metrica]","[BASE_HIPO_PPTO].[Metrica].&amp;["&amp;$A79&amp;"]",
"[BASE_HIPO_PPTO].[SEGMENTO_DESCRIP]","[BASE_HIPO_PPTO].[SEGMENTO_DESCRIP].&amp;["&amp;$C$6&amp;"]",
"[BASE_HIPO_PPTO].[SITUACION]","[BASE_HIPO_PPTO].[SITUACION].&amp;["&amp;$C79&amp;"]",
"[BASE_HIPO_PPTO].[Periodo]","[BASE_HIPO_PPTO].[Periodo].&amp;["&amp;TEXT(BK$6,"yyyymm")&amp;"]"),
0)/1000</f>
        <v>0</v>
      </c>
      <c r="BO79" s="24">
        <f t="shared" si="64"/>
        <v>0</v>
      </c>
      <c r="BP79" s="24">
        <f t="shared" si="64"/>
        <v>0</v>
      </c>
      <c r="BQ79" s="24">
        <f t="shared" si="64"/>
        <v>0</v>
      </c>
      <c r="BR79" s="24">
        <f t="shared" si="64"/>
        <v>0</v>
      </c>
      <c r="BS79" s="24">
        <f t="shared" si="64"/>
        <v>0</v>
      </c>
      <c r="BT79" s="24">
        <f t="shared" si="64"/>
        <v>0</v>
      </c>
    </row>
    <row r="80" spans="1:72" hidden="1" outlineLevel="1" x14ac:dyDescent="0.25">
      <c r="A80" s="11" t="s">
        <v>71</v>
      </c>
      <c r="C80" s="2"/>
      <c r="D80" s="8">
        <f>IFERROR(
GETPIVOTDATA(
"[Base].[Importe]",
TDinamica_R!$A$5,
"[Calendario].[AñoMes]",
"[Calendario].[AñoMes].&amp;[" &amp; TEXT(D$6,"yyyymm")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E80" s="8">
        <f>IFERROR(
GETPIVOTDATA(
"[Base].[Importe]",
TDinamica_R!$A$5,
"[Calendario].[AñoMes]",
"[Calendario].[AñoMes].&amp;[" &amp; TEXT(E$6,"yyyymm")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F80" s="8">
        <f>IFERROR(
GETPIVOTDATA(
"[Base].[Importe]",
TDinamica_R!$A$5,
"[Calendario].[AñoMes]",
"[Calendario].[AñoMes].&amp;[" &amp; TEXT(F$6,"yyyymm")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G80" s="8">
        <f>IFERROR(
GETPIVOTDATA(
"[Base].[Importe]",
TDinamica_R!$A$5,
"[Calendario].[AñoMes]",
"[Calendario].[AñoMes].&amp;[" &amp; TEXT(G$6,"yyyymm")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H80" s="8">
        <f>IFERROR(
GETPIVOTDATA(
"[Base].[Importe]",
TDinamica_R!$A$5,
"[Calendario].[AñoMes]",
"[Calendario].[AñoMes].&amp;[" &amp; TEXT(H$6,"yyyymm")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I80" s="8">
        <f>IFERROR(
GETPIVOTDATA(
"[Base].[Importe]",
TDinamica_R!$A$5,
"[Calendario].[AñoMes]",
"[Calendario].[AñoMes].&amp;[" &amp; TEXT(I$6,"yyyymm")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J80" s="8">
        <f>IFERROR(
GETPIVOTDATA(
"[Base].[Importe]",
TDinamica_R!$A$5,
"[Calendario].[AñoMes]",
"[Calendario].[AñoMes].&amp;[" &amp; TEXT(J$6,"yyyymm")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K80" s="8">
        <f>IFERROR(
GETPIVOTDATA(
"[Base].[Importe]",
TDinamica_R!$A$5,
"[Calendario].[AñoMes]",
"[Calendario].[AñoMes].&amp;[" &amp; TEXT(K$6,"yyyymm")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L80" s="8">
        <f>IFERROR(
GETPIVOTDATA(
"[Base].[Importe]",
TDinamica_R!$A$5,
"[Calendario].[AñoMes]",
"[Calendario].[AñoMes].&amp;[" &amp; TEXT(L$6,"yyyymm")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M80" s="8">
        <f>IFERROR(
GETPIVOTDATA(
"[Base].[Importe]",
TDinamica_R!$A$5,
"[Calendario].[AñoMes]",
"[Calendario].[AñoMes].&amp;[" &amp; TEXT(M$6,"yyyymm")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N80" s="8">
        <f>IFERROR(
GETPIVOTDATA(
"[Base].[Importe]",
TDinamica_R!$A$5,
"[Calendario].[AñoMes]",
"[Calendario].[AñoMes].&amp;[" &amp; TEXT(N$6,"yyyymm")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O80" s="8">
        <f>IFERROR(
GETPIVOTDATA(
"[Base].[Importe]",
TDinamica_R!$A$5,
"[Calendario].[AñoMes]",
"[Calendario].[AñoMes].&amp;[" &amp; TEXT(O$6,"yyyymm")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P80" s="8">
        <f>IFERROR(
GETPIVOTDATA(
"[Base].[Importe]",
TDinamica_R!$A$5,
"[Calendario].[AñoMes]",
"[Calendario].[AñoMes].&amp;[" &amp; TEXT(P$6,"yyyymm")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Q80" s="8">
        <f>IFERROR(
GETPIVOTDATA(
"[Base].[Importe]",
TDinamica_R!$A$5,
"[Calendario].[AñoMes]",
"[Calendario].[AñoMes].&amp;[" &amp; TEXT(Q$6,"yyyymm")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R80" s="8">
        <f>IFERROR(
GETPIVOTDATA(
"[Base].[Importe]",
TDinamica_R!$A$5,
"[Calendario].[AñoMes]",
"[Calendario].[AñoMes].&amp;[" &amp; TEXT(R$6,"yyyymm")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S80" s="8">
        <f>IFERROR(
GETPIVOTDATA(
"[Base].[Importe]",
TDinamica_R!$A$5,
"[Calendario].[AñoMes]",
"[Calendario].[AñoMes].&amp;[" &amp; TEXT(S$6,"yyyymm")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T80" s="8">
        <f>IFERROR(
GETPIVOTDATA(
"[Base].[Importe]",
TDinamica_R!$A$5,
"[Calendario].[AñoMes]",
"[Calendario].[AñoMes].&amp;[" &amp; TEXT(T$6,"yyyymm")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U80" s="8">
        <f>IFERROR(
GETPIVOTDATA(
"[Base].[Importe]",
TDinamica_R!$A$5,
"[Calendario].[AñoMes]",
"[Calendario].[AñoMes].&amp;[" &amp; TEXT(U$6,"yyyymm")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V80" s="8">
        <f>IFERROR(
GETPIVOTDATA(
"[Base].[Importe]",
TDinamica_R!$A$5,
"[Calendario].[AñoMes]",
"[Calendario].[AñoMes].&amp;[" &amp; TEXT(V$6,"yyyymm")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W80" s="8">
        <f>IFERROR(
GETPIVOTDATA(
"[Base].[Importe]",
TDinamica_R!$A$5,
"[Calendario].[AñoMes]",
"[Calendario].[AñoMes].&amp;[" &amp; TEXT(W$6,"yyyymm")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X80" s="8">
        <f>IFERROR(
GETPIVOTDATA(
"[Base].[Importe]",
TDinamica_R!$A$5,
"[Calendario].[AñoMes]",
"[Calendario].[AñoMes].&amp;[" &amp; TEXT(X$6,"yyyymm")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Y80" s="8">
        <f>IFERROR(
GETPIVOTDATA(
"[Base].[Importe]",
TDinamica_R!$A$5,
"[Calendario].[AñoMes]",
"[Calendario].[AñoMes].&amp;[" &amp; TEXT(Y$6,"yyyymm")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Z80" s="8">
        <f>IFERROR(
GETPIVOTDATA(
"[Base].[Importe]",
TDinamica_R!$A$5,
"[Calendario].[AñoMes]",
"[Calendario].[AñoMes].&amp;[" &amp; TEXT(Z$6,"yyyymm")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A80" s="8">
        <f>IFERROR(
GETPIVOTDATA(
"[Base].[Importe]",
TDinamica_R!$A$5,
"[Calendario].[AñoMes]",
"[Calendario].[AñoMes].&amp;[" &amp; TEXT(AA$6,"yyyymm")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B80" s="8">
        <f>IFERROR(
GETPIVOTDATA(
"[Base].[Importe]",
TDinamica_R!$A$5,
"[Calendario].[AñoMes]",
"[Calendario].[AñoMes].&amp;[" &amp; TEXT(AB$6,"yyyymm")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C80" s="8">
        <f>IFERROR(
GETPIVOTDATA(
"[Base].[Importe]",
TDinamica_R!$A$5,
"[Calendario].[AñoMes]",
"[Calendario].[AñoMes].&amp;[" &amp; TEXT(AC$6,"yyyymm")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D80" s="8">
        <f>IFERROR(
GETPIVOTDATA(
"[Base].[Importe]",
TDinamica_R!$A$5,
"[Calendario].[AñoMes]",
"[Calendario].[AñoMes].&amp;[" &amp; TEXT(AD$6,"yyyymm")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E80" s="8">
        <f>IFERROR(
GETPIVOTDATA(
"[Base].[Importe]",
TDinamica_R!$A$5,
"[Calendario].[AñoMes]",
"[Calendario].[AñoMes].&amp;[" &amp; TEXT(AE$6,"yyyymm")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F80" s="8">
        <f>IFERROR(
GETPIVOTDATA(
"[Base].[Importe]",
TDinamica_R!$A$5,
"[Calendario].[AñoMes]",
"[Calendario].[AñoMes].&amp;[" &amp; TEXT(AF$6,"yyyymm")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G80" s="8">
        <f>IFERROR(
GETPIVOTDATA(
"[Base].[Importe]",
TDinamica_R!$A$5,
"[Calendario].[AñoMes]",
"[Calendario].[AñoMes].&amp;[" &amp; TEXT(AG$6,"yyyymm")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H80" s="8">
        <f>IFERROR(
GETPIVOTDATA(
"[Base].[Importe]",
TDinamica_R!$A$5,
"[Calendario].[AñoMes]",
"[Calendario].[AñoMes].&amp;[" &amp; TEXT(AH$6,"yyyymm")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I80" s="8">
        <f>IFERROR(
GETPIVOTDATA(
"[Base].[Importe]",
TDinamica_R!$A$5,
"[Calendario].[AñoMes]",
"[Calendario].[AñoMes].&amp;[" &amp; TEXT(AI$6,"yyyymm")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J80" s="8">
        <f>IFERROR(
GETPIVOTDATA(
"[Base].[Importe]",
TDinamica_R!$A$5,
"[Calendario].[AñoMes]",
"[Calendario].[AñoMes].&amp;[" &amp; TEXT(AJ$6,"yyyymm")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K80" s="8">
        <f>IFERROR(
GETPIVOTDATA(
"[Base].[Importe]",
TDinamica_R!$A$5,
"[Calendario].[AñoMes]",
"[Calendario].[AñoMes].&amp;[" &amp; TEXT(AK$6,"yyyymm")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L80" s="8">
        <f>IFERROR(
GETPIVOTDATA(
"[Base].[Importe]",
TDinamica_R!$A$5,
"[Calendario].[AñoMes]",
"[Calendario].[AñoMes].&amp;[" &amp; TEXT(AL$6,"yyyymm")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M80" s="8">
        <f>IFERROR(
GETPIVOTDATA(
"[Base].[Importe]",
TDinamica_R!$A$5,
"[Calendario].[AñoMes]",
"[Calendario].[AñoMes].&amp;[" &amp; TEXT(AM$6,"yyyymm")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N80" s="8">
        <f>IFERROR(
GETPIVOTDATA(
"[Base].[Importe]",
TDinamica_R!$A$5,
"[Calendario].[AñoMes]",
"[Calendario].[AñoMes].&amp;[" &amp; TEXT(AN$6,"yyyymm")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O80" s="8">
        <f>IFERROR(
GETPIVOTDATA(
"[Base].[Importe]",
TDinamica_R!$A$5,
"[Calendario].[AñoMes]",
"[Calendario].[AñoMes].&amp;[" &amp; TEXT(AO$6,"yyyymm")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P80" s="8">
        <f>IFERROR(
GETPIVOTDATA(
"[Base].[Importe]",
TDinamica_R!$A$5,
"[Calendario].[AñoMes]",
"[Calendario].[AñoMes].&amp;[" &amp; TEXT(AP$6,"yyyymm")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Q80" s="8">
        <f>IFERROR(
GETPIVOTDATA(
"[Base].[Importe]",
TDinamica_R!$A$5,
"[Calendario].[AñoMes]",
"[Calendario].[AñoMes].&amp;[" &amp; TEXT(AQ$6,"yyyymm")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R80" s="8">
        <f>IFERROR(
GETPIVOTDATA(
"[Base].[Importe]",
TDinamica_R!$A$5,
"[Calendario].[AñoMes]",
"[Calendario].[AñoMes].&amp;[" &amp; TEXT(AR$6,"yyyymm")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S80" s="8">
        <f>IFERROR(
GETPIVOTDATA(
"[Base].[Importe]",
TDinamica_R!$A$5,
"[Calendario].[AñoMes]",
"[Calendario].[AñoMes].&amp;[" &amp; TEXT(AS$6,"yyyymm")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T80" s="8">
        <f>IFERROR(
GETPIVOTDATA(
"[Base].[Importe]",
TDinamica_R!$A$5,
"[Calendario].[AñoMes]",
"[Calendario].[AñoMes].&amp;[" &amp; TEXT(AT$6,"yyyymm")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U80" s="8">
        <f>IFERROR(
GETPIVOTDATA(
"[Base].[Importe]",
TDinamica_R!$A$5,
"[Calendario].[AñoMes]",
"[Calendario].[AñoMes].&amp;[" &amp; TEXT(AU$6,"yyyymm")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V80" s="8">
        <f>IFERROR(
GETPIVOTDATA(
"[Base].[Importe]",
TDinamica_R!$A$5,
"[Calendario].[AñoMes]",
"[Calendario].[AñoMes].&amp;[" &amp; TEXT(AV$6,"yyyymm")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W80" s="8">
        <f>IFERROR(
GETPIVOTDATA(
"[Base].[Importe]",
TDinamica_R!$A$5,
"[Calendario].[AñoMes]",
"[Calendario].[AñoMes].&amp;[" &amp; TEXT(AW$6,"yyyymm")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X80" s="8">
        <f>IFERROR(
GETPIVOTDATA(
"[Base].[Importe]",
TDinamica_R!$A$5,
"[Calendario].[AñoMes]",
"[Calendario].[AñoMes].&amp;[" &amp; TEXT(AX$6,"yyyymm")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Y80" s="8">
        <f>IFERROR(
GETPIVOTDATA(
"[Base].[Importe]",
TDinamica_R!$A$5,
"[Calendario].[AñoMes]",
"[Calendario].[AñoMes].&amp;[" &amp; TEXT(AY$6,"yyyymm") &amp; "]",
"[Base].[Metrica]",
"[Base].[Metrica].&amp;[" &amp; $A80 &amp; "]",
"[Base].[SEGMENTO_DESCRIP]",
"[Base].[SEGMENTO_DESCRIP].&amp;[" &amp; $C$6 &amp; "]",
"[Base].[SITUACION]",
"[Base].[SITUACION].&amp;[" &amp; $C80 &amp; "]"
),0)/1000</f>
        <v>0</v>
      </c>
      <c r="AZ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"[BASE_HIPO_PPTO].[Periodo]","[BASE_HIPO_PPTO].[Periodo].&amp;["&amp;TEXT(AZ$6,"yyyymm")&amp;"]"),
0)/1000</f>
        <v>0</v>
      </c>
      <c r="BA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"[BASE_HIPO_PPTO].[Periodo]","[BASE_HIPO_PPTO].[Periodo].&amp;["&amp;TEXT(BA$6,"yyyymm")&amp;"]"),
0)/1000</f>
        <v>0</v>
      </c>
      <c r="BB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"[BASE_HIPO_PPTO].[Periodo]","[BASE_HIPO_PPTO].[Periodo].&amp;["&amp;TEXT(BB$6,"yyyymm")&amp;"]"),
0)/1000</f>
        <v>0</v>
      </c>
      <c r="BC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"[BASE_HIPO_PPTO].[Periodo]","[BASE_HIPO_PPTO].[Periodo].&amp;["&amp;TEXT(BC$6,"yyyymm")&amp;"]"),
0)/1000</f>
        <v>0</v>
      </c>
      <c r="BD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"[BASE_HIPO_PPTO].[Periodo]","[BASE_HIPO_PPTO].[Periodo].&amp;["&amp;TEXT(BD$6,"yyyymm")&amp;"]"),
0)/1000</f>
        <v>0</v>
      </c>
      <c r="BE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"[BASE_HIPO_PPTO].[Periodo]","[BASE_HIPO_PPTO].[Periodo].&amp;["&amp;TEXT(BE$6,"yyyymm")&amp;"]"),
0)/1000</f>
        <v>0</v>
      </c>
      <c r="BF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"[BASE_HIPO_PPTO].[Periodo]","[BASE_HIPO_PPTO].[Periodo].&amp;["&amp;TEXT(BF$6,"yyyymm")&amp;"]"),
0)/1000</f>
        <v>0</v>
      </c>
      <c r="BG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"[BASE_HIPO_PPTO].[Periodo]","[BASE_HIPO_PPTO].[Periodo].&amp;["&amp;TEXT(BG$6,"yyyymm")&amp;"]"),
0)/1000</f>
        <v>0</v>
      </c>
      <c r="BH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"[BASE_HIPO_PPTO].[Periodo]","[BASE_HIPO_PPTO].[Periodo].&amp;["&amp;TEXT(BH$6,"yyyymm")&amp;"]"),
0)/1000</f>
        <v>0</v>
      </c>
      <c r="BI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"[BASE_HIPO_PPTO].[Periodo]","[BASE_HIPO_PPTO].[Periodo].&amp;["&amp;TEXT(BI$6,"yyyymm")&amp;"]"),
0)/1000</f>
        <v>0</v>
      </c>
      <c r="BJ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"[BASE_HIPO_PPTO].[Periodo]","[BASE_HIPO_PPTO].[Periodo].&amp;["&amp;TEXT(BJ$6,"yyyymm")&amp;"]"),
0)/1000</f>
        <v>0</v>
      </c>
      <c r="BK80" s="8">
        <f>IFERROR(
GETPIVOTDATA(
"[BASE_HIPO_PPTO].[Importe]",
TDinamica_P!$A$5,
"[BASE_HIPO_PPTO].[Metrica]","[BASE_HIPO_PPTO].[Metrica].&amp;["&amp;$A80&amp;"]",
"[BASE_HIPO_PPTO].[SEGMENTO_DESCRIP]","[BASE_HIPO_PPTO].[SEGMENTO_DESCRIP].&amp;["&amp;$C$6&amp;"]",
"[BASE_HIPO_PPTO].[SITUACION]","[BASE_HIPO_PPTO].[SITUACION].&amp;["&amp;$C80&amp;"]",
"[BASE_HIPO_PPTO].[Periodo]","[BASE_HIPO_PPTO].[Periodo].&amp;["&amp;TEXT(BK$6,"yyyymm")&amp;"]"),
0)/1000</f>
        <v>0</v>
      </c>
      <c r="BO80" s="24">
        <f t="shared" si="64"/>
        <v>0</v>
      </c>
      <c r="BP80" s="24">
        <f t="shared" si="64"/>
        <v>0</v>
      </c>
      <c r="BQ80" s="24">
        <f t="shared" si="64"/>
        <v>0</v>
      </c>
      <c r="BR80" s="24">
        <f t="shared" si="64"/>
        <v>0</v>
      </c>
      <c r="BS80" s="24">
        <f t="shared" si="64"/>
        <v>0</v>
      </c>
      <c r="BT80" s="24">
        <f t="shared" si="64"/>
        <v>0</v>
      </c>
    </row>
    <row r="81" spans="1:72" hidden="1" outlineLevel="1" x14ac:dyDescent="0.25">
      <c r="A81" s="11" t="s">
        <v>71</v>
      </c>
      <c r="C81" s="2"/>
      <c r="D81" s="8">
        <f>IFERROR(
GETPIVOTDATA(
"[Base].[Importe]",
TDinamica_R!$A$5,
"[Calendario].[AñoMes]",
"[Calendario].[AñoMes].&amp;[" &amp; TEXT(D$6,"yyyymm")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E81" s="8">
        <f>IFERROR(
GETPIVOTDATA(
"[Base].[Importe]",
TDinamica_R!$A$5,
"[Calendario].[AñoMes]",
"[Calendario].[AñoMes].&amp;[" &amp; TEXT(E$6,"yyyymm")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F81" s="8">
        <f>IFERROR(
GETPIVOTDATA(
"[Base].[Importe]",
TDinamica_R!$A$5,
"[Calendario].[AñoMes]",
"[Calendario].[AñoMes].&amp;[" &amp; TEXT(F$6,"yyyymm")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G81" s="8">
        <f>IFERROR(
GETPIVOTDATA(
"[Base].[Importe]",
TDinamica_R!$A$5,
"[Calendario].[AñoMes]",
"[Calendario].[AñoMes].&amp;[" &amp; TEXT(G$6,"yyyymm")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H81" s="8">
        <f>IFERROR(
GETPIVOTDATA(
"[Base].[Importe]",
TDinamica_R!$A$5,
"[Calendario].[AñoMes]",
"[Calendario].[AñoMes].&amp;[" &amp; TEXT(H$6,"yyyymm")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I81" s="8">
        <f>IFERROR(
GETPIVOTDATA(
"[Base].[Importe]",
TDinamica_R!$A$5,
"[Calendario].[AñoMes]",
"[Calendario].[AñoMes].&amp;[" &amp; TEXT(I$6,"yyyymm")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J81" s="8">
        <f>IFERROR(
GETPIVOTDATA(
"[Base].[Importe]",
TDinamica_R!$A$5,
"[Calendario].[AñoMes]",
"[Calendario].[AñoMes].&amp;[" &amp; TEXT(J$6,"yyyymm")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K81" s="8">
        <f>IFERROR(
GETPIVOTDATA(
"[Base].[Importe]",
TDinamica_R!$A$5,
"[Calendario].[AñoMes]",
"[Calendario].[AñoMes].&amp;[" &amp; TEXT(K$6,"yyyymm")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L81" s="8">
        <f>IFERROR(
GETPIVOTDATA(
"[Base].[Importe]",
TDinamica_R!$A$5,
"[Calendario].[AñoMes]",
"[Calendario].[AñoMes].&amp;[" &amp; TEXT(L$6,"yyyymm")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M81" s="8">
        <f>IFERROR(
GETPIVOTDATA(
"[Base].[Importe]",
TDinamica_R!$A$5,
"[Calendario].[AñoMes]",
"[Calendario].[AñoMes].&amp;[" &amp; TEXT(M$6,"yyyymm")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N81" s="8">
        <f>IFERROR(
GETPIVOTDATA(
"[Base].[Importe]",
TDinamica_R!$A$5,
"[Calendario].[AñoMes]",
"[Calendario].[AñoMes].&amp;[" &amp; TEXT(N$6,"yyyymm")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O81" s="8">
        <f>IFERROR(
GETPIVOTDATA(
"[Base].[Importe]",
TDinamica_R!$A$5,
"[Calendario].[AñoMes]",
"[Calendario].[AñoMes].&amp;[" &amp; TEXT(O$6,"yyyymm")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P81" s="8">
        <f>IFERROR(
GETPIVOTDATA(
"[Base].[Importe]",
TDinamica_R!$A$5,
"[Calendario].[AñoMes]",
"[Calendario].[AñoMes].&amp;[" &amp; TEXT(P$6,"yyyymm")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Q81" s="8">
        <f>IFERROR(
GETPIVOTDATA(
"[Base].[Importe]",
TDinamica_R!$A$5,
"[Calendario].[AñoMes]",
"[Calendario].[AñoMes].&amp;[" &amp; TEXT(Q$6,"yyyymm")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R81" s="8">
        <f>IFERROR(
GETPIVOTDATA(
"[Base].[Importe]",
TDinamica_R!$A$5,
"[Calendario].[AñoMes]",
"[Calendario].[AñoMes].&amp;[" &amp; TEXT(R$6,"yyyymm")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S81" s="8">
        <f>IFERROR(
GETPIVOTDATA(
"[Base].[Importe]",
TDinamica_R!$A$5,
"[Calendario].[AñoMes]",
"[Calendario].[AñoMes].&amp;[" &amp; TEXT(S$6,"yyyymm")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T81" s="8">
        <f>IFERROR(
GETPIVOTDATA(
"[Base].[Importe]",
TDinamica_R!$A$5,
"[Calendario].[AñoMes]",
"[Calendario].[AñoMes].&amp;[" &amp; TEXT(T$6,"yyyymm")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U81" s="8">
        <f>IFERROR(
GETPIVOTDATA(
"[Base].[Importe]",
TDinamica_R!$A$5,
"[Calendario].[AñoMes]",
"[Calendario].[AñoMes].&amp;[" &amp; TEXT(U$6,"yyyymm")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V81" s="8">
        <f>IFERROR(
GETPIVOTDATA(
"[Base].[Importe]",
TDinamica_R!$A$5,
"[Calendario].[AñoMes]",
"[Calendario].[AñoMes].&amp;[" &amp; TEXT(V$6,"yyyymm")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W81" s="8">
        <f>IFERROR(
GETPIVOTDATA(
"[Base].[Importe]",
TDinamica_R!$A$5,
"[Calendario].[AñoMes]",
"[Calendario].[AñoMes].&amp;[" &amp; TEXT(W$6,"yyyymm")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X81" s="8">
        <f>IFERROR(
GETPIVOTDATA(
"[Base].[Importe]",
TDinamica_R!$A$5,
"[Calendario].[AñoMes]",
"[Calendario].[AñoMes].&amp;[" &amp; TEXT(X$6,"yyyymm")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Y81" s="8">
        <f>IFERROR(
GETPIVOTDATA(
"[Base].[Importe]",
TDinamica_R!$A$5,
"[Calendario].[AñoMes]",
"[Calendario].[AñoMes].&amp;[" &amp; TEXT(Y$6,"yyyymm")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Z81" s="8">
        <f>IFERROR(
GETPIVOTDATA(
"[Base].[Importe]",
TDinamica_R!$A$5,
"[Calendario].[AñoMes]",
"[Calendario].[AñoMes].&amp;[" &amp; TEXT(Z$6,"yyyymm")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A81" s="8">
        <f>IFERROR(
GETPIVOTDATA(
"[Base].[Importe]",
TDinamica_R!$A$5,
"[Calendario].[AñoMes]",
"[Calendario].[AñoMes].&amp;[" &amp; TEXT(AA$6,"yyyymm")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B81" s="8">
        <f>IFERROR(
GETPIVOTDATA(
"[Base].[Importe]",
TDinamica_R!$A$5,
"[Calendario].[AñoMes]",
"[Calendario].[AñoMes].&amp;[" &amp; TEXT(AB$6,"yyyymm")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C81" s="8">
        <f>IFERROR(
GETPIVOTDATA(
"[Base].[Importe]",
TDinamica_R!$A$5,
"[Calendario].[AñoMes]",
"[Calendario].[AñoMes].&amp;[" &amp; TEXT(AC$6,"yyyymm")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D81" s="8">
        <f>IFERROR(
GETPIVOTDATA(
"[Base].[Importe]",
TDinamica_R!$A$5,
"[Calendario].[AñoMes]",
"[Calendario].[AñoMes].&amp;[" &amp; TEXT(AD$6,"yyyymm")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E81" s="8">
        <f>IFERROR(
GETPIVOTDATA(
"[Base].[Importe]",
TDinamica_R!$A$5,
"[Calendario].[AñoMes]",
"[Calendario].[AñoMes].&amp;[" &amp; TEXT(AE$6,"yyyymm")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F81" s="8">
        <f>IFERROR(
GETPIVOTDATA(
"[Base].[Importe]",
TDinamica_R!$A$5,
"[Calendario].[AñoMes]",
"[Calendario].[AñoMes].&amp;[" &amp; TEXT(AF$6,"yyyymm")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G81" s="8">
        <f>IFERROR(
GETPIVOTDATA(
"[Base].[Importe]",
TDinamica_R!$A$5,
"[Calendario].[AñoMes]",
"[Calendario].[AñoMes].&amp;[" &amp; TEXT(AG$6,"yyyymm")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H81" s="8">
        <f>IFERROR(
GETPIVOTDATA(
"[Base].[Importe]",
TDinamica_R!$A$5,
"[Calendario].[AñoMes]",
"[Calendario].[AñoMes].&amp;[" &amp; TEXT(AH$6,"yyyymm")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I81" s="8">
        <f>IFERROR(
GETPIVOTDATA(
"[Base].[Importe]",
TDinamica_R!$A$5,
"[Calendario].[AñoMes]",
"[Calendario].[AñoMes].&amp;[" &amp; TEXT(AI$6,"yyyymm")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J81" s="8">
        <f>IFERROR(
GETPIVOTDATA(
"[Base].[Importe]",
TDinamica_R!$A$5,
"[Calendario].[AñoMes]",
"[Calendario].[AñoMes].&amp;[" &amp; TEXT(AJ$6,"yyyymm")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K81" s="8">
        <f>IFERROR(
GETPIVOTDATA(
"[Base].[Importe]",
TDinamica_R!$A$5,
"[Calendario].[AñoMes]",
"[Calendario].[AñoMes].&amp;[" &amp; TEXT(AK$6,"yyyymm")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L81" s="8">
        <f>IFERROR(
GETPIVOTDATA(
"[Base].[Importe]",
TDinamica_R!$A$5,
"[Calendario].[AñoMes]",
"[Calendario].[AñoMes].&amp;[" &amp; TEXT(AL$6,"yyyymm")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M81" s="8">
        <f>IFERROR(
GETPIVOTDATA(
"[Base].[Importe]",
TDinamica_R!$A$5,
"[Calendario].[AñoMes]",
"[Calendario].[AñoMes].&amp;[" &amp; TEXT(AM$6,"yyyymm")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N81" s="8">
        <f>IFERROR(
GETPIVOTDATA(
"[Base].[Importe]",
TDinamica_R!$A$5,
"[Calendario].[AñoMes]",
"[Calendario].[AñoMes].&amp;[" &amp; TEXT(AN$6,"yyyymm")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O81" s="8">
        <f>IFERROR(
GETPIVOTDATA(
"[Base].[Importe]",
TDinamica_R!$A$5,
"[Calendario].[AñoMes]",
"[Calendario].[AñoMes].&amp;[" &amp; TEXT(AO$6,"yyyymm")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P81" s="8">
        <f>IFERROR(
GETPIVOTDATA(
"[Base].[Importe]",
TDinamica_R!$A$5,
"[Calendario].[AñoMes]",
"[Calendario].[AñoMes].&amp;[" &amp; TEXT(AP$6,"yyyymm")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Q81" s="8">
        <f>IFERROR(
GETPIVOTDATA(
"[Base].[Importe]",
TDinamica_R!$A$5,
"[Calendario].[AñoMes]",
"[Calendario].[AñoMes].&amp;[" &amp; TEXT(AQ$6,"yyyymm")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R81" s="8">
        <f>IFERROR(
GETPIVOTDATA(
"[Base].[Importe]",
TDinamica_R!$A$5,
"[Calendario].[AñoMes]",
"[Calendario].[AñoMes].&amp;[" &amp; TEXT(AR$6,"yyyymm")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S81" s="8">
        <f>IFERROR(
GETPIVOTDATA(
"[Base].[Importe]",
TDinamica_R!$A$5,
"[Calendario].[AñoMes]",
"[Calendario].[AñoMes].&amp;[" &amp; TEXT(AS$6,"yyyymm")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T81" s="8">
        <f>IFERROR(
GETPIVOTDATA(
"[Base].[Importe]",
TDinamica_R!$A$5,
"[Calendario].[AñoMes]",
"[Calendario].[AñoMes].&amp;[" &amp; TEXT(AT$6,"yyyymm")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U81" s="8">
        <f>IFERROR(
GETPIVOTDATA(
"[Base].[Importe]",
TDinamica_R!$A$5,
"[Calendario].[AñoMes]",
"[Calendario].[AñoMes].&amp;[" &amp; TEXT(AU$6,"yyyymm")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V81" s="8">
        <f>IFERROR(
GETPIVOTDATA(
"[Base].[Importe]",
TDinamica_R!$A$5,
"[Calendario].[AñoMes]",
"[Calendario].[AñoMes].&amp;[" &amp; TEXT(AV$6,"yyyymm")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W81" s="8">
        <f>IFERROR(
GETPIVOTDATA(
"[Base].[Importe]",
TDinamica_R!$A$5,
"[Calendario].[AñoMes]",
"[Calendario].[AñoMes].&amp;[" &amp; TEXT(AW$6,"yyyymm")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X81" s="8">
        <f>IFERROR(
GETPIVOTDATA(
"[Base].[Importe]",
TDinamica_R!$A$5,
"[Calendario].[AñoMes]",
"[Calendario].[AñoMes].&amp;[" &amp; TEXT(AX$6,"yyyymm")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Y81" s="8">
        <f>IFERROR(
GETPIVOTDATA(
"[Base].[Importe]",
TDinamica_R!$A$5,
"[Calendario].[AñoMes]",
"[Calendario].[AñoMes].&amp;[" &amp; TEXT(AY$6,"yyyymm") &amp; "]",
"[Base].[Metrica]",
"[Base].[Metrica].&amp;[" &amp; $A81 &amp; "]",
"[Base].[SEGMENTO_DESCRIP]",
"[Base].[SEGMENTO_DESCRIP].&amp;[" &amp; $C$6 &amp; "]",
"[Base].[SITUACION]",
"[Base].[SITUACION].&amp;[" &amp; $C81 &amp; "]"
),0)/1000</f>
        <v>0</v>
      </c>
      <c r="AZ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"[BASE_HIPO_PPTO].[Periodo]","[BASE_HIPO_PPTO].[Periodo].&amp;["&amp;TEXT(AZ$6,"yyyymm")&amp;"]"),
0)/1000</f>
        <v>0</v>
      </c>
      <c r="BA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"[BASE_HIPO_PPTO].[Periodo]","[BASE_HIPO_PPTO].[Periodo].&amp;["&amp;TEXT(BA$6,"yyyymm")&amp;"]"),
0)/1000</f>
        <v>0</v>
      </c>
      <c r="BB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"[BASE_HIPO_PPTO].[Periodo]","[BASE_HIPO_PPTO].[Periodo].&amp;["&amp;TEXT(BB$6,"yyyymm")&amp;"]"),
0)/1000</f>
        <v>0</v>
      </c>
      <c r="BC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"[BASE_HIPO_PPTO].[Periodo]","[BASE_HIPO_PPTO].[Periodo].&amp;["&amp;TEXT(BC$6,"yyyymm")&amp;"]"),
0)/1000</f>
        <v>0</v>
      </c>
      <c r="BD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"[BASE_HIPO_PPTO].[Periodo]","[BASE_HIPO_PPTO].[Periodo].&amp;["&amp;TEXT(BD$6,"yyyymm")&amp;"]"),
0)/1000</f>
        <v>0</v>
      </c>
      <c r="BE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"[BASE_HIPO_PPTO].[Periodo]","[BASE_HIPO_PPTO].[Periodo].&amp;["&amp;TEXT(BE$6,"yyyymm")&amp;"]"),
0)/1000</f>
        <v>0</v>
      </c>
      <c r="BF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"[BASE_HIPO_PPTO].[Periodo]","[BASE_HIPO_PPTO].[Periodo].&amp;["&amp;TEXT(BF$6,"yyyymm")&amp;"]"),
0)/1000</f>
        <v>0</v>
      </c>
      <c r="BG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"[BASE_HIPO_PPTO].[Periodo]","[BASE_HIPO_PPTO].[Periodo].&amp;["&amp;TEXT(BG$6,"yyyymm")&amp;"]"),
0)/1000</f>
        <v>0</v>
      </c>
      <c r="BH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"[BASE_HIPO_PPTO].[Periodo]","[BASE_HIPO_PPTO].[Periodo].&amp;["&amp;TEXT(BH$6,"yyyymm")&amp;"]"),
0)/1000</f>
        <v>0</v>
      </c>
      <c r="BI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"[BASE_HIPO_PPTO].[Periodo]","[BASE_HIPO_PPTO].[Periodo].&amp;["&amp;TEXT(BI$6,"yyyymm")&amp;"]"),
0)/1000</f>
        <v>0</v>
      </c>
      <c r="BJ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"[BASE_HIPO_PPTO].[Periodo]","[BASE_HIPO_PPTO].[Periodo].&amp;["&amp;TEXT(BJ$6,"yyyymm")&amp;"]"),
0)/1000</f>
        <v>0</v>
      </c>
      <c r="BK81" s="8">
        <f>IFERROR(
GETPIVOTDATA(
"[BASE_HIPO_PPTO].[Importe]",
TDinamica_P!$A$5,
"[BASE_HIPO_PPTO].[Metrica]","[BASE_HIPO_PPTO].[Metrica].&amp;["&amp;$A81&amp;"]",
"[BASE_HIPO_PPTO].[SEGMENTO_DESCRIP]","[BASE_HIPO_PPTO].[SEGMENTO_DESCRIP].&amp;["&amp;$C$6&amp;"]",
"[BASE_HIPO_PPTO].[SITUACION]","[BASE_HIPO_PPTO].[SITUACION].&amp;["&amp;$C81&amp;"]",
"[BASE_HIPO_PPTO].[Periodo]","[BASE_HIPO_PPTO].[Periodo].&amp;["&amp;TEXT(BK$6,"yyyymm")&amp;"]"),
0)/1000</f>
        <v>0</v>
      </c>
      <c r="BO81" s="24">
        <f t="shared" si="64"/>
        <v>0</v>
      </c>
      <c r="BP81" s="24">
        <f t="shared" si="64"/>
        <v>0</v>
      </c>
      <c r="BQ81" s="24">
        <f t="shared" si="64"/>
        <v>0</v>
      </c>
      <c r="BR81" s="24">
        <f t="shared" si="64"/>
        <v>0</v>
      </c>
      <c r="BS81" s="24">
        <f t="shared" si="64"/>
        <v>0</v>
      </c>
      <c r="BT81" s="24">
        <f t="shared" si="64"/>
        <v>0</v>
      </c>
    </row>
    <row r="82" spans="1:72" hidden="1" outlineLevel="1" x14ac:dyDescent="0.25">
      <c r="A82" s="11" t="s">
        <v>71</v>
      </c>
      <c r="C82" s="2"/>
      <c r="D82" s="8">
        <f>IFERROR(
GETPIVOTDATA(
"[Base].[Importe]",
TDinamica_R!$A$5,
"[Calendario].[AñoMes]",
"[Calendario].[AñoMes].&amp;[" &amp; TEXT(D$6,"yyyymm")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E82" s="8">
        <f>IFERROR(
GETPIVOTDATA(
"[Base].[Importe]",
TDinamica_R!$A$5,
"[Calendario].[AñoMes]",
"[Calendario].[AñoMes].&amp;[" &amp; TEXT(E$6,"yyyymm")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F82" s="8">
        <f>IFERROR(
GETPIVOTDATA(
"[Base].[Importe]",
TDinamica_R!$A$5,
"[Calendario].[AñoMes]",
"[Calendario].[AñoMes].&amp;[" &amp; TEXT(F$6,"yyyymm")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G82" s="8">
        <f>IFERROR(
GETPIVOTDATA(
"[Base].[Importe]",
TDinamica_R!$A$5,
"[Calendario].[AñoMes]",
"[Calendario].[AñoMes].&amp;[" &amp; TEXT(G$6,"yyyymm")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H82" s="8">
        <f>IFERROR(
GETPIVOTDATA(
"[Base].[Importe]",
TDinamica_R!$A$5,
"[Calendario].[AñoMes]",
"[Calendario].[AñoMes].&amp;[" &amp; TEXT(H$6,"yyyymm")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I82" s="8">
        <f>IFERROR(
GETPIVOTDATA(
"[Base].[Importe]",
TDinamica_R!$A$5,
"[Calendario].[AñoMes]",
"[Calendario].[AñoMes].&amp;[" &amp; TEXT(I$6,"yyyymm")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J82" s="8">
        <f>IFERROR(
GETPIVOTDATA(
"[Base].[Importe]",
TDinamica_R!$A$5,
"[Calendario].[AñoMes]",
"[Calendario].[AñoMes].&amp;[" &amp; TEXT(J$6,"yyyymm")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K82" s="8">
        <f>IFERROR(
GETPIVOTDATA(
"[Base].[Importe]",
TDinamica_R!$A$5,
"[Calendario].[AñoMes]",
"[Calendario].[AñoMes].&amp;[" &amp; TEXT(K$6,"yyyymm")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L82" s="8">
        <f>IFERROR(
GETPIVOTDATA(
"[Base].[Importe]",
TDinamica_R!$A$5,
"[Calendario].[AñoMes]",
"[Calendario].[AñoMes].&amp;[" &amp; TEXT(L$6,"yyyymm")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M82" s="8">
        <f>IFERROR(
GETPIVOTDATA(
"[Base].[Importe]",
TDinamica_R!$A$5,
"[Calendario].[AñoMes]",
"[Calendario].[AñoMes].&amp;[" &amp; TEXT(M$6,"yyyymm")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N82" s="8">
        <f>IFERROR(
GETPIVOTDATA(
"[Base].[Importe]",
TDinamica_R!$A$5,
"[Calendario].[AñoMes]",
"[Calendario].[AñoMes].&amp;[" &amp; TEXT(N$6,"yyyymm")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O82" s="8">
        <f>IFERROR(
GETPIVOTDATA(
"[Base].[Importe]",
TDinamica_R!$A$5,
"[Calendario].[AñoMes]",
"[Calendario].[AñoMes].&amp;[" &amp; TEXT(O$6,"yyyymm")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P82" s="8">
        <f>IFERROR(
GETPIVOTDATA(
"[Base].[Importe]",
TDinamica_R!$A$5,
"[Calendario].[AñoMes]",
"[Calendario].[AñoMes].&amp;[" &amp; TEXT(P$6,"yyyymm")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Q82" s="8">
        <f>IFERROR(
GETPIVOTDATA(
"[Base].[Importe]",
TDinamica_R!$A$5,
"[Calendario].[AñoMes]",
"[Calendario].[AñoMes].&amp;[" &amp; TEXT(Q$6,"yyyymm")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R82" s="8">
        <f>IFERROR(
GETPIVOTDATA(
"[Base].[Importe]",
TDinamica_R!$A$5,
"[Calendario].[AñoMes]",
"[Calendario].[AñoMes].&amp;[" &amp; TEXT(R$6,"yyyymm")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S82" s="8">
        <f>IFERROR(
GETPIVOTDATA(
"[Base].[Importe]",
TDinamica_R!$A$5,
"[Calendario].[AñoMes]",
"[Calendario].[AñoMes].&amp;[" &amp; TEXT(S$6,"yyyymm")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T82" s="8">
        <f>IFERROR(
GETPIVOTDATA(
"[Base].[Importe]",
TDinamica_R!$A$5,
"[Calendario].[AñoMes]",
"[Calendario].[AñoMes].&amp;[" &amp; TEXT(T$6,"yyyymm")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U82" s="8">
        <f>IFERROR(
GETPIVOTDATA(
"[Base].[Importe]",
TDinamica_R!$A$5,
"[Calendario].[AñoMes]",
"[Calendario].[AñoMes].&amp;[" &amp; TEXT(U$6,"yyyymm")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V82" s="8">
        <f>IFERROR(
GETPIVOTDATA(
"[Base].[Importe]",
TDinamica_R!$A$5,
"[Calendario].[AñoMes]",
"[Calendario].[AñoMes].&amp;[" &amp; TEXT(V$6,"yyyymm")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W82" s="8">
        <f>IFERROR(
GETPIVOTDATA(
"[Base].[Importe]",
TDinamica_R!$A$5,
"[Calendario].[AñoMes]",
"[Calendario].[AñoMes].&amp;[" &amp; TEXT(W$6,"yyyymm")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X82" s="8">
        <f>IFERROR(
GETPIVOTDATA(
"[Base].[Importe]",
TDinamica_R!$A$5,
"[Calendario].[AñoMes]",
"[Calendario].[AñoMes].&amp;[" &amp; TEXT(X$6,"yyyymm")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Y82" s="8">
        <f>IFERROR(
GETPIVOTDATA(
"[Base].[Importe]",
TDinamica_R!$A$5,
"[Calendario].[AñoMes]",
"[Calendario].[AñoMes].&amp;[" &amp; TEXT(Y$6,"yyyymm")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Z82" s="8">
        <f>IFERROR(
GETPIVOTDATA(
"[Base].[Importe]",
TDinamica_R!$A$5,
"[Calendario].[AñoMes]",
"[Calendario].[AñoMes].&amp;[" &amp; TEXT(Z$6,"yyyymm")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A82" s="8">
        <f>IFERROR(
GETPIVOTDATA(
"[Base].[Importe]",
TDinamica_R!$A$5,
"[Calendario].[AñoMes]",
"[Calendario].[AñoMes].&amp;[" &amp; TEXT(AA$6,"yyyymm")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B82" s="8">
        <f>IFERROR(
GETPIVOTDATA(
"[Base].[Importe]",
TDinamica_R!$A$5,
"[Calendario].[AñoMes]",
"[Calendario].[AñoMes].&amp;[" &amp; TEXT(AB$6,"yyyymm")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C82" s="8">
        <f>IFERROR(
GETPIVOTDATA(
"[Base].[Importe]",
TDinamica_R!$A$5,
"[Calendario].[AñoMes]",
"[Calendario].[AñoMes].&amp;[" &amp; TEXT(AC$6,"yyyymm")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D82" s="8">
        <f>IFERROR(
GETPIVOTDATA(
"[Base].[Importe]",
TDinamica_R!$A$5,
"[Calendario].[AñoMes]",
"[Calendario].[AñoMes].&amp;[" &amp; TEXT(AD$6,"yyyymm")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E82" s="8">
        <f>IFERROR(
GETPIVOTDATA(
"[Base].[Importe]",
TDinamica_R!$A$5,
"[Calendario].[AñoMes]",
"[Calendario].[AñoMes].&amp;[" &amp; TEXT(AE$6,"yyyymm")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F82" s="8">
        <f>IFERROR(
GETPIVOTDATA(
"[Base].[Importe]",
TDinamica_R!$A$5,
"[Calendario].[AñoMes]",
"[Calendario].[AñoMes].&amp;[" &amp; TEXT(AF$6,"yyyymm")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G82" s="8">
        <f>IFERROR(
GETPIVOTDATA(
"[Base].[Importe]",
TDinamica_R!$A$5,
"[Calendario].[AñoMes]",
"[Calendario].[AñoMes].&amp;[" &amp; TEXT(AG$6,"yyyymm")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H82" s="8">
        <f>IFERROR(
GETPIVOTDATA(
"[Base].[Importe]",
TDinamica_R!$A$5,
"[Calendario].[AñoMes]",
"[Calendario].[AñoMes].&amp;[" &amp; TEXT(AH$6,"yyyymm")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I82" s="8">
        <f>IFERROR(
GETPIVOTDATA(
"[Base].[Importe]",
TDinamica_R!$A$5,
"[Calendario].[AñoMes]",
"[Calendario].[AñoMes].&amp;[" &amp; TEXT(AI$6,"yyyymm")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J82" s="8">
        <f>IFERROR(
GETPIVOTDATA(
"[Base].[Importe]",
TDinamica_R!$A$5,
"[Calendario].[AñoMes]",
"[Calendario].[AñoMes].&amp;[" &amp; TEXT(AJ$6,"yyyymm")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K82" s="8">
        <f>IFERROR(
GETPIVOTDATA(
"[Base].[Importe]",
TDinamica_R!$A$5,
"[Calendario].[AñoMes]",
"[Calendario].[AñoMes].&amp;[" &amp; TEXT(AK$6,"yyyymm")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L82" s="8">
        <f>IFERROR(
GETPIVOTDATA(
"[Base].[Importe]",
TDinamica_R!$A$5,
"[Calendario].[AñoMes]",
"[Calendario].[AñoMes].&amp;[" &amp; TEXT(AL$6,"yyyymm")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M82" s="8">
        <f>IFERROR(
GETPIVOTDATA(
"[Base].[Importe]",
TDinamica_R!$A$5,
"[Calendario].[AñoMes]",
"[Calendario].[AñoMes].&amp;[" &amp; TEXT(AM$6,"yyyymm")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N82" s="8">
        <f>IFERROR(
GETPIVOTDATA(
"[Base].[Importe]",
TDinamica_R!$A$5,
"[Calendario].[AñoMes]",
"[Calendario].[AñoMes].&amp;[" &amp; TEXT(AN$6,"yyyymm")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O82" s="8">
        <f>IFERROR(
GETPIVOTDATA(
"[Base].[Importe]",
TDinamica_R!$A$5,
"[Calendario].[AñoMes]",
"[Calendario].[AñoMes].&amp;[" &amp; TEXT(AO$6,"yyyymm")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P82" s="8">
        <f>IFERROR(
GETPIVOTDATA(
"[Base].[Importe]",
TDinamica_R!$A$5,
"[Calendario].[AñoMes]",
"[Calendario].[AñoMes].&amp;[" &amp; TEXT(AP$6,"yyyymm")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Q82" s="8">
        <f>IFERROR(
GETPIVOTDATA(
"[Base].[Importe]",
TDinamica_R!$A$5,
"[Calendario].[AñoMes]",
"[Calendario].[AñoMes].&amp;[" &amp; TEXT(AQ$6,"yyyymm")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R82" s="8">
        <f>IFERROR(
GETPIVOTDATA(
"[Base].[Importe]",
TDinamica_R!$A$5,
"[Calendario].[AñoMes]",
"[Calendario].[AñoMes].&amp;[" &amp; TEXT(AR$6,"yyyymm")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S82" s="8">
        <f>IFERROR(
GETPIVOTDATA(
"[Base].[Importe]",
TDinamica_R!$A$5,
"[Calendario].[AñoMes]",
"[Calendario].[AñoMes].&amp;[" &amp; TEXT(AS$6,"yyyymm")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T82" s="8">
        <f>IFERROR(
GETPIVOTDATA(
"[Base].[Importe]",
TDinamica_R!$A$5,
"[Calendario].[AñoMes]",
"[Calendario].[AñoMes].&amp;[" &amp; TEXT(AT$6,"yyyymm")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U82" s="8">
        <f>IFERROR(
GETPIVOTDATA(
"[Base].[Importe]",
TDinamica_R!$A$5,
"[Calendario].[AñoMes]",
"[Calendario].[AñoMes].&amp;[" &amp; TEXT(AU$6,"yyyymm")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V82" s="8">
        <f>IFERROR(
GETPIVOTDATA(
"[Base].[Importe]",
TDinamica_R!$A$5,
"[Calendario].[AñoMes]",
"[Calendario].[AñoMes].&amp;[" &amp; TEXT(AV$6,"yyyymm")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W82" s="8">
        <f>IFERROR(
GETPIVOTDATA(
"[Base].[Importe]",
TDinamica_R!$A$5,
"[Calendario].[AñoMes]",
"[Calendario].[AñoMes].&amp;[" &amp; TEXT(AW$6,"yyyymm")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X82" s="8">
        <f>IFERROR(
GETPIVOTDATA(
"[Base].[Importe]",
TDinamica_R!$A$5,
"[Calendario].[AñoMes]",
"[Calendario].[AñoMes].&amp;[" &amp; TEXT(AX$6,"yyyymm")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Y82" s="8">
        <f>IFERROR(
GETPIVOTDATA(
"[Base].[Importe]",
TDinamica_R!$A$5,
"[Calendario].[AñoMes]",
"[Calendario].[AñoMes].&amp;[" &amp; TEXT(AY$6,"yyyymm") &amp; "]",
"[Base].[Metrica]",
"[Base].[Metrica].&amp;[" &amp; $A82 &amp; "]",
"[Base].[SEGMENTO_DESCRIP]",
"[Base].[SEGMENTO_DESCRIP].&amp;[" &amp; $C$6 &amp; "]",
"[Base].[SITUACION]",
"[Base].[SITUACION].&amp;[" &amp; $C82 &amp; "]"
),0)/1000</f>
        <v>0</v>
      </c>
      <c r="AZ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"[BASE_HIPO_PPTO].[Periodo]","[BASE_HIPO_PPTO].[Periodo].&amp;["&amp;TEXT(AZ$6,"yyyymm")&amp;"]"),
0)/1000</f>
        <v>0</v>
      </c>
      <c r="BA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"[BASE_HIPO_PPTO].[Periodo]","[BASE_HIPO_PPTO].[Periodo].&amp;["&amp;TEXT(BA$6,"yyyymm")&amp;"]"),
0)/1000</f>
        <v>0</v>
      </c>
      <c r="BB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"[BASE_HIPO_PPTO].[Periodo]","[BASE_HIPO_PPTO].[Periodo].&amp;["&amp;TEXT(BB$6,"yyyymm")&amp;"]"),
0)/1000</f>
        <v>0</v>
      </c>
      <c r="BC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"[BASE_HIPO_PPTO].[Periodo]","[BASE_HIPO_PPTO].[Periodo].&amp;["&amp;TEXT(BC$6,"yyyymm")&amp;"]"),
0)/1000</f>
        <v>0</v>
      </c>
      <c r="BD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"[BASE_HIPO_PPTO].[Periodo]","[BASE_HIPO_PPTO].[Periodo].&amp;["&amp;TEXT(BD$6,"yyyymm")&amp;"]"),
0)/1000</f>
        <v>0</v>
      </c>
      <c r="BE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"[BASE_HIPO_PPTO].[Periodo]","[BASE_HIPO_PPTO].[Periodo].&amp;["&amp;TEXT(BE$6,"yyyymm")&amp;"]"),
0)/1000</f>
        <v>0</v>
      </c>
      <c r="BF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"[BASE_HIPO_PPTO].[Periodo]","[BASE_HIPO_PPTO].[Periodo].&amp;["&amp;TEXT(BF$6,"yyyymm")&amp;"]"),
0)/1000</f>
        <v>0</v>
      </c>
      <c r="BG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"[BASE_HIPO_PPTO].[Periodo]","[BASE_HIPO_PPTO].[Periodo].&amp;["&amp;TEXT(BG$6,"yyyymm")&amp;"]"),
0)/1000</f>
        <v>0</v>
      </c>
      <c r="BH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"[BASE_HIPO_PPTO].[Periodo]","[BASE_HIPO_PPTO].[Periodo].&amp;["&amp;TEXT(BH$6,"yyyymm")&amp;"]"),
0)/1000</f>
        <v>0</v>
      </c>
      <c r="BI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"[BASE_HIPO_PPTO].[Periodo]","[BASE_HIPO_PPTO].[Periodo].&amp;["&amp;TEXT(BI$6,"yyyymm")&amp;"]"),
0)/1000</f>
        <v>0</v>
      </c>
      <c r="BJ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"[BASE_HIPO_PPTO].[Periodo]","[BASE_HIPO_PPTO].[Periodo].&amp;["&amp;TEXT(BJ$6,"yyyymm")&amp;"]"),
0)/1000</f>
        <v>0</v>
      </c>
      <c r="BK82" s="8">
        <f>IFERROR(
GETPIVOTDATA(
"[BASE_HIPO_PPTO].[Importe]",
TDinamica_P!$A$5,
"[BASE_HIPO_PPTO].[Metrica]","[BASE_HIPO_PPTO].[Metrica].&amp;["&amp;$A82&amp;"]",
"[BASE_HIPO_PPTO].[SEGMENTO_DESCRIP]","[BASE_HIPO_PPTO].[SEGMENTO_DESCRIP].&amp;["&amp;$C$6&amp;"]",
"[BASE_HIPO_PPTO].[SITUACION]","[BASE_HIPO_PPTO].[SITUACION].&amp;["&amp;$C82&amp;"]",
"[BASE_HIPO_PPTO].[Periodo]","[BASE_HIPO_PPTO].[Periodo].&amp;["&amp;TEXT(BK$6,"yyyymm")&amp;"]"),
0)/1000</f>
        <v>0</v>
      </c>
      <c r="BO82" s="24">
        <f t="shared" si="64"/>
        <v>0</v>
      </c>
      <c r="BP82" s="24">
        <f t="shared" si="64"/>
        <v>0</v>
      </c>
      <c r="BQ82" s="24">
        <f t="shared" si="64"/>
        <v>0</v>
      </c>
      <c r="BR82" s="24">
        <f t="shared" si="64"/>
        <v>0</v>
      </c>
      <c r="BS82" s="24">
        <f t="shared" si="64"/>
        <v>0</v>
      </c>
      <c r="BT82" s="24">
        <f t="shared" si="64"/>
        <v>0</v>
      </c>
    </row>
    <row r="83" spans="1:72" collapsed="1" x14ac:dyDescent="0.25">
      <c r="C83" s="3" t="s">
        <v>71</v>
      </c>
      <c r="D83" s="10">
        <f t="shared" ref="D83:AY83" si="65">SUM(D63:D82)</f>
        <v>2.1283627613909983</v>
      </c>
      <c r="E83" s="10">
        <f t="shared" si="65"/>
        <v>1.9457135947899999</v>
      </c>
      <c r="F83" s="10">
        <f t="shared" si="65"/>
        <v>2.3159104795340024</v>
      </c>
      <c r="G83" s="10">
        <f t="shared" si="65"/>
        <v>6.7189617805249986</v>
      </c>
      <c r="H83" s="10">
        <f t="shared" si="65"/>
        <v>7.1561915449959974</v>
      </c>
      <c r="I83" s="10">
        <f t="shared" si="65"/>
        <v>5.1901441941519995</v>
      </c>
      <c r="J83" s="10">
        <f t="shared" si="65"/>
        <v>1.1578379496879994</v>
      </c>
      <c r="K83" s="10">
        <f t="shared" si="65"/>
        <v>1.0955260268610001</v>
      </c>
      <c r="L83" s="10">
        <f t="shared" si="65"/>
        <v>0.5467395620149994</v>
      </c>
      <c r="M83" s="10">
        <f t="shared" si="65"/>
        <v>1.1284332895770004</v>
      </c>
      <c r="N83" s="10">
        <f t="shared" si="65"/>
        <v>0.44772898430600122</v>
      </c>
      <c r="O83" s="10">
        <f t="shared" si="65"/>
        <v>1.0539324644660004</v>
      </c>
      <c r="P83" s="10">
        <f t="shared" si="65"/>
        <v>0.59700552940100193</v>
      </c>
      <c r="Q83" s="10">
        <f t="shared" si="65"/>
        <v>0.57787486368000041</v>
      </c>
      <c r="R83" s="10">
        <f t="shared" si="65"/>
        <v>0.67995823233900055</v>
      </c>
      <c r="S83" s="10">
        <f t="shared" si="65"/>
        <v>0.58930889987699908</v>
      </c>
      <c r="T83" s="10">
        <f t="shared" si="65"/>
        <v>0.73838149021399957</v>
      </c>
      <c r="U83" s="10">
        <f t="shared" si="65"/>
        <v>0.77921143584800068</v>
      </c>
      <c r="V83" s="10">
        <f t="shared" si="65"/>
        <v>1.1066788922039996</v>
      </c>
      <c r="W83" s="10">
        <f t="shared" si="65"/>
        <v>0.98597719983700083</v>
      </c>
      <c r="X83" s="10">
        <f t="shared" si="65"/>
        <v>1.1195958762650007</v>
      </c>
      <c r="Y83" s="10">
        <f t="shared" si="65"/>
        <v>-1.2982881930004853E-3</v>
      </c>
      <c r="Z83" s="10">
        <f t="shared" si="65"/>
        <v>0.32814199448099995</v>
      </c>
      <c r="AA83" s="10">
        <f t="shared" si="65"/>
        <v>5.6855721816140008</v>
      </c>
      <c r="AB83" s="10">
        <f t="shared" si="65"/>
        <v>1.3089935245150006</v>
      </c>
      <c r="AC83" s="10">
        <f t="shared" si="65"/>
        <v>1.1205694971550011</v>
      </c>
      <c r="AD83" s="10">
        <f t="shared" si="65"/>
        <v>1.4457242059599991</v>
      </c>
      <c r="AE83" s="10">
        <f t="shared" si="65"/>
        <v>5.7001196407689978</v>
      </c>
      <c r="AF83" s="10">
        <f t="shared" si="65"/>
        <v>3.9954256273170001</v>
      </c>
      <c r="AG83" s="10">
        <f t="shared" si="65"/>
        <v>1.2236455382570011</v>
      </c>
      <c r="AH83" s="10">
        <f t="shared" si="65"/>
        <v>3.2386570909999985</v>
      </c>
      <c r="AI83" s="10">
        <f t="shared" si="65"/>
        <v>3.4314090685669973</v>
      </c>
      <c r="AJ83" s="10">
        <f t="shared" si="65"/>
        <v>12.148288326601003</v>
      </c>
      <c r="AK83" s="10">
        <f t="shared" si="65"/>
        <v>9.4287492662200023</v>
      </c>
      <c r="AL83" s="10">
        <f t="shared" si="65"/>
        <v>7.5902986166340032</v>
      </c>
      <c r="AM83" s="10">
        <f t="shared" si="65"/>
        <v>20.123244412050006</v>
      </c>
      <c r="AN83" s="10">
        <f t="shared" si="65"/>
        <v>9.8410566972477547</v>
      </c>
      <c r="AO83" s="10">
        <f t="shared" si="65"/>
        <v>4.2969961586023802</v>
      </c>
      <c r="AP83" s="10">
        <f t="shared" si="65"/>
        <v>11.697682643995305</v>
      </c>
      <c r="AQ83" s="10">
        <f t="shared" si="65"/>
        <v>19.130920902519545</v>
      </c>
      <c r="AR83" s="10">
        <f t="shared" si="65"/>
        <v>6.9105449406672701</v>
      </c>
      <c r="AS83" s="10">
        <f t="shared" si="65"/>
        <v>8.6440048906458316</v>
      </c>
      <c r="AT83" s="10">
        <f t="shared" si="65"/>
        <v>0</v>
      </c>
      <c r="AU83" s="10">
        <f t="shared" si="65"/>
        <v>0</v>
      </c>
      <c r="AV83" s="10">
        <f t="shared" si="65"/>
        <v>0</v>
      </c>
      <c r="AW83" s="10">
        <f t="shared" si="65"/>
        <v>0</v>
      </c>
      <c r="AX83" s="10">
        <f t="shared" si="65"/>
        <v>0</v>
      </c>
      <c r="AY83" s="10">
        <f t="shared" si="65"/>
        <v>0</v>
      </c>
      <c r="AZ83" s="10">
        <f t="shared" ref="AZ83:BK83" si="66">SUM(AZ63:AZ82)</f>
        <v>4.2371287929528627</v>
      </c>
      <c r="BA83" s="10">
        <f t="shared" si="66"/>
        <v>4.2403806747584927</v>
      </c>
      <c r="BB83" s="10">
        <f t="shared" si="66"/>
        <v>4.2423091234882291</v>
      </c>
      <c r="BC83" s="10">
        <f t="shared" si="66"/>
        <v>4.2432460060235746</v>
      </c>
      <c r="BD83" s="10">
        <f t="shared" si="66"/>
        <v>4.2462508554477525</v>
      </c>
      <c r="BE83" s="10">
        <f t="shared" si="66"/>
        <v>4.2475449541322536</v>
      </c>
      <c r="BF83" s="10">
        <f t="shared" si="66"/>
        <v>4.251544793577958</v>
      </c>
      <c r="BG83" s="10">
        <f t="shared" si="66"/>
        <v>4.2546310045315465</v>
      </c>
      <c r="BH83" s="10">
        <f t="shared" si="66"/>
        <v>4.2586126425951054</v>
      </c>
      <c r="BI83" s="10">
        <f t="shared" si="66"/>
        <v>4.2622136322178479</v>
      </c>
      <c r="BJ83" s="10">
        <f t="shared" si="66"/>
        <v>4.2662607051629866</v>
      </c>
      <c r="BK83" s="10">
        <f t="shared" si="66"/>
        <v>4.2687276670444918</v>
      </c>
      <c r="BO83" s="23">
        <f>SUM(BO63:BO82)</f>
        <v>25.835735499845441</v>
      </c>
      <c r="BP83" s="23">
        <f t="shared" ref="BP83:BT83" si="67">SUM(BP63:BP82)</f>
        <v>12.719818591199584</v>
      </c>
      <c r="BQ83" s="23">
        <f t="shared" si="67"/>
        <v>14.138052855850134</v>
      </c>
      <c r="BR83" s="23">
        <f t="shared" si="67"/>
        <v>3.8752872276300003</v>
      </c>
      <c r="BS83" s="23">
        <f t="shared" si="67"/>
        <v>1.8548386254200027</v>
      </c>
      <c r="BT83" s="23">
        <f t="shared" si="67"/>
        <v>6.3899868357150007</v>
      </c>
    </row>
    <row r="86" spans="1:72" hidden="1" outlineLevel="1" x14ac:dyDescent="0.25">
      <c r="A86" s="11" t="s">
        <v>76</v>
      </c>
      <c r="C86" s="2" t="s">
        <v>79</v>
      </c>
      <c r="D86" s="8">
        <f>IFERROR(
GETPIVOTDATA(
"[Base].[Importe]",
TDinamica_R!$A$5,
"[Calendario].[AñoMes]",
"[Calendario].[AñoMes].&amp;[" &amp; TEXT(D$6,"yyyymm") &amp; "]",
"[Base].[Metrica]",
"[Base].[Metrica].&amp;[" &amp; $A86 &amp; "]",
"[Base].[SEGMENTO_DESCRIP]",
"[Base].[SEGMENTO_DESCRIP].&amp;[" &amp; $C$6 &amp; "]",
"[Base].[SITUACION]",
"[Base].[SITUACION].&amp;[" &amp; $C86 &amp; "]"
),0)/1000</f>
        <v>-100.08303822309999</v>
      </c>
      <c r="E86" s="8">
        <f>IFERROR(
GETPIVOTDATA(
"[Base].[Importe]",
TDinamica_R!$A$5,
"[Calendario].[AñoMes]",
"[Calendario].[AñoMes].&amp;[" &amp; TEXT(E$6,"yyyymm") &amp; "]",
"[Base].[Metrica]",
"[Base].[Metrica].&amp;[" &amp; $A86 &amp; "]",
"[Base].[SEGMENTO_DESCRIP]",
"[Base].[SEGMENTO_DESCRIP].&amp;[" &amp; $C$6 &amp; "]",
"[Base].[SITUACION]",
"[Base].[SITUACION].&amp;[" &amp; $C86 &amp; "]"
),0)/1000</f>
        <v>-99.749091572099985</v>
      </c>
      <c r="F86" s="8">
        <f>IFERROR(
GETPIVOTDATA(
"[Base].[Importe]",
TDinamica_R!$A$5,
"[Calendario].[AñoMes]",
"[Calendario].[AñoMes].&amp;[" &amp; TEXT(F$6,"yyyymm") &amp; "]",
"[Base].[Metrica]",
"[Base].[Metrica].&amp;[" &amp; $A86 &amp; "]",
"[Base].[SEGMENTO_DESCRIP]",
"[Base].[SEGMENTO_DESCRIP].&amp;[" &amp; $C$6 &amp; "]",
"[Base].[SITUACION]",
"[Base].[SITUACION].&amp;[" &amp; $C86 &amp; "]"
),0)/1000</f>
        <v>-123.56630653249999</v>
      </c>
      <c r="G86" s="8">
        <f>IFERROR(
GETPIVOTDATA(
"[Base].[Importe]",
TDinamica_R!$A$5,
"[Calendario].[AñoMes]",
"[Calendario].[AñoMes].&amp;[" &amp; TEXT(G$6,"yyyymm") &amp; "]",
"[Base].[Metrica]",
"[Base].[Metrica].&amp;[" &amp; $A86 &amp; "]",
"[Base].[SEGMENTO_DESCRIP]",
"[Base].[SEGMENTO_DESCRIP].&amp;[" &amp; $C$6 &amp; "]",
"[Base].[SITUACION]",
"[Base].[SITUACION].&amp;[" &amp; $C86 &amp; "]"
),0)/1000</f>
        <v>-126.64013158809998</v>
      </c>
      <c r="H86" s="8">
        <f>IFERROR(
GETPIVOTDATA(
"[Base].[Importe]",
TDinamica_R!$A$5,
"[Calendario].[AñoMes]",
"[Calendario].[AñoMes].&amp;[" &amp; TEXT(H$6,"yyyymm") &amp; "]",
"[Base].[Metrica]",
"[Base].[Metrica].&amp;[" &amp; $A86 &amp; "]",
"[Base].[SEGMENTO_DESCRIP]",
"[Base].[SEGMENTO_DESCRIP].&amp;[" &amp; $C$6 &amp; "]",
"[Base].[SITUACION]",
"[Base].[SITUACION].&amp;[" &amp; $C86 &amp; "]"
),0)/1000</f>
        <v>-129.68353286219997</v>
      </c>
      <c r="I86" s="8">
        <f>IFERROR(
GETPIVOTDATA(
"[Base].[Importe]",
TDinamica_R!$A$5,
"[Calendario].[AñoMes]",
"[Calendario].[AñoMes].&amp;[" &amp; TEXT(I$6,"yyyymm") &amp; "]",
"[Base].[Metrica]",
"[Base].[Metrica].&amp;[" &amp; $A86 &amp; "]",
"[Base].[SEGMENTO_DESCRIP]",
"[Base].[SEGMENTO_DESCRIP].&amp;[" &amp; $C$6 &amp; "]",
"[Base].[SITUACION]",
"[Base].[SITUACION].&amp;[" &amp; $C86 &amp; "]"
),0)/1000</f>
        <v>-131.77741415279999</v>
      </c>
      <c r="J86" s="8">
        <f>IFERROR(
GETPIVOTDATA(
"[Base].[Importe]",
TDinamica_R!$A$5,
"[Calendario].[AñoMes]",
"[Calendario].[AñoMes].&amp;[" &amp; TEXT(J$6,"yyyymm") &amp; "]",
"[Base].[Metrica]",
"[Base].[Metrica].&amp;[" &amp; $A86 &amp; "]",
"[Base].[SEGMENTO_DESCRIP]",
"[Base].[SEGMENTO_DESCRIP].&amp;[" &amp; $C$6 &amp; "]",
"[Base].[SITUACION]",
"[Base].[SITUACION].&amp;[" &amp; $C86 &amp; "]"
),0)/1000</f>
        <v>-95.590438625200008</v>
      </c>
      <c r="K86" s="8">
        <f>IFERROR(
GETPIVOTDATA(
"[Base].[Importe]",
TDinamica_R!$A$5,
"[Calendario].[AñoMes]",
"[Calendario].[AñoMes].&amp;[" &amp; TEXT(K$6,"yyyymm") &amp; "]",
"[Base].[Metrica]",
"[Base].[Metrica].&amp;[" &amp; $A86 &amp; "]",
"[Base].[SEGMENTO_DESCRIP]",
"[Base].[SEGMENTO_DESCRIP].&amp;[" &amp; $C$6 &amp; "]",
"[Base].[SITUACION]",
"[Base].[SITUACION].&amp;[" &amp; $C86 &amp; "]"
),0)/1000</f>
        <v>-99.100735922499993</v>
      </c>
      <c r="L86" s="8">
        <f>IFERROR(
GETPIVOTDATA(
"[Base].[Importe]",
TDinamica_R!$A$5,
"[Calendario].[AñoMes]",
"[Calendario].[AñoMes].&amp;[" &amp; TEXT(L$6,"yyyymm") &amp; "]",
"[Base].[Metrica]",
"[Base].[Metrica].&amp;[" &amp; $A86 &amp; "]",
"[Base].[SEGMENTO_DESCRIP]",
"[Base].[SEGMENTO_DESCRIP].&amp;[" &amp; $C$6 &amp; "]",
"[Base].[SITUACION]",
"[Base].[SITUACION].&amp;[" &amp; $C86 &amp; "]"
),0)/1000</f>
        <v>-100.5110784627</v>
      </c>
      <c r="M86" s="8">
        <f>IFERROR(
GETPIVOTDATA(
"[Base].[Importe]",
TDinamica_R!$A$5,
"[Calendario].[AñoMes]",
"[Calendario].[AñoMes].&amp;[" &amp; TEXT(M$6,"yyyymm") &amp; "]",
"[Base].[Metrica]",
"[Base].[Metrica].&amp;[" &amp; $A86 &amp; "]",
"[Base].[SEGMENTO_DESCRIP]",
"[Base].[SEGMENTO_DESCRIP].&amp;[" &amp; $C$6 &amp; "]",
"[Base].[SITUACION]",
"[Base].[SITUACION].&amp;[" &amp; $C86 &amp; "]"
),0)/1000</f>
        <v>-93.055099074400005</v>
      </c>
      <c r="N86" s="8">
        <f>IFERROR(
GETPIVOTDATA(
"[Base].[Importe]",
TDinamica_R!$A$5,
"[Calendario].[AñoMes]",
"[Calendario].[AñoMes].&amp;[" &amp; TEXT(N$6,"yyyymm") &amp; "]",
"[Base].[Metrica]",
"[Base].[Metrica].&amp;[" &amp; $A86 &amp; "]",
"[Base].[SEGMENTO_DESCRIP]",
"[Base].[SEGMENTO_DESCRIP].&amp;[" &amp; $C$6 &amp; "]",
"[Base].[SITUACION]",
"[Base].[SITUACION].&amp;[" &amp; $C86 &amp; "]"
),0)/1000</f>
        <v>-83.755003124799984</v>
      </c>
      <c r="O86" s="8">
        <f>IFERROR(
GETPIVOTDATA(
"[Base].[Importe]",
TDinamica_R!$A$5,
"[Calendario].[AñoMes]",
"[Calendario].[AñoMes].&amp;[" &amp; TEXT(O$6,"yyyymm") &amp; "]",
"[Base].[Metrica]",
"[Base].[Metrica].&amp;[" &amp; $A86 &amp; "]",
"[Base].[SEGMENTO_DESCRIP]",
"[Base].[SEGMENTO_DESCRIP].&amp;[" &amp; $C$6 &amp; "]",
"[Base].[SITUACION]",
"[Base].[SITUACION].&amp;[" &amp; $C86 &amp; "]"
),0)/1000</f>
        <v>-90.003129520999991</v>
      </c>
      <c r="P86" s="8">
        <f>IFERROR(
GETPIVOTDATA(
"[Base].[Importe]",
TDinamica_R!$A$5,
"[Calendario].[AñoMes]",
"[Calendario].[AñoMes].&amp;[" &amp; TEXT(P$6,"yyyymm") &amp; "]",
"[Base].[Metrica]",
"[Base].[Metrica].&amp;[" &amp; $A86 &amp; "]",
"[Base].[SEGMENTO_DESCRIP]",
"[Base].[SEGMENTO_DESCRIP].&amp;[" &amp; $C$6 &amp; "]",
"[Base].[SITUACION]",
"[Base].[SITUACION].&amp;[" &amp; $C86 &amp; "]"
),0)/1000</f>
        <v>-75.019641736799997</v>
      </c>
      <c r="Q86" s="8">
        <f>IFERROR(
GETPIVOTDATA(
"[Base].[Importe]",
TDinamica_R!$A$5,
"[Calendario].[AñoMes]",
"[Calendario].[AñoMes].&amp;[" &amp; TEXT(Q$6,"yyyymm") &amp; "]",
"[Base].[Metrica]",
"[Base].[Metrica].&amp;[" &amp; $A86 &amp; "]",
"[Base].[SEGMENTO_DESCRIP]",
"[Base].[SEGMENTO_DESCRIP].&amp;[" &amp; $C$6 &amp; "]",
"[Base].[SITUACION]",
"[Base].[SITUACION].&amp;[" &amp; $C86 &amp; "]"
),0)/1000</f>
        <v>-99.331439678799995</v>
      </c>
      <c r="R86" s="8">
        <f>IFERROR(
GETPIVOTDATA(
"[Base].[Importe]",
TDinamica_R!$A$5,
"[Calendario].[AñoMes]",
"[Calendario].[AñoMes].&amp;[" &amp; TEXT(R$6,"yyyymm") &amp; "]",
"[Base].[Metrica]",
"[Base].[Metrica].&amp;[" &amp; $A86 &amp; "]",
"[Base].[SEGMENTO_DESCRIP]",
"[Base].[SEGMENTO_DESCRIP].&amp;[" &amp; $C$6 &amp; "]",
"[Base].[SITUACION]",
"[Base].[SITUACION].&amp;[" &amp; $C86 &amp; "]"
),0)/1000</f>
        <v>-92.587261715100013</v>
      </c>
      <c r="S86" s="8">
        <f>IFERROR(
GETPIVOTDATA(
"[Base].[Importe]",
TDinamica_R!$A$5,
"[Calendario].[AñoMes]",
"[Calendario].[AñoMes].&amp;[" &amp; TEXT(S$6,"yyyymm") &amp; "]",
"[Base].[Metrica]",
"[Base].[Metrica].&amp;[" &amp; $A86 &amp; "]",
"[Base].[SEGMENTO_DESCRIP]",
"[Base].[SEGMENTO_DESCRIP].&amp;[" &amp; $C$6 &amp; "]",
"[Base].[SITUACION]",
"[Base].[SITUACION].&amp;[" &amp; $C86 &amp; "]"
),0)/1000</f>
        <v>-99.030283333999989</v>
      </c>
      <c r="T86" s="8">
        <f>IFERROR(
GETPIVOTDATA(
"[Base].[Importe]",
TDinamica_R!$A$5,
"[Calendario].[AñoMes]",
"[Calendario].[AñoMes].&amp;[" &amp; TEXT(T$6,"yyyymm") &amp; "]",
"[Base].[Metrica]",
"[Base].[Metrica].&amp;[" &amp; $A86 &amp; "]",
"[Base].[SEGMENTO_DESCRIP]",
"[Base].[SEGMENTO_DESCRIP].&amp;[" &amp; $C$6 &amp; "]",
"[Base].[SITUACION]",
"[Base].[SITUACION].&amp;[" &amp; $C86 &amp; "]"
),0)/1000</f>
        <v>-101.96909707559999</v>
      </c>
      <c r="U86" s="8">
        <f>IFERROR(
GETPIVOTDATA(
"[Base].[Importe]",
TDinamica_R!$A$5,
"[Calendario].[AñoMes]",
"[Calendario].[AñoMes].&amp;[" &amp; TEXT(U$6,"yyyymm") &amp; "]",
"[Base].[Metrica]",
"[Base].[Metrica].&amp;[" &amp; $A86 &amp; "]",
"[Base].[SEGMENTO_DESCRIP]",
"[Base].[SEGMENTO_DESCRIP].&amp;[" &amp; $C$6 &amp; "]",
"[Base].[SITUACION]",
"[Base].[SITUACION].&amp;[" &amp; $C86 &amp; "]"
),0)/1000</f>
        <v>-82.287388245800003</v>
      </c>
      <c r="V86" s="8">
        <f>IFERROR(
GETPIVOTDATA(
"[Base].[Importe]",
TDinamica_R!$A$5,
"[Calendario].[AñoMes]",
"[Calendario].[AñoMes].&amp;[" &amp; TEXT(V$6,"yyyymm") &amp; "]",
"[Base].[Metrica]",
"[Base].[Metrica].&amp;[" &amp; $A86 &amp; "]",
"[Base].[SEGMENTO_DESCRIP]",
"[Base].[SEGMENTO_DESCRIP].&amp;[" &amp; $C$6 &amp; "]",
"[Base].[SITUACION]",
"[Base].[SITUACION].&amp;[" &amp; $C86 &amp; "]"
),0)/1000</f>
        <v>-129.645562525</v>
      </c>
      <c r="W86" s="8">
        <f>IFERROR(
GETPIVOTDATA(
"[Base].[Importe]",
TDinamica_R!$A$5,
"[Calendario].[AñoMes]",
"[Calendario].[AñoMes].&amp;[" &amp; TEXT(W$6,"yyyymm") &amp; "]",
"[Base].[Metrica]",
"[Base].[Metrica].&amp;[" &amp; $A86 &amp; "]",
"[Base].[SEGMENTO_DESCRIP]",
"[Base].[SEGMENTO_DESCRIP].&amp;[" &amp; $C$6 &amp; "]",
"[Base].[SITUACION]",
"[Base].[SITUACION].&amp;[" &amp; $C86 &amp; "]"
),0)/1000</f>
        <v>-132.39031080039999</v>
      </c>
      <c r="X86" s="8">
        <f>IFERROR(
GETPIVOTDATA(
"[Base].[Importe]",
TDinamica_R!$A$5,
"[Calendario].[AñoMes]",
"[Calendario].[AñoMes].&amp;[" &amp; TEXT(X$6,"yyyymm") &amp; "]",
"[Base].[Metrica]",
"[Base].[Metrica].&amp;[" &amp; $A86 &amp; "]",
"[Base].[SEGMENTO_DESCRIP]",
"[Base].[SEGMENTO_DESCRIP].&amp;[" &amp; $C$6 &amp; "]",
"[Base].[SITUACION]",
"[Base].[SITUACION].&amp;[" &amp; $C86 &amp; "]"
),0)/1000</f>
        <v>-133.18054329220001</v>
      </c>
      <c r="Y86" s="8">
        <f>IFERROR(
GETPIVOTDATA(
"[Base].[Importe]",
TDinamica_R!$A$5,
"[Calendario].[AñoMes]",
"[Calendario].[AñoMes].&amp;[" &amp; TEXT(Y$6,"yyyymm") &amp; "]",
"[Base].[Metrica]",
"[Base].[Metrica].&amp;[" &amp; $A86 &amp; "]",
"[Base].[SEGMENTO_DESCRIP]",
"[Base].[SEGMENTO_DESCRIP].&amp;[" &amp; $C$6 &amp; "]",
"[Base].[SITUACION]",
"[Base].[SITUACION].&amp;[" &amp; $C86 &amp; "]"
),0)/1000</f>
        <v>-116.86473687350001</v>
      </c>
      <c r="Z86" s="8">
        <f>IFERROR(
GETPIVOTDATA(
"[Base].[Importe]",
TDinamica_R!$A$5,
"[Calendario].[AñoMes]",
"[Calendario].[AñoMes].&amp;[" &amp; TEXT(Z$6,"yyyymm") &amp; "]",
"[Base].[Metrica]",
"[Base].[Metrica].&amp;[" &amp; $A86 &amp; "]",
"[Base].[SEGMENTO_DESCRIP]",
"[Base].[SEGMENTO_DESCRIP].&amp;[" &amp; $C$6 &amp; "]",
"[Base].[SITUACION]",
"[Base].[SITUACION].&amp;[" &amp; $C86 &amp; "]"
),0)/1000</f>
        <v>-134.86635691260003</v>
      </c>
      <c r="AA86" s="8">
        <f>IFERROR(
GETPIVOTDATA(
"[Base].[Importe]",
TDinamica_R!$A$5,
"[Calendario].[AñoMes]",
"[Calendario].[AñoMes].&amp;[" &amp; TEXT(AA$6,"yyyymm") &amp; "]",
"[Base].[Metrica]",
"[Base].[Metrica].&amp;[" &amp; $A86 &amp; "]",
"[Base].[SEGMENTO_DESCRIP]",
"[Base].[SEGMENTO_DESCRIP].&amp;[" &amp; $C$6 &amp; "]",
"[Base].[SITUACION]",
"[Base].[SITUACION].&amp;[" &amp; $C86 &amp; "]"
),0)/1000</f>
        <v>-136.46361099309999</v>
      </c>
      <c r="AB86" s="8">
        <f>IFERROR(
GETPIVOTDATA(
"[Base].[Importe]",
TDinamica_R!$A$5,
"[Calendario].[AñoMes]",
"[Calendario].[AñoMes].&amp;[" &amp; TEXT(AB$6,"yyyymm") &amp; "]",
"[Base].[Metrica]",
"[Base].[Metrica].&amp;[" &amp; $A86 &amp; "]",
"[Base].[SEGMENTO_DESCRIP]",
"[Base].[SEGMENTO_DESCRIP].&amp;[" &amp; $C$6 &amp; "]",
"[Base].[SITUACION]",
"[Base].[SITUACION].&amp;[" &amp; $C86 &amp; "]"
),0)/1000</f>
        <v>-172.33924951860001</v>
      </c>
      <c r="AC86" s="8">
        <f>IFERROR(
GETPIVOTDATA(
"[Base].[Importe]",
TDinamica_R!$A$5,
"[Calendario].[AñoMes]",
"[Calendario].[AñoMes].&amp;[" &amp; TEXT(AC$6,"yyyymm") &amp; "]",
"[Base].[Metrica]",
"[Base].[Metrica].&amp;[" &amp; $A86 &amp; "]",
"[Base].[SEGMENTO_DESCRIP]",
"[Base].[SEGMENTO_DESCRIP].&amp;[" &amp; $C$6 &amp; "]",
"[Base].[SITUACION]",
"[Base].[SITUACION].&amp;[" &amp; $C86 &amp; "]"
),0)/1000</f>
        <v>-157.27700040990001</v>
      </c>
      <c r="AD86" s="8">
        <f>IFERROR(
GETPIVOTDATA(
"[Base].[Importe]",
TDinamica_R!$A$5,
"[Calendario].[AñoMes]",
"[Calendario].[AñoMes].&amp;[" &amp; TEXT(AD$6,"yyyymm") &amp; "]",
"[Base].[Metrica]",
"[Base].[Metrica].&amp;[" &amp; $A86 &amp; "]",
"[Base].[SEGMENTO_DESCRIP]",
"[Base].[SEGMENTO_DESCRIP].&amp;[" &amp; $C$6 &amp; "]",
"[Base].[SITUACION]",
"[Base].[SITUACION].&amp;[" &amp; $C86 &amp; "]"
),0)/1000</f>
        <v>-198.18431203929998</v>
      </c>
      <c r="AE86" s="8">
        <f>IFERROR(
GETPIVOTDATA(
"[Base].[Importe]",
TDinamica_R!$A$5,
"[Calendario].[AñoMes]",
"[Calendario].[AñoMes].&amp;[" &amp; TEXT(AE$6,"yyyymm") &amp; "]",
"[Base].[Metrica]",
"[Base].[Metrica].&amp;[" &amp; $A86 &amp; "]",
"[Base].[SEGMENTO_DESCRIP]",
"[Base].[SEGMENTO_DESCRIP].&amp;[" &amp; $C$6 &amp; "]",
"[Base].[SITUACION]",
"[Base].[SITUACION].&amp;[" &amp; $C86 &amp; "]"
),0)/1000</f>
        <v>-228.96152156530002</v>
      </c>
      <c r="AF86" s="8">
        <f>IFERROR(
GETPIVOTDATA(
"[Base].[Importe]",
TDinamica_R!$A$5,
"[Calendario].[AñoMes]",
"[Calendario].[AñoMes].&amp;[" &amp; TEXT(AF$6,"yyyymm") &amp; "]",
"[Base].[Metrica]",
"[Base].[Metrica].&amp;[" &amp; $A86 &amp; "]",
"[Base].[SEGMENTO_DESCRIP]",
"[Base].[SEGMENTO_DESCRIP].&amp;[" &amp; $C$6 &amp; "]",
"[Base].[SITUACION]",
"[Base].[SITUACION].&amp;[" &amp; $C86 &amp; "]"
),0)/1000</f>
        <v>-233.30964194740005</v>
      </c>
      <c r="AG86" s="8">
        <f>IFERROR(
GETPIVOTDATA(
"[Base].[Importe]",
TDinamica_R!$A$5,
"[Calendario].[AñoMes]",
"[Calendario].[AñoMes].&amp;[" &amp; TEXT(AG$6,"yyyymm") &amp; "]",
"[Base].[Metrica]",
"[Base].[Metrica].&amp;[" &amp; $A86 &amp; "]",
"[Base].[SEGMENTO_DESCRIP]",
"[Base].[SEGMENTO_DESCRIP].&amp;[" &amp; $C$6 &amp; "]",
"[Base].[SITUACION]",
"[Base].[SITUACION].&amp;[" &amp; $C86 &amp; "]"
),0)/1000</f>
        <v>-235.57534599960002</v>
      </c>
      <c r="AH86" s="8">
        <f>IFERROR(
GETPIVOTDATA(
"[Base].[Importe]",
TDinamica_R!$A$5,
"[Calendario].[AñoMes]",
"[Calendario].[AñoMes].&amp;[" &amp; TEXT(AH$6,"yyyymm") &amp; "]",
"[Base].[Metrica]",
"[Base].[Metrica].&amp;[" &amp; $A86 &amp; "]",
"[Base].[SEGMENTO_DESCRIP]",
"[Base].[SEGMENTO_DESCRIP].&amp;[" &amp; $C$6 &amp; "]",
"[Base].[SITUACION]",
"[Base].[SITUACION].&amp;[" &amp; $C86 &amp; "]"
),0)/1000</f>
        <v>-289.63416219639998</v>
      </c>
      <c r="AI86" s="8">
        <f>IFERROR(
GETPIVOTDATA(
"[Base].[Importe]",
TDinamica_R!$A$5,
"[Calendario].[AñoMes]",
"[Calendario].[AñoMes].&amp;[" &amp; TEXT(AI$6,"yyyymm") &amp; "]",
"[Base].[Metrica]",
"[Base].[Metrica].&amp;[" &amp; $A86 &amp; "]",
"[Base].[SEGMENTO_DESCRIP]",
"[Base].[SEGMENTO_DESCRIP].&amp;[" &amp; $C$6 &amp; "]",
"[Base].[SITUACION]",
"[Base].[SITUACION].&amp;[" &amp; $C86 &amp; "]"
),0)/1000</f>
        <v>-295.02365933269999</v>
      </c>
      <c r="AJ86" s="8">
        <f>IFERROR(
GETPIVOTDATA(
"[Base].[Importe]",
TDinamica_R!$A$5,
"[Calendario].[AñoMes]",
"[Calendario].[AñoMes].&amp;[" &amp; TEXT(AJ$6,"yyyymm") &amp; "]",
"[Base].[Metrica]",
"[Base].[Metrica].&amp;[" &amp; $A86 &amp; "]",
"[Base].[SEGMENTO_DESCRIP]",
"[Base].[SEGMENTO_DESCRIP].&amp;[" &amp; $C$6 &amp; "]",
"[Base].[SITUACION]",
"[Base].[SITUACION].&amp;[" &amp; $C86 &amp; "]"
),0)/1000</f>
        <v>-203.47068318330003</v>
      </c>
      <c r="AK86" s="8">
        <f>IFERROR(
GETPIVOTDATA(
"[Base].[Importe]",
TDinamica_R!$A$5,
"[Calendario].[AñoMes]",
"[Calendario].[AñoMes].&amp;[" &amp; TEXT(AK$6,"yyyymm") &amp; "]",
"[Base].[Metrica]",
"[Base].[Metrica].&amp;[" &amp; $A86 &amp; "]",
"[Base].[SEGMENTO_DESCRIP]",
"[Base].[SEGMENTO_DESCRIP].&amp;[" &amp; $C$6 &amp; "]",
"[Base].[SITUACION]",
"[Base].[SITUACION].&amp;[" &amp; $C86 &amp; "]"
),0)/1000</f>
        <v>-251.2622023401</v>
      </c>
      <c r="AL86" s="8">
        <f>IFERROR(
GETPIVOTDATA(
"[Base].[Importe]",
TDinamica_R!$A$5,
"[Calendario].[AñoMes]",
"[Calendario].[AñoMes].&amp;[" &amp; TEXT(AL$6,"yyyymm") &amp; "]",
"[Base].[Metrica]",
"[Base].[Metrica].&amp;[" &amp; $A86 &amp; "]",
"[Base].[SEGMENTO_DESCRIP]",
"[Base].[SEGMENTO_DESCRIP].&amp;[" &amp; $C$6 &amp; "]",
"[Base].[SITUACION]",
"[Base].[SITUACION].&amp;[" &amp; $C86 &amp; "]"
),0)/1000</f>
        <v>-277.24110494629997</v>
      </c>
      <c r="AM86" s="8">
        <f>IFERROR(
GETPIVOTDATA(
"[Base].[Importe]",
TDinamica_R!$A$5,
"[Calendario].[AñoMes]",
"[Calendario].[AñoMes].&amp;[" &amp; TEXT(AM$6,"yyyymm") &amp; "]",
"[Base].[Metrica]",
"[Base].[Metrica].&amp;[" &amp; $A86 &amp; "]",
"[Base].[SEGMENTO_DESCRIP]",
"[Base].[SEGMENTO_DESCRIP].&amp;[" &amp; $C$6 &amp; "]",
"[Base].[SITUACION]",
"[Base].[SITUACION].&amp;[" &amp; $C86 &amp; "]"
),0)/1000</f>
        <v>-337.58715300240004</v>
      </c>
      <c r="AN86" s="8">
        <f>IFERROR(
GETPIVOTDATA(
"[Base].[Importe]",
TDinamica_R!$A$5,
"[Calendario].[AñoMes]",
"[Calendario].[AñoMes].&amp;[" &amp; TEXT(AN$6,"yyyymm") &amp; "]",
"[Base].[Metrica]",
"[Base].[Metrica].&amp;[" &amp; $A86 &amp; "]",
"[Base].[SEGMENTO_DESCRIP]",
"[Base].[SEGMENTO_DESCRIP].&amp;[" &amp; $C$6 &amp; "]",
"[Base].[SITUACION]",
"[Base].[SITUACION].&amp;[" &amp; $C86 &amp; "]"
),0)/1000</f>
        <v>-206.83705948650004</v>
      </c>
      <c r="AO86" s="8">
        <f>IFERROR(
GETPIVOTDATA(
"[Base].[Importe]",
TDinamica_R!$A$5,
"[Calendario].[AñoMes]",
"[Calendario].[AñoMes].&amp;[" &amp; TEXT(AO$6,"yyyymm") &amp; "]",
"[Base].[Metrica]",
"[Base].[Metrica].&amp;[" &amp; $A86 &amp; "]",
"[Base].[SEGMENTO_DESCRIP]",
"[Base].[SEGMENTO_DESCRIP].&amp;[" &amp; $C$6 &amp; "]",
"[Base].[SITUACION]",
"[Base].[SITUACION].&amp;[" &amp; $C86 &amp; "]"
),0)/1000</f>
        <v>-233.72533846749999</v>
      </c>
      <c r="AP86" s="8">
        <f>IFERROR(
GETPIVOTDATA(
"[Base].[Importe]",
TDinamica_R!$A$5,
"[Calendario].[AñoMes]",
"[Calendario].[AñoMes].&amp;[" &amp; TEXT(AP$6,"yyyymm") &amp; "]",
"[Base].[Metrica]",
"[Base].[Metrica].&amp;[" &amp; $A86 &amp; "]",
"[Base].[SEGMENTO_DESCRIP]",
"[Base].[SEGMENTO_DESCRIP].&amp;[" &amp; $C$6 &amp; "]",
"[Base].[SITUACION]",
"[Base].[SITUACION].&amp;[" &amp; $C86 &amp; "]"
),0)/1000</f>
        <v>-574.63457992610006</v>
      </c>
      <c r="AQ86" s="8">
        <f>IFERROR(
GETPIVOTDATA(
"[Base].[Importe]",
TDinamica_R!$A$5,
"[Calendario].[AñoMes]",
"[Calendario].[AñoMes].&amp;[" &amp; TEXT(AQ$6,"yyyymm") &amp; "]",
"[Base].[Metrica]",
"[Base].[Metrica].&amp;[" &amp; $A86 &amp; "]",
"[Base].[SEGMENTO_DESCRIP]",
"[Base].[SEGMENTO_DESCRIP].&amp;[" &amp; $C$6 &amp; "]",
"[Base].[SITUACION]",
"[Base].[SITUACION].&amp;[" &amp; $C86 &amp; "]"
),0)/1000</f>
        <v>-249.75894863310003</v>
      </c>
      <c r="AR86" s="8">
        <f>IFERROR(
GETPIVOTDATA(
"[Base].[Importe]",
TDinamica_R!$A$5,
"[Calendario].[AñoMes]",
"[Calendario].[AñoMes].&amp;[" &amp; TEXT(AR$6,"yyyymm") &amp; "]",
"[Base].[Metrica]",
"[Base].[Metrica].&amp;[" &amp; $A86 &amp; "]",
"[Base].[SEGMENTO_DESCRIP]",
"[Base].[SEGMENTO_DESCRIP].&amp;[" &amp; $C$6 &amp; "]",
"[Base].[SITUACION]",
"[Base].[SITUACION].&amp;[" &amp; $C86 &amp; "]"
),0)/1000</f>
        <v>-333.52369592780002</v>
      </c>
      <c r="AS86" s="8">
        <f>IFERROR(
GETPIVOTDATA(
"[Base].[Importe]",
TDinamica_R!$A$5,
"[Calendario].[AñoMes]",
"[Calendario].[AñoMes].&amp;[" &amp; TEXT(AS$6,"yyyymm") &amp; "]",
"[Base].[Metrica]",
"[Base].[Metrica].&amp;[" &amp; $A86 &amp; "]",
"[Base].[SEGMENTO_DESCRIP]",
"[Base].[SEGMENTO_DESCRIP].&amp;[" &amp; $C$6 &amp; "]",
"[Base].[SITUACION]",
"[Base].[SITUACION].&amp;[" &amp; $C86 &amp; "]"
),0)/1000</f>
        <v>-272.91629820420002</v>
      </c>
      <c r="AT86" s="8">
        <f>IFERROR(
GETPIVOTDATA(
"[Base].[Importe]",
TDinamica_R!$A$5,
"[Calendario].[AñoMes]",
"[Calendario].[AñoMes].&amp;[" &amp; TEXT(AT$6,"yyyymm")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U86" s="8">
        <f>IFERROR(
GETPIVOTDATA(
"[Base].[Importe]",
TDinamica_R!$A$5,
"[Calendario].[AñoMes]",
"[Calendario].[AñoMes].&amp;[" &amp; TEXT(AU$6,"yyyymm")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V86" s="8">
        <f>IFERROR(
GETPIVOTDATA(
"[Base].[Importe]",
TDinamica_R!$A$5,
"[Calendario].[AñoMes]",
"[Calendario].[AñoMes].&amp;[" &amp; TEXT(AV$6,"yyyymm")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W86" s="8">
        <f>IFERROR(
GETPIVOTDATA(
"[Base].[Importe]",
TDinamica_R!$A$5,
"[Calendario].[AñoMes]",
"[Calendario].[AñoMes].&amp;[" &amp; TEXT(AW$6,"yyyymm")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X86" s="8">
        <f>IFERROR(
GETPIVOTDATA(
"[Base].[Importe]",
TDinamica_R!$A$5,
"[Calendario].[AñoMes]",
"[Calendario].[AñoMes].&amp;[" &amp; TEXT(AX$6,"yyyymm")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Y86" s="8">
        <f>IFERROR(
GETPIVOTDATA(
"[Base].[Importe]",
TDinamica_R!$A$5,
"[Calendario].[AñoMes]",
"[Calendario].[AñoMes].&amp;[" &amp; TEXT(AY$6,"yyyymm") &amp; "]",
"[Base].[Metrica]",
"[Base].[Metrica].&amp;[" &amp; $A86 &amp; "]",
"[Base].[SEGMENTO_DESCRIP]",
"[Base].[SEGMENTO_DESCRIP].&amp;[" &amp; $C$6 &amp; "]",
"[Base].[SITUACION]",
"[Base].[SITUACION].&amp;[" &amp; $C86 &amp; "]"
),0)/1000</f>
        <v>0</v>
      </c>
      <c r="AZ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"[BASE_HIPO_PPTO].[Periodo]","[BASE_HIPO_PPTO].[Periodo].&amp;["&amp;TEXT(AZ$6,"yyyymm")&amp;"]"),
0)/1000</f>
        <v>-253.36280471990003</v>
      </c>
      <c r="BA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"[BASE_HIPO_PPTO].[Periodo]","[BASE_HIPO_PPTO].[Periodo].&amp;["&amp;TEXT(BA$6,"yyyymm")&amp;"]"),
0)/1000</f>
        <v>-243.2105799647</v>
      </c>
      <c r="BB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"[BASE_HIPO_PPTO].[Periodo]","[BASE_HIPO_PPTO].[Periodo].&amp;["&amp;TEXT(BB$6,"yyyymm")&amp;"]"),
0)/1000</f>
        <v>-247.17253378140003</v>
      </c>
      <c r="BC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"[BASE_HIPO_PPTO].[Periodo]","[BASE_HIPO_PPTO].[Periodo].&amp;["&amp;TEXT(BC$6,"yyyymm")&amp;"]"),
0)/1000</f>
        <v>-247.6133910376</v>
      </c>
      <c r="BD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"[BASE_HIPO_PPTO].[Periodo]","[BASE_HIPO_PPTO].[Periodo].&amp;["&amp;TEXT(BD$6,"yyyymm")&amp;"]"),
0)/1000</f>
        <v>-280.98404331849997</v>
      </c>
      <c r="BE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"[BASE_HIPO_PPTO].[Periodo]","[BASE_HIPO_PPTO].[Periodo].&amp;["&amp;TEXT(BE$6,"yyyymm")&amp;"]"),
0)/1000</f>
        <v>-282.16513864669997</v>
      </c>
      <c r="BF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"[BASE_HIPO_PPTO].[Periodo]","[BASE_HIPO_PPTO].[Periodo].&amp;["&amp;TEXT(BF$6,"yyyymm")&amp;"]"),
0)/1000</f>
        <v>-259.6380561039</v>
      </c>
      <c r="BG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"[BASE_HIPO_PPTO].[Periodo]","[BASE_HIPO_PPTO].[Periodo].&amp;["&amp;TEXT(BG$6,"yyyymm")&amp;"]"),
0)/1000</f>
        <v>-277.55685547770003</v>
      </c>
      <c r="BH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"[BASE_HIPO_PPTO].[Periodo]","[BASE_HIPO_PPTO].[Periodo].&amp;["&amp;TEXT(BH$6,"yyyymm")&amp;"]"),
0)/1000</f>
        <v>-293.74485288490001</v>
      </c>
      <c r="BI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"[BASE_HIPO_PPTO].[Periodo]","[BASE_HIPO_PPTO].[Periodo].&amp;["&amp;TEXT(BI$6,"yyyymm")&amp;"]"),
0)/1000</f>
        <v>-266.10510947740005</v>
      </c>
      <c r="BJ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"[BASE_HIPO_PPTO].[Periodo]","[BASE_HIPO_PPTO].[Periodo].&amp;["&amp;TEXT(BJ$6,"yyyymm")&amp;"]"),
0)/1000</f>
        <v>-272.52689770720002</v>
      </c>
      <c r="BK86" s="8">
        <f>IFERROR(
GETPIVOTDATA(
"[BASE_HIPO_PPTO].[Importe]",
TDinamica_P!$A$5,
"[BASE_HIPO_PPTO].[Metrica]","[BASE_HIPO_PPTO].[Metrica].&amp;["&amp;$A86&amp;"]",
"[BASE_HIPO_PPTO].[SEGMENTO_DESCRIP]","[BASE_HIPO_PPTO].[SEGMENTO_DESCRIP].&amp;["&amp;$C$6&amp;"]",
"[BASE_HIPO_PPTO].[SITUACION]","[BASE_HIPO_PPTO].[SITUACION].&amp;["&amp;$C86&amp;"]",
"[BASE_HIPO_PPTO].[Periodo]","[BASE_HIPO_PPTO].[Periodo].&amp;["&amp;TEXT(BK$6,"yyyymm")&amp;"]"),
0)/1000</f>
        <v>-286.4331733153</v>
      </c>
      <c r="BO86" s="24">
        <f t="shared" ref="BO86:BT88" si="68">SUMIFS($D86:$BM86,$D$6:$BM$6,"&gt;="&amp;BO$2,$D$6:$BM$6,"&lt;="&amp;BO$6,$D$5:$BM$5,BO$5)</f>
        <v>-1015.1969778801001</v>
      </c>
      <c r="BP86" s="24">
        <f t="shared" si="68"/>
        <v>-743.74591846600003</v>
      </c>
      <c r="BQ86" s="24">
        <f t="shared" si="68"/>
        <v>-440.56239795400006</v>
      </c>
      <c r="BR86" s="24">
        <f t="shared" si="68"/>
        <v>-527.80056196779992</v>
      </c>
      <c r="BS86" s="24">
        <f t="shared" si="68"/>
        <v>-266.93834313069999</v>
      </c>
      <c r="BT86" s="24">
        <f t="shared" si="68"/>
        <v>-323.39843632769998</v>
      </c>
    </row>
    <row r="87" spans="1:72" hidden="1" outlineLevel="1" x14ac:dyDescent="0.25">
      <c r="A87" s="11" t="s">
        <v>76</v>
      </c>
      <c r="C87" s="2" t="s">
        <v>78</v>
      </c>
      <c r="D87" s="8">
        <f>IFERROR(
GETPIVOTDATA(
"[Base].[Importe]",
TDinamica_R!$A$5,
"[Calendario].[AñoMes]",
"[Calendario].[AñoMes].&amp;[" &amp; TEXT(D$6,"yyyymm") &amp; "]",
"[Base].[Metrica]",
"[Base].[Metrica].&amp;[" &amp; $A87 &amp; "]",
"[Base].[SEGMENTO_DESCRIP]",
"[Base].[SEGMENTO_DESCRIP].&amp;[" &amp; $C$6 &amp; "]",
"[Base].[SITUACION]",
"[Base].[SITUACION].&amp;[" &amp; $C87 &amp; "]"
),0)/1000</f>
        <v>-69.831939306400002</v>
      </c>
      <c r="E87" s="8">
        <f>IFERROR(
GETPIVOTDATA(
"[Base].[Importe]",
TDinamica_R!$A$5,
"[Calendario].[AñoMes]",
"[Calendario].[AñoMes].&amp;[" &amp; TEXT(E$6,"yyyymm") &amp; "]",
"[Base].[Metrica]",
"[Base].[Metrica].&amp;[" &amp; $A87 &amp; "]",
"[Base].[SEGMENTO_DESCRIP]",
"[Base].[SEGMENTO_DESCRIP].&amp;[" &amp; $C$6 &amp; "]",
"[Base].[SITUACION]",
"[Base].[SITUACION].&amp;[" &amp; $C87 &amp; "]"
),0)/1000</f>
        <v>-64.962614919300009</v>
      </c>
      <c r="F87" s="8">
        <f>IFERROR(
GETPIVOTDATA(
"[Base].[Importe]",
TDinamica_R!$A$5,
"[Calendario].[AñoMes]",
"[Calendario].[AñoMes].&amp;[" &amp; TEXT(F$6,"yyyymm") &amp; "]",
"[Base].[Metrica]",
"[Base].[Metrica].&amp;[" &amp; $A87 &amp; "]",
"[Base].[SEGMENTO_DESCRIP]",
"[Base].[SEGMENTO_DESCRIP].&amp;[" &amp; $C$6 &amp; "]",
"[Base].[SITUACION]",
"[Base].[SITUACION].&amp;[" &amp; $C87 &amp; "]"
),0)/1000</f>
        <v>-79.985179327600008</v>
      </c>
      <c r="G87" s="8">
        <f>IFERROR(
GETPIVOTDATA(
"[Base].[Importe]",
TDinamica_R!$A$5,
"[Calendario].[AñoMes]",
"[Calendario].[AñoMes].&amp;[" &amp; TEXT(G$6,"yyyymm") &amp; "]",
"[Base].[Metrica]",
"[Base].[Metrica].&amp;[" &amp; $A87 &amp; "]",
"[Base].[SEGMENTO_DESCRIP]",
"[Base].[SEGMENTO_DESCRIP].&amp;[" &amp; $C$6 &amp; "]",
"[Base].[SITUACION]",
"[Base].[SITUACION].&amp;[" &amp; $C87 &amp; "]"
),0)/1000</f>
        <v>-73.235837618699989</v>
      </c>
      <c r="H87" s="8">
        <f>IFERROR(
GETPIVOTDATA(
"[Base].[Importe]",
TDinamica_R!$A$5,
"[Calendario].[AñoMes]",
"[Calendario].[AñoMes].&amp;[" &amp; TEXT(H$6,"yyyymm") &amp; "]",
"[Base].[Metrica]",
"[Base].[Metrica].&amp;[" &amp; $A87 &amp; "]",
"[Base].[SEGMENTO_DESCRIP]",
"[Base].[SEGMENTO_DESCRIP].&amp;[" &amp; $C$6 &amp; "]",
"[Base].[SITUACION]",
"[Base].[SITUACION].&amp;[" &amp; $C87 &amp; "]"
),0)/1000</f>
        <v>-87.582076126700002</v>
      </c>
      <c r="I87" s="8">
        <f>IFERROR(
GETPIVOTDATA(
"[Base].[Importe]",
TDinamica_R!$A$5,
"[Calendario].[AñoMes]",
"[Calendario].[AñoMes].&amp;[" &amp; TEXT(I$6,"yyyymm") &amp; "]",
"[Base].[Metrica]",
"[Base].[Metrica].&amp;[" &amp; $A87 &amp; "]",
"[Base].[SEGMENTO_DESCRIP]",
"[Base].[SEGMENTO_DESCRIP].&amp;[" &amp; $C$6 &amp; "]",
"[Base].[SITUACION]",
"[Base].[SITUACION].&amp;[" &amp; $C87 &amp; "]"
),0)/1000</f>
        <v>-81.938072581200004</v>
      </c>
      <c r="J87" s="8">
        <f>IFERROR(
GETPIVOTDATA(
"[Base].[Importe]",
TDinamica_R!$A$5,
"[Calendario].[AñoMes]",
"[Calendario].[AñoMes].&amp;[" &amp; TEXT(J$6,"yyyymm") &amp; "]",
"[Base].[Metrica]",
"[Base].[Metrica].&amp;[" &amp; $A87 &amp; "]",
"[Base].[SEGMENTO_DESCRIP]",
"[Base].[SEGMENTO_DESCRIP].&amp;[" &amp; $C$6 &amp; "]",
"[Base].[SITUACION]",
"[Base].[SITUACION].&amp;[" &amp; $C87 &amp; "]"
),0)/1000</f>
        <v>-74.602087156300001</v>
      </c>
      <c r="K87" s="8">
        <f>IFERROR(
GETPIVOTDATA(
"[Base].[Importe]",
TDinamica_R!$A$5,
"[Calendario].[AñoMes]",
"[Calendario].[AñoMes].&amp;[" &amp; TEXT(K$6,"yyyymm") &amp; "]",
"[Base].[Metrica]",
"[Base].[Metrica].&amp;[" &amp; $A87 &amp; "]",
"[Base].[SEGMENTO_DESCRIP]",
"[Base].[SEGMENTO_DESCRIP].&amp;[" &amp; $C$6 &amp; "]",
"[Base].[SITUACION]",
"[Base].[SITUACION].&amp;[" &amp; $C87 &amp; "]"
),0)/1000</f>
        <v>-87.273953475500008</v>
      </c>
      <c r="L87" s="8">
        <f>IFERROR(
GETPIVOTDATA(
"[Base].[Importe]",
TDinamica_R!$A$5,
"[Calendario].[AñoMes]",
"[Calendario].[AñoMes].&amp;[" &amp; TEXT(L$6,"yyyymm") &amp; "]",
"[Base].[Metrica]",
"[Base].[Metrica].&amp;[" &amp; $A87 &amp; "]",
"[Base].[SEGMENTO_DESCRIP]",
"[Base].[SEGMENTO_DESCRIP].&amp;[" &amp; $C$6 &amp; "]",
"[Base].[SITUACION]",
"[Base].[SITUACION].&amp;[" &amp; $C87 &amp; "]"
),0)/1000</f>
        <v>-85.598904231800006</v>
      </c>
      <c r="M87" s="8">
        <f>IFERROR(
GETPIVOTDATA(
"[Base].[Importe]",
TDinamica_R!$A$5,
"[Calendario].[AñoMes]",
"[Calendario].[AñoMes].&amp;[" &amp; TEXT(M$6,"yyyymm") &amp; "]",
"[Base].[Metrica]",
"[Base].[Metrica].&amp;[" &amp; $A87 &amp; "]",
"[Base].[SEGMENTO_DESCRIP]",
"[Base].[SEGMENTO_DESCRIP].&amp;[" &amp; $C$6 &amp; "]",
"[Base].[SITUACION]",
"[Base].[SITUACION].&amp;[" &amp; $C87 &amp; "]"
),0)/1000</f>
        <v>-91.538359540300007</v>
      </c>
      <c r="N87" s="8">
        <f>IFERROR(
GETPIVOTDATA(
"[Base].[Importe]",
TDinamica_R!$A$5,
"[Calendario].[AñoMes]",
"[Calendario].[AñoMes].&amp;[" &amp; TEXT(N$6,"yyyymm") &amp; "]",
"[Base].[Metrica]",
"[Base].[Metrica].&amp;[" &amp; $A87 &amp; "]",
"[Base].[SEGMENTO_DESCRIP]",
"[Base].[SEGMENTO_DESCRIP].&amp;[" &amp; $C$6 &amp; "]",
"[Base].[SITUACION]",
"[Base].[SITUACION].&amp;[" &amp; $C87 &amp; "]"
),0)/1000</f>
        <v>-95.436121994300009</v>
      </c>
      <c r="O87" s="8">
        <f>IFERROR(
GETPIVOTDATA(
"[Base].[Importe]",
TDinamica_R!$A$5,
"[Calendario].[AñoMes]",
"[Calendario].[AñoMes].&amp;[" &amp; TEXT(O$6,"yyyymm") &amp; "]",
"[Base].[Metrica]",
"[Base].[Metrica].&amp;[" &amp; $A87 &amp; "]",
"[Base].[SEGMENTO_DESCRIP]",
"[Base].[SEGMENTO_DESCRIP].&amp;[" &amp; $C$6 &amp; "]",
"[Base].[SITUACION]",
"[Base].[SITUACION].&amp;[" &amp; $C87 &amp; "]"
),0)/1000</f>
        <v>-87.660916136499992</v>
      </c>
      <c r="P87" s="8">
        <f>IFERROR(
GETPIVOTDATA(
"[Base].[Importe]",
TDinamica_R!$A$5,
"[Calendario].[AñoMes]",
"[Calendario].[AñoMes].&amp;[" &amp; TEXT(P$6,"yyyymm") &amp; "]",
"[Base].[Metrica]",
"[Base].[Metrica].&amp;[" &amp; $A87 &amp; "]",
"[Base].[SEGMENTO_DESCRIP]",
"[Base].[SEGMENTO_DESCRIP].&amp;[" &amp; $C$6 &amp; "]",
"[Base].[SITUACION]",
"[Base].[SITUACION].&amp;[" &amp; $C87 &amp; "]"
),0)/1000</f>
        <v>-113.68126473280002</v>
      </c>
      <c r="Q87" s="8">
        <f>IFERROR(
GETPIVOTDATA(
"[Base].[Importe]",
TDinamica_R!$A$5,
"[Calendario].[AñoMes]",
"[Calendario].[AñoMes].&amp;[" &amp; TEXT(Q$6,"yyyymm") &amp; "]",
"[Base].[Metrica]",
"[Base].[Metrica].&amp;[" &amp; $A87 &amp; "]",
"[Base].[SEGMENTO_DESCRIP]",
"[Base].[SEGMENTO_DESCRIP].&amp;[" &amp; $C$6 &amp; "]",
"[Base].[SITUACION]",
"[Base].[SITUACION].&amp;[" &amp; $C87 &amp; "]"
),0)/1000</f>
        <v>-109.7412432978</v>
      </c>
      <c r="R87" s="8">
        <f>IFERROR(
GETPIVOTDATA(
"[Base].[Importe]",
TDinamica_R!$A$5,
"[Calendario].[AñoMes]",
"[Calendario].[AñoMes].&amp;[" &amp; TEXT(R$6,"yyyymm") &amp; "]",
"[Base].[Metrica]",
"[Base].[Metrica].&amp;[" &amp; $A87 &amp; "]",
"[Base].[SEGMENTO_DESCRIP]",
"[Base].[SEGMENTO_DESCRIP].&amp;[" &amp; $C$6 &amp; "]",
"[Base].[SITUACION]",
"[Base].[SITUACION].&amp;[" &amp; $C87 &amp; "]"
),0)/1000</f>
        <v>-111.69299972600001</v>
      </c>
      <c r="S87" s="8">
        <f>IFERROR(
GETPIVOTDATA(
"[Base].[Importe]",
TDinamica_R!$A$5,
"[Calendario].[AñoMes]",
"[Calendario].[AñoMes].&amp;[" &amp; TEXT(S$6,"yyyymm") &amp; "]",
"[Base].[Metrica]",
"[Base].[Metrica].&amp;[" &amp; $A87 &amp; "]",
"[Base].[SEGMENTO_DESCRIP]",
"[Base].[SEGMENTO_DESCRIP].&amp;[" &amp; $C$6 &amp; "]",
"[Base].[SITUACION]",
"[Base].[SITUACION].&amp;[" &amp; $C87 &amp; "]"
),0)/1000</f>
        <v>-105.97324157209999</v>
      </c>
      <c r="T87" s="8">
        <f>IFERROR(
GETPIVOTDATA(
"[Base].[Importe]",
TDinamica_R!$A$5,
"[Calendario].[AñoMes]",
"[Calendario].[AñoMes].&amp;[" &amp; TEXT(T$6,"yyyymm") &amp; "]",
"[Base].[Metrica]",
"[Base].[Metrica].&amp;[" &amp; $A87 &amp; "]",
"[Base].[SEGMENTO_DESCRIP]",
"[Base].[SEGMENTO_DESCRIP].&amp;[" &amp; $C$6 &amp; "]",
"[Base].[SITUACION]",
"[Base].[SITUACION].&amp;[" &amp; $C87 &amp; "]"
),0)/1000</f>
        <v>-118.1908413897</v>
      </c>
      <c r="U87" s="8">
        <f>IFERROR(
GETPIVOTDATA(
"[Base].[Importe]",
TDinamica_R!$A$5,
"[Calendario].[AñoMes]",
"[Calendario].[AñoMes].&amp;[" &amp; TEXT(U$6,"yyyymm") &amp; "]",
"[Base].[Metrica]",
"[Base].[Metrica].&amp;[" &amp; $A87 &amp; "]",
"[Base].[SEGMENTO_DESCRIP]",
"[Base].[SEGMENTO_DESCRIP].&amp;[" &amp; $C$6 &amp; "]",
"[Base].[SITUACION]",
"[Base].[SITUACION].&amp;[" &amp; $C87 &amp; "]"
),0)/1000</f>
        <v>-104.4996127643</v>
      </c>
      <c r="V87" s="8">
        <f>IFERROR(
GETPIVOTDATA(
"[Base].[Importe]",
TDinamica_R!$A$5,
"[Calendario].[AñoMes]",
"[Calendario].[AñoMes].&amp;[" &amp; TEXT(V$6,"yyyymm") &amp; "]",
"[Base].[Metrica]",
"[Base].[Metrica].&amp;[" &amp; $A87 &amp; "]",
"[Base].[SEGMENTO_DESCRIP]",
"[Base].[SEGMENTO_DESCRIP].&amp;[" &amp; $C$6 &amp; "]",
"[Base].[SITUACION]",
"[Base].[SITUACION].&amp;[" &amp; $C87 &amp; "]"
),0)/1000</f>
        <v>-112.74174606759999</v>
      </c>
      <c r="W87" s="8">
        <f>IFERROR(
GETPIVOTDATA(
"[Base].[Importe]",
TDinamica_R!$A$5,
"[Calendario].[AñoMes]",
"[Calendario].[AñoMes].&amp;[" &amp; TEXT(W$6,"yyyymm") &amp; "]",
"[Base].[Metrica]",
"[Base].[Metrica].&amp;[" &amp; $A87 &amp; "]",
"[Base].[SEGMENTO_DESCRIP]",
"[Base].[SEGMENTO_DESCRIP].&amp;[" &amp; $C$6 &amp; "]",
"[Base].[SITUACION]",
"[Base].[SITUACION].&amp;[" &amp; $C87 &amp; "]"
),0)/1000</f>
        <v>-114.89765699679999</v>
      </c>
      <c r="X87" s="8">
        <f>IFERROR(
GETPIVOTDATA(
"[Base].[Importe]",
TDinamica_R!$A$5,
"[Calendario].[AñoMes]",
"[Calendario].[AñoMes].&amp;[" &amp; TEXT(X$6,"yyyymm") &amp; "]",
"[Base].[Metrica]",
"[Base].[Metrica].&amp;[" &amp; $A87 &amp; "]",
"[Base].[SEGMENTO_DESCRIP]",
"[Base].[SEGMENTO_DESCRIP].&amp;[" &amp; $C$6 &amp; "]",
"[Base].[SITUACION]",
"[Base].[SITUACION].&amp;[" &amp; $C87 &amp; "]"
),0)/1000</f>
        <v>-120.87697212840001</v>
      </c>
      <c r="Y87" s="8">
        <f>IFERROR(
GETPIVOTDATA(
"[Base].[Importe]",
TDinamica_R!$A$5,
"[Calendario].[AñoMes]",
"[Calendario].[AñoMes].&amp;[" &amp; TEXT(Y$6,"yyyymm") &amp; "]",
"[Base].[Metrica]",
"[Base].[Metrica].&amp;[" &amp; $A87 &amp; "]",
"[Base].[SEGMENTO_DESCRIP]",
"[Base].[SEGMENTO_DESCRIP].&amp;[" &amp; $C$6 &amp; "]",
"[Base].[SITUACION]",
"[Base].[SITUACION].&amp;[" &amp; $C87 &amp; "]"
),0)/1000</f>
        <v>-119.39331483479999</v>
      </c>
      <c r="Z87" s="8">
        <f>IFERROR(
GETPIVOTDATA(
"[Base].[Importe]",
TDinamica_R!$A$5,
"[Calendario].[AñoMes]",
"[Calendario].[AñoMes].&amp;[" &amp; TEXT(Z$6,"yyyymm") &amp; "]",
"[Base].[Metrica]",
"[Base].[Metrica].&amp;[" &amp; $A87 &amp; "]",
"[Base].[SEGMENTO_DESCRIP]",
"[Base].[SEGMENTO_DESCRIP].&amp;[" &amp; $C$6 &amp; "]",
"[Base].[SITUACION]",
"[Base].[SITUACION].&amp;[" &amp; $C87 &amp; "]"
),0)/1000</f>
        <v>-111.1441668802</v>
      </c>
      <c r="AA87" s="8">
        <f>IFERROR(
GETPIVOTDATA(
"[Base].[Importe]",
TDinamica_R!$A$5,
"[Calendario].[AñoMes]",
"[Calendario].[AñoMes].&amp;[" &amp; TEXT(AA$6,"yyyymm") &amp; "]",
"[Base].[Metrica]",
"[Base].[Metrica].&amp;[" &amp; $A87 &amp; "]",
"[Base].[SEGMENTO_DESCRIP]",
"[Base].[SEGMENTO_DESCRIP].&amp;[" &amp; $C$6 &amp; "]",
"[Base].[SITUACION]",
"[Base].[SITUACION].&amp;[" &amp; $C87 &amp; "]"
),0)/1000</f>
        <v>-102.30168446019999</v>
      </c>
      <c r="AB87" s="8">
        <f>IFERROR(
GETPIVOTDATA(
"[Base].[Importe]",
TDinamica_R!$A$5,
"[Calendario].[AñoMes]",
"[Calendario].[AñoMes].&amp;[" &amp; TEXT(AB$6,"yyyymm") &amp; "]",
"[Base].[Metrica]",
"[Base].[Metrica].&amp;[" &amp; $A87 &amp; "]",
"[Base].[SEGMENTO_DESCRIP]",
"[Base].[SEGMENTO_DESCRIP].&amp;[" &amp; $C$6 &amp; "]",
"[Base].[SITUACION]",
"[Base].[SITUACION].&amp;[" &amp; $C87 &amp; "]"
),0)/1000</f>
        <v>-128.11961236530001</v>
      </c>
      <c r="AC87" s="8">
        <f>IFERROR(
GETPIVOTDATA(
"[Base].[Importe]",
TDinamica_R!$A$5,
"[Calendario].[AñoMes]",
"[Calendario].[AñoMes].&amp;[" &amp; TEXT(AC$6,"yyyymm") &amp; "]",
"[Base].[Metrica]",
"[Base].[Metrica].&amp;[" &amp; $A87 &amp; "]",
"[Base].[SEGMENTO_DESCRIP]",
"[Base].[SEGMENTO_DESCRIP].&amp;[" &amp; $C$6 &amp; "]",
"[Base].[SITUACION]",
"[Base].[SITUACION].&amp;[" &amp; $C87 &amp; "]"
),0)/1000</f>
        <v>-109.26255330960001</v>
      </c>
      <c r="AD87" s="8">
        <f>IFERROR(
GETPIVOTDATA(
"[Base].[Importe]",
TDinamica_R!$A$5,
"[Calendario].[AñoMes]",
"[Calendario].[AñoMes].&amp;[" &amp; TEXT(AD$6,"yyyymm") &amp; "]",
"[Base].[Metrica]",
"[Base].[Metrica].&amp;[" &amp; $A87 &amp; "]",
"[Base].[SEGMENTO_DESCRIP]",
"[Base].[SEGMENTO_DESCRIP].&amp;[" &amp; $C$6 &amp; "]",
"[Base].[SITUACION]",
"[Base].[SITUACION].&amp;[" &amp; $C87 &amp; "]"
),0)/1000</f>
        <v>-124.40682977119999</v>
      </c>
      <c r="AE87" s="8">
        <f>IFERROR(
GETPIVOTDATA(
"[Base].[Importe]",
TDinamica_R!$A$5,
"[Calendario].[AñoMes]",
"[Calendario].[AñoMes].&amp;[" &amp; TEXT(AE$6,"yyyymm") &amp; "]",
"[Base].[Metrica]",
"[Base].[Metrica].&amp;[" &amp; $A87 &amp; "]",
"[Base].[SEGMENTO_DESCRIP]",
"[Base].[SEGMENTO_DESCRIP].&amp;[" &amp; $C$6 &amp; "]",
"[Base].[SITUACION]",
"[Base].[SITUACION].&amp;[" &amp; $C87 &amp; "]"
),0)/1000</f>
        <v>-124.7396961777</v>
      </c>
      <c r="AF87" s="8">
        <f>IFERROR(
GETPIVOTDATA(
"[Base].[Importe]",
TDinamica_R!$A$5,
"[Calendario].[AñoMes]",
"[Calendario].[AñoMes].&amp;[" &amp; TEXT(AF$6,"yyyymm") &amp; "]",
"[Base].[Metrica]",
"[Base].[Metrica].&amp;[" &amp; $A87 &amp; "]",
"[Base].[SEGMENTO_DESCRIP]",
"[Base].[SEGMENTO_DESCRIP].&amp;[" &amp; $C$6 &amp; "]",
"[Base].[SITUACION]",
"[Base].[SITUACION].&amp;[" &amp; $C87 &amp; "]"
),0)/1000</f>
        <v>-122.26823147250002</v>
      </c>
      <c r="AG87" s="8">
        <f>IFERROR(
GETPIVOTDATA(
"[Base].[Importe]",
TDinamica_R!$A$5,
"[Calendario].[AñoMes]",
"[Calendario].[AñoMes].&amp;[" &amp; TEXT(AG$6,"yyyymm") &amp; "]",
"[Base].[Metrica]",
"[Base].[Metrica].&amp;[" &amp; $A87 &amp; "]",
"[Base].[SEGMENTO_DESCRIP]",
"[Base].[SEGMENTO_DESCRIP].&amp;[" &amp; $C$6 &amp; "]",
"[Base].[SITUACION]",
"[Base].[SITUACION].&amp;[" &amp; $C87 &amp; "]"
),0)/1000</f>
        <v>-109.45180016530001</v>
      </c>
      <c r="AH87" s="8">
        <f>IFERROR(
GETPIVOTDATA(
"[Base].[Importe]",
TDinamica_R!$A$5,
"[Calendario].[AñoMes]",
"[Calendario].[AñoMes].&amp;[" &amp; TEXT(AH$6,"yyyymm") &amp; "]",
"[Base].[Metrica]",
"[Base].[Metrica].&amp;[" &amp; $A87 &amp; "]",
"[Base].[SEGMENTO_DESCRIP]",
"[Base].[SEGMENTO_DESCRIP].&amp;[" &amp; $C$6 &amp; "]",
"[Base].[SITUACION]",
"[Base].[SITUACION].&amp;[" &amp; $C87 &amp; "]"
),0)/1000</f>
        <v>-104.01893592889999</v>
      </c>
      <c r="AI87" s="8">
        <f>IFERROR(
GETPIVOTDATA(
"[Base].[Importe]",
TDinamica_R!$A$5,
"[Calendario].[AñoMes]",
"[Calendario].[AñoMes].&amp;[" &amp; TEXT(AI$6,"yyyymm") &amp; "]",
"[Base].[Metrica]",
"[Base].[Metrica].&amp;[" &amp; $A87 &amp; "]",
"[Base].[SEGMENTO_DESCRIP]",
"[Base].[SEGMENTO_DESCRIP].&amp;[" &amp; $C$6 &amp; "]",
"[Base].[SITUACION]",
"[Base].[SITUACION].&amp;[" &amp; $C87 &amp; "]"
),0)/1000</f>
        <v>-100.879675019</v>
      </c>
      <c r="AJ87" s="8">
        <f>IFERROR(
GETPIVOTDATA(
"[Base].[Importe]",
TDinamica_R!$A$5,
"[Calendario].[AñoMes]",
"[Calendario].[AñoMes].&amp;[" &amp; TEXT(AJ$6,"yyyymm") &amp; "]",
"[Base].[Metrica]",
"[Base].[Metrica].&amp;[" &amp; $A87 &amp; "]",
"[Base].[SEGMENTO_DESCRIP]",
"[Base].[SEGMENTO_DESCRIP].&amp;[" &amp; $C$6 &amp; "]",
"[Base].[SITUACION]",
"[Base].[SITUACION].&amp;[" &amp; $C87 &amp; "]"
),0)/1000</f>
        <v>-96.996180175399985</v>
      </c>
      <c r="AK87" s="8">
        <f>IFERROR(
GETPIVOTDATA(
"[Base].[Importe]",
TDinamica_R!$A$5,
"[Calendario].[AñoMes]",
"[Calendario].[AñoMes].&amp;[" &amp; TEXT(AK$6,"yyyymm") &amp; "]",
"[Base].[Metrica]",
"[Base].[Metrica].&amp;[" &amp; $A87 &amp; "]",
"[Base].[SEGMENTO_DESCRIP]",
"[Base].[SEGMENTO_DESCRIP].&amp;[" &amp; $C$6 &amp; "]",
"[Base].[SITUACION]",
"[Base].[SITUACION].&amp;[" &amp; $C87 &amp; "]"
),0)/1000</f>
        <v>-103.68196039800002</v>
      </c>
      <c r="AL87" s="8">
        <f>IFERROR(
GETPIVOTDATA(
"[Base].[Importe]",
TDinamica_R!$A$5,
"[Calendario].[AñoMes]",
"[Calendario].[AñoMes].&amp;[" &amp; TEXT(AL$6,"yyyymm") &amp; "]",
"[Base].[Metrica]",
"[Base].[Metrica].&amp;[" &amp; $A87 &amp; "]",
"[Base].[SEGMENTO_DESCRIP]",
"[Base].[SEGMENTO_DESCRIP].&amp;[" &amp; $C$6 &amp; "]",
"[Base].[SITUACION]",
"[Base].[SITUACION].&amp;[" &amp; $C87 &amp; "]"
),0)/1000</f>
        <v>-108.87102204039999</v>
      </c>
      <c r="AM87" s="8">
        <f>IFERROR(
GETPIVOTDATA(
"[Base].[Importe]",
TDinamica_R!$A$5,
"[Calendario].[AñoMes]",
"[Calendario].[AñoMes].&amp;[" &amp; TEXT(AM$6,"yyyymm") &amp; "]",
"[Base].[Metrica]",
"[Base].[Metrica].&amp;[" &amp; $A87 &amp; "]",
"[Base].[SEGMENTO_DESCRIP]",
"[Base].[SEGMENTO_DESCRIP].&amp;[" &amp; $C$6 &amp; "]",
"[Base].[SITUACION]",
"[Base].[SITUACION].&amp;[" &amp; $C87 &amp; "]"
),0)/1000</f>
        <v>-98.525412414199991</v>
      </c>
      <c r="AN87" s="8">
        <f>IFERROR(
GETPIVOTDATA(
"[Base].[Importe]",
TDinamica_R!$A$5,
"[Calendario].[AñoMes]",
"[Calendario].[AñoMes].&amp;[" &amp; TEXT(AN$6,"yyyymm") &amp; "]",
"[Base].[Metrica]",
"[Base].[Metrica].&amp;[" &amp; $A87 &amp; "]",
"[Base].[SEGMENTO_DESCRIP]",
"[Base].[SEGMENTO_DESCRIP].&amp;[" &amp; $C$6 &amp; "]",
"[Base].[SITUACION]",
"[Base].[SITUACION].&amp;[" &amp; $C87 &amp; "]"
),0)/1000</f>
        <v>-104.8502523471</v>
      </c>
      <c r="AO87" s="8">
        <f>IFERROR(
GETPIVOTDATA(
"[Base].[Importe]",
TDinamica_R!$A$5,
"[Calendario].[AñoMes]",
"[Calendario].[AñoMes].&amp;[" &amp; TEXT(AO$6,"yyyymm") &amp; "]",
"[Base].[Metrica]",
"[Base].[Metrica].&amp;[" &amp; $A87 &amp; "]",
"[Base].[SEGMENTO_DESCRIP]",
"[Base].[SEGMENTO_DESCRIP].&amp;[" &amp; $C$6 &amp; "]",
"[Base].[SITUACION]",
"[Base].[SITUACION].&amp;[" &amp; $C87 &amp; "]"
),0)/1000</f>
        <v>-139.57648493670001</v>
      </c>
      <c r="AP87" s="8">
        <f>IFERROR(
GETPIVOTDATA(
"[Base].[Importe]",
TDinamica_R!$A$5,
"[Calendario].[AñoMes]",
"[Calendario].[AñoMes].&amp;[" &amp; TEXT(AP$6,"yyyymm") &amp; "]",
"[Base].[Metrica]",
"[Base].[Metrica].&amp;[" &amp; $A87 &amp; "]",
"[Base].[SEGMENTO_DESCRIP]",
"[Base].[SEGMENTO_DESCRIP].&amp;[" &amp; $C$6 &amp; "]",
"[Base].[SITUACION]",
"[Base].[SITUACION].&amp;[" &amp; $C87 &amp; "]"
),0)/1000</f>
        <v>-140.05495044370002</v>
      </c>
      <c r="AQ87" s="8">
        <f>IFERROR(
GETPIVOTDATA(
"[Base].[Importe]",
TDinamica_R!$A$5,
"[Calendario].[AñoMes]",
"[Calendario].[AñoMes].&amp;[" &amp; TEXT(AQ$6,"yyyymm") &amp; "]",
"[Base].[Metrica]",
"[Base].[Metrica].&amp;[" &amp; $A87 &amp; "]",
"[Base].[SEGMENTO_DESCRIP]",
"[Base].[SEGMENTO_DESCRIP].&amp;[" &amp; $C$6 &amp; "]",
"[Base].[SITUACION]",
"[Base].[SITUACION].&amp;[" &amp; $C87 &amp; "]"
),0)/1000</f>
        <v>-171.87398440299998</v>
      </c>
      <c r="AR87" s="8">
        <f>IFERROR(
GETPIVOTDATA(
"[Base].[Importe]",
TDinamica_R!$A$5,
"[Calendario].[AñoMes]",
"[Calendario].[AñoMes].&amp;[" &amp; TEXT(AR$6,"yyyymm") &amp; "]",
"[Base].[Metrica]",
"[Base].[Metrica].&amp;[" &amp; $A87 &amp; "]",
"[Base].[SEGMENTO_DESCRIP]",
"[Base].[SEGMENTO_DESCRIP].&amp;[" &amp; $C$6 &amp; "]",
"[Base].[SITUACION]",
"[Base].[SITUACION].&amp;[" &amp; $C87 &amp; "]"
),0)/1000</f>
        <v>-137.85248666850001</v>
      </c>
      <c r="AS87" s="8">
        <f>IFERROR(
GETPIVOTDATA(
"[Base].[Importe]",
TDinamica_R!$A$5,
"[Calendario].[AñoMes]",
"[Calendario].[AñoMes].&amp;[" &amp; TEXT(AS$6,"yyyymm") &amp; "]",
"[Base].[Metrica]",
"[Base].[Metrica].&amp;[" &amp; $A87 &amp; "]",
"[Base].[SEGMENTO_DESCRIP]",
"[Base].[SEGMENTO_DESCRIP].&amp;[" &amp; $C$6 &amp; "]",
"[Base].[SITUACION]",
"[Base].[SITUACION].&amp;[" &amp; $C87 &amp; "]"
),0)/1000</f>
        <v>-130.36219731899999</v>
      </c>
      <c r="AT87" s="8">
        <f>IFERROR(
GETPIVOTDATA(
"[Base].[Importe]",
TDinamica_R!$A$5,
"[Calendario].[AñoMes]",
"[Calendario].[AñoMes].&amp;[" &amp; TEXT(AT$6,"yyyymm")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U87" s="8">
        <f>IFERROR(
GETPIVOTDATA(
"[Base].[Importe]",
TDinamica_R!$A$5,
"[Calendario].[AñoMes]",
"[Calendario].[AñoMes].&amp;[" &amp; TEXT(AU$6,"yyyymm")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V87" s="8">
        <f>IFERROR(
GETPIVOTDATA(
"[Base].[Importe]",
TDinamica_R!$A$5,
"[Calendario].[AñoMes]",
"[Calendario].[AñoMes].&amp;[" &amp; TEXT(AV$6,"yyyymm")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W87" s="8">
        <f>IFERROR(
GETPIVOTDATA(
"[Base].[Importe]",
TDinamica_R!$A$5,
"[Calendario].[AñoMes]",
"[Calendario].[AñoMes].&amp;[" &amp; TEXT(AW$6,"yyyymm")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X87" s="8">
        <f>IFERROR(
GETPIVOTDATA(
"[Base].[Importe]",
TDinamica_R!$A$5,
"[Calendario].[AñoMes]",
"[Calendario].[AñoMes].&amp;[" &amp; TEXT(AX$6,"yyyymm")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Y87" s="8">
        <f>IFERROR(
GETPIVOTDATA(
"[Base].[Importe]",
TDinamica_R!$A$5,
"[Calendario].[AñoMes]",
"[Calendario].[AñoMes].&amp;[" &amp; TEXT(AY$6,"yyyymm") &amp; "]",
"[Base].[Metrica]",
"[Base].[Metrica].&amp;[" &amp; $A87 &amp; "]",
"[Base].[SEGMENTO_DESCRIP]",
"[Base].[SEGMENTO_DESCRIP].&amp;[" &amp; $C$6 &amp; "]",
"[Base].[SITUACION]",
"[Base].[SITUACION].&amp;[" &amp; $C87 &amp; "]"
),0)/1000</f>
        <v>0</v>
      </c>
      <c r="AZ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"[BASE_HIPO_PPTO].[Periodo]","[BASE_HIPO_PPTO].[Periodo].&amp;["&amp;TEXT(AZ$6,"yyyymm")&amp;"]"),
0)/1000</f>
        <v>-125.68665819740001</v>
      </c>
      <c r="BA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"[BASE_HIPO_PPTO].[Periodo]","[BASE_HIPO_PPTO].[Periodo].&amp;["&amp;TEXT(BA$6,"yyyymm")&amp;"]"),
0)/1000</f>
        <v>-120.3157493281</v>
      </c>
      <c r="BB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"[BASE_HIPO_PPTO].[Periodo]","[BASE_HIPO_PPTO].[Periodo].&amp;["&amp;TEXT(BB$6,"yyyymm")&amp;"]"),
0)/1000</f>
        <v>-117.91594777700001</v>
      </c>
      <c r="BC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"[BASE_HIPO_PPTO].[Periodo]","[BASE_HIPO_PPTO].[Periodo].&amp;["&amp;TEXT(BC$6,"yyyymm")&amp;"]"),
0)/1000</f>
        <v>-112.0016455393</v>
      </c>
      <c r="BD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"[BASE_HIPO_PPTO].[Periodo]","[BASE_HIPO_PPTO].[Periodo].&amp;["&amp;TEXT(BD$6,"yyyymm")&amp;"]"),
0)/1000</f>
        <v>-115.83748862399999</v>
      </c>
      <c r="BE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"[BASE_HIPO_PPTO].[Periodo]","[BASE_HIPO_PPTO].[Periodo].&amp;["&amp;TEXT(BE$6,"yyyymm")&amp;"]"),
0)/1000</f>
        <v>-114.08401568929999</v>
      </c>
      <c r="BF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"[BASE_HIPO_PPTO].[Periodo]","[BASE_HIPO_PPTO].[Periodo].&amp;["&amp;TEXT(BF$6,"yyyymm")&amp;"]"),
0)/1000</f>
        <v>-107.19840906180002</v>
      </c>
      <c r="BG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"[BASE_HIPO_PPTO].[Periodo]","[BASE_HIPO_PPTO].[Periodo].&amp;["&amp;TEXT(BG$6,"yyyymm")&amp;"]"),
0)/1000</f>
        <v>-106.0842493139</v>
      </c>
      <c r="BH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"[BASE_HIPO_PPTO].[Periodo]","[BASE_HIPO_PPTO].[Periodo].&amp;["&amp;TEXT(BH$6,"yyyymm")&amp;"]"),
0)/1000</f>
        <v>-108.30644067910001</v>
      </c>
      <c r="BI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"[BASE_HIPO_PPTO].[Periodo]","[BASE_HIPO_PPTO].[Periodo].&amp;["&amp;TEXT(BI$6,"yyyymm")&amp;"]"),
0)/1000</f>
        <v>-111.86885605329998</v>
      </c>
      <c r="BJ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"[BASE_HIPO_PPTO].[Periodo]","[BASE_HIPO_PPTO].[Periodo].&amp;["&amp;TEXT(BJ$6,"yyyymm")&amp;"]"),
0)/1000</f>
        <v>-117.42165012879998</v>
      </c>
      <c r="BK87" s="8">
        <f>IFERROR(
GETPIVOTDATA(
"[BASE_HIPO_PPTO].[Importe]",
TDinamica_P!$A$5,
"[BASE_HIPO_PPTO].[Metrica]","[BASE_HIPO_PPTO].[Metrica].&amp;["&amp;$A87&amp;"]",
"[BASE_HIPO_PPTO].[SEGMENTO_DESCRIP]","[BASE_HIPO_PPTO].[SEGMENTO_DESCRIP].&amp;["&amp;$C$6&amp;"]",
"[BASE_HIPO_PPTO].[SITUACION]","[BASE_HIPO_PPTO].[SITUACION].&amp;["&amp;$C87&amp;"]",
"[BASE_HIPO_PPTO].[Periodo]","[BASE_HIPO_PPTO].[Periodo].&amp;["&amp;TEXT(BK$6,"yyyymm")&amp;"]"),
0)/1000</f>
        <v>-124.5580671252</v>
      </c>
      <c r="BO87" s="24">
        <f t="shared" si="68"/>
        <v>-384.4816877275</v>
      </c>
      <c r="BP87" s="24">
        <f t="shared" si="68"/>
        <v>-363.9183553025</v>
      </c>
      <c r="BQ87" s="24">
        <f t="shared" si="68"/>
        <v>-244.42673728380001</v>
      </c>
      <c r="BR87" s="24">
        <f t="shared" si="68"/>
        <v>-361.78899544609999</v>
      </c>
      <c r="BS87" s="24">
        <f t="shared" si="68"/>
        <v>-335.11550775659998</v>
      </c>
      <c r="BT87" s="24">
        <f t="shared" si="68"/>
        <v>-214.77973355330002</v>
      </c>
    </row>
    <row r="88" spans="1:72" hidden="1" outlineLevel="1" x14ac:dyDescent="0.25">
      <c r="A88" s="11" t="s">
        <v>76</v>
      </c>
      <c r="C88" s="2" t="s">
        <v>80</v>
      </c>
      <c r="D88" s="8">
        <f>IFERROR(
GETPIVOTDATA(
"[Base].[Importe]",
TDinamica_R!$A$5,
"[Calendario].[AñoMes]",
"[Calendario].[AñoMes].&amp;[" &amp; TEXT(D$6,"yyyymm") &amp; "]",
"[Base].[Metrica]",
"[Base].[Metrica].&amp;[" &amp; $A88 &amp; "]",
"[Base].[SEGMENTO_DESCRIP]",
"[Base].[SEGMENTO_DESCRIP].&amp;[" &amp; $C$6 &amp; "]",
"[Base].[SITUACION]",
"[Base].[SITUACION].&amp;[" &amp; $C88 &amp; "]"
),0)/1000</f>
        <v>-19.6576437278</v>
      </c>
      <c r="E88" s="8">
        <f>IFERROR(
GETPIVOTDATA(
"[Base].[Importe]",
TDinamica_R!$A$5,
"[Calendario].[AñoMes]",
"[Calendario].[AñoMes].&amp;[" &amp; TEXT(E$6,"yyyymm") &amp; "]",
"[Base].[Metrica]",
"[Base].[Metrica].&amp;[" &amp; $A88 &amp; "]",
"[Base].[SEGMENTO_DESCRIP]",
"[Base].[SEGMENTO_DESCRIP].&amp;[" &amp; $C$6 &amp; "]",
"[Base].[SITUACION]",
"[Base].[SITUACION].&amp;[" &amp; $C88 &amp; "]"
),0)/1000</f>
        <v>-20.216778515599998</v>
      </c>
      <c r="F88" s="8">
        <f>IFERROR(
GETPIVOTDATA(
"[Base].[Importe]",
TDinamica_R!$A$5,
"[Calendario].[AñoMes]",
"[Calendario].[AñoMes].&amp;[" &amp; TEXT(F$6,"yyyymm") &amp; "]",
"[Base].[Metrica]",
"[Base].[Metrica].&amp;[" &amp; $A88 &amp; "]",
"[Base].[SEGMENTO_DESCRIP]",
"[Base].[SEGMENTO_DESCRIP].&amp;[" &amp; $C$6 &amp; "]",
"[Base].[SITUACION]",
"[Base].[SITUACION].&amp;[" &amp; $C88 &amp; "]"
),0)/1000</f>
        <v>-21.104618405699998</v>
      </c>
      <c r="G88" s="8">
        <f>IFERROR(
GETPIVOTDATA(
"[Base].[Importe]",
TDinamica_R!$A$5,
"[Calendario].[AñoMes]",
"[Calendario].[AñoMes].&amp;[" &amp; TEXT(G$6,"yyyymm") &amp; "]",
"[Base].[Metrica]",
"[Base].[Metrica].&amp;[" &amp; $A88 &amp; "]",
"[Base].[SEGMENTO_DESCRIP]",
"[Base].[SEGMENTO_DESCRIP].&amp;[" &amp; $C$6 &amp; "]",
"[Base].[SITUACION]",
"[Base].[SITUACION].&amp;[" &amp; $C88 &amp; "]"
),0)/1000</f>
        <v>-20.918162023999997</v>
      </c>
      <c r="H88" s="8">
        <f>IFERROR(
GETPIVOTDATA(
"[Base].[Importe]",
TDinamica_R!$A$5,
"[Calendario].[AñoMes]",
"[Calendario].[AñoMes].&amp;[" &amp; TEXT(H$6,"yyyymm") &amp; "]",
"[Base].[Metrica]",
"[Base].[Metrica].&amp;[" &amp; $A88 &amp; "]",
"[Base].[SEGMENTO_DESCRIP]",
"[Base].[SEGMENTO_DESCRIP].&amp;[" &amp; $C$6 &amp; "]",
"[Base].[SITUACION]",
"[Base].[SITUACION].&amp;[" &amp; $C88 &amp; "]"
),0)/1000</f>
        <v>-19.413308988700003</v>
      </c>
      <c r="I88" s="8">
        <f>IFERROR(
GETPIVOTDATA(
"[Base].[Importe]",
TDinamica_R!$A$5,
"[Calendario].[AñoMes]",
"[Calendario].[AñoMes].&amp;[" &amp; TEXT(I$6,"yyyymm") &amp; "]",
"[Base].[Metrica]",
"[Base].[Metrica].&amp;[" &amp; $A88 &amp; "]",
"[Base].[SEGMENTO_DESCRIP]",
"[Base].[SEGMENTO_DESCRIP].&amp;[" &amp; $C$6 &amp; "]",
"[Base].[SITUACION]",
"[Base].[SITUACION].&amp;[" &amp; $C88 &amp; "]"
),0)/1000</f>
        <v>-19.545990374700001</v>
      </c>
      <c r="J88" s="8">
        <f>IFERROR(
GETPIVOTDATA(
"[Base].[Importe]",
TDinamica_R!$A$5,
"[Calendario].[AñoMes]",
"[Calendario].[AñoMes].&amp;[" &amp; TEXT(J$6,"yyyymm") &amp; "]",
"[Base].[Metrica]",
"[Base].[Metrica].&amp;[" &amp; $A88 &amp; "]",
"[Base].[SEGMENTO_DESCRIP]",
"[Base].[SEGMENTO_DESCRIP].&amp;[" &amp; $C$6 &amp; "]",
"[Base].[SITUACION]",
"[Base].[SITUACION].&amp;[" &amp; $C88 &amp; "]"
),0)/1000</f>
        <v>-19.2546716401</v>
      </c>
      <c r="K88" s="8">
        <f>IFERROR(
GETPIVOTDATA(
"[Base].[Importe]",
TDinamica_R!$A$5,
"[Calendario].[AñoMes]",
"[Calendario].[AñoMes].&amp;[" &amp; TEXT(K$6,"yyyymm") &amp; "]",
"[Base].[Metrica]",
"[Base].[Metrica].&amp;[" &amp; $A88 &amp; "]",
"[Base].[SEGMENTO_DESCRIP]",
"[Base].[SEGMENTO_DESCRIP].&amp;[" &amp; $C$6 &amp; "]",
"[Base].[SITUACION]",
"[Base].[SITUACION].&amp;[" &amp; $C88 &amp; "]"
),0)/1000</f>
        <v>-18.714507341300003</v>
      </c>
      <c r="L88" s="8">
        <f>IFERROR(
GETPIVOTDATA(
"[Base].[Importe]",
TDinamica_R!$A$5,
"[Calendario].[AñoMes]",
"[Calendario].[AñoMes].&amp;[" &amp; TEXT(L$6,"yyyymm") &amp; "]",
"[Base].[Metrica]",
"[Base].[Metrica].&amp;[" &amp; $A88 &amp; "]",
"[Base].[SEGMENTO_DESCRIP]",
"[Base].[SEGMENTO_DESCRIP].&amp;[" &amp; $C$6 &amp; "]",
"[Base].[SITUACION]",
"[Base].[SITUACION].&amp;[" &amp; $C88 &amp; "]"
),0)/1000</f>
        <v>-21.782086081200003</v>
      </c>
      <c r="M88" s="8">
        <f>IFERROR(
GETPIVOTDATA(
"[Base].[Importe]",
TDinamica_R!$A$5,
"[Calendario].[AñoMes]",
"[Calendario].[AñoMes].&amp;[" &amp; TEXT(M$6,"yyyymm") &amp; "]",
"[Base].[Metrica]",
"[Base].[Metrica].&amp;[" &amp; $A88 &amp; "]",
"[Base].[SEGMENTO_DESCRIP]",
"[Base].[SEGMENTO_DESCRIP].&amp;[" &amp; $C$6 &amp; "]",
"[Base].[SITUACION]",
"[Base].[SITUACION].&amp;[" &amp; $C88 &amp; "]"
),0)/1000</f>
        <v>-17.913084633899999</v>
      </c>
      <c r="N88" s="8">
        <f>IFERROR(
GETPIVOTDATA(
"[Base].[Importe]",
TDinamica_R!$A$5,
"[Calendario].[AñoMes]",
"[Calendario].[AñoMes].&amp;[" &amp; TEXT(N$6,"yyyymm") &amp; "]",
"[Base].[Metrica]",
"[Base].[Metrica].&amp;[" &amp; $A88 &amp; "]",
"[Base].[SEGMENTO_DESCRIP]",
"[Base].[SEGMENTO_DESCRIP].&amp;[" &amp; $C$6 &amp; "]",
"[Base].[SITUACION]",
"[Base].[SITUACION].&amp;[" &amp; $C88 &amp; "]"
),0)/1000</f>
        <v>-18.967875051700002</v>
      </c>
      <c r="O88" s="8">
        <f>IFERROR(
GETPIVOTDATA(
"[Base].[Importe]",
TDinamica_R!$A$5,
"[Calendario].[AñoMes]",
"[Calendario].[AñoMes].&amp;[" &amp; TEXT(O$6,"yyyymm") &amp; "]",
"[Base].[Metrica]",
"[Base].[Metrica].&amp;[" &amp; $A88 &amp; "]",
"[Base].[SEGMENTO_DESCRIP]",
"[Base].[SEGMENTO_DESCRIP].&amp;[" &amp; $C$6 &amp; "]",
"[Base].[SITUACION]",
"[Base].[SITUACION].&amp;[" &amp; $C88 &amp; "]"
),0)/1000</f>
        <v>-15.9046686802</v>
      </c>
      <c r="P88" s="8">
        <f>IFERROR(
GETPIVOTDATA(
"[Base].[Importe]",
TDinamica_R!$A$5,
"[Calendario].[AñoMes]",
"[Calendario].[AñoMes].&amp;[" &amp; TEXT(P$6,"yyyymm") &amp; "]",
"[Base].[Metrica]",
"[Base].[Metrica].&amp;[" &amp; $A88 &amp; "]",
"[Base].[SEGMENTO_DESCRIP]",
"[Base].[SEGMENTO_DESCRIP].&amp;[" &amp; $C$6 &amp; "]",
"[Base].[SITUACION]",
"[Base].[SITUACION].&amp;[" &amp; $C88 &amp; "]"
),0)/1000</f>
        <v>-17.936606467999997</v>
      </c>
      <c r="Q88" s="8">
        <f>IFERROR(
GETPIVOTDATA(
"[Base].[Importe]",
TDinamica_R!$A$5,
"[Calendario].[AñoMes]",
"[Calendario].[AñoMes].&amp;[" &amp; TEXT(Q$6,"yyyymm") &amp; "]",
"[Base].[Metrica]",
"[Base].[Metrica].&amp;[" &amp; $A88 &amp; "]",
"[Base].[SEGMENTO_DESCRIP]",
"[Base].[SEGMENTO_DESCRIP].&amp;[" &amp; $C$6 &amp; "]",
"[Base].[SITUACION]",
"[Base].[SITUACION].&amp;[" &amp; $C88 &amp; "]"
),0)/1000</f>
        <v>-20.456618022799997</v>
      </c>
      <c r="R88" s="8">
        <f>IFERROR(
GETPIVOTDATA(
"[Base].[Importe]",
TDinamica_R!$A$5,
"[Calendario].[AñoMes]",
"[Calendario].[AñoMes].&amp;[" &amp; TEXT(R$6,"yyyymm") &amp; "]",
"[Base].[Metrica]",
"[Base].[Metrica].&amp;[" &amp; $A88 &amp; "]",
"[Base].[SEGMENTO_DESCRIP]",
"[Base].[SEGMENTO_DESCRIP].&amp;[" &amp; $C$6 &amp; "]",
"[Base].[SITUACION]",
"[Base].[SITUACION].&amp;[" &amp; $C88 &amp; "]"
),0)/1000</f>
        <v>-18.031014555900001</v>
      </c>
      <c r="S88" s="8">
        <f>IFERROR(
GETPIVOTDATA(
"[Base].[Importe]",
TDinamica_R!$A$5,
"[Calendario].[AñoMes]",
"[Calendario].[AñoMes].&amp;[" &amp; TEXT(S$6,"yyyymm") &amp; "]",
"[Base].[Metrica]",
"[Base].[Metrica].&amp;[" &amp; $A88 &amp; "]",
"[Base].[SEGMENTO_DESCRIP]",
"[Base].[SEGMENTO_DESCRIP].&amp;[" &amp; $C$6 &amp; "]",
"[Base].[SITUACION]",
"[Base].[SITUACION].&amp;[" &amp; $C88 &amp; "]"
),0)/1000</f>
        <v>-19.178696745699998</v>
      </c>
      <c r="T88" s="8">
        <f>IFERROR(
GETPIVOTDATA(
"[Base].[Importe]",
TDinamica_R!$A$5,
"[Calendario].[AñoMes]",
"[Calendario].[AñoMes].&amp;[" &amp; TEXT(T$6,"yyyymm") &amp; "]",
"[Base].[Metrica]",
"[Base].[Metrica].&amp;[" &amp; $A88 &amp; "]",
"[Base].[SEGMENTO_DESCRIP]",
"[Base].[SEGMENTO_DESCRIP].&amp;[" &amp; $C$6 &amp; "]",
"[Base].[SITUACION]",
"[Base].[SITUACION].&amp;[" &amp; $C88 &amp; "]"
),0)/1000</f>
        <v>-20.177500371099999</v>
      </c>
      <c r="U88" s="8">
        <f>IFERROR(
GETPIVOTDATA(
"[Base].[Importe]",
TDinamica_R!$A$5,
"[Calendario].[AñoMes]",
"[Calendario].[AñoMes].&amp;[" &amp; TEXT(U$6,"yyyymm") &amp; "]",
"[Base].[Metrica]",
"[Base].[Metrica].&amp;[" &amp; $A88 &amp; "]",
"[Base].[SEGMENTO_DESCRIP]",
"[Base].[SEGMENTO_DESCRIP].&amp;[" &amp; $C$6 &amp; "]",
"[Base].[SITUACION]",
"[Base].[SITUACION].&amp;[" &amp; $C88 &amp; "]"
),0)/1000</f>
        <v>-58.5185992161</v>
      </c>
      <c r="V88" s="8">
        <f>IFERROR(
GETPIVOTDATA(
"[Base].[Importe]",
TDinamica_R!$A$5,
"[Calendario].[AñoMes]",
"[Calendario].[AñoMes].&amp;[" &amp; TEXT(V$6,"yyyymm") &amp; "]",
"[Base].[Metrica]",
"[Base].[Metrica].&amp;[" &amp; $A88 &amp; "]",
"[Base].[SEGMENTO_DESCRIP]",
"[Base].[SEGMENTO_DESCRIP].&amp;[" &amp; $C$6 &amp; "]",
"[Base].[SITUACION]",
"[Base].[SITUACION].&amp;[" &amp; $C88 &amp; "]"
),0)/1000</f>
        <v>-35.392335500999998</v>
      </c>
      <c r="W88" s="8">
        <f>IFERROR(
GETPIVOTDATA(
"[Base].[Importe]",
TDinamica_R!$A$5,
"[Calendario].[AñoMes]",
"[Calendario].[AñoMes].&amp;[" &amp; TEXT(W$6,"yyyymm") &amp; "]",
"[Base].[Metrica]",
"[Base].[Metrica].&amp;[" &amp; $A88 &amp; "]",
"[Base].[SEGMENTO_DESCRIP]",
"[Base].[SEGMENTO_DESCRIP].&amp;[" &amp; $C$6 &amp; "]",
"[Base].[SITUACION]",
"[Base].[SITUACION].&amp;[" &amp; $C88 &amp; "]"
),0)/1000</f>
        <v>-26.308241091999996</v>
      </c>
      <c r="X88" s="8">
        <f>IFERROR(
GETPIVOTDATA(
"[Base].[Importe]",
TDinamica_R!$A$5,
"[Calendario].[AñoMes]",
"[Calendario].[AñoMes].&amp;[" &amp; TEXT(X$6,"yyyymm") &amp; "]",
"[Base].[Metrica]",
"[Base].[Metrica].&amp;[" &amp; $A88 &amp; "]",
"[Base].[SEGMENTO_DESCRIP]",
"[Base].[SEGMENTO_DESCRIP].&amp;[" &amp; $C$6 &amp; "]",
"[Base].[SITUACION]",
"[Base].[SITUACION].&amp;[" &amp; $C88 &amp; "]"
),0)/1000</f>
        <v>-21.706208203599999</v>
      </c>
      <c r="Y88" s="8">
        <f>IFERROR(
GETPIVOTDATA(
"[Base].[Importe]",
TDinamica_R!$A$5,
"[Calendario].[AñoMes]",
"[Calendario].[AñoMes].&amp;[" &amp; TEXT(Y$6,"yyyymm") &amp; "]",
"[Base].[Metrica]",
"[Base].[Metrica].&amp;[" &amp; $A88 &amp; "]",
"[Base].[SEGMENTO_DESCRIP]",
"[Base].[SEGMENTO_DESCRIP].&amp;[" &amp; $C$6 &amp; "]",
"[Base].[SITUACION]",
"[Base].[SITUACION].&amp;[" &amp; $C88 &amp; "]"
),0)/1000</f>
        <v>-22.0114033461</v>
      </c>
      <c r="Z88" s="8">
        <f>IFERROR(
GETPIVOTDATA(
"[Base].[Importe]",
TDinamica_R!$A$5,
"[Calendario].[AñoMes]",
"[Calendario].[AñoMes].&amp;[" &amp; TEXT(Z$6,"yyyymm") &amp; "]",
"[Base].[Metrica]",
"[Base].[Metrica].&amp;[" &amp; $A88 &amp; "]",
"[Base].[SEGMENTO_DESCRIP]",
"[Base].[SEGMENTO_DESCRIP].&amp;[" &amp; $C$6 &amp; "]",
"[Base].[SITUACION]",
"[Base].[SITUACION].&amp;[" &amp; $C88 &amp; "]"
),0)/1000</f>
        <v>-22.2008282197</v>
      </c>
      <c r="AA88" s="8">
        <f>IFERROR(
GETPIVOTDATA(
"[Base].[Importe]",
TDinamica_R!$A$5,
"[Calendario].[AñoMes]",
"[Calendario].[AñoMes].&amp;[" &amp; TEXT(AA$6,"yyyymm") &amp; "]",
"[Base].[Metrica]",
"[Base].[Metrica].&amp;[" &amp; $A88 &amp; "]",
"[Base].[SEGMENTO_DESCRIP]",
"[Base].[SEGMENTO_DESCRIP].&amp;[" &amp; $C$6 &amp; "]",
"[Base].[SITUACION]",
"[Base].[SITUACION].&amp;[" &amp; $C88 &amp; "]"
),0)/1000</f>
        <v>-22.187871004300003</v>
      </c>
      <c r="AB88" s="8">
        <f>IFERROR(
GETPIVOTDATA(
"[Base].[Importe]",
TDinamica_R!$A$5,
"[Calendario].[AñoMes]",
"[Calendario].[AñoMes].&amp;[" &amp; TEXT(AB$6,"yyyymm") &amp; "]",
"[Base].[Metrica]",
"[Base].[Metrica].&amp;[" &amp; $A88 &amp; "]",
"[Base].[SEGMENTO_DESCRIP]",
"[Base].[SEGMENTO_DESCRIP].&amp;[" &amp; $C$6 &amp; "]",
"[Base].[SITUACION]",
"[Base].[SITUACION].&amp;[" &amp; $C88 &amp; "]"
),0)/1000</f>
        <v>-23.094269587700001</v>
      </c>
      <c r="AC88" s="8">
        <f>IFERROR(
GETPIVOTDATA(
"[Base].[Importe]",
TDinamica_R!$A$5,
"[Calendario].[AñoMes]",
"[Calendario].[AñoMes].&amp;[" &amp; TEXT(AC$6,"yyyymm") &amp; "]",
"[Base].[Metrica]",
"[Base].[Metrica].&amp;[" &amp; $A88 &amp; "]",
"[Base].[SEGMENTO_DESCRIP]",
"[Base].[SEGMENTO_DESCRIP].&amp;[" &amp; $C$6 &amp; "]",
"[Base].[SITUACION]",
"[Base].[SITUACION].&amp;[" &amp; $C88 &amp; "]"
),0)/1000</f>
        <v>-22.689640607699999</v>
      </c>
      <c r="AD88" s="8">
        <f>IFERROR(
GETPIVOTDATA(
"[Base].[Importe]",
TDinamica_R!$A$5,
"[Calendario].[AñoMes]",
"[Calendario].[AñoMes].&amp;[" &amp; TEXT(AD$6,"yyyymm") &amp; "]",
"[Base].[Metrica]",
"[Base].[Metrica].&amp;[" &amp; $A88 &amp; "]",
"[Base].[SEGMENTO_DESCRIP]",
"[Base].[SEGMENTO_DESCRIP].&amp;[" &amp; $C$6 &amp; "]",
"[Base].[SITUACION]",
"[Base].[SITUACION].&amp;[" &amp; $C88 &amp; "]"
),0)/1000</f>
        <v>-19.214978395300001</v>
      </c>
      <c r="AE88" s="8">
        <f>IFERROR(
GETPIVOTDATA(
"[Base].[Importe]",
TDinamica_R!$A$5,
"[Calendario].[AñoMes]",
"[Calendario].[AñoMes].&amp;[" &amp; TEXT(AE$6,"yyyymm") &amp; "]",
"[Base].[Metrica]",
"[Base].[Metrica].&amp;[" &amp; $A88 &amp; "]",
"[Base].[SEGMENTO_DESCRIP]",
"[Base].[SEGMENTO_DESCRIP].&amp;[" &amp; $C$6 &amp; "]",
"[Base].[SITUACION]",
"[Base].[SITUACION].&amp;[" &amp; $C88 &amp; "]"
),0)/1000</f>
        <v>-20.571109696400001</v>
      </c>
      <c r="AF88" s="8">
        <f>IFERROR(
GETPIVOTDATA(
"[Base].[Importe]",
TDinamica_R!$A$5,
"[Calendario].[AñoMes]",
"[Calendario].[AñoMes].&amp;[" &amp; TEXT(AF$6,"yyyymm") &amp; "]",
"[Base].[Metrica]",
"[Base].[Metrica].&amp;[" &amp; $A88 &amp; "]",
"[Base].[SEGMENTO_DESCRIP]",
"[Base].[SEGMENTO_DESCRIP].&amp;[" &amp; $C$6 &amp; "]",
"[Base].[SITUACION]",
"[Base].[SITUACION].&amp;[" &amp; $C88 &amp; "]"
),0)/1000</f>
        <v>-20.461838373600003</v>
      </c>
      <c r="AG88" s="8">
        <f>IFERROR(
GETPIVOTDATA(
"[Base].[Importe]",
TDinamica_R!$A$5,
"[Calendario].[AñoMes]",
"[Calendario].[AñoMes].&amp;[" &amp; TEXT(AG$6,"yyyymm") &amp; "]",
"[Base].[Metrica]",
"[Base].[Metrica].&amp;[" &amp; $A88 &amp; "]",
"[Base].[SEGMENTO_DESCRIP]",
"[Base].[SEGMENTO_DESCRIP].&amp;[" &amp; $C$6 &amp; "]",
"[Base].[SITUACION]",
"[Base].[SITUACION].&amp;[" &amp; $C88 &amp; "]"
),0)/1000</f>
        <v>-21.6586789805</v>
      </c>
      <c r="AH88" s="8">
        <f>IFERROR(
GETPIVOTDATA(
"[Base].[Importe]",
TDinamica_R!$A$5,
"[Calendario].[AñoMes]",
"[Calendario].[AñoMes].&amp;[" &amp; TEXT(AH$6,"yyyymm") &amp; "]",
"[Base].[Metrica]",
"[Base].[Metrica].&amp;[" &amp; $A88 &amp; "]",
"[Base].[SEGMENTO_DESCRIP]",
"[Base].[SEGMENTO_DESCRIP].&amp;[" &amp; $C$6 &amp; "]",
"[Base].[SITUACION]",
"[Base].[SITUACION].&amp;[" &amp; $C88 &amp; "]"
),0)/1000</f>
        <v>-20.680574564099999</v>
      </c>
      <c r="AI88" s="8">
        <f>IFERROR(
GETPIVOTDATA(
"[Base].[Importe]",
TDinamica_R!$A$5,
"[Calendario].[AñoMes]",
"[Calendario].[AñoMes].&amp;[" &amp; TEXT(AI$6,"yyyymm") &amp; "]",
"[Base].[Metrica]",
"[Base].[Metrica].&amp;[" &amp; $A88 &amp; "]",
"[Base].[SEGMENTO_DESCRIP]",
"[Base].[SEGMENTO_DESCRIP].&amp;[" &amp; $C$6 &amp; "]",
"[Base].[SITUACION]",
"[Base].[SITUACION].&amp;[" &amp; $C88 &amp; "]"
),0)/1000</f>
        <v>-21.030741485900002</v>
      </c>
      <c r="AJ88" s="8">
        <f>IFERROR(
GETPIVOTDATA(
"[Base].[Importe]",
TDinamica_R!$A$5,
"[Calendario].[AñoMes]",
"[Calendario].[AñoMes].&amp;[" &amp; TEXT(AJ$6,"yyyymm") &amp; "]",
"[Base].[Metrica]",
"[Base].[Metrica].&amp;[" &amp; $A88 &amp; "]",
"[Base].[SEGMENTO_DESCRIP]",
"[Base].[SEGMENTO_DESCRIP].&amp;[" &amp; $C$6 &amp; "]",
"[Base].[SITUACION]",
"[Base].[SITUACION].&amp;[" &amp; $C88 &amp; "]"
),0)/1000</f>
        <v>-20.286525537799999</v>
      </c>
      <c r="AK88" s="8">
        <f>IFERROR(
GETPIVOTDATA(
"[Base].[Importe]",
TDinamica_R!$A$5,
"[Calendario].[AñoMes]",
"[Calendario].[AñoMes].&amp;[" &amp; TEXT(AK$6,"yyyymm") &amp; "]",
"[Base].[Metrica]",
"[Base].[Metrica].&amp;[" &amp; $A88 &amp; "]",
"[Base].[SEGMENTO_DESCRIP]",
"[Base].[SEGMENTO_DESCRIP].&amp;[" &amp; $C$6 &amp; "]",
"[Base].[SITUACION]",
"[Base].[SITUACION].&amp;[" &amp; $C88 &amp; "]"
),0)/1000</f>
        <v>-18.9884364682</v>
      </c>
      <c r="AL88" s="8">
        <f>IFERROR(
GETPIVOTDATA(
"[Base].[Importe]",
TDinamica_R!$A$5,
"[Calendario].[AñoMes]",
"[Calendario].[AñoMes].&amp;[" &amp; TEXT(AL$6,"yyyymm") &amp; "]",
"[Base].[Metrica]",
"[Base].[Metrica].&amp;[" &amp; $A88 &amp; "]",
"[Base].[SEGMENTO_DESCRIP]",
"[Base].[SEGMENTO_DESCRIP].&amp;[" &amp; $C$6 &amp; "]",
"[Base].[SITUACION]",
"[Base].[SITUACION].&amp;[" &amp; $C88 &amp; "]"
),0)/1000</f>
        <v>-23.495334108199998</v>
      </c>
      <c r="AM88" s="8">
        <f>IFERROR(
GETPIVOTDATA(
"[Base].[Importe]",
TDinamica_R!$A$5,
"[Calendario].[AñoMes]",
"[Calendario].[AñoMes].&amp;[" &amp; TEXT(AM$6,"yyyymm") &amp; "]",
"[Base].[Metrica]",
"[Base].[Metrica].&amp;[" &amp; $A88 &amp; "]",
"[Base].[SEGMENTO_DESCRIP]",
"[Base].[SEGMENTO_DESCRIP].&amp;[" &amp; $C$6 &amp; "]",
"[Base].[SITUACION]",
"[Base].[SITUACION].&amp;[" &amp; $C88 &amp; "]"
),0)/1000</f>
        <v>-22.620505019100001</v>
      </c>
      <c r="AN88" s="8">
        <f>IFERROR(
GETPIVOTDATA(
"[Base].[Importe]",
TDinamica_R!$A$5,
"[Calendario].[AñoMes]",
"[Calendario].[AñoMes].&amp;[" &amp; TEXT(AN$6,"yyyymm") &amp; "]",
"[Base].[Metrica]",
"[Base].[Metrica].&amp;[" &amp; $A88 &amp; "]",
"[Base].[SEGMENTO_DESCRIP]",
"[Base].[SEGMENTO_DESCRIP].&amp;[" &amp; $C$6 &amp; "]",
"[Base].[SITUACION]",
"[Base].[SITUACION].&amp;[" &amp; $C88 &amp; "]"
),0)/1000</f>
        <v>-22.172169517099999</v>
      </c>
      <c r="AO88" s="8">
        <f>IFERROR(
GETPIVOTDATA(
"[Base].[Importe]",
TDinamica_R!$A$5,
"[Calendario].[AñoMes]",
"[Calendario].[AñoMes].&amp;[" &amp; TEXT(AO$6,"yyyymm") &amp; "]",
"[Base].[Metrica]",
"[Base].[Metrica].&amp;[" &amp; $A88 &amp; "]",
"[Base].[SEGMENTO_DESCRIP]",
"[Base].[SEGMENTO_DESCRIP].&amp;[" &amp; $C$6 &amp; "]",
"[Base].[SITUACION]",
"[Base].[SITUACION].&amp;[" &amp; $C88 &amp; "]"
),0)/1000</f>
        <v>-22.950245099199996</v>
      </c>
      <c r="AP88" s="8">
        <f>IFERROR(
GETPIVOTDATA(
"[Base].[Importe]",
TDinamica_R!$A$5,
"[Calendario].[AñoMes]",
"[Calendario].[AñoMes].&amp;[" &amp; TEXT(AP$6,"yyyymm") &amp; "]",
"[Base].[Metrica]",
"[Base].[Metrica].&amp;[" &amp; $A88 &amp; "]",
"[Base].[SEGMENTO_DESCRIP]",
"[Base].[SEGMENTO_DESCRIP].&amp;[" &amp; $C$6 &amp; "]",
"[Base].[SITUACION]",
"[Base].[SITUACION].&amp;[" &amp; $C88 &amp; "]"
),0)/1000</f>
        <v>-20.683250590700002</v>
      </c>
      <c r="AQ88" s="8">
        <f>IFERROR(
GETPIVOTDATA(
"[Base].[Importe]",
TDinamica_R!$A$5,
"[Calendario].[AñoMes]",
"[Calendario].[AñoMes].&amp;[" &amp; TEXT(AQ$6,"yyyymm") &amp; "]",
"[Base].[Metrica]",
"[Base].[Metrica].&amp;[" &amp; $A88 &amp; "]",
"[Base].[SEGMENTO_DESCRIP]",
"[Base].[SEGMENTO_DESCRIP].&amp;[" &amp; $C$6 &amp; "]",
"[Base].[SITUACION]",
"[Base].[SITUACION].&amp;[" &amp; $C88 &amp; "]"
),0)/1000</f>
        <v>-23.327268157999999</v>
      </c>
      <c r="AR88" s="8">
        <f>IFERROR(
GETPIVOTDATA(
"[Base].[Importe]",
TDinamica_R!$A$5,
"[Calendario].[AñoMes]",
"[Calendario].[AñoMes].&amp;[" &amp; TEXT(AR$6,"yyyymm") &amp; "]",
"[Base].[Metrica]",
"[Base].[Metrica].&amp;[" &amp; $A88 &amp; "]",
"[Base].[SEGMENTO_DESCRIP]",
"[Base].[SEGMENTO_DESCRIP].&amp;[" &amp; $C$6 &amp; "]",
"[Base].[SITUACION]",
"[Base].[SITUACION].&amp;[" &amp; $C88 &amp; "]"
),0)/1000</f>
        <v>-23.159263072499996</v>
      </c>
      <c r="AS88" s="8">
        <f>IFERROR(
GETPIVOTDATA(
"[Base].[Importe]",
TDinamica_R!$A$5,
"[Calendario].[AñoMes]",
"[Calendario].[AñoMes].&amp;[" &amp; TEXT(AS$6,"yyyymm") &amp; "]",
"[Base].[Metrica]",
"[Base].[Metrica].&amp;[" &amp; $A88 &amp; "]",
"[Base].[SEGMENTO_DESCRIP]",
"[Base].[SEGMENTO_DESCRIP].&amp;[" &amp; $C$6 &amp; "]",
"[Base].[SITUACION]",
"[Base].[SITUACION].&amp;[" &amp; $C88 &amp; "]"
),0)/1000</f>
        <v>-24.239097560400001</v>
      </c>
      <c r="AT88" s="8">
        <f>IFERROR(
GETPIVOTDATA(
"[Base].[Importe]",
TDinamica_R!$A$5,
"[Calendario].[AñoMes]",
"[Calendario].[AñoMes].&amp;[" &amp; TEXT(AT$6,"yyyymm")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U88" s="8">
        <f>IFERROR(
GETPIVOTDATA(
"[Base].[Importe]",
TDinamica_R!$A$5,
"[Calendario].[AñoMes]",
"[Calendario].[AñoMes].&amp;[" &amp; TEXT(AU$6,"yyyymm")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V88" s="8">
        <f>IFERROR(
GETPIVOTDATA(
"[Base].[Importe]",
TDinamica_R!$A$5,
"[Calendario].[AñoMes]",
"[Calendario].[AñoMes].&amp;[" &amp; TEXT(AV$6,"yyyymm")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W88" s="8">
        <f>IFERROR(
GETPIVOTDATA(
"[Base].[Importe]",
TDinamica_R!$A$5,
"[Calendario].[AñoMes]",
"[Calendario].[AñoMes].&amp;[" &amp; TEXT(AW$6,"yyyymm")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X88" s="8">
        <f>IFERROR(
GETPIVOTDATA(
"[Base].[Importe]",
TDinamica_R!$A$5,
"[Calendario].[AñoMes]",
"[Calendario].[AñoMes].&amp;[" &amp; TEXT(AX$6,"yyyymm")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Y88" s="8">
        <f>IFERROR(
GETPIVOTDATA(
"[Base].[Importe]",
TDinamica_R!$A$5,
"[Calendario].[AñoMes]",
"[Calendario].[AñoMes].&amp;[" &amp; TEXT(AY$6,"yyyymm") &amp; "]",
"[Base].[Metrica]",
"[Base].[Metrica].&amp;[" &amp; $A88 &amp; "]",
"[Base].[SEGMENTO_DESCRIP]",
"[Base].[SEGMENTO_DESCRIP].&amp;[" &amp; $C$6 &amp; "]",
"[Base].[SITUACION]",
"[Base].[SITUACION].&amp;[" &amp; $C88 &amp; "]"
),0)/1000</f>
        <v>0</v>
      </c>
      <c r="AZ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"[BASE_HIPO_PPTO].[Periodo]","[BASE_HIPO_PPTO].[Periodo].&amp;["&amp;TEXT(AZ$6,"yyyymm")&amp;"]"),
0)/1000</f>
        <v>-22.458943645799998</v>
      </c>
      <c r="BA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"[BASE_HIPO_PPTO].[Periodo]","[BASE_HIPO_PPTO].[Periodo].&amp;["&amp;TEXT(BA$6,"yyyymm")&amp;"]"),
0)/1000</f>
        <v>-22.373922915299996</v>
      </c>
      <c r="BB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"[BASE_HIPO_PPTO].[Periodo]","[BASE_HIPO_PPTO].[Periodo].&amp;["&amp;TEXT(BB$6,"yyyymm")&amp;"]"),
0)/1000</f>
        <v>-23.021975985400008</v>
      </c>
      <c r="BC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"[BASE_HIPO_PPTO].[Periodo]","[BASE_HIPO_PPTO].[Periodo].&amp;["&amp;TEXT(BC$6,"yyyymm")&amp;"]"),
0)/1000</f>
        <v>-22.566534164799997</v>
      </c>
      <c r="BD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"[BASE_HIPO_PPTO].[Periodo]","[BASE_HIPO_PPTO].[Periodo].&amp;["&amp;TEXT(BD$6,"yyyymm")&amp;"]"),
0)/1000</f>
        <v>-22.868745292</v>
      </c>
      <c r="BE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"[BASE_HIPO_PPTO].[Periodo]","[BASE_HIPO_PPTO].[Periodo].&amp;["&amp;TEXT(BE$6,"yyyymm")&amp;"]"),
0)/1000</f>
        <v>-22.778022786099999</v>
      </c>
      <c r="BF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"[BASE_HIPO_PPTO].[Periodo]","[BASE_HIPO_PPTO].[Periodo].&amp;["&amp;TEXT(BF$6,"yyyymm")&amp;"]"),
0)/1000</f>
        <v>-22.679801808799997</v>
      </c>
      <c r="BG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"[BASE_HIPO_PPTO].[Periodo]","[BASE_HIPO_PPTO].[Periodo].&amp;["&amp;TEXT(BG$6,"yyyymm")&amp;"]"),
0)/1000</f>
        <v>-22.547255073399995</v>
      </c>
      <c r="BH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"[BASE_HIPO_PPTO].[Periodo]","[BASE_HIPO_PPTO].[Periodo].&amp;["&amp;TEXT(BH$6,"yyyymm")&amp;"]"),
0)/1000</f>
        <v>-23.253892771099999</v>
      </c>
      <c r="BI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"[BASE_HIPO_PPTO].[Periodo]","[BASE_HIPO_PPTO].[Periodo].&amp;["&amp;TEXT(BI$6,"yyyymm")&amp;"]"),
0)/1000</f>
        <v>-22.980183646500006</v>
      </c>
      <c r="BJ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"[BASE_HIPO_PPTO].[Periodo]","[BASE_HIPO_PPTO].[Periodo].&amp;["&amp;TEXT(BJ$6,"yyyymm")&amp;"]"),
0)/1000</f>
        <v>-22.808476819099997</v>
      </c>
      <c r="BK88" s="8">
        <f>IFERROR(
GETPIVOTDATA(
"[BASE_HIPO_PPTO].[Importe]",
TDinamica_P!$A$5,
"[BASE_HIPO_PPTO].[Metrica]","[BASE_HIPO_PPTO].[Metrica].&amp;["&amp;$A88&amp;"]",
"[BASE_HIPO_PPTO].[SEGMENTO_DESCRIP]","[BASE_HIPO_PPTO].[SEGMENTO_DESCRIP].&amp;["&amp;$C$6&amp;"]",
"[BASE_HIPO_PPTO].[SITUACION]","[BASE_HIPO_PPTO].[SITUACION].&amp;["&amp;$C88&amp;"]",
"[BASE_HIPO_PPTO].[Periodo]","[BASE_HIPO_PPTO].[Periodo].&amp;["&amp;TEXT(BK$6,"yyyymm")&amp;"]"),
0)/1000</f>
        <v>-22.810819683600002</v>
      </c>
      <c r="BO88" s="24">
        <f t="shared" si="68"/>
        <v>-65.80566520699999</v>
      </c>
      <c r="BP88" s="24">
        <f t="shared" si="68"/>
        <v>-67.854842546499995</v>
      </c>
      <c r="BQ88" s="24">
        <f t="shared" si="68"/>
        <v>-45.122414616299992</v>
      </c>
      <c r="BR88" s="24">
        <f t="shared" si="68"/>
        <v>-64.998888590700005</v>
      </c>
      <c r="BS88" s="24">
        <f t="shared" si="68"/>
        <v>-56.424239046699995</v>
      </c>
      <c r="BT88" s="24">
        <f t="shared" si="68"/>
        <v>-60.9790406491</v>
      </c>
    </row>
    <row r="89" spans="1:72" collapsed="1" x14ac:dyDescent="0.25">
      <c r="C89" s="3" t="s">
        <v>76</v>
      </c>
      <c r="D89" s="10">
        <f>SUM(D86:D88)</f>
        <v>-189.5726212573</v>
      </c>
      <c r="E89" s="10">
        <f t="shared" ref="E89:AY89" si="69">SUM(E86:E88)</f>
        <v>-184.92848500699998</v>
      </c>
      <c r="F89" s="10">
        <f t="shared" si="69"/>
        <v>-224.6561042658</v>
      </c>
      <c r="G89" s="10">
        <f t="shared" si="69"/>
        <v>-220.79413123079996</v>
      </c>
      <c r="H89" s="10">
        <f t="shared" si="69"/>
        <v>-236.67891797759998</v>
      </c>
      <c r="I89" s="10">
        <f t="shared" si="69"/>
        <v>-233.26147710870001</v>
      </c>
      <c r="J89" s="10">
        <f t="shared" si="69"/>
        <v>-189.44719742160004</v>
      </c>
      <c r="K89" s="10">
        <f t="shared" si="69"/>
        <v>-205.08919673929998</v>
      </c>
      <c r="L89" s="10">
        <f t="shared" si="69"/>
        <v>-207.89206877569998</v>
      </c>
      <c r="M89" s="10">
        <f t="shared" si="69"/>
        <v>-202.5065432486</v>
      </c>
      <c r="N89" s="10">
        <f t="shared" si="69"/>
        <v>-198.15900017079997</v>
      </c>
      <c r="O89" s="10">
        <f t="shared" si="69"/>
        <v>-193.56871433769996</v>
      </c>
      <c r="P89" s="10">
        <f t="shared" si="69"/>
        <v>-206.63751293760001</v>
      </c>
      <c r="Q89" s="10">
        <f t="shared" si="69"/>
        <v>-229.52930099939999</v>
      </c>
      <c r="R89" s="10">
        <f t="shared" si="69"/>
        <v>-222.31127599700005</v>
      </c>
      <c r="S89" s="10">
        <f t="shared" si="69"/>
        <v>-224.18222165179998</v>
      </c>
      <c r="T89" s="10">
        <f t="shared" si="69"/>
        <v>-240.3374388364</v>
      </c>
      <c r="U89" s="10">
        <f t="shared" si="69"/>
        <v>-245.3056002262</v>
      </c>
      <c r="V89" s="10">
        <f t="shared" si="69"/>
        <v>-277.77964409359998</v>
      </c>
      <c r="W89" s="10">
        <f t="shared" si="69"/>
        <v>-273.5962088892</v>
      </c>
      <c r="X89" s="10">
        <f t="shared" si="69"/>
        <v>-275.7637236242</v>
      </c>
      <c r="Y89" s="10">
        <f t="shared" si="69"/>
        <v>-258.2694550544</v>
      </c>
      <c r="Z89" s="10">
        <f t="shared" si="69"/>
        <v>-268.21135201250002</v>
      </c>
      <c r="AA89" s="10">
        <f t="shared" si="69"/>
        <v>-260.95316645759999</v>
      </c>
      <c r="AB89" s="10">
        <f t="shared" si="69"/>
        <v>-323.55313147160001</v>
      </c>
      <c r="AC89" s="10">
        <f t="shared" si="69"/>
        <v>-289.22919432720005</v>
      </c>
      <c r="AD89" s="10">
        <f t="shared" si="69"/>
        <v>-341.80612020579997</v>
      </c>
      <c r="AE89" s="10">
        <f t="shared" si="69"/>
        <v>-374.27232743940004</v>
      </c>
      <c r="AF89" s="10">
        <f t="shared" si="69"/>
        <v>-376.03971179350009</v>
      </c>
      <c r="AG89" s="10">
        <f t="shared" si="69"/>
        <v>-366.68582514540003</v>
      </c>
      <c r="AH89" s="10">
        <f t="shared" si="69"/>
        <v>-414.33367268939992</v>
      </c>
      <c r="AI89" s="10">
        <f t="shared" si="69"/>
        <v>-416.93407583760001</v>
      </c>
      <c r="AJ89" s="10">
        <f t="shared" si="69"/>
        <v>-320.75338889650004</v>
      </c>
      <c r="AK89" s="10">
        <f t="shared" si="69"/>
        <v>-373.93259920630004</v>
      </c>
      <c r="AL89" s="10">
        <f t="shared" si="69"/>
        <v>-409.60746109489997</v>
      </c>
      <c r="AM89" s="10">
        <f t="shared" si="69"/>
        <v>-458.73307043570003</v>
      </c>
      <c r="AN89" s="10">
        <f t="shared" si="69"/>
        <v>-333.85948135069998</v>
      </c>
      <c r="AO89" s="10">
        <f t="shared" si="69"/>
        <v>-396.25206850340004</v>
      </c>
      <c r="AP89" s="10">
        <f t="shared" si="69"/>
        <v>-735.37278096050011</v>
      </c>
      <c r="AQ89" s="10">
        <f t="shared" si="69"/>
        <v>-444.96020119409997</v>
      </c>
      <c r="AR89" s="10">
        <f t="shared" si="69"/>
        <v>-494.53544566880004</v>
      </c>
      <c r="AS89" s="10">
        <f t="shared" si="69"/>
        <v>-427.51759308360005</v>
      </c>
      <c r="AT89" s="10">
        <f t="shared" si="69"/>
        <v>0</v>
      </c>
      <c r="AU89" s="10">
        <f t="shared" si="69"/>
        <v>0</v>
      </c>
      <c r="AV89" s="10">
        <f t="shared" si="69"/>
        <v>0</v>
      </c>
      <c r="AW89" s="10">
        <f t="shared" si="69"/>
        <v>0</v>
      </c>
      <c r="AX89" s="10">
        <f t="shared" si="69"/>
        <v>0</v>
      </c>
      <c r="AY89" s="10">
        <f t="shared" si="69"/>
        <v>0</v>
      </c>
      <c r="AZ89" s="10">
        <f t="shared" ref="AZ89:BK89" si="70">SUM(AZ86:AZ88)</f>
        <v>-401.50840656310004</v>
      </c>
      <c r="BA89" s="10">
        <f t="shared" si="70"/>
        <v>-385.90025220810003</v>
      </c>
      <c r="BB89" s="10">
        <f t="shared" si="70"/>
        <v>-388.11045754380007</v>
      </c>
      <c r="BC89" s="10">
        <f t="shared" si="70"/>
        <v>-382.1815707417</v>
      </c>
      <c r="BD89" s="10">
        <f t="shared" si="70"/>
        <v>-419.69027723449994</v>
      </c>
      <c r="BE89" s="10">
        <f t="shared" si="70"/>
        <v>-419.02717712209994</v>
      </c>
      <c r="BF89" s="10">
        <f t="shared" si="70"/>
        <v>-389.51626697450001</v>
      </c>
      <c r="BG89" s="10">
        <f t="shared" si="70"/>
        <v>-406.188359865</v>
      </c>
      <c r="BH89" s="10">
        <f t="shared" si="70"/>
        <v>-425.30518633510007</v>
      </c>
      <c r="BI89" s="10">
        <f t="shared" si="70"/>
        <v>-400.95414917720001</v>
      </c>
      <c r="BJ89" s="10">
        <f t="shared" si="70"/>
        <v>-412.7570246551</v>
      </c>
      <c r="BK89" s="10">
        <f t="shared" si="70"/>
        <v>-433.80206012410002</v>
      </c>
      <c r="BO89" s="23">
        <f t="shared" ref="BO89:BT89" si="71">SUM(BO86:BO88)</f>
        <v>-1465.4843308146001</v>
      </c>
      <c r="BP89" s="23">
        <f t="shared" si="71"/>
        <v>-1175.5191163150002</v>
      </c>
      <c r="BQ89" s="23">
        <f t="shared" si="71"/>
        <v>-730.11154985410008</v>
      </c>
      <c r="BR89" s="23">
        <f t="shared" si="71"/>
        <v>-954.58844600459997</v>
      </c>
      <c r="BS89" s="23">
        <f t="shared" si="71"/>
        <v>-658.47808993399997</v>
      </c>
      <c r="BT89" s="23">
        <f t="shared" si="71"/>
        <v>-599.15721053009997</v>
      </c>
    </row>
    <row r="91" spans="1:72" hidden="1" outlineLevel="1" x14ac:dyDescent="0.25">
      <c r="A91" s="11" t="s">
        <v>81</v>
      </c>
      <c r="C91" s="2" t="s">
        <v>85</v>
      </c>
      <c r="D91" s="8">
        <f>IFERROR(
GETPIVOTDATA(
"[Base].[Importe]",
TDinamica_R!$A$5,
"[Calendario].[AñoMes]",
"[Calendario].[AñoMes].&amp;[" &amp; TEXT(D$6,"yyyymm")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E91" s="8">
        <f>IFERROR(
GETPIVOTDATA(
"[Base].[Importe]",
TDinamica_R!$A$5,
"[Calendario].[AñoMes]",
"[Calendario].[AñoMes].&amp;[" &amp; TEXT(E$6,"yyyymm")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F91" s="8">
        <f>IFERROR(
GETPIVOTDATA(
"[Base].[Importe]",
TDinamica_R!$A$5,
"[Calendario].[AñoMes]",
"[Calendario].[AñoMes].&amp;[" &amp; TEXT(F$6,"yyyymm")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G91" s="8">
        <f>IFERROR(
GETPIVOTDATA(
"[Base].[Importe]",
TDinamica_R!$A$5,
"[Calendario].[AñoMes]",
"[Calendario].[AñoMes].&amp;[" &amp; TEXT(G$6,"yyyymm")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H91" s="8">
        <f>IFERROR(
GETPIVOTDATA(
"[Base].[Importe]",
TDinamica_R!$A$5,
"[Calendario].[AñoMes]",
"[Calendario].[AñoMes].&amp;[" &amp; TEXT(H$6,"yyyymm")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I91" s="8">
        <f>IFERROR(
GETPIVOTDATA(
"[Base].[Importe]",
TDinamica_R!$A$5,
"[Calendario].[AñoMes]",
"[Calendario].[AñoMes].&amp;[" &amp; TEXT(I$6,"yyyymm")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J91" s="8">
        <f>IFERROR(
GETPIVOTDATA(
"[Base].[Importe]",
TDinamica_R!$A$5,
"[Calendario].[AñoMes]",
"[Calendario].[AñoMes].&amp;[" &amp; TEXT(J$6,"yyyymm")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K91" s="8">
        <f>IFERROR(
GETPIVOTDATA(
"[Base].[Importe]",
TDinamica_R!$A$5,
"[Calendario].[AñoMes]",
"[Calendario].[AñoMes].&amp;[" &amp; TEXT(K$6,"yyyymm")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L91" s="8">
        <f>IFERROR(
GETPIVOTDATA(
"[Base].[Importe]",
TDinamica_R!$A$5,
"[Calendario].[AñoMes]",
"[Calendario].[AñoMes].&amp;[" &amp; TEXT(L$6,"yyyymm")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M91" s="8">
        <f>IFERROR(
GETPIVOTDATA(
"[Base].[Importe]",
TDinamica_R!$A$5,
"[Calendario].[AñoMes]",
"[Calendario].[AñoMes].&amp;[" &amp; TEXT(M$6,"yyyymm")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N91" s="8">
        <f>IFERROR(
GETPIVOTDATA(
"[Base].[Importe]",
TDinamica_R!$A$5,
"[Calendario].[AñoMes]",
"[Calendario].[AñoMes].&amp;[" &amp; TEXT(N$6,"yyyymm")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O91" s="8">
        <f>IFERROR(
GETPIVOTDATA(
"[Base].[Importe]",
TDinamica_R!$A$5,
"[Calendario].[AñoMes]",
"[Calendario].[AñoMes].&amp;[" &amp; TEXT(O$6,"yyyymm")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P91" s="8">
        <f>IFERROR(
GETPIVOTDATA(
"[Base].[Importe]",
TDinamica_R!$A$5,
"[Calendario].[AñoMes]",
"[Calendario].[AñoMes].&amp;[" &amp; TEXT(P$6,"yyyymm")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Q91" s="8">
        <f>IFERROR(
GETPIVOTDATA(
"[Base].[Importe]",
TDinamica_R!$A$5,
"[Calendario].[AñoMes]",
"[Calendario].[AñoMes].&amp;[" &amp; TEXT(Q$6,"yyyymm")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R91" s="8">
        <f>IFERROR(
GETPIVOTDATA(
"[Base].[Importe]",
TDinamica_R!$A$5,
"[Calendario].[AñoMes]",
"[Calendario].[AñoMes].&amp;[" &amp; TEXT(R$6,"yyyymm")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S91" s="8">
        <f>IFERROR(
GETPIVOTDATA(
"[Base].[Importe]",
TDinamica_R!$A$5,
"[Calendario].[AñoMes]",
"[Calendario].[AñoMes].&amp;[" &amp; TEXT(S$6,"yyyymm")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T91" s="8">
        <f>IFERROR(
GETPIVOTDATA(
"[Base].[Importe]",
TDinamica_R!$A$5,
"[Calendario].[AñoMes]",
"[Calendario].[AñoMes].&amp;[" &amp; TEXT(T$6,"yyyymm")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U91" s="8">
        <f>IFERROR(
GETPIVOTDATA(
"[Base].[Importe]",
TDinamica_R!$A$5,
"[Calendario].[AñoMes]",
"[Calendario].[AñoMes].&amp;[" &amp; TEXT(U$6,"yyyymm")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V91" s="8">
        <f>IFERROR(
GETPIVOTDATA(
"[Base].[Importe]",
TDinamica_R!$A$5,
"[Calendario].[AñoMes]",
"[Calendario].[AñoMes].&amp;[" &amp; TEXT(V$6,"yyyymm")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W91" s="8">
        <f>IFERROR(
GETPIVOTDATA(
"[Base].[Importe]",
TDinamica_R!$A$5,
"[Calendario].[AñoMes]",
"[Calendario].[AñoMes].&amp;[" &amp; TEXT(W$6,"yyyymm")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X91" s="8">
        <f>IFERROR(
GETPIVOTDATA(
"[Base].[Importe]",
TDinamica_R!$A$5,
"[Calendario].[AñoMes]",
"[Calendario].[AñoMes].&amp;[" &amp; TEXT(X$6,"yyyymm")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Y91" s="8">
        <f>IFERROR(
GETPIVOTDATA(
"[Base].[Importe]",
TDinamica_R!$A$5,
"[Calendario].[AñoMes]",
"[Calendario].[AñoMes].&amp;[" &amp; TEXT(Y$6,"yyyymm")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Z91" s="8">
        <f>IFERROR(
GETPIVOTDATA(
"[Base].[Importe]",
TDinamica_R!$A$5,
"[Calendario].[AñoMes]",
"[Calendario].[AñoMes].&amp;[" &amp; TEXT(Z$6,"yyyymm")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A91" s="8">
        <f>IFERROR(
GETPIVOTDATA(
"[Base].[Importe]",
TDinamica_R!$A$5,
"[Calendario].[AñoMes]",
"[Calendario].[AñoMes].&amp;[" &amp; TEXT(AA$6,"yyyymm")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B91" s="8">
        <f>IFERROR(
GETPIVOTDATA(
"[Base].[Importe]",
TDinamica_R!$A$5,
"[Calendario].[AñoMes]",
"[Calendario].[AñoMes].&amp;[" &amp; TEXT(AB$6,"yyyymm")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C91" s="8">
        <f>IFERROR(
GETPIVOTDATA(
"[Base].[Importe]",
TDinamica_R!$A$5,
"[Calendario].[AñoMes]",
"[Calendario].[AñoMes].&amp;[" &amp; TEXT(AC$6,"yyyymm")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D91" s="8">
        <f>IFERROR(
GETPIVOTDATA(
"[Base].[Importe]",
TDinamica_R!$A$5,
"[Calendario].[AñoMes]",
"[Calendario].[AñoMes].&amp;[" &amp; TEXT(AD$6,"yyyymm")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E91" s="8">
        <f>IFERROR(
GETPIVOTDATA(
"[Base].[Importe]",
TDinamica_R!$A$5,
"[Calendario].[AñoMes]",
"[Calendario].[AñoMes].&amp;[" &amp; TEXT(AE$6,"yyyymm")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F91" s="8">
        <f>IFERROR(
GETPIVOTDATA(
"[Base].[Importe]",
TDinamica_R!$A$5,
"[Calendario].[AñoMes]",
"[Calendario].[AñoMes].&amp;[" &amp; TEXT(AF$6,"yyyymm")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G91" s="8">
        <f>IFERROR(
GETPIVOTDATA(
"[Base].[Importe]",
TDinamica_R!$A$5,
"[Calendario].[AñoMes]",
"[Calendario].[AñoMes].&amp;[" &amp; TEXT(AG$6,"yyyymm")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H91" s="8">
        <f>IFERROR(
GETPIVOTDATA(
"[Base].[Importe]",
TDinamica_R!$A$5,
"[Calendario].[AñoMes]",
"[Calendario].[AñoMes].&amp;[" &amp; TEXT(AH$6,"yyyymm")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I91" s="8">
        <f>IFERROR(
GETPIVOTDATA(
"[Base].[Importe]",
TDinamica_R!$A$5,
"[Calendario].[AñoMes]",
"[Calendario].[AñoMes].&amp;[" &amp; TEXT(AI$6,"yyyymm")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J91" s="8">
        <f>IFERROR(
GETPIVOTDATA(
"[Base].[Importe]",
TDinamica_R!$A$5,
"[Calendario].[AñoMes]",
"[Calendario].[AñoMes].&amp;[" &amp; TEXT(AJ$6,"yyyymm")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K91" s="8">
        <f>IFERROR(
GETPIVOTDATA(
"[Base].[Importe]",
TDinamica_R!$A$5,
"[Calendario].[AñoMes]",
"[Calendario].[AñoMes].&amp;[" &amp; TEXT(AK$6,"yyyymm")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L91" s="8">
        <f>IFERROR(
GETPIVOTDATA(
"[Base].[Importe]",
TDinamica_R!$A$5,
"[Calendario].[AñoMes]",
"[Calendario].[AñoMes].&amp;[" &amp; TEXT(AL$6,"yyyymm")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M91" s="8">
        <f>IFERROR(
GETPIVOTDATA(
"[Base].[Importe]",
TDinamica_R!$A$5,
"[Calendario].[AñoMes]",
"[Calendario].[AñoMes].&amp;[" &amp; TEXT(AM$6,"yyyymm")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N91" s="8">
        <f>IFERROR(
GETPIVOTDATA(
"[Base].[Importe]",
TDinamica_R!$A$5,
"[Calendario].[AñoMes]",
"[Calendario].[AñoMes].&amp;[" &amp; TEXT(AN$6,"yyyymm")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O91" s="8">
        <f>IFERROR(
GETPIVOTDATA(
"[Base].[Importe]",
TDinamica_R!$A$5,
"[Calendario].[AñoMes]",
"[Calendario].[AñoMes].&amp;[" &amp; TEXT(AO$6,"yyyymm")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P91" s="8">
        <f>IFERROR(
GETPIVOTDATA(
"[Base].[Importe]",
TDinamica_R!$A$5,
"[Calendario].[AñoMes]",
"[Calendario].[AñoMes].&amp;[" &amp; TEXT(AP$6,"yyyymm")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Q91" s="8">
        <f>IFERROR(
GETPIVOTDATA(
"[Base].[Importe]",
TDinamica_R!$A$5,
"[Calendario].[AñoMes]",
"[Calendario].[AñoMes].&amp;[" &amp; TEXT(AQ$6,"yyyymm")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R91" s="8">
        <f>IFERROR(
GETPIVOTDATA(
"[Base].[Importe]",
TDinamica_R!$A$5,
"[Calendario].[AñoMes]",
"[Calendario].[AñoMes].&amp;[" &amp; TEXT(AR$6,"yyyymm")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S91" s="8">
        <f>IFERROR(
GETPIVOTDATA(
"[Base].[Importe]",
TDinamica_R!$A$5,
"[Calendario].[AñoMes]",
"[Calendario].[AñoMes].&amp;[" &amp; TEXT(AS$6,"yyyymm")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T91" s="8">
        <f>IFERROR(
GETPIVOTDATA(
"[Base].[Importe]",
TDinamica_R!$A$5,
"[Calendario].[AñoMes]",
"[Calendario].[AñoMes].&amp;[" &amp; TEXT(AT$6,"yyyymm")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U91" s="8">
        <f>IFERROR(
GETPIVOTDATA(
"[Base].[Importe]",
TDinamica_R!$A$5,
"[Calendario].[AñoMes]",
"[Calendario].[AñoMes].&amp;[" &amp; TEXT(AU$6,"yyyymm")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V91" s="8">
        <f>IFERROR(
GETPIVOTDATA(
"[Base].[Importe]",
TDinamica_R!$A$5,
"[Calendario].[AñoMes]",
"[Calendario].[AñoMes].&amp;[" &amp; TEXT(AV$6,"yyyymm")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W91" s="8">
        <f>IFERROR(
GETPIVOTDATA(
"[Base].[Importe]",
TDinamica_R!$A$5,
"[Calendario].[AñoMes]",
"[Calendario].[AñoMes].&amp;[" &amp; TEXT(AW$6,"yyyymm")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X91" s="8">
        <f>IFERROR(
GETPIVOTDATA(
"[Base].[Importe]",
TDinamica_R!$A$5,
"[Calendario].[AñoMes]",
"[Calendario].[AñoMes].&amp;[" &amp; TEXT(AX$6,"yyyymm")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Y91" s="8">
        <f>IFERROR(
GETPIVOTDATA(
"[Base].[Importe]",
TDinamica_R!$A$5,
"[Calendario].[AñoMes]",
"[Calendario].[AñoMes].&amp;[" &amp; TEXT(AY$6,"yyyymm") &amp; "]",
"[Base].[Metrica]",
"[Base].[Metrica].&amp;[" &amp; $A91 &amp; "]",
"[Base].[SEGMENTO_DESCRIP]",
"[Base].[SEGMENTO_DESCRIP].&amp;[" &amp; $C$6 &amp; "]",
"[Base].[SITUACION]",
"[Base].[SITUACION].&amp;[" &amp; $C91 &amp; "]"
),0)/1000</f>
        <v>0</v>
      </c>
      <c r="AZ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"[BASE_HIPO_PPTO].[Periodo]","[BASE_HIPO_PPTO].[Periodo].&amp;["&amp;TEXT(AZ$6,"yyyymm")&amp;"]"),
0)/1000</f>
        <v>0</v>
      </c>
      <c r="BA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"[BASE_HIPO_PPTO].[Periodo]","[BASE_HIPO_PPTO].[Periodo].&amp;["&amp;TEXT(BA$6,"yyyymm")&amp;"]"),
0)/1000</f>
        <v>0</v>
      </c>
      <c r="BB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"[BASE_HIPO_PPTO].[Periodo]","[BASE_HIPO_PPTO].[Periodo].&amp;["&amp;TEXT(BB$6,"yyyymm")&amp;"]"),
0)/1000</f>
        <v>0</v>
      </c>
      <c r="BC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"[BASE_HIPO_PPTO].[Periodo]","[BASE_HIPO_PPTO].[Periodo].&amp;["&amp;TEXT(BC$6,"yyyymm")&amp;"]"),
0)/1000</f>
        <v>0</v>
      </c>
      <c r="BD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"[BASE_HIPO_PPTO].[Periodo]","[BASE_HIPO_PPTO].[Periodo].&amp;["&amp;TEXT(BD$6,"yyyymm")&amp;"]"),
0)/1000</f>
        <v>0</v>
      </c>
      <c r="BE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"[BASE_HIPO_PPTO].[Periodo]","[BASE_HIPO_PPTO].[Periodo].&amp;["&amp;TEXT(BE$6,"yyyymm")&amp;"]"),
0)/1000</f>
        <v>0</v>
      </c>
      <c r="BF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"[BASE_HIPO_PPTO].[Periodo]","[BASE_HIPO_PPTO].[Periodo].&amp;["&amp;TEXT(BF$6,"yyyymm")&amp;"]"),
0)/1000</f>
        <v>0</v>
      </c>
      <c r="BG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"[BASE_HIPO_PPTO].[Periodo]","[BASE_HIPO_PPTO].[Periodo].&amp;["&amp;TEXT(BG$6,"yyyymm")&amp;"]"),
0)/1000</f>
        <v>0</v>
      </c>
      <c r="BH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"[BASE_HIPO_PPTO].[Periodo]","[BASE_HIPO_PPTO].[Periodo].&amp;["&amp;TEXT(BH$6,"yyyymm")&amp;"]"),
0)/1000</f>
        <v>0</v>
      </c>
      <c r="BI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"[BASE_HIPO_PPTO].[Periodo]","[BASE_HIPO_PPTO].[Periodo].&amp;["&amp;TEXT(BI$6,"yyyymm")&amp;"]"),
0)/1000</f>
        <v>0</v>
      </c>
      <c r="BJ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"[BASE_HIPO_PPTO].[Periodo]","[BASE_HIPO_PPTO].[Periodo].&amp;["&amp;TEXT(BJ$6,"yyyymm")&amp;"]"),
0)/1000</f>
        <v>0</v>
      </c>
      <c r="BK91" s="8">
        <f>IFERROR(
GETPIVOTDATA(
"[BASE_HIPO_PPTO].[Importe]",
TDinamica_P!$A$5,
"[BASE_HIPO_PPTO].[Metrica]","[BASE_HIPO_PPTO].[Metrica].&amp;["&amp;$A91&amp;"]",
"[BASE_HIPO_PPTO].[SEGMENTO_DESCRIP]","[BASE_HIPO_PPTO].[SEGMENTO_DESCRIP].&amp;["&amp;$C$6&amp;"]",
"[BASE_HIPO_PPTO].[SITUACION]","[BASE_HIPO_PPTO].[SITUACION].&amp;["&amp;$C91&amp;"]",
"[BASE_HIPO_PPTO].[Periodo]","[BASE_HIPO_PPTO].[Periodo].&amp;["&amp;TEXT(BK$6,"yyyymm")&amp;"]"),
0)/1000</f>
        <v>0</v>
      </c>
      <c r="BO91" s="24">
        <f t="shared" ref="BO91:BT92" si="72">SUMIFS($D91:$BM91,$D$6:$BM$6,"&gt;="&amp;BO$2,$D$6:$BM$6,"&lt;="&amp;BO$6,$D$5:$BM$5,BO$5)</f>
        <v>0</v>
      </c>
      <c r="BP91" s="24">
        <f t="shared" si="72"/>
        <v>0</v>
      </c>
      <c r="BQ91" s="24">
        <f t="shared" si="72"/>
        <v>0</v>
      </c>
      <c r="BR91" s="24">
        <f t="shared" si="72"/>
        <v>0</v>
      </c>
      <c r="BS91" s="24">
        <f t="shared" si="72"/>
        <v>0</v>
      </c>
      <c r="BT91" s="24">
        <f t="shared" si="72"/>
        <v>0</v>
      </c>
    </row>
    <row r="92" spans="1:72" hidden="1" outlineLevel="1" x14ac:dyDescent="0.25">
      <c r="A92" s="11" t="s">
        <v>81</v>
      </c>
      <c r="C92" s="2" t="s">
        <v>48</v>
      </c>
      <c r="D92" s="8">
        <f>IFERROR(
GETPIVOTDATA(
"[Base].[Importe]",
TDinamica_R!$A$5,
"[Calendario].[AñoMes]",
"[Calendario].[AñoMes].&amp;[" &amp; TEXT(D$6,"yyyymm") &amp; "]",
"[Base].[Metrica]",
"[Base].[Metrica].&amp;[" &amp; $A92 &amp; "]",
"[Base].[SEGMENTO_DESCRIP]",
"[Base].[SEGMENTO_DESCRIP].&amp;[" &amp; $C$6 &amp; "]",
"[Base].[SITUACION]",
"[Base].[SITUACION].&amp;[" &amp; $C92 &amp; "]"
),0)/1000</f>
        <v>2.794861428562E-2</v>
      </c>
      <c r="E92" s="8">
        <f>IFERROR(
GETPIVOTDATA(
"[Base].[Importe]",
TDinamica_R!$A$5,
"[Calendario].[AñoMes]",
"[Calendario].[AñoMes].&amp;[" &amp; TEXT(E$6,"yyyymm") &amp; "]",
"[Base].[Metrica]",
"[Base].[Metrica].&amp;[" &amp; $A92 &amp; "]",
"[Base].[SEGMENTO_DESCRIP]",
"[Base].[SEGMENTO_DESCRIP].&amp;[" &amp; $C$6 &amp; "]",
"[Base].[SITUACION]",
"[Base].[SITUACION].&amp;[" &amp; $C92 &amp; "]"
),0)/1000</f>
        <v>2.769678473715001E-2</v>
      </c>
      <c r="F92" s="8">
        <f>IFERROR(
GETPIVOTDATA(
"[Base].[Importe]",
TDinamica_R!$A$5,
"[Calendario].[AñoMes]",
"[Calendario].[AñoMes].&amp;[" &amp; TEXT(F$6,"yyyymm") &amp; "]",
"[Base].[Metrica]",
"[Base].[Metrica].&amp;[" &amp; $A92 &amp; "]",
"[Base].[SEGMENTO_DESCRIP]",
"[Base].[SEGMENTO_DESCRIP].&amp;[" &amp; $C$6 &amp; "]",
"[Base].[SITUACION]",
"[Base].[SITUACION].&amp;[" &amp; $C92 &amp; "]"
),0)/1000</f>
        <v>3.3400711761759988E-2</v>
      </c>
      <c r="G92" s="8">
        <f>IFERROR(
GETPIVOTDATA(
"[Base].[Importe]",
TDinamica_R!$A$5,
"[Calendario].[AñoMes]",
"[Calendario].[AñoMes].&amp;[" &amp; TEXT(G$6,"yyyymm") &amp; "]",
"[Base].[Metrica]",
"[Base].[Metrica].&amp;[" &amp; $A92 &amp; "]",
"[Base].[SEGMENTO_DESCRIP]",
"[Base].[SEGMENTO_DESCRIP].&amp;[" &amp; $C$6 &amp; "]",
"[Base].[SITUACION]",
"[Base].[SITUACION].&amp;[" &amp; $C92 &amp; "]"
),0)/1000</f>
        <v>3.1221814801319994E-2</v>
      </c>
      <c r="H92" s="8">
        <f>IFERROR(
GETPIVOTDATA(
"[Base].[Importe]",
TDinamica_R!$A$5,
"[Calendario].[AñoMes]",
"[Calendario].[AñoMes].&amp;[" &amp; TEXT(H$6,"yyyymm") &amp; "]",
"[Base].[Metrica]",
"[Base].[Metrica].&amp;[" &amp; $A92 &amp; "]",
"[Base].[SEGMENTO_DESCRIP]",
"[Base].[SEGMENTO_DESCRIP].&amp;[" &amp; $C$6 &amp; "]",
"[Base].[SITUACION]",
"[Base].[SITUACION].&amp;[" &amp; $C92 &amp; "]"
),0)/1000</f>
        <v>0.21481623709156006</v>
      </c>
      <c r="I92" s="8">
        <f>IFERROR(
GETPIVOTDATA(
"[Base].[Importe]",
TDinamica_R!$A$5,
"[Calendario].[AñoMes]",
"[Calendario].[AñoMes].&amp;[" &amp; TEXT(I$6,"yyyymm") &amp; "]",
"[Base].[Metrica]",
"[Base].[Metrica].&amp;[" &amp; $A92 &amp; "]",
"[Base].[SEGMENTO_DESCRIP]",
"[Base].[SEGMENTO_DESCRIP].&amp;[" &amp; $C$6 &amp; "]",
"[Base].[SITUACION]",
"[Base].[SITUACION].&amp;[" &amp; $C92 &amp; "]"
),0)/1000</f>
        <v>0.39304727499488001</v>
      </c>
      <c r="J92" s="8">
        <f>IFERROR(
GETPIVOTDATA(
"[Base].[Importe]",
TDinamica_R!$A$5,
"[Calendario].[AñoMes]",
"[Calendario].[AñoMes].&amp;[" &amp; TEXT(J$6,"yyyymm") &amp; "]",
"[Base].[Metrica]",
"[Base].[Metrica].&amp;[" &amp; $A92 &amp; "]",
"[Base].[SEGMENTO_DESCRIP]",
"[Base].[SEGMENTO_DESCRIP].&amp;[" &amp; $C$6 &amp; "]",
"[Base].[SITUACION]",
"[Base].[SITUACION].&amp;[" &amp; $C92 &amp; "]"
),0)/1000</f>
        <v>2.3631158625389965E-2</v>
      </c>
      <c r="K92" s="8">
        <f>IFERROR(
GETPIVOTDATA(
"[Base].[Importe]",
TDinamica_R!$A$5,
"[Calendario].[AñoMes]",
"[Calendario].[AñoMes].&amp;[" &amp; TEXT(K$6,"yyyymm") &amp; "]",
"[Base].[Metrica]",
"[Base].[Metrica].&amp;[" &amp; $A92 &amp; "]",
"[Base].[SEGMENTO_DESCRIP]",
"[Base].[SEGMENTO_DESCRIP].&amp;[" &amp; $C$6 &amp; "]",
"[Base].[SITUACION]",
"[Base].[SITUACION].&amp;[" &amp; $C92 &amp; "]"
),0)/1000</f>
        <v>0.21363542600000002</v>
      </c>
      <c r="L92" s="8">
        <f>IFERROR(
GETPIVOTDATA(
"[Base].[Importe]",
TDinamica_R!$A$5,
"[Calendario].[AñoMes]",
"[Calendario].[AñoMes].&amp;[" &amp; TEXT(L$6,"yyyymm") &amp; "]",
"[Base].[Metrica]",
"[Base].[Metrica].&amp;[" &amp; $A92 &amp; "]",
"[Base].[SEGMENTO_DESCRIP]",
"[Base].[SEGMENTO_DESCRIP].&amp;[" &amp; $C$6 &amp; "]",
"[Base].[SITUACION]",
"[Base].[SITUACION].&amp;[" &amp; $C92 &amp; "]"
),0)/1000</f>
        <v>2.2584196462140004E-2</v>
      </c>
      <c r="M92" s="8">
        <f>IFERROR(
GETPIVOTDATA(
"[Base].[Importe]",
TDinamica_R!$A$5,
"[Calendario].[AñoMes]",
"[Calendario].[AñoMes].&amp;[" &amp; TEXT(M$6,"yyyymm") &amp; "]",
"[Base].[Metrica]",
"[Base].[Metrica].&amp;[" &amp; $A92 &amp; "]",
"[Base].[SEGMENTO_DESCRIP]",
"[Base].[SEGMENTO_DESCRIP].&amp;[" &amp; $C$6 &amp; "]",
"[Base].[SITUACION]",
"[Base].[SITUACION].&amp;[" &amp; $C92 &amp; "]"
),0)/1000</f>
        <v>1.886604090671996E-2</v>
      </c>
      <c r="N92" s="8">
        <f>IFERROR(
GETPIVOTDATA(
"[Base].[Importe]",
TDinamica_R!$A$5,
"[Calendario].[AñoMes]",
"[Calendario].[AñoMes].&amp;[" &amp; TEXT(N$6,"yyyymm") &amp; "]",
"[Base].[Metrica]",
"[Base].[Metrica].&amp;[" &amp; $A92 &amp; "]",
"[Base].[SEGMENTO_DESCRIP]",
"[Base].[SEGMENTO_DESCRIP].&amp;[" &amp; $C$6 &amp; "]",
"[Base].[SITUACION]",
"[Base].[SITUACION].&amp;[" &amp; $C92 &amp; "]"
),0)/1000</f>
        <v>1.8462499226820101E-2</v>
      </c>
      <c r="O92" s="8">
        <f>IFERROR(
GETPIVOTDATA(
"[Base].[Importe]",
TDinamica_R!$A$5,
"[Calendario].[AñoMes]",
"[Calendario].[AñoMes].&amp;[" &amp; TEXT(O$6,"yyyymm") &amp; "]",
"[Base].[Metrica]",
"[Base].[Metrica].&amp;[" &amp; $A92 &amp; "]",
"[Base].[SEGMENTO_DESCRIP]",
"[Base].[SEGMENTO_DESCRIP].&amp;[" &amp; $C$6 &amp; "]",
"[Base].[SITUACION]",
"[Base].[SITUACION].&amp;[" &amp; $C92 &amp; "]"
),0)/1000</f>
        <v>1.881670342631998E-2</v>
      </c>
      <c r="P92" s="8">
        <f>IFERROR(
GETPIVOTDATA(
"[Base].[Importe]",
TDinamica_R!$A$5,
"[Calendario].[AñoMes]",
"[Calendario].[AñoMes].&amp;[" &amp; TEXT(P$6,"yyyymm") &amp; "]",
"[Base].[Metrica]",
"[Base].[Metrica].&amp;[" &amp; $A92 &amp; "]",
"[Base].[SEGMENTO_DESCRIP]",
"[Base].[SEGMENTO_DESCRIP].&amp;[" &amp; $C$6 &amp; "]",
"[Base].[SITUACION]",
"[Base].[SITUACION].&amp;[" &amp; $C92 &amp; "]"
),0)/1000</f>
        <v>-0.12887425087897997</v>
      </c>
      <c r="Q92" s="8">
        <f>IFERROR(
GETPIVOTDATA(
"[Base].[Importe]",
TDinamica_R!$A$5,
"[Calendario].[AñoMes]",
"[Calendario].[AñoMes].&amp;[" &amp; TEXT(Q$6,"yyyymm") &amp; "]",
"[Base].[Metrica]",
"[Base].[Metrica].&amp;[" &amp; $A92 &amp; "]",
"[Base].[SEGMENTO_DESCRIP]",
"[Base].[SEGMENTO_DESCRIP].&amp;[" &amp; $C$6 &amp; "]",
"[Base].[SITUACION]",
"[Base].[SITUACION].&amp;[" &amp; $C92 &amp; "]"
),0)/1000</f>
        <v>8.5129989450040008E-2</v>
      </c>
      <c r="R92" s="8">
        <f>IFERROR(
GETPIVOTDATA(
"[Base].[Importe]",
TDinamica_R!$A$5,
"[Calendario].[AñoMes]",
"[Calendario].[AñoMes].&amp;[" &amp; TEXT(R$6,"yyyymm") &amp; "]",
"[Base].[Metrica]",
"[Base].[Metrica].&amp;[" &amp; $A92 &amp; "]",
"[Base].[SEGMENTO_DESCRIP]",
"[Base].[SEGMENTO_DESCRIP].&amp;[" &amp; $C$6 &amp; "]",
"[Base].[SITUACION]",
"[Base].[SITUACION].&amp;[" &amp; $C92 &amp; "]"
),0)/1000</f>
        <v>0.15009725633991003</v>
      </c>
      <c r="S92" s="8">
        <f>IFERROR(
GETPIVOTDATA(
"[Base].[Importe]",
TDinamica_R!$A$5,
"[Calendario].[AñoMes]",
"[Calendario].[AñoMes].&amp;[" &amp; TEXT(S$6,"yyyymm") &amp; "]",
"[Base].[Metrica]",
"[Base].[Metrica].&amp;[" &amp; $A92 &amp; "]",
"[Base].[SEGMENTO_DESCRIP]",
"[Base].[SEGMENTO_DESCRIP].&amp;[" &amp; $C$6 &amp; "]",
"[Base].[SITUACION]",
"[Base].[SITUACION].&amp;[" &amp; $C92 &amp; "]"
),0)/1000</f>
        <v>1.4067662770920003E-2</v>
      </c>
      <c r="T92" s="8">
        <f>IFERROR(
GETPIVOTDATA(
"[Base].[Importe]",
TDinamica_R!$A$5,
"[Calendario].[AñoMes]",
"[Calendario].[AñoMes].&amp;[" &amp; TEXT(T$6,"yyyymm") &amp; "]",
"[Base].[Metrica]",
"[Base].[Metrica].&amp;[" &amp; $A92 &amp; "]",
"[Base].[SEGMENTO_DESCRIP]",
"[Base].[SEGMENTO_DESCRIP].&amp;[" &amp; $C$6 &amp; "]",
"[Base].[SITUACION]",
"[Base].[SITUACION].&amp;[" &amp; $C92 &amp; "]"
),0)/1000</f>
        <v>-8.6410798177919981E-2</v>
      </c>
      <c r="U92" s="8">
        <f>IFERROR(
GETPIVOTDATA(
"[Base].[Importe]",
TDinamica_R!$A$5,
"[Calendario].[AñoMes]",
"[Calendario].[AñoMes].&amp;[" &amp; TEXT(U$6,"yyyymm") &amp; "]",
"[Base].[Metrica]",
"[Base].[Metrica].&amp;[" &amp; $A92 &amp; "]",
"[Base].[SEGMENTO_DESCRIP]",
"[Base].[SEGMENTO_DESCRIP].&amp;[" &amp; $C$6 &amp; "]",
"[Base].[SITUACION]",
"[Base].[SITUACION].&amp;[" &amp; $C92 &amp; "]"
),0)/1000</f>
        <v>-5.2547148705379979E-2</v>
      </c>
      <c r="V92" s="8">
        <f>IFERROR(
GETPIVOTDATA(
"[Base].[Importe]",
TDinamica_R!$A$5,
"[Calendario].[AñoMes]",
"[Calendario].[AñoMes].&amp;[" &amp; TEXT(V$6,"yyyymm") &amp; "]",
"[Base].[Metrica]",
"[Base].[Metrica].&amp;[" &amp; $A92 &amp; "]",
"[Base].[SEGMENTO_DESCRIP]",
"[Base].[SEGMENTO_DESCRIP].&amp;[" &amp; $C$6 &amp; "]",
"[Base].[SITUACION]",
"[Base].[SITUACION].&amp;[" &amp; $C92 &amp; "]"
),0)/1000</f>
        <v>1.735873477631996E-2</v>
      </c>
      <c r="W92" s="8">
        <f>IFERROR(
GETPIVOTDATA(
"[Base].[Importe]",
TDinamica_R!$A$5,
"[Calendario].[AñoMes]",
"[Calendario].[AñoMes].&amp;[" &amp; TEXT(W$6,"yyyymm") &amp; "]",
"[Base].[Metrica]",
"[Base].[Metrica].&amp;[" &amp; $A92 &amp; "]",
"[Base].[SEGMENTO_DESCRIP]",
"[Base].[SEGMENTO_DESCRIP].&amp;[" &amp; $C$6 &amp; "]",
"[Base].[SITUACION]",
"[Base].[SITUACION].&amp;[" &amp; $C92 &amp; "]"
),0)/1000</f>
        <v>1.441369033552003E-2</v>
      </c>
      <c r="X92" s="8">
        <f>IFERROR(
GETPIVOTDATA(
"[Base].[Importe]",
TDinamica_R!$A$5,
"[Calendario].[AñoMes]",
"[Calendario].[AñoMes].&amp;[" &amp; TEXT(X$6,"yyyymm") &amp; "]",
"[Base].[Metrica]",
"[Base].[Metrica].&amp;[" &amp; $A92 &amp; "]",
"[Base].[SEGMENTO_DESCRIP]",
"[Base].[SEGMENTO_DESCRIP].&amp;[" &amp; $C$6 &amp; "]",
"[Base].[SITUACION]",
"[Base].[SITUACION].&amp;[" &amp; $C92 &amp; "]"
),0)/1000</f>
        <v>0.20510469142049997</v>
      </c>
      <c r="Y92" s="8">
        <f>IFERROR(
GETPIVOTDATA(
"[Base].[Importe]",
TDinamica_R!$A$5,
"[Calendario].[AñoMes]",
"[Calendario].[AñoMes].&amp;[" &amp; TEXT(Y$6,"yyyymm") &amp; "]",
"[Base].[Metrica]",
"[Base].[Metrica].&amp;[" &amp; $A92 &amp; "]",
"[Base].[SEGMENTO_DESCRIP]",
"[Base].[SEGMENTO_DESCRIP].&amp;[" &amp; $C$6 &amp; "]",
"[Base].[SITUACION]",
"[Base].[SITUACION].&amp;[" &amp; $C92 &amp; "]"
),0)/1000</f>
        <v>-1.4887889368199984E-2</v>
      </c>
      <c r="Z92" s="8">
        <f>IFERROR(
GETPIVOTDATA(
"[Base].[Importe]",
TDinamica_R!$A$5,
"[Calendario].[AñoMes]",
"[Calendario].[AñoMes].&amp;[" &amp; TEXT(Z$6,"yyyymm") &amp; "]",
"[Base].[Metrica]",
"[Base].[Metrica].&amp;[" &amp; $A92 &amp; "]",
"[Base].[SEGMENTO_DESCRIP]",
"[Base].[SEGMENTO_DESCRIP].&amp;[" &amp; $C$6 &amp; "]",
"[Base].[SITUACION]",
"[Base].[SITUACION].&amp;[" &amp; $C92 &amp; "]"
),0)/1000</f>
        <v>-0.27008629280135782</v>
      </c>
      <c r="AA92" s="8">
        <f>IFERROR(
GETPIVOTDATA(
"[Base].[Importe]",
TDinamica_R!$A$5,
"[Calendario].[AñoMes]",
"[Calendario].[AñoMes].&amp;[" &amp; TEXT(AA$6,"yyyymm") &amp; "]",
"[Base].[Metrica]",
"[Base].[Metrica].&amp;[" &amp; $A92 &amp; "]",
"[Base].[SEGMENTO_DESCRIP]",
"[Base].[SEGMENTO_DESCRIP].&amp;[" &amp; $C$6 &amp; "]",
"[Base].[SITUACION]",
"[Base].[SITUACION].&amp;[" &amp; $C92 &amp; "]"
),0)/1000</f>
        <v>-0.21650331351806887</v>
      </c>
      <c r="AB92" s="8">
        <f>IFERROR(
GETPIVOTDATA(
"[Base].[Importe]",
TDinamica_R!$A$5,
"[Calendario].[AñoMes]",
"[Calendario].[AñoMes].&amp;[" &amp; TEXT(AB$6,"yyyymm") &amp; "]",
"[Base].[Metrica]",
"[Base].[Metrica].&amp;[" &amp; $A92 &amp; "]",
"[Base].[SEGMENTO_DESCRIP]",
"[Base].[SEGMENTO_DESCRIP].&amp;[" &amp; $C$6 &amp; "]",
"[Base].[SITUACION]",
"[Base].[SITUACION].&amp;[" &amp; $C92 &amp; "]"
),0)/1000</f>
        <v>-2.0330769576039989E-2</v>
      </c>
      <c r="AC92" s="8">
        <f>IFERROR(
GETPIVOTDATA(
"[Base].[Importe]",
TDinamica_R!$A$5,
"[Calendario].[AñoMes]",
"[Calendario].[AñoMes].&amp;[" &amp; TEXT(AC$6,"yyyymm") &amp; "]",
"[Base].[Metrica]",
"[Base].[Metrica].&amp;[" &amp; $A92 &amp; "]",
"[Base].[SEGMENTO_DESCRIP]",
"[Base].[SEGMENTO_DESCRIP].&amp;[" &amp; $C$6 &amp; "]",
"[Base].[SITUACION]",
"[Base].[SITUACION].&amp;[" &amp; $C92 &amp; "]"
),0)/1000</f>
        <v>-8.492299671630002E-2</v>
      </c>
      <c r="AD92" s="8">
        <f>IFERROR(
GETPIVOTDATA(
"[Base].[Importe]",
TDinamica_R!$A$5,
"[Calendario].[AñoMes]",
"[Calendario].[AñoMes].&amp;[" &amp; TEXT(AD$6,"yyyymm") &amp; "]",
"[Base].[Metrica]",
"[Base].[Metrica].&amp;[" &amp; $A92 &amp; "]",
"[Base].[SEGMENTO_DESCRIP]",
"[Base].[SEGMENTO_DESCRIP].&amp;[" &amp; $C$6 &amp; "]",
"[Base].[SITUACION]",
"[Base].[SITUACION].&amp;[" &amp; $C92 &amp; "]"
),0)/1000</f>
        <v>-0.24877147786875003</v>
      </c>
      <c r="AE92" s="8">
        <f>IFERROR(
GETPIVOTDATA(
"[Base].[Importe]",
TDinamica_R!$A$5,
"[Calendario].[AñoMes]",
"[Calendario].[AñoMes].&amp;[" &amp; TEXT(AE$6,"yyyymm") &amp; "]",
"[Base].[Metrica]",
"[Base].[Metrica].&amp;[" &amp; $A92 &amp; "]",
"[Base].[SEGMENTO_DESCRIP]",
"[Base].[SEGMENTO_DESCRIP].&amp;[" &amp; $C$6 &amp; "]",
"[Base].[SITUACION]",
"[Base].[SITUACION].&amp;[" &amp; $C92 &amp; "]"
),0)/1000</f>
        <v>7.7868336257778864E-2</v>
      </c>
      <c r="AF92" s="8">
        <f>IFERROR(
GETPIVOTDATA(
"[Base].[Importe]",
TDinamica_R!$A$5,
"[Calendario].[AñoMes]",
"[Calendario].[AñoMes].&amp;[" &amp; TEXT(AF$6,"yyyymm") &amp; "]",
"[Base].[Metrica]",
"[Base].[Metrica].&amp;[" &amp; $A92 &amp; "]",
"[Base].[SEGMENTO_DESCRIP]",
"[Base].[SEGMENTO_DESCRIP].&amp;[" &amp; $C$6 &amp; "]",
"[Base].[SITUACION]",
"[Base].[SITUACION].&amp;[" &amp; $C92 &amp; "]"
),0)/1000</f>
        <v>-3.8240929232999975E-3</v>
      </c>
      <c r="AG92" s="8">
        <f>IFERROR(
GETPIVOTDATA(
"[Base].[Importe]",
TDinamica_R!$A$5,
"[Calendario].[AñoMes]",
"[Calendario].[AñoMes].&amp;[" &amp; TEXT(AG$6,"yyyymm") &amp; "]",
"[Base].[Metrica]",
"[Base].[Metrica].&amp;[" &amp; $A92 &amp; "]",
"[Base].[SEGMENTO_DESCRIP]",
"[Base].[SEGMENTO_DESCRIP].&amp;[" &amp; $C$6 &amp; "]",
"[Base].[SITUACION]",
"[Base].[SITUACION].&amp;[" &amp; $C92 &amp; "]"
),0)/1000</f>
        <v>-1.0866985925799931E-2</v>
      </c>
      <c r="AH92" s="8">
        <f>IFERROR(
GETPIVOTDATA(
"[Base].[Importe]",
TDinamica_R!$A$5,
"[Calendario].[AñoMes]",
"[Calendario].[AñoMes].&amp;[" &amp; TEXT(AH$6,"yyyymm") &amp; "]",
"[Base].[Metrica]",
"[Base].[Metrica].&amp;[" &amp; $A92 &amp; "]",
"[Base].[SEGMENTO_DESCRIP]",
"[Base].[SEGMENTO_DESCRIP].&amp;[" &amp; $C$6 &amp; "]",
"[Base].[SITUACION]",
"[Base].[SITUACION].&amp;[" &amp; $C92 &amp; "]"
),0)/1000</f>
        <v>4.7824923853183182E-3</v>
      </c>
      <c r="AI92" s="8">
        <f>IFERROR(
GETPIVOTDATA(
"[Base].[Importe]",
TDinamica_R!$A$5,
"[Calendario].[AñoMes]",
"[Calendario].[AñoMes].&amp;[" &amp; TEXT(AI$6,"yyyymm") &amp; "]",
"[Base].[Metrica]",
"[Base].[Metrica].&amp;[" &amp; $A92 &amp; "]",
"[Base].[SEGMENTO_DESCRIP]",
"[Base].[SEGMENTO_DESCRIP].&amp;[" &amp; $C$6 &amp; "]",
"[Base].[SITUACION]",
"[Base].[SITUACION].&amp;[" &amp; $C92 &amp; "]"
),0)/1000</f>
        <v>-1.6199017547499996E-2</v>
      </c>
      <c r="AJ92" s="8">
        <f>IFERROR(
GETPIVOTDATA(
"[Base].[Importe]",
TDinamica_R!$A$5,
"[Calendario].[AñoMes]",
"[Calendario].[AñoMes].&amp;[" &amp; TEXT(AJ$6,"yyyymm") &amp; "]",
"[Base].[Metrica]",
"[Base].[Metrica].&amp;[" &amp; $A92 &amp; "]",
"[Base].[SEGMENTO_DESCRIP]",
"[Base].[SEGMENTO_DESCRIP].&amp;[" &amp; $C$6 &amp; "]",
"[Base].[SITUACION]",
"[Base].[SITUACION].&amp;[" &amp; $C92 &amp; "]"
),0)/1000</f>
        <v>0.14403626762639998</v>
      </c>
      <c r="AK92" s="8">
        <f>IFERROR(
GETPIVOTDATA(
"[Base].[Importe]",
TDinamica_R!$A$5,
"[Calendario].[AñoMes]",
"[Calendario].[AñoMes].&amp;[" &amp; TEXT(AK$6,"yyyymm") &amp; "]",
"[Base].[Metrica]",
"[Base].[Metrica].&amp;[" &amp; $A92 &amp; "]",
"[Base].[SEGMENTO_DESCRIP]",
"[Base].[SEGMENTO_DESCRIP].&amp;[" &amp; $C$6 &amp; "]",
"[Base].[SITUACION]",
"[Base].[SITUACION].&amp;[" &amp; $C92 &amp; "]"
),0)/1000</f>
        <v>-2.0882007995849231E-2</v>
      </c>
      <c r="AL92" s="8">
        <f>IFERROR(
GETPIVOTDATA(
"[Base].[Importe]",
TDinamica_R!$A$5,
"[Calendario].[AñoMes]",
"[Calendario].[AñoMes].&amp;[" &amp; TEXT(AL$6,"yyyymm") &amp; "]",
"[Base].[Metrica]",
"[Base].[Metrica].&amp;[" &amp; $A92 &amp; "]",
"[Base].[SEGMENTO_DESCRIP]",
"[Base].[SEGMENTO_DESCRIP].&amp;[" &amp; $C$6 &amp; "]",
"[Base].[SITUACION]",
"[Base].[SITUACION].&amp;[" &amp; $C92 &amp; "]"
),0)/1000</f>
        <v>-0.12675290681159979</v>
      </c>
      <c r="AM92" s="8">
        <f>IFERROR(
GETPIVOTDATA(
"[Base].[Importe]",
TDinamica_R!$A$5,
"[Calendario].[AñoMes]",
"[Calendario].[AñoMes].&amp;[" &amp; TEXT(AM$6,"yyyymm") &amp; "]",
"[Base].[Metrica]",
"[Base].[Metrica].&amp;[" &amp; $A92 &amp; "]",
"[Base].[SEGMENTO_DESCRIP]",
"[Base].[SEGMENTO_DESCRIP].&amp;[" &amp; $C$6 &amp; "]",
"[Base].[SITUACION]",
"[Base].[SITUACION].&amp;[" &amp; $C92 &amp; "]"
),0)/1000</f>
        <v>0.20708499327742994</v>
      </c>
      <c r="AN92" s="8">
        <f>IFERROR(
GETPIVOTDATA(
"[Base].[Importe]",
TDinamica_R!$A$5,
"[Calendario].[AñoMes]",
"[Calendario].[AñoMes].&amp;[" &amp; TEXT(AN$6,"yyyymm") &amp; "]",
"[Base].[Metrica]",
"[Base].[Metrica].&amp;[" &amp; $A92 &amp; "]",
"[Base].[SEGMENTO_DESCRIP]",
"[Base].[SEGMENTO_DESCRIP].&amp;[" &amp; $C$6 &amp; "]",
"[Base].[SITUACION]",
"[Base].[SITUACION].&amp;[" &amp; $C92 &amp; "]"
),0)/1000</f>
        <v>-4.4095005851263316E-2</v>
      </c>
      <c r="AO92" s="8">
        <f>IFERROR(
GETPIVOTDATA(
"[Base].[Importe]",
TDinamica_R!$A$5,
"[Calendario].[AñoMes]",
"[Calendario].[AñoMes].&amp;[" &amp; TEXT(AO$6,"yyyymm") &amp; "]",
"[Base].[Metrica]",
"[Base].[Metrica].&amp;[" &amp; $A92 &amp; "]",
"[Base].[SEGMENTO_DESCRIP]",
"[Base].[SEGMENTO_DESCRIP].&amp;[" &amp; $C$6 &amp; "]",
"[Base].[SITUACION]",
"[Base].[SITUACION].&amp;[" &amp; $C92 &amp; "]"
),0)/1000</f>
        <v>0.12503069852372189</v>
      </c>
      <c r="AP92" s="8">
        <f>IFERROR(
GETPIVOTDATA(
"[Base].[Importe]",
TDinamica_R!$A$5,
"[Calendario].[AñoMes]",
"[Calendario].[AñoMes].&amp;[" &amp; TEXT(AP$6,"yyyymm") &amp; "]",
"[Base].[Metrica]",
"[Base].[Metrica].&amp;[" &amp; $A92 &amp; "]",
"[Base].[SEGMENTO_DESCRIP]",
"[Base].[SEGMENTO_DESCRIP].&amp;[" &amp; $C$6 &amp; "]",
"[Base].[SITUACION]",
"[Base].[SITUACION].&amp;[" &amp; $C92 &amp; "]"
),0)/1000</f>
        <v>-0.27251408256416143</v>
      </c>
      <c r="AQ92" s="8">
        <f>IFERROR(
GETPIVOTDATA(
"[Base].[Importe]",
TDinamica_R!$A$5,
"[Calendario].[AñoMes]",
"[Calendario].[AñoMes].&amp;[" &amp; TEXT(AQ$6,"yyyymm") &amp; "]",
"[Base].[Metrica]",
"[Base].[Metrica].&amp;[" &amp; $A92 &amp; "]",
"[Base].[SEGMENTO_DESCRIP]",
"[Base].[SEGMENTO_DESCRIP].&amp;[" &amp; $C$6 &amp; "]",
"[Base].[SITUACION]",
"[Base].[SITUACION].&amp;[" &amp; $C92 &amp; "]"
),0)/1000</f>
        <v>3.7805556386958143E-2</v>
      </c>
      <c r="AR92" s="8">
        <f>IFERROR(
GETPIVOTDATA(
"[Base].[Importe]",
TDinamica_R!$A$5,
"[Calendario].[AñoMes]",
"[Calendario].[AñoMes].&amp;[" &amp; TEXT(AR$6,"yyyymm") &amp; "]",
"[Base].[Metrica]",
"[Base].[Metrica].&amp;[" &amp; $A92 &amp; "]",
"[Base].[SEGMENTO_DESCRIP]",
"[Base].[SEGMENTO_DESCRIP].&amp;[" &amp; $C$6 &amp; "]",
"[Base].[SITUACION]",
"[Base].[SITUACION].&amp;[" &amp; $C92 &amp; "]"
),0)/1000</f>
        <v>6.5893641656303154E-2</v>
      </c>
      <c r="AS92" s="8">
        <f>IFERROR(
GETPIVOTDATA(
"[Base].[Importe]",
TDinamica_R!$A$5,
"[Calendario].[AñoMes]",
"[Calendario].[AñoMes].&amp;[" &amp; TEXT(AS$6,"yyyymm") &amp; "]",
"[Base].[Metrica]",
"[Base].[Metrica].&amp;[" &amp; $A92 &amp; "]",
"[Base].[SEGMENTO_DESCRIP]",
"[Base].[SEGMENTO_DESCRIP].&amp;[" &amp; $C$6 &amp; "]",
"[Base].[SITUACION]",
"[Base].[SITUACION].&amp;[" &amp; $C92 &amp; "]"
),0)/1000</f>
        <v>0.13847812531034071</v>
      </c>
      <c r="AT92" s="8">
        <f>IFERROR(
GETPIVOTDATA(
"[Base].[Importe]",
TDinamica_R!$A$5,
"[Calendario].[AñoMes]",
"[Calendario].[AñoMes].&amp;[" &amp; TEXT(AT$6,"yyyymm")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U92" s="8">
        <f>IFERROR(
GETPIVOTDATA(
"[Base].[Importe]",
TDinamica_R!$A$5,
"[Calendario].[AñoMes]",
"[Calendario].[AñoMes].&amp;[" &amp; TEXT(AU$6,"yyyymm")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V92" s="8">
        <f>IFERROR(
GETPIVOTDATA(
"[Base].[Importe]",
TDinamica_R!$A$5,
"[Calendario].[AñoMes]",
"[Calendario].[AñoMes].&amp;[" &amp; TEXT(AV$6,"yyyymm")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W92" s="8">
        <f>IFERROR(
GETPIVOTDATA(
"[Base].[Importe]",
TDinamica_R!$A$5,
"[Calendario].[AñoMes]",
"[Calendario].[AñoMes].&amp;[" &amp; TEXT(AW$6,"yyyymm")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X92" s="8">
        <f>IFERROR(
GETPIVOTDATA(
"[Base].[Importe]",
TDinamica_R!$A$5,
"[Calendario].[AñoMes]",
"[Calendario].[AñoMes].&amp;[" &amp; TEXT(AX$6,"yyyymm")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Y92" s="8">
        <f>IFERROR(
GETPIVOTDATA(
"[Base].[Importe]",
TDinamica_R!$A$5,
"[Calendario].[AñoMes]",
"[Calendario].[AñoMes].&amp;[" &amp; TEXT(AY$6,"yyyymm") &amp; "]",
"[Base].[Metrica]",
"[Base].[Metrica].&amp;[" &amp; $A92 &amp; "]",
"[Base].[SEGMENTO_DESCRIP]",
"[Base].[SEGMENTO_DESCRIP].&amp;[" &amp; $C$6 &amp; "]",
"[Base].[SITUACION]",
"[Base].[SITUACION].&amp;[" &amp; $C92 &amp; "]"
),0)/1000</f>
        <v>0</v>
      </c>
      <c r="AZ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"[BASE_HIPO_PPTO].[Periodo]","[BASE_HIPO_PPTO].[Periodo].&amp;["&amp;TEXT(AZ$6,"yyyymm")&amp;"]"),
0)/1000</f>
        <v>-0.14006206145818123</v>
      </c>
      <c r="BA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"[BASE_HIPO_PPTO].[Periodo]","[BASE_HIPO_PPTO].[Periodo].&amp;["&amp;TEXT(BA$6,"yyyymm")&amp;"]"),
0)/1000</f>
        <v>-3.293453205998266E-2</v>
      </c>
      <c r="BB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"[BASE_HIPO_PPTO].[Periodo]","[BASE_HIPO_PPTO].[Periodo].&amp;["&amp;TEXT(BB$6,"yyyymm")&amp;"]"),
0)/1000</f>
        <v>-3.2696429191070187E-2</v>
      </c>
      <c r="BC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"[BASE_HIPO_PPTO].[Periodo]","[BASE_HIPO_PPTO].[Periodo].&amp;["&amp;TEXT(BC$6,"yyyymm")&amp;"]"),
0)/1000</f>
        <v>-3.009076001958598E-2</v>
      </c>
      <c r="BD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"[BASE_HIPO_PPTO].[Periodo]","[BASE_HIPO_PPTO].[Periodo].&amp;["&amp;TEXT(BD$6,"yyyymm")&amp;"]"),
0)/1000</f>
        <v>-3.0203254516714236E-2</v>
      </c>
      <c r="BE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"[BASE_HIPO_PPTO].[Periodo]","[BASE_HIPO_PPTO].[Periodo].&amp;["&amp;TEXT(BE$6,"yyyymm")&amp;"]"),
0)/1000</f>
        <v>-3.2019847672876155E-2</v>
      </c>
      <c r="BF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"[BASE_HIPO_PPTO].[Periodo]","[BASE_HIPO_PPTO].[Periodo].&amp;["&amp;TEXT(BF$6,"yyyymm")&amp;"]"),
0)/1000</f>
        <v>-3.1030310861152002E-2</v>
      </c>
      <c r="BG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"[BASE_HIPO_PPTO].[Periodo]","[BASE_HIPO_PPTO].[Periodo].&amp;["&amp;TEXT(BG$6,"yyyymm")&amp;"]"),
0)/1000</f>
        <v>-3.1860467973274242E-2</v>
      </c>
      <c r="BH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"[BASE_HIPO_PPTO].[Periodo]","[BASE_HIPO_PPTO].[Periodo].&amp;["&amp;TEXT(BH$6,"yyyymm")&amp;"]"),
0)/1000</f>
        <v>-3.3725358325107632E-2</v>
      </c>
      <c r="BI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"[BASE_HIPO_PPTO].[Periodo]","[BASE_HIPO_PPTO].[Periodo].&amp;["&amp;TEXT(BI$6,"yyyymm")&amp;"]"),
0)/1000</f>
        <v>-3.3132088253483169E-2</v>
      </c>
      <c r="BJ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"[BASE_HIPO_PPTO].[Periodo]","[BASE_HIPO_PPTO].[Periodo].&amp;["&amp;TEXT(BJ$6,"yyyymm")&amp;"]"),
0)/1000</f>
        <v>-3.375498603385646E-2</v>
      </c>
      <c r="BK92" s="8">
        <f>IFERROR(
GETPIVOTDATA(
"[BASE_HIPO_PPTO].[Importe]",
TDinamica_P!$A$5,
"[BASE_HIPO_PPTO].[Metrica]","[BASE_HIPO_PPTO].[Metrica].&amp;["&amp;$A92&amp;"]",
"[BASE_HIPO_PPTO].[SEGMENTO_DESCRIP]","[BASE_HIPO_PPTO].[SEGMENTO_DESCRIP].&amp;["&amp;$C$6&amp;"]",
"[BASE_HIPO_PPTO].[SITUACION]","[BASE_HIPO_PPTO].[SITUACION].&amp;["&amp;$C92&amp;"]",
"[BASE_HIPO_PPTO].[Periodo]","[BASE_HIPO_PPTO].[Periodo].&amp;["&amp;TEXT(BK$6,"yyyymm")&amp;"]"),
0)/1000</f>
        <v>-3.6107383517357969E-2</v>
      </c>
      <c r="BO92" s="24">
        <f t="shared" si="72"/>
        <v>-0.19157838989170284</v>
      </c>
      <c r="BP92" s="24">
        <f t="shared" si="72"/>
        <v>-0.20569302270923406</v>
      </c>
      <c r="BQ92" s="24">
        <f t="shared" si="72"/>
        <v>8.0935692672458578E-2</v>
      </c>
      <c r="BR92" s="24">
        <f t="shared" si="72"/>
        <v>-0.35402524416109005</v>
      </c>
      <c r="BS92" s="24">
        <f t="shared" si="72"/>
        <v>0.10635299491097007</v>
      </c>
      <c r="BT92" s="24">
        <f t="shared" si="72"/>
        <v>8.9046110784529994E-2</v>
      </c>
    </row>
    <row r="93" spans="1:72" collapsed="1" x14ac:dyDescent="0.25">
      <c r="C93" s="3" t="s">
        <v>81</v>
      </c>
      <c r="D93" s="10">
        <f>SUM(D91:D92)</f>
        <v>2.794861428562E-2</v>
      </c>
      <c r="E93" s="10">
        <f t="shared" ref="E93:AY93" si="73">SUM(E91:E92)</f>
        <v>2.769678473715001E-2</v>
      </c>
      <c r="F93" s="10">
        <f t="shared" si="73"/>
        <v>3.3400711761759988E-2</v>
      </c>
      <c r="G93" s="10">
        <f t="shared" si="73"/>
        <v>3.1221814801319994E-2</v>
      </c>
      <c r="H93" s="10">
        <f t="shared" si="73"/>
        <v>0.21481623709156006</v>
      </c>
      <c r="I93" s="10">
        <f t="shared" si="73"/>
        <v>0.39304727499488001</v>
      </c>
      <c r="J93" s="10">
        <f t="shared" si="73"/>
        <v>2.3631158625389965E-2</v>
      </c>
      <c r="K93" s="10">
        <f t="shared" si="73"/>
        <v>0.21363542600000002</v>
      </c>
      <c r="L93" s="10">
        <f t="shared" si="73"/>
        <v>2.2584196462140004E-2</v>
      </c>
      <c r="M93" s="10">
        <f t="shared" si="73"/>
        <v>1.886604090671996E-2</v>
      </c>
      <c r="N93" s="10">
        <f t="shared" si="73"/>
        <v>1.8462499226820101E-2</v>
      </c>
      <c r="O93" s="10">
        <f t="shared" si="73"/>
        <v>1.881670342631998E-2</v>
      </c>
      <c r="P93" s="10">
        <f t="shared" si="73"/>
        <v>-0.12887425087897997</v>
      </c>
      <c r="Q93" s="10">
        <f t="shared" si="73"/>
        <v>8.5129989450040008E-2</v>
      </c>
      <c r="R93" s="10">
        <f t="shared" si="73"/>
        <v>0.15009725633991003</v>
      </c>
      <c r="S93" s="10">
        <f t="shared" si="73"/>
        <v>1.4067662770920003E-2</v>
      </c>
      <c r="T93" s="10">
        <f t="shared" si="73"/>
        <v>-8.6410798177919981E-2</v>
      </c>
      <c r="U93" s="10">
        <f t="shared" si="73"/>
        <v>-5.2547148705379979E-2</v>
      </c>
      <c r="V93" s="10">
        <f t="shared" si="73"/>
        <v>1.735873477631996E-2</v>
      </c>
      <c r="W93" s="10">
        <f t="shared" si="73"/>
        <v>1.441369033552003E-2</v>
      </c>
      <c r="X93" s="10">
        <f t="shared" si="73"/>
        <v>0.20510469142049997</v>
      </c>
      <c r="Y93" s="10">
        <f t="shared" si="73"/>
        <v>-1.4887889368199984E-2</v>
      </c>
      <c r="Z93" s="10">
        <f t="shared" si="73"/>
        <v>-0.27008629280135782</v>
      </c>
      <c r="AA93" s="10">
        <f t="shared" si="73"/>
        <v>-0.21650331351806887</v>
      </c>
      <c r="AB93" s="10">
        <f t="shared" si="73"/>
        <v>-2.0330769576039989E-2</v>
      </c>
      <c r="AC93" s="10">
        <f t="shared" si="73"/>
        <v>-8.492299671630002E-2</v>
      </c>
      <c r="AD93" s="10">
        <f t="shared" si="73"/>
        <v>-0.24877147786875003</v>
      </c>
      <c r="AE93" s="10">
        <f t="shared" si="73"/>
        <v>7.7868336257778864E-2</v>
      </c>
      <c r="AF93" s="10">
        <f t="shared" si="73"/>
        <v>-3.8240929232999975E-3</v>
      </c>
      <c r="AG93" s="10">
        <f t="shared" si="73"/>
        <v>-1.0866985925799931E-2</v>
      </c>
      <c r="AH93" s="10">
        <f t="shared" si="73"/>
        <v>4.7824923853183182E-3</v>
      </c>
      <c r="AI93" s="10">
        <f t="shared" si="73"/>
        <v>-1.6199017547499996E-2</v>
      </c>
      <c r="AJ93" s="10">
        <f t="shared" si="73"/>
        <v>0.14403626762639998</v>
      </c>
      <c r="AK93" s="10">
        <f t="shared" si="73"/>
        <v>-2.0882007995849231E-2</v>
      </c>
      <c r="AL93" s="10">
        <f t="shared" si="73"/>
        <v>-0.12675290681159979</v>
      </c>
      <c r="AM93" s="10">
        <f t="shared" si="73"/>
        <v>0.20708499327742994</v>
      </c>
      <c r="AN93" s="10">
        <f t="shared" si="73"/>
        <v>-4.4095005851263316E-2</v>
      </c>
      <c r="AO93" s="10">
        <f t="shared" si="73"/>
        <v>0.12503069852372189</v>
      </c>
      <c r="AP93" s="10">
        <f t="shared" si="73"/>
        <v>-0.27251408256416143</v>
      </c>
      <c r="AQ93" s="10">
        <f t="shared" si="73"/>
        <v>3.7805556386958143E-2</v>
      </c>
      <c r="AR93" s="10">
        <f t="shared" si="73"/>
        <v>6.5893641656303154E-2</v>
      </c>
      <c r="AS93" s="10">
        <f t="shared" si="73"/>
        <v>0.13847812531034071</v>
      </c>
      <c r="AT93" s="10">
        <f t="shared" si="73"/>
        <v>0</v>
      </c>
      <c r="AU93" s="10">
        <f t="shared" si="73"/>
        <v>0</v>
      </c>
      <c r="AV93" s="10">
        <f t="shared" si="73"/>
        <v>0</v>
      </c>
      <c r="AW93" s="10">
        <f t="shared" si="73"/>
        <v>0</v>
      </c>
      <c r="AX93" s="10">
        <f t="shared" si="73"/>
        <v>0</v>
      </c>
      <c r="AY93" s="10">
        <f t="shared" si="73"/>
        <v>0</v>
      </c>
      <c r="AZ93" s="10">
        <f t="shared" ref="AZ93:BK93" si="74">SUM(AZ91:AZ92)</f>
        <v>-0.14006206145818123</v>
      </c>
      <c r="BA93" s="10">
        <f t="shared" si="74"/>
        <v>-3.293453205998266E-2</v>
      </c>
      <c r="BB93" s="10">
        <f t="shared" si="74"/>
        <v>-3.2696429191070187E-2</v>
      </c>
      <c r="BC93" s="10">
        <f t="shared" si="74"/>
        <v>-3.009076001958598E-2</v>
      </c>
      <c r="BD93" s="10">
        <f t="shared" si="74"/>
        <v>-3.0203254516714236E-2</v>
      </c>
      <c r="BE93" s="10">
        <f t="shared" si="74"/>
        <v>-3.2019847672876155E-2</v>
      </c>
      <c r="BF93" s="10">
        <f t="shared" si="74"/>
        <v>-3.1030310861152002E-2</v>
      </c>
      <c r="BG93" s="10">
        <f t="shared" si="74"/>
        <v>-3.1860467973274242E-2</v>
      </c>
      <c r="BH93" s="10">
        <f t="shared" si="74"/>
        <v>-3.3725358325107632E-2</v>
      </c>
      <c r="BI93" s="10">
        <f t="shared" si="74"/>
        <v>-3.3132088253483169E-2</v>
      </c>
      <c r="BJ93" s="10">
        <f t="shared" si="74"/>
        <v>-3.375498603385646E-2</v>
      </c>
      <c r="BK93" s="10">
        <f t="shared" si="74"/>
        <v>-3.6107383517357969E-2</v>
      </c>
      <c r="BO93" s="23">
        <f t="shared" ref="BO93:BT93" si="75">SUM(BO91:BO92)</f>
        <v>-0.19157838989170284</v>
      </c>
      <c r="BP93" s="23">
        <f t="shared" si="75"/>
        <v>-0.20569302270923406</v>
      </c>
      <c r="BQ93" s="23">
        <f t="shared" si="75"/>
        <v>8.0935692672458578E-2</v>
      </c>
      <c r="BR93" s="23">
        <f t="shared" si="75"/>
        <v>-0.35402524416109005</v>
      </c>
      <c r="BS93" s="23">
        <f t="shared" si="75"/>
        <v>0.10635299491097007</v>
      </c>
      <c r="BT93" s="23">
        <f t="shared" si="75"/>
        <v>8.9046110784529994E-2</v>
      </c>
    </row>
    <row r="95" spans="1:72" hidden="1" outlineLevel="1" x14ac:dyDescent="0.25">
      <c r="A95" s="11" t="s">
        <v>82</v>
      </c>
      <c r="C95" s="2" t="s">
        <v>83</v>
      </c>
      <c r="D95" s="8">
        <f>IFERROR(
GETPIVOTDATA(
"[Base].[Importe]",
TDinamica_R!$A$5,
"[Calendario].[AñoMes]",
"[Calendario].[AñoMes].&amp;[" &amp; TEXT(D$6,"yyyymm")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E95" s="8">
        <f>IFERROR(
GETPIVOTDATA(
"[Base].[Importe]",
TDinamica_R!$A$5,
"[Calendario].[AñoMes]",
"[Calendario].[AñoMes].&amp;[" &amp; TEXT(E$6,"yyyymm")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F95" s="8">
        <f>IFERROR(
GETPIVOTDATA(
"[Base].[Importe]",
TDinamica_R!$A$5,
"[Calendario].[AñoMes]",
"[Calendario].[AñoMes].&amp;[" &amp; TEXT(F$6,"yyyymm")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G95" s="8">
        <f>IFERROR(
GETPIVOTDATA(
"[Base].[Importe]",
TDinamica_R!$A$5,
"[Calendario].[AñoMes]",
"[Calendario].[AñoMes].&amp;[" &amp; TEXT(G$6,"yyyymm")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H95" s="8">
        <f>IFERROR(
GETPIVOTDATA(
"[Base].[Importe]",
TDinamica_R!$A$5,
"[Calendario].[AñoMes]",
"[Calendario].[AñoMes].&amp;[" &amp; TEXT(H$6,"yyyymm")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I95" s="8">
        <f>IFERROR(
GETPIVOTDATA(
"[Base].[Importe]",
TDinamica_R!$A$5,
"[Calendario].[AñoMes]",
"[Calendario].[AñoMes].&amp;[" &amp; TEXT(I$6,"yyyymm")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J95" s="8">
        <f>IFERROR(
GETPIVOTDATA(
"[Base].[Importe]",
TDinamica_R!$A$5,
"[Calendario].[AñoMes]",
"[Calendario].[AñoMes].&amp;[" &amp; TEXT(J$6,"yyyymm")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K95" s="8">
        <f>IFERROR(
GETPIVOTDATA(
"[Base].[Importe]",
TDinamica_R!$A$5,
"[Calendario].[AñoMes]",
"[Calendario].[AñoMes].&amp;[" &amp; TEXT(K$6,"yyyymm")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L95" s="8">
        <f>IFERROR(
GETPIVOTDATA(
"[Base].[Importe]",
TDinamica_R!$A$5,
"[Calendario].[AñoMes]",
"[Calendario].[AñoMes].&amp;[" &amp; TEXT(L$6,"yyyymm")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M95" s="8">
        <f>IFERROR(
GETPIVOTDATA(
"[Base].[Importe]",
TDinamica_R!$A$5,
"[Calendario].[AñoMes]",
"[Calendario].[AñoMes].&amp;[" &amp; TEXT(M$6,"yyyymm")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N95" s="8">
        <f>IFERROR(
GETPIVOTDATA(
"[Base].[Importe]",
TDinamica_R!$A$5,
"[Calendario].[AñoMes]",
"[Calendario].[AñoMes].&amp;[" &amp; TEXT(N$6,"yyyymm")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O95" s="8">
        <f>IFERROR(
GETPIVOTDATA(
"[Base].[Importe]",
TDinamica_R!$A$5,
"[Calendario].[AñoMes]",
"[Calendario].[AñoMes].&amp;[" &amp; TEXT(O$6,"yyyymm")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P95" s="8">
        <f>IFERROR(
GETPIVOTDATA(
"[Base].[Importe]",
TDinamica_R!$A$5,
"[Calendario].[AñoMes]",
"[Calendario].[AñoMes].&amp;[" &amp; TEXT(P$6,"yyyymm")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Q95" s="8">
        <f>IFERROR(
GETPIVOTDATA(
"[Base].[Importe]",
TDinamica_R!$A$5,
"[Calendario].[AñoMes]",
"[Calendario].[AñoMes].&amp;[" &amp; TEXT(Q$6,"yyyymm")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R95" s="8">
        <f>IFERROR(
GETPIVOTDATA(
"[Base].[Importe]",
TDinamica_R!$A$5,
"[Calendario].[AñoMes]",
"[Calendario].[AñoMes].&amp;[" &amp; TEXT(R$6,"yyyymm")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S95" s="8">
        <f>IFERROR(
GETPIVOTDATA(
"[Base].[Importe]",
TDinamica_R!$A$5,
"[Calendario].[AñoMes]",
"[Calendario].[AñoMes].&amp;[" &amp; TEXT(S$6,"yyyymm")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T95" s="8">
        <f>IFERROR(
GETPIVOTDATA(
"[Base].[Importe]",
TDinamica_R!$A$5,
"[Calendario].[AñoMes]",
"[Calendario].[AñoMes].&amp;[" &amp; TEXT(T$6,"yyyymm")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U95" s="8">
        <f>IFERROR(
GETPIVOTDATA(
"[Base].[Importe]",
TDinamica_R!$A$5,
"[Calendario].[AñoMes]",
"[Calendario].[AñoMes].&amp;[" &amp; TEXT(U$6,"yyyymm")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V95" s="8">
        <f>IFERROR(
GETPIVOTDATA(
"[Base].[Importe]",
TDinamica_R!$A$5,
"[Calendario].[AñoMes]",
"[Calendario].[AñoMes].&amp;[" &amp; TEXT(V$6,"yyyymm")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W95" s="8">
        <f>IFERROR(
GETPIVOTDATA(
"[Base].[Importe]",
TDinamica_R!$A$5,
"[Calendario].[AñoMes]",
"[Calendario].[AñoMes].&amp;[" &amp; TEXT(W$6,"yyyymm")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X95" s="8">
        <f>IFERROR(
GETPIVOTDATA(
"[Base].[Importe]",
TDinamica_R!$A$5,
"[Calendario].[AñoMes]",
"[Calendario].[AñoMes].&amp;[" &amp; TEXT(X$6,"yyyymm")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Y95" s="8">
        <f>IFERROR(
GETPIVOTDATA(
"[Base].[Importe]",
TDinamica_R!$A$5,
"[Calendario].[AñoMes]",
"[Calendario].[AñoMes].&amp;[" &amp; TEXT(Y$6,"yyyymm")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Z95" s="8">
        <f>IFERROR(
GETPIVOTDATA(
"[Base].[Importe]",
TDinamica_R!$A$5,
"[Calendario].[AñoMes]",
"[Calendario].[AñoMes].&amp;[" &amp; TEXT(Z$6,"yyyymm")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A95" s="8">
        <f>IFERROR(
GETPIVOTDATA(
"[Base].[Importe]",
TDinamica_R!$A$5,
"[Calendario].[AñoMes]",
"[Calendario].[AñoMes].&amp;[" &amp; TEXT(AA$6,"yyyymm")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B95" s="8">
        <f>IFERROR(
GETPIVOTDATA(
"[Base].[Importe]",
TDinamica_R!$A$5,
"[Calendario].[AñoMes]",
"[Calendario].[AñoMes].&amp;[" &amp; TEXT(AB$6,"yyyymm")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C95" s="8">
        <f>IFERROR(
GETPIVOTDATA(
"[Base].[Importe]",
TDinamica_R!$A$5,
"[Calendario].[AñoMes]",
"[Calendario].[AñoMes].&amp;[" &amp; TEXT(AC$6,"yyyymm")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D95" s="8">
        <f>IFERROR(
GETPIVOTDATA(
"[Base].[Importe]",
TDinamica_R!$A$5,
"[Calendario].[AñoMes]",
"[Calendario].[AñoMes].&amp;[" &amp; TEXT(AD$6,"yyyymm") &amp; "]",
"[Base].[Metrica]",
"[Base].[Metrica].&amp;[" &amp; $A95 &amp; "]",
"[Base].[SEGMENTO_DESCRIP]",
"[Base].[SEGMENTO_DESCRIP].&amp;[" &amp; $C$6 &amp; "]",
"[Base].[SITUACION]",
"[Base].[SITUACION].&amp;[" &amp; $C95 &amp; "]"
),0)/1000</f>
        <v>0.68161580278115952</v>
      </c>
      <c r="AE95" s="8">
        <f>IFERROR(
GETPIVOTDATA(
"[Base].[Importe]",
TDinamica_R!$A$5,
"[Calendario].[AñoMes]",
"[Calendario].[AñoMes].&amp;[" &amp; TEXT(AE$6,"yyyymm")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F95" s="8">
        <f>IFERROR(
GETPIVOTDATA(
"[Base].[Importe]",
TDinamica_R!$A$5,
"[Calendario].[AñoMes]",
"[Calendario].[AñoMes].&amp;[" &amp; TEXT(AF$6,"yyyymm")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G95" s="8">
        <f>IFERROR(
GETPIVOTDATA(
"[Base].[Importe]",
TDinamica_R!$A$5,
"[Calendario].[AñoMes]",
"[Calendario].[AñoMes].&amp;[" &amp; TEXT(AG$6,"yyyymm")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H95" s="8">
        <f>IFERROR(
GETPIVOTDATA(
"[Base].[Importe]",
TDinamica_R!$A$5,
"[Calendario].[AñoMes]",
"[Calendario].[AñoMes].&amp;[" &amp; TEXT(AH$6,"yyyymm")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I95" s="8">
        <f>IFERROR(
GETPIVOTDATA(
"[Base].[Importe]",
TDinamica_R!$A$5,
"[Calendario].[AñoMes]",
"[Calendario].[AñoMes].&amp;[" &amp; TEXT(AI$6,"yyyymm")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J95" s="8">
        <f>IFERROR(
GETPIVOTDATA(
"[Base].[Importe]",
TDinamica_R!$A$5,
"[Calendario].[AñoMes]",
"[Calendario].[AñoMes].&amp;[" &amp; TEXT(AJ$6,"yyyymm")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K95" s="8">
        <f>IFERROR(
GETPIVOTDATA(
"[Base].[Importe]",
TDinamica_R!$A$5,
"[Calendario].[AñoMes]",
"[Calendario].[AñoMes].&amp;[" &amp; TEXT(AK$6,"yyyymm")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L95" s="8">
        <f>IFERROR(
GETPIVOTDATA(
"[Base].[Importe]",
TDinamica_R!$A$5,
"[Calendario].[AñoMes]",
"[Calendario].[AñoMes].&amp;[" &amp; TEXT(AL$6,"yyyymm")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M95" s="8">
        <f>IFERROR(
GETPIVOTDATA(
"[Base].[Importe]",
TDinamica_R!$A$5,
"[Calendario].[AñoMes]",
"[Calendario].[AñoMes].&amp;[" &amp; TEXT(AM$6,"yyyymm")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N95" s="8">
        <f>IFERROR(
GETPIVOTDATA(
"[Base].[Importe]",
TDinamica_R!$A$5,
"[Calendario].[AñoMes]",
"[Calendario].[AñoMes].&amp;[" &amp; TEXT(AN$6,"yyyymm")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O95" s="8">
        <f>IFERROR(
GETPIVOTDATA(
"[Base].[Importe]",
TDinamica_R!$A$5,
"[Calendario].[AñoMes]",
"[Calendario].[AñoMes].&amp;[" &amp; TEXT(AO$6,"yyyymm") &amp; "]",
"[Base].[Metrica]",
"[Base].[Metrica].&amp;[" &amp; $A95 &amp; "]",
"[Base].[SEGMENTO_DESCRIP]",
"[Base].[SEGMENTO_DESCRIP].&amp;[" &amp; $C$6 &amp; "]",
"[Base].[SITUACION]",
"[Base].[SITUACION].&amp;[" &amp; $C95 &amp; "]"
),0)/1000</f>
        <v>7.6250744623901925E-2</v>
      </c>
      <c r="AP95" s="8">
        <f>IFERROR(
GETPIVOTDATA(
"[Base].[Importe]",
TDinamica_R!$A$5,
"[Calendario].[AñoMes]",
"[Calendario].[AñoMes].&amp;[" &amp; TEXT(AP$6,"yyyymm") &amp; "]",
"[Base].[Metrica]",
"[Base].[Metrica].&amp;[" &amp; $A95 &amp; "]",
"[Base].[SEGMENTO_DESCRIP]",
"[Base].[SEGMENTO_DESCRIP].&amp;[" &amp; $C$6 &amp; "]",
"[Base].[SITUACION]",
"[Base].[SITUACION].&amp;[" &amp; $C95 &amp; "]"
),0)/1000</f>
        <v>2.8349918987980489</v>
      </c>
      <c r="AQ95" s="8">
        <f>IFERROR(
GETPIVOTDATA(
"[Base].[Importe]",
TDinamica_R!$A$5,
"[Calendario].[AñoMes]",
"[Calendario].[AñoMes].&amp;[" &amp; TEXT(AQ$6,"yyyymm")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R95" s="8">
        <f>IFERROR(
GETPIVOTDATA(
"[Base].[Importe]",
TDinamica_R!$A$5,
"[Calendario].[AñoMes]",
"[Calendario].[AñoMes].&amp;[" &amp; TEXT(AR$6,"yyyymm")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S95" s="8">
        <f>IFERROR(
GETPIVOTDATA(
"[Base].[Importe]",
TDinamica_R!$A$5,
"[Calendario].[AñoMes]",
"[Calendario].[AñoMes].&amp;[" &amp; TEXT(AS$6,"yyyymm")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T95" s="8">
        <f>IFERROR(
GETPIVOTDATA(
"[Base].[Importe]",
TDinamica_R!$A$5,
"[Calendario].[AñoMes]",
"[Calendario].[AñoMes].&amp;[" &amp; TEXT(AT$6,"yyyymm")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U95" s="8">
        <f>IFERROR(
GETPIVOTDATA(
"[Base].[Importe]",
TDinamica_R!$A$5,
"[Calendario].[AñoMes]",
"[Calendario].[AñoMes].&amp;[" &amp; TEXT(AU$6,"yyyymm")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V95" s="8">
        <f>IFERROR(
GETPIVOTDATA(
"[Base].[Importe]",
TDinamica_R!$A$5,
"[Calendario].[AñoMes]",
"[Calendario].[AñoMes].&amp;[" &amp; TEXT(AV$6,"yyyymm")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W95" s="8">
        <f>IFERROR(
GETPIVOTDATA(
"[Base].[Importe]",
TDinamica_R!$A$5,
"[Calendario].[AñoMes]",
"[Calendario].[AñoMes].&amp;[" &amp; TEXT(AW$6,"yyyymm")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X95" s="8">
        <f>IFERROR(
GETPIVOTDATA(
"[Base].[Importe]",
TDinamica_R!$A$5,
"[Calendario].[AñoMes]",
"[Calendario].[AñoMes].&amp;[" &amp; TEXT(AX$6,"yyyymm")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Y95" s="8">
        <f>IFERROR(
GETPIVOTDATA(
"[Base].[Importe]",
TDinamica_R!$A$5,
"[Calendario].[AñoMes]",
"[Calendario].[AñoMes].&amp;[" &amp; TEXT(AY$6,"yyyymm") &amp; "]",
"[Base].[Metrica]",
"[Base].[Metrica].&amp;[" &amp; $A95 &amp; "]",
"[Base].[SEGMENTO_DESCRIP]",
"[Base].[SEGMENTO_DESCRIP].&amp;[" &amp; $C$6 &amp; "]",
"[Base].[SITUACION]",
"[Base].[SITUACION].&amp;[" &amp; $C95 &amp; "]"
),0)/1000</f>
        <v>0</v>
      </c>
      <c r="AZ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"[BASE_HIPO_PPTO].[Periodo]","[BASE_HIPO_PPTO].[Periodo].&amp;["&amp;TEXT(AZ$6,"yyyymm")&amp;"]"),
0)/1000</f>
        <v>0</v>
      </c>
      <c r="BA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"[BASE_HIPO_PPTO].[Periodo]","[BASE_HIPO_PPTO].[Periodo].&amp;["&amp;TEXT(BA$6,"yyyymm")&amp;"]"),
0)/1000</f>
        <v>0</v>
      </c>
      <c r="BB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"[BASE_HIPO_PPTO].[Periodo]","[BASE_HIPO_PPTO].[Periodo].&amp;["&amp;TEXT(BB$6,"yyyymm")&amp;"]"),
0)/1000</f>
        <v>0</v>
      </c>
      <c r="BC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"[BASE_HIPO_PPTO].[Periodo]","[BASE_HIPO_PPTO].[Periodo].&amp;["&amp;TEXT(BC$6,"yyyymm")&amp;"]"),
0)/1000</f>
        <v>0</v>
      </c>
      <c r="BD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"[BASE_HIPO_PPTO].[Periodo]","[BASE_HIPO_PPTO].[Periodo].&amp;["&amp;TEXT(BD$6,"yyyymm")&amp;"]"),
0)/1000</f>
        <v>0</v>
      </c>
      <c r="BE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"[BASE_HIPO_PPTO].[Periodo]","[BASE_HIPO_PPTO].[Periodo].&amp;["&amp;TEXT(BE$6,"yyyymm")&amp;"]"),
0)/1000</f>
        <v>0</v>
      </c>
      <c r="BF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"[BASE_HIPO_PPTO].[Periodo]","[BASE_HIPO_PPTO].[Periodo].&amp;["&amp;TEXT(BF$6,"yyyymm")&amp;"]"),
0)/1000</f>
        <v>0</v>
      </c>
      <c r="BG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"[BASE_HIPO_PPTO].[Periodo]","[BASE_HIPO_PPTO].[Periodo].&amp;["&amp;TEXT(BG$6,"yyyymm")&amp;"]"),
0)/1000</f>
        <v>0</v>
      </c>
      <c r="BH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"[BASE_HIPO_PPTO].[Periodo]","[BASE_HIPO_PPTO].[Periodo].&amp;["&amp;TEXT(BH$6,"yyyymm")&amp;"]"),
0)/1000</f>
        <v>0</v>
      </c>
      <c r="BI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"[BASE_HIPO_PPTO].[Periodo]","[BASE_HIPO_PPTO].[Periodo].&amp;["&amp;TEXT(BI$6,"yyyymm")&amp;"]"),
0)/1000</f>
        <v>0</v>
      </c>
      <c r="BJ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"[BASE_HIPO_PPTO].[Periodo]","[BASE_HIPO_PPTO].[Periodo].&amp;["&amp;TEXT(BJ$6,"yyyymm")&amp;"]"),
0)/1000</f>
        <v>0</v>
      </c>
      <c r="BK95" s="8">
        <f>IFERROR(
GETPIVOTDATA(
"[BASE_HIPO_PPTO].[Importe]",
TDinamica_P!$A$5,
"[BASE_HIPO_PPTO].[Metrica]","[BASE_HIPO_PPTO].[Metrica].&amp;["&amp;$A95&amp;"]",
"[BASE_HIPO_PPTO].[SEGMENTO_DESCRIP]","[BASE_HIPO_PPTO].[SEGMENTO_DESCRIP].&amp;["&amp;$C$6&amp;"]",
"[BASE_HIPO_PPTO].[SITUACION]","[BASE_HIPO_PPTO].[SITUACION].&amp;["&amp;$C95&amp;"]",
"[BASE_HIPO_PPTO].[Periodo]","[BASE_HIPO_PPTO].[Periodo].&amp;["&amp;TEXT(BK$6,"yyyymm")&amp;"]"),
0)/1000</f>
        <v>0</v>
      </c>
      <c r="BO95" s="24">
        <f t="shared" ref="BO95:BT95" si="76">SUMIFS($D95:$BM95,$D$6:$BM$6,"&gt;="&amp;BO$2,$D$6:$BM$6,"&lt;="&amp;BO$6,$D$5:$BM$5,BO$5)</f>
        <v>2.9112426434219509</v>
      </c>
      <c r="BP95" s="24">
        <f t="shared" si="76"/>
        <v>0</v>
      </c>
      <c r="BQ95" s="24">
        <f t="shared" si="76"/>
        <v>7.6250744623901925E-2</v>
      </c>
      <c r="BR95" s="24">
        <f t="shared" si="76"/>
        <v>0.68161580278115952</v>
      </c>
      <c r="BS95" s="24">
        <f t="shared" si="76"/>
        <v>0</v>
      </c>
      <c r="BT95" s="24">
        <f t="shared" si="76"/>
        <v>0</v>
      </c>
    </row>
    <row r="96" spans="1:72" collapsed="1" x14ac:dyDescent="0.25">
      <c r="C96" s="3" t="s">
        <v>82</v>
      </c>
      <c r="D96" s="10">
        <f>SUM(D95:D95)</f>
        <v>0</v>
      </c>
      <c r="E96" s="10">
        <f t="shared" ref="E96:AY96" si="77">SUM(E95:E95)</f>
        <v>0</v>
      </c>
      <c r="F96" s="10">
        <f t="shared" si="77"/>
        <v>0</v>
      </c>
      <c r="G96" s="10">
        <f t="shared" si="77"/>
        <v>0</v>
      </c>
      <c r="H96" s="10">
        <f t="shared" si="77"/>
        <v>0</v>
      </c>
      <c r="I96" s="10">
        <f t="shared" si="77"/>
        <v>0</v>
      </c>
      <c r="J96" s="10">
        <f t="shared" si="77"/>
        <v>0</v>
      </c>
      <c r="K96" s="10">
        <f t="shared" si="77"/>
        <v>0</v>
      </c>
      <c r="L96" s="10">
        <f t="shared" si="77"/>
        <v>0</v>
      </c>
      <c r="M96" s="10">
        <f t="shared" si="77"/>
        <v>0</v>
      </c>
      <c r="N96" s="10">
        <f t="shared" si="77"/>
        <v>0</v>
      </c>
      <c r="O96" s="10">
        <f t="shared" si="77"/>
        <v>0</v>
      </c>
      <c r="P96" s="10">
        <f t="shared" si="77"/>
        <v>0</v>
      </c>
      <c r="Q96" s="10">
        <f t="shared" si="77"/>
        <v>0</v>
      </c>
      <c r="R96" s="10">
        <f t="shared" si="77"/>
        <v>0</v>
      </c>
      <c r="S96" s="10">
        <f t="shared" si="77"/>
        <v>0</v>
      </c>
      <c r="T96" s="10">
        <f t="shared" si="77"/>
        <v>0</v>
      </c>
      <c r="U96" s="10">
        <f t="shared" si="77"/>
        <v>0</v>
      </c>
      <c r="V96" s="10">
        <f t="shared" si="77"/>
        <v>0</v>
      </c>
      <c r="W96" s="10">
        <f t="shared" si="77"/>
        <v>0</v>
      </c>
      <c r="X96" s="10">
        <f t="shared" si="77"/>
        <v>0</v>
      </c>
      <c r="Y96" s="10">
        <f t="shared" si="77"/>
        <v>0</v>
      </c>
      <c r="Z96" s="10">
        <f t="shared" si="77"/>
        <v>0</v>
      </c>
      <c r="AA96" s="10">
        <f t="shared" si="77"/>
        <v>0</v>
      </c>
      <c r="AB96" s="10">
        <f t="shared" si="77"/>
        <v>0</v>
      </c>
      <c r="AC96" s="10">
        <f t="shared" si="77"/>
        <v>0</v>
      </c>
      <c r="AD96" s="10">
        <f t="shared" si="77"/>
        <v>0.68161580278115952</v>
      </c>
      <c r="AE96" s="10">
        <f t="shared" si="77"/>
        <v>0</v>
      </c>
      <c r="AF96" s="10">
        <f t="shared" si="77"/>
        <v>0</v>
      </c>
      <c r="AG96" s="10">
        <f t="shared" si="77"/>
        <v>0</v>
      </c>
      <c r="AH96" s="10">
        <f t="shared" si="77"/>
        <v>0</v>
      </c>
      <c r="AI96" s="10">
        <f t="shared" si="77"/>
        <v>0</v>
      </c>
      <c r="AJ96" s="10">
        <f t="shared" si="77"/>
        <v>0</v>
      </c>
      <c r="AK96" s="10">
        <f t="shared" si="77"/>
        <v>0</v>
      </c>
      <c r="AL96" s="10">
        <f t="shared" si="77"/>
        <v>0</v>
      </c>
      <c r="AM96" s="10">
        <f t="shared" si="77"/>
        <v>0</v>
      </c>
      <c r="AN96" s="10">
        <f t="shared" si="77"/>
        <v>0</v>
      </c>
      <c r="AO96" s="10">
        <f t="shared" si="77"/>
        <v>7.6250744623901925E-2</v>
      </c>
      <c r="AP96" s="10">
        <f t="shared" si="77"/>
        <v>2.8349918987980489</v>
      </c>
      <c r="AQ96" s="10">
        <f t="shared" si="77"/>
        <v>0</v>
      </c>
      <c r="AR96" s="10">
        <f t="shared" si="77"/>
        <v>0</v>
      </c>
      <c r="AS96" s="10">
        <f t="shared" si="77"/>
        <v>0</v>
      </c>
      <c r="AT96" s="10">
        <f t="shared" si="77"/>
        <v>0</v>
      </c>
      <c r="AU96" s="10">
        <f t="shared" si="77"/>
        <v>0</v>
      </c>
      <c r="AV96" s="10">
        <f t="shared" si="77"/>
        <v>0</v>
      </c>
      <c r="AW96" s="10">
        <f t="shared" si="77"/>
        <v>0</v>
      </c>
      <c r="AX96" s="10">
        <f t="shared" si="77"/>
        <v>0</v>
      </c>
      <c r="AY96" s="10">
        <f t="shared" si="77"/>
        <v>0</v>
      </c>
      <c r="AZ96" s="10">
        <f t="shared" ref="AZ96:BK96" si="78">SUM(AZ95)</f>
        <v>0</v>
      </c>
      <c r="BA96" s="10">
        <f t="shared" si="78"/>
        <v>0</v>
      </c>
      <c r="BB96" s="10">
        <f t="shared" si="78"/>
        <v>0</v>
      </c>
      <c r="BC96" s="10">
        <f t="shared" si="78"/>
        <v>0</v>
      </c>
      <c r="BD96" s="10">
        <f t="shared" si="78"/>
        <v>0</v>
      </c>
      <c r="BE96" s="10">
        <f t="shared" si="78"/>
        <v>0</v>
      </c>
      <c r="BF96" s="10">
        <f t="shared" si="78"/>
        <v>0</v>
      </c>
      <c r="BG96" s="10">
        <f t="shared" si="78"/>
        <v>0</v>
      </c>
      <c r="BH96" s="10">
        <f t="shared" si="78"/>
        <v>0</v>
      </c>
      <c r="BI96" s="10">
        <f t="shared" si="78"/>
        <v>0</v>
      </c>
      <c r="BJ96" s="10">
        <f t="shared" si="78"/>
        <v>0</v>
      </c>
      <c r="BK96" s="10">
        <f t="shared" si="78"/>
        <v>0</v>
      </c>
      <c r="BO96" s="23">
        <f>SUM(BO95)</f>
        <v>2.9112426434219509</v>
      </c>
      <c r="BP96" s="23">
        <f t="shared" ref="BP96:BT96" si="79">SUM(BP95)</f>
        <v>0</v>
      </c>
      <c r="BQ96" s="23">
        <f t="shared" si="79"/>
        <v>7.6250744623901925E-2</v>
      </c>
      <c r="BR96" s="23">
        <f t="shared" si="79"/>
        <v>0.68161580278115952</v>
      </c>
      <c r="BS96" s="23">
        <f t="shared" si="79"/>
        <v>0</v>
      </c>
      <c r="BT96" s="23">
        <f t="shared" si="79"/>
        <v>0</v>
      </c>
    </row>
    <row r="98" spans="3:72" x14ac:dyDescent="0.25">
      <c r="C98" s="3" t="s">
        <v>84</v>
      </c>
      <c r="D98" s="10">
        <f t="shared" ref="D98:BK98" si="80">D60+D83+D89+D93+D96</f>
        <v>56.671914865218966</v>
      </c>
      <c r="E98" s="10">
        <f t="shared" si="80"/>
        <v>210.51156233819805</v>
      </c>
      <c r="F98" s="10">
        <f t="shared" si="80"/>
        <v>-374.22341722793612</v>
      </c>
      <c r="G98" s="10">
        <f t="shared" si="80"/>
        <v>-1423.6458453053413</v>
      </c>
      <c r="H98" s="10">
        <f t="shared" si="80"/>
        <v>205.40847412174745</v>
      </c>
      <c r="I98" s="10">
        <f t="shared" si="80"/>
        <v>-8622.4978097732783</v>
      </c>
      <c r="J98" s="10">
        <f t="shared" si="80"/>
        <v>-582.52456410682373</v>
      </c>
      <c r="K98" s="10">
        <f t="shared" si="80"/>
        <v>227.43817998196195</v>
      </c>
      <c r="L98" s="10">
        <f t="shared" si="80"/>
        <v>-2426.0824445630178</v>
      </c>
      <c r="M98" s="10">
        <f t="shared" si="80"/>
        <v>-790.855066222039</v>
      </c>
      <c r="N98" s="10">
        <f t="shared" si="80"/>
        <v>-1715.9330063840982</v>
      </c>
      <c r="O98" s="10">
        <f t="shared" si="80"/>
        <v>-6175.6862922570481</v>
      </c>
      <c r="P98" s="10">
        <f t="shared" si="80"/>
        <v>-188.65256671166094</v>
      </c>
      <c r="Q98" s="10">
        <f t="shared" si="80"/>
        <v>-215.37007255131709</v>
      </c>
      <c r="R98" s="10">
        <f t="shared" si="80"/>
        <v>26.825070727711484</v>
      </c>
      <c r="S98" s="10">
        <f t="shared" si="80"/>
        <v>-110.25601832131662</v>
      </c>
      <c r="T98" s="10">
        <f t="shared" si="80"/>
        <v>-81.997462094082664</v>
      </c>
      <c r="U98" s="10">
        <f t="shared" si="80"/>
        <v>-247.70791032348754</v>
      </c>
      <c r="V98" s="10">
        <f t="shared" si="80"/>
        <v>-243.64626458213164</v>
      </c>
      <c r="W98" s="10">
        <f t="shared" si="80"/>
        <v>-294.95917336403971</v>
      </c>
      <c r="X98" s="10">
        <f t="shared" si="80"/>
        <v>-291.03280054610946</v>
      </c>
      <c r="Y98" s="10">
        <f t="shared" si="80"/>
        <v>-172.23237917848388</v>
      </c>
      <c r="Z98" s="10">
        <f t="shared" si="80"/>
        <v>-163.65811507419528</v>
      </c>
      <c r="AA98" s="10">
        <f t="shared" si="80"/>
        <v>-276.13109262122492</v>
      </c>
      <c r="AB98" s="10">
        <f t="shared" si="80"/>
        <v>-302.72796097076406</v>
      </c>
      <c r="AC98" s="10">
        <f t="shared" si="80"/>
        <v>-269.22314931748679</v>
      </c>
      <c r="AD98" s="10">
        <f t="shared" si="80"/>
        <v>-310.62790795492754</v>
      </c>
      <c r="AE98" s="10">
        <f t="shared" si="80"/>
        <v>-352.54478610237322</v>
      </c>
      <c r="AF98" s="10">
        <f t="shared" si="80"/>
        <v>-383.94324191910641</v>
      </c>
      <c r="AG98" s="10">
        <f t="shared" si="80"/>
        <v>-347.14211726306883</v>
      </c>
      <c r="AH98" s="10">
        <f t="shared" si="80"/>
        <v>-410.17631449601458</v>
      </c>
      <c r="AI98" s="10">
        <f t="shared" si="80"/>
        <v>-381.17228787147576</v>
      </c>
      <c r="AJ98" s="10">
        <f t="shared" si="80"/>
        <v>-369.03714759114104</v>
      </c>
      <c r="AK98" s="10">
        <f t="shared" si="80"/>
        <v>-264.90632906778774</v>
      </c>
      <c r="AL98" s="10">
        <f t="shared" si="80"/>
        <v>-383.22985672285535</v>
      </c>
      <c r="AM98" s="10">
        <f t="shared" si="80"/>
        <v>-432.2252651324726</v>
      </c>
      <c r="AN98" s="10">
        <f t="shared" si="80"/>
        <v>-309.21193700930348</v>
      </c>
      <c r="AO98" s="10">
        <f t="shared" si="80"/>
        <v>-306.28919364165</v>
      </c>
      <c r="AP98" s="10">
        <f t="shared" si="80"/>
        <v>-764.94751473012457</v>
      </c>
      <c r="AQ98" s="10">
        <f t="shared" si="80"/>
        <v>-441.07626264519348</v>
      </c>
      <c r="AR98" s="10">
        <f t="shared" si="80"/>
        <v>-543.84402639647556</v>
      </c>
      <c r="AS98" s="10">
        <f t="shared" si="80"/>
        <v>-445.61576148764391</v>
      </c>
      <c r="AT98" s="10">
        <f t="shared" si="80"/>
        <v>0</v>
      </c>
      <c r="AU98" s="10">
        <f t="shared" si="80"/>
        <v>0</v>
      </c>
      <c r="AV98" s="10">
        <f t="shared" si="80"/>
        <v>0</v>
      </c>
      <c r="AW98" s="10">
        <f t="shared" si="80"/>
        <v>0</v>
      </c>
      <c r="AX98" s="10">
        <f t="shared" si="80"/>
        <v>0</v>
      </c>
      <c r="AY98" s="10">
        <f t="shared" si="80"/>
        <v>0</v>
      </c>
      <c r="AZ98" s="10">
        <f t="shared" si="80"/>
        <v>-292.66168214852331</v>
      </c>
      <c r="BA98" s="10">
        <f t="shared" si="80"/>
        <v>-288.33736181583077</v>
      </c>
      <c r="BB98" s="10">
        <f t="shared" si="80"/>
        <v>-298.87921200347347</v>
      </c>
      <c r="BC98" s="10">
        <f t="shared" si="80"/>
        <v>-295.00096278426457</v>
      </c>
      <c r="BD98" s="10">
        <f t="shared" si="80"/>
        <v>-383.75724401122244</v>
      </c>
      <c r="BE98" s="10">
        <f t="shared" si="80"/>
        <v>-390.57910897313587</v>
      </c>
      <c r="BF98" s="10">
        <f t="shared" si="80"/>
        <v>-361.61625639628835</v>
      </c>
      <c r="BG98" s="10">
        <f t="shared" si="80"/>
        <v>-405.37470110363802</v>
      </c>
      <c r="BH98" s="10">
        <f t="shared" si="80"/>
        <v>-397.1655153691828</v>
      </c>
      <c r="BI98" s="10">
        <f t="shared" si="80"/>
        <v>-372.84167109858623</v>
      </c>
      <c r="BJ98" s="10">
        <f t="shared" si="80"/>
        <v>-385.4702970038166</v>
      </c>
      <c r="BK98" s="10">
        <f t="shared" si="80"/>
        <v>-404.00937098168794</v>
      </c>
      <c r="BO98" s="23">
        <f>BO60+BO83+BO89+BO93+BO96</f>
        <v>-1380.448645381078</v>
      </c>
      <c r="BP98" s="23">
        <f t="shared" ref="BP98:BT98" si="81">BP60+BP83+BP89+BP93+BP96</f>
        <v>-879.87825596782773</v>
      </c>
      <c r="BQ98" s="23">
        <f t="shared" si="81"/>
        <v>-615.50113065095354</v>
      </c>
      <c r="BR98" s="23">
        <f t="shared" si="81"/>
        <v>-882.57901824317844</v>
      </c>
      <c r="BS98" s="23">
        <f t="shared" si="81"/>
        <v>-377.19756853526638</v>
      </c>
      <c r="BT98" s="23">
        <f t="shared" si="81"/>
        <v>-107.03994002451917</v>
      </c>
    </row>
    <row r="102" spans="3:72" s="48" customFormat="1" x14ac:dyDescent="0.25">
      <c r="C102" s="46" t="s">
        <v>110</v>
      </c>
      <c r="D102" s="47">
        <f>D11</f>
        <v>17815.5420347</v>
      </c>
      <c r="E102" s="47">
        <f>IFERROR(AVERAGE(D11:E11),0)</f>
        <v>18951.719771869997</v>
      </c>
      <c r="F102" s="47">
        <f t="shared" ref="F102:BK102" si="82">IFERROR(AVERAGE(E11:F11),0)</f>
        <v>20314.576822440002</v>
      </c>
      <c r="G102" s="47">
        <f t="shared" si="82"/>
        <v>20081.795127420002</v>
      </c>
      <c r="H102" s="47">
        <f t="shared" si="82"/>
        <v>19892.473823849999</v>
      </c>
      <c r="I102" s="47">
        <f t="shared" si="82"/>
        <v>19688.991104919998</v>
      </c>
      <c r="J102" s="48">
        <f t="shared" si="82"/>
        <v>18804.121725450001</v>
      </c>
      <c r="K102" s="48">
        <f t="shared" si="82"/>
        <v>18249.465146480004</v>
      </c>
      <c r="L102" s="48">
        <f t="shared" si="82"/>
        <v>17447.582560095005</v>
      </c>
      <c r="M102" s="48">
        <f t="shared" si="82"/>
        <v>16132.934974185002</v>
      </c>
      <c r="N102" s="48">
        <f t="shared" si="82"/>
        <v>15458.151513559998</v>
      </c>
      <c r="O102" s="48">
        <f t="shared" si="82"/>
        <v>15754.106284844998</v>
      </c>
      <c r="P102" s="48">
        <f t="shared" si="82"/>
        <v>15882.556242455001</v>
      </c>
      <c r="Q102" s="48">
        <f t="shared" si="82"/>
        <v>15344.773223080001</v>
      </c>
      <c r="R102" s="48">
        <f t="shared" si="82"/>
        <v>14695.89399701</v>
      </c>
      <c r="S102" s="48">
        <f t="shared" si="82"/>
        <v>14031.90773563</v>
      </c>
      <c r="T102" s="48">
        <f t="shared" si="82"/>
        <v>13850.367895480002</v>
      </c>
      <c r="U102" s="48">
        <f t="shared" si="82"/>
        <v>14382.935635495</v>
      </c>
      <c r="V102" s="48">
        <f t="shared" si="82"/>
        <v>15090.363121684999</v>
      </c>
      <c r="W102" s="47">
        <f t="shared" si="82"/>
        <v>15115.62700287</v>
      </c>
      <c r="X102" s="47">
        <f t="shared" si="82"/>
        <v>14481.703506974998</v>
      </c>
      <c r="Y102" s="47">
        <f t="shared" si="82"/>
        <v>14027.011536264999</v>
      </c>
      <c r="Z102" s="47">
        <f t="shared" si="82"/>
        <v>13803.676697130002</v>
      </c>
      <c r="AA102" s="47">
        <f t="shared" si="82"/>
        <v>15380.47945649</v>
      </c>
      <c r="AB102" s="47">
        <f t="shared" si="82"/>
        <v>16644.85695505</v>
      </c>
      <c r="AC102" s="48">
        <f t="shared" si="82"/>
        <v>16290.021257515</v>
      </c>
      <c r="AD102" s="48">
        <f t="shared" si="82"/>
        <v>16872.073849975</v>
      </c>
      <c r="AE102" s="48">
        <f t="shared" si="82"/>
        <v>17012.557005215003</v>
      </c>
      <c r="AF102" s="48">
        <f t="shared" si="82"/>
        <v>17149.839016935002</v>
      </c>
      <c r="AG102" s="48">
        <f t="shared" si="82"/>
        <v>16551.280320049998</v>
      </c>
      <c r="AH102" s="48">
        <f t="shared" si="82"/>
        <v>15956.20110622</v>
      </c>
      <c r="AI102" s="48">
        <f t="shared" si="82"/>
        <v>17055.344607204996</v>
      </c>
      <c r="AJ102" s="48">
        <f t="shared" si="82"/>
        <v>19374.425585624995</v>
      </c>
      <c r="AK102" s="48">
        <f t="shared" si="82"/>
        <v>22578.035242625003</v>
      </c>
      <c r="AL102" s="48">
        <f t="shared" si="82"/>
        <v>26079.234950505001</v>
      </c>
      <c r="AM102" s="48">
        <f t="shared" si="82"/>
        <v>30486.941426724999</v>
      </c>
      <c r="AN102" s="48">
        <f t="shared" si="82"/>
        <v>33269.051471095001</v>
      </c>
      <c r="AO102" s="48">
        <f t="shared" si="82"/>
        <v>34261.179999999993</v>
      </c>
      <c r="AP102" s="48">
        <f t="shared" si="82"/>
        <v>37842.724999999999</v>
      </c>
      <c r="AQ102" s="48">
        <f t="shared" si="82"/>
        <v>43010.571784429994</v>
      </c>
      <c r="AR102" s="48">
        <f t="shared" si="82"/>
        <v>46338.886518139989</v>
      </c>
      <c r="AS102" s="48">
        <f t="shared" si="82"/>
        <v>50882.848296859986</v>
      </c>
      <c r="AT102" s="48">
        <f t="shared" si="82"/>
        <v>27113.993563149994</v>
      </c>
      <c r="AU102" s="48">
        <f t="shared" si="82"/>
        <v>0</v>
      </c>
      <c r="AV102" s="48">
        <f t="shared" si="82"/>
        <v>0</v>
      </c>
      <c r="AW102" s="48">
        <f t="shared" si="82"/>
        <v>0</v>
      </c>
      <c r="AX102" s="48">
        <f t="shared" si="82"/>
        <v>0</v>
      </c>
      <c r="AY102" s="48">
        <f t="shared" si="82"/>
        <v>0</v>
      </c>
      <c r="AZ102" s="48">
        <f>AZ11</f>
        <v>21070.707684528341</v>
      </c>
      <c r="BA102" s="48">
        <f t="shared" si="82"/>
        <v>20596.029513082216</v>
      </c>
      <c r="BB102" s="48">
        <f t="shared" si="82"/>
        <v>19628.174276015649</v>
      </c>
      <c r="BC102" s="48">
        <f t="shared" si="82"/>
        <v>18648.558862496408</v>
      </c>
      <c r="BD102" s="48">
        <f t="shared" si="82"/>
        <v>18250.644151178698</v>
      </c>
      <c r="BE102" s="48">
        <f t="shared" si="82"/>
        <v>18497.468951120256</v>
      </c>
      <c r="BF102" s="48">
        <f t="shared" si="82"/>
        <v>18959.336432925636</v>
      </c>
      <c r="BG102" s="48">
        <f t="shared" si="82"/>
        <v>19611.714221691826</v>
      </c>
      <c r="BH102" s="48">
        <f t="shared" si="82"/>
        <v>20255.275709939226</v>
      </c>
      <c r="BI102" s="48">
        <f t="shared" si="82"/>
        <v>20810.478336041182</v>
      </c>
      <c r="BJ102" s="48">
        <f t="shared" si="82"/>
        <v>21360.600394878129</v>
      </c>
      <c r="BK102" s="48">
        <f t="shared" si="82"/>
        <v>21966.093394346441</v>
      </c>
      <c r="BO102" s="48">
        <f>IFERROR(AVERAGEIFS($D11:$BM11,$D$6:$BM$6,"&gt;="&amp;EOMONTH(BO$2,-1),$D$6:$BM$6,"&lt;="&amp;BO$6,$D$5:$BM$5,BO$5,$D11:$BM11,"&lt;&gt;0"),0)</f>
        <v>35555.8882355475</v>
      </c>
      <c r="BP102" s="48">
        <f>IFERROR(AVERAGEIFS($D11:$BM11,$D$6:$BM$6,"&gt;="&amp;EOMONTH(BP$2,-1),$D$6:$BM$6,"&lt;="&amp;BP$6,$D$5:$BM$5,BP$5,$D11:$BM11,"&lt;&gt;0"),0)</f>
        <v>20109.018745519879</v>
      </c>
      <c r="BQ102" s="48">
        <f>IFERROR(AVERAGEIFS($D11:$BM11,$D$6:$BM$6,"&gt;="&amp;EOMONTH(BQ$2,-1),$D$6:$BM$6,"&lt;="&amp;BQ$6,$D$5:$BM$5,BQ$5,$D11:$BM11,"&lt;&gt;0"),0)</f>
        <v>33780.824314063335</v>
      </c>
      <c r="BR102" s="48">
        <f>IFERROR(AVERAGEIFS($D11:$BM11,$D$6:$BM$6,"&gt;="&amp;EOMONTH(BR$2,-1),$D$6:$BM$6,"&lt;="&amp;BR$6,$D$5:$BM$5,BR$5,$D11:$BM11,"&lt;&gt;0"),0)</f>
        <v>16758.465402512502</v>
      </c>
      <c r="BS102" s="48">
        <f t="shared" ref="BS102:BT102" si="83">IFERROR(AVERAGEIFS($D11:$BM11,$D$6:$BM$6,"&gt;="&amp;EOMONTH(BS$2,-1),$D$6:$BM$6,"&lt;="&amp;BS$6,$D$5:$BM$5,BS$5,$D11:$BM11,"&lt;&gt;0"),0)</f>
        <v>15289.225119732499</v>
      </c>
      <c r="BT102" s="48">
        <f t="shared" si="83"/>
        <v>19481.565226526665</v>
      </c>
    </row>
  </sheetData>
  <mergeCells count="4">
    <mergeCell ref="BO1:BT1"/>
    <mergeCell ref="BW1:CB1"/>
    <mergeCell ref="D1:AY1"/>
    <mergeCell ref="AZ1:B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7C72EB-143B-4BC1-9D9D-98C77DA4F88C}">
  <dimension ref="A1:AQ142"/>
  <sheetViews>
    <sheetView zoomScale="70" zoomScaleNormal="70" workbookViewId="0">
      <selection activeCell="A5" sqref="A5"/>
    </sheetView>
  </sheetViews>
  <sheetFormatPr baseColWidth="10" defaultColWidth="13.5703125" defaultRowHeight="15" x14ac:dyDescent="0.25"/>
  <cols>
    <col min="1" max="1" width="34.42578125" bestFit="1" customWidth="1"/>
    <col min="2" max="2" width="15.28515625" style="8" customWidth="1"/>
    <col min="3" max="3" width="16.5703125" style="8" customWidth="1"/>
    <col min="4" max="38" width="20.42578125" style="8" bestFit="1" customWidth="1"/>
    <col min="39" max="49" width="20.42578125" bestFit="1" customWidth="1"/>
  </cols>
  <sheetData>
    <row r="1" spans="1:43" x14ac:dyDescent="0.25"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</row>
    <row r="2" spans="1:43" x14ac:dyDescent="0.25">
      <c r="A2" s="4" t="s">
        <v>43</v>
      </c>
      <c r="B2" t="s" vm="2">
        <v>125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</row>
    <row r="3" spans="1:43" x14ac:dyDescent="0.25">
      <c r="A3" s="4" t="s">
        <v>53</v>
      </c>
      <c r="B3" t="s" vm="1">
        <v>54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</row>
    <row r="4" spans="1:43" x14ac:dyDescent="0.25"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</row>
    <row r="5" spans="1:43" x14ac:dyDescent="0.25">
      <c r="A5" s="4" t="s">
        <v>42</v>
      </c>
      <c r="B5" s="4" t="s">
        <v>5</v>
      </c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</row>
    <row r="6" spans="1:43" x14ac:dyDescent="0.25">
      <c r="A6" s="4" t="s">
        <v>44</v>
      </c>
      <c r="B6" t="s">
        <v>6</v>
      </c>
      <c r="C6" t="s">
        <v>7</v>
      </c>
      <c r="D6" t="s">
        <v>8</v>
      </c>
      <c r="E6" t="s">
        <v>9</v>
      </c>
      <c r="F6" t="s">
        <v>10</v>
      </c>
      <c r="G6" t="s">
        <v>11</v>
      </c>
      <c r="H6" t="s">
        <v>12</v>
      </c>
      <c r="I6" t="s">
        <v>13</v>
      </c>
      <c r="J6" t="s">
        <v>14</v>
      </c>
      <c r="K6" t="s">
        <v>15</v>
      </c>
      <c r="L6" t="s">
        <v>16</v>
      </c>
      <c r="M6" t="s">
        <v>17</v>
      </c>
      <c r="N6" t="s">
        <v>18</v>
      </c>
      <c r="O6" t="s">
        <v>19</v>
      </c>
      <c r="P6" t="s">
        <v>20</v>
      </c>
      <c r="Q6" t="s">
        <v>21</v>
      </c>
      <c r="R6" t="s">
        <v>22</v>
      </c>
      <c r="S6" t="s">
        <v>23</v>
      </c>
      <c r="T6" t="s">
        <v>24</v>
      </c>
      <c r="U6" t="s">
        <v>25</v>
      </c>
      <c r="V6" t="s">
        <v>26</v>
      </c>
      <c r="W6" t="s">
        <v>27</v>
      </c>
      <c r="X6" t="s">
        <v>28</v>
      </c>
      <c r="Y6" t="s">
        <v>29</v>
      </c>
      <c r="Z6" t="s">
        <v>30</v>
      </c>
      <c r="AA6" t="s">
        <v>31</v>
      </c>
      <c r="AB6" t="s">
        <v>32</v>
      </c>
      <c r="AC6" t="s">
        <v>33</v>
      </c>
      <c r="AD6" t="s">
        <v>34</v>
      </c>
      <c r="AE6" t="s">
        <v>35</v>
      </c>
      <c r="AF6" t="s">
        <v>36</v>
      </c>
      <c r="AG6" t="s">
        <v>37</v>
      </c>
      <c r="AH6" t="s">
        <v>38</v>
      </c>
      <c r="AI6" t="s">
        <v>39</v>
      </c>
      <c r="AJ6" t="s">
        <v>40</v>
      </c>
      <c r="AK6" t="s">
        <v>41</v>
      </c>
      <c r="AL6" t="s">
        <v>77</v>
      </c>
      <c r="AM6" t="s">
        <v>113</v>
      </c>
      <c r="AN6" t="s">
        <v>115</v>
      </c>
      <c r="AO6" t="s">
        <v>116</v>
      </c>
      <c r="AP6" t="s">
        <v>117</v>
      </c>
      <c r="AQ6" t="s">
        <v>118</v>
      </c>
    </row>
    <row r="7" spans="1:43" x14ac:dyDescent="0.25">
      <c r="A7" s="5" t="s">
        <v>51</v>
      </c>
      <c r="B7" s="9">
        <v>9588231768.7435398</v>
      </c>
      <c r="C7" s="9">
        <v>9626127905.2249413</v>
      </c>
      <c r="D7" s="9">
        <v>9666109024.6420193</v>
      </c>
      <c r="E7" s="9">
        <v>9714809400.2961483</v>
      </c>
      <c r="F7" s="9">
        <v>9761262763.75947</v>
      </c>
      <c r="G7" s="9">
        <v>9811033918.4034233</v>
      </c>
      <c r="H7" s="9">
        <v>9819008640.2005005</v>
      </c>
      <c r="I7" s="9">
        <v>9883504638.3122482</v>
      </c>
      <c r="J7" s="9">
        <v>9972270984.7639294</v>
      </c>
      <c r="K7" s="9">
        <v>10038863408.272779</v>
      </c>
      <c r="L7" s="9">
        <v>10067565809.619102</v>
      </c>
      <c r="M7" s="9">
        <v>10091349235.453871</v>
      </c>
      <c r="N7" s="9">
        <v>10127947474.77426</v>
      </c>
      <c r="O7" s="9">
        <v>10192922125.186998</v>
      </c>
      <c r="P7" s="9">
        <v>10241612646.03396</v>
      </c>
      <c r="Q7" s="9">
        <v>10305974829.34808</v>
      </c>
      <c r="R7" s="9">
        <v>10345725001.71998</v>
      </c>
      <c r="S7" s="9">
        <v>10402782124.881149</v>
      </c>
      <c r="T7" s="9">
        <v>10459925973.623911</v>
      </c>
      <c r="U7" s="9">
        <v>10535597367.773201</v>
      </c>
      <c r="V7" s="9">
        <v>10612587577.782021</v>
      </c>
      <c r="W7" s="9">
        <v>10701792644.75144</v>
      </c>
      <c r="X7" s="9">
        <v>10755615782.637758</v>
      </c>
      <c r="Y7" s="9">
        <v>10825054587.979822</v>
      </c>
      <c r="Z7" s="9">
        <v>10859292331.879278</v>
      </c>
      <c r="AA7" s="9">
        <v>10920434623.513962</v>
      </c>
      <c r="AB7" s="9">
        <v>10961168433.836321</v>
      </c>
      <c r="AC7" s="9">
        <v>11023671696.145649</v>
      </c>
      <c r="AD7" s="9">
        <v>11094038920.744257</v>
      </c>
      <c r="AE7" s="9">
        <v>11178748282.277201</v>
      </c>
      <c r="AF7" s="9">
        <v>11242851474.187618</v>
      </c>
      <c r="AG7" s="9">
        <v>11342408266.54245</v>
      </c>
      <c r="AH7" s="9">
        <v>11447079732.532801</v>
      </c>
      <c r="AI7" s="9">
        <v>11552340157.778551</v>
      </c>
      <c r="AJ7" s="9">
        <v>11652454997.699461</v>
      </c>
      <c r="AK7" s="9">
        <v>11716840730.556883</v>
      </c>
      <c r="AL7" s="9">
        <v>11771575220</v>
      </c>
      <c r="AM7" s="9">
        <v>11849350650</v>
      </c>
      <c r="AN7" s="9">
        <v>11906961310</v>
      </c>
      <c r="AO7" s="9">
        <v>11951449861.204304</v>
      </c>
      <c r="AP7" s="9">
        <v>12019414127.22814</v>
      </c>
      <c r="AQ7" s="9">
        <v>12105389531.312599</v>
      </c>
    </row>
    <row r="8" spans="1:43" x14ac:dyDescent="0.25">
      <c r="A8" s="6" t="s">
        <v>49</v>
      </c>
      <c r="B8" s="9">
        <v>4372158768.3031597</v>
      </c>
      <c r="C8" s="9">
        <v>4394856998.3213196</v>
      </c>
      <c r="D8" s="9">
        <v>4403473148.8389006</v>
      </c>
      <c r="E8" s="9">
        <v>4415871586.7142506</v>
      </c>
      <c r="F8" s="9">
        <v>4435733339.6392002</v>
      </c>
      <c r="G8" s="9">
        <v>4461602950.8134403</v>
      </c>
      <c r="H8" s="9">
        <v>4468921853.0501204</v>
      </c>
      <c r="I8" s="9">
        <v>4507762053.7612991</v>
      </c>
      <c r="J8" s="9">
        <v>4559269565.3369703</v>
      </c>
      <c r="K8" s="9">
        <v>4607113600.5360594</v>
      </c>
      <c r="L8" s="9">
        <v>4622928493.485281</v>
      </c>
      <c r="M8" s="9">
        <v>4641322976.2776299</v>
      </c>
      <c r="N8" s="9">
        <v>4664784723.8008013</v>
      </c>
      <c r="O8" s="9">
        <v>4706530146.0057993</v>
      </c>
      <c r="P8" s="9">
        <v>4739804048.2229795</v>
      </c>
      <c r="Q8" s="9">
        <v>4767006988.8903999</v>
      </c>
      <c r="R8" s="9">
        <v>4792841893.1951189</v>
      </c>
      <c r="S8" s="9">
        <v>4827411406.4748106</v>
      </c>
      <c r="T8" s="9">
        <v>4868593517.7586012</v>
      </c>
      <c r="U8" s="9">
        <v>4921366927.820919</v>
      </c>
      <c r="V8" s="9">
        <v>4977744816.134799</v>
      </c>
      <c r="W8" s="9">
        <v>5026440162.4603586</v>
      </c>
      <c r="X8" s="9">
        <v>5054026038.9238214</v>
      </c>
      <c r="Y8" s="9">
        <v>5094472411.7230816</v>
      </c>
      <c r="Z8" s="9">
        <v>5107986424.4433603</v>
      </c>
      <c r="AA8" s="9">
        <v>5124971637.8140297</v>
      </c>
      <c r="AB8" s="9">
        <v>5121510253.0039215</v>
      </c>
      <c r="AC8" s="9">
        <v>5147963447.8873997</v>
      </c>
      <c r="AD8" s="9">
        <v>5160960228.8284378</v>
      </c>
      <c r="AE8" s="9">
        <v>5214282219.9292612</v>
      </c>
      <c r="AF8" s="9">
        <v>5232678592.5978994</v>
      </c>
      <c r="AG8" s="9">
        <v>5263802339.2764492</v>
      </c>
      <c r="AH8" s="9">
        <v>5299188883.385601</v>
      </c>
      <c r="AI8" s="9">
        <v>5320331407.4070005</v>
      </c>
      <c r="AJ8" s="9">
        <v>5344420343.1986599</v>
      </c>
      <c r="AK8" s="9">
        <v>5347592572.60291</v>
      </c>
      <c r="AL8" s="9">
        <v>5330983750</v>
      </c>
      <c r="AM8" s="9">
        <v>5329695890</v>
      </c>
      <c r="AN8" s="9">
        <v>5325486340</v>
      </c>
      <c r="AO8" s="9">
        <v>5316324026.5936089</v>
      </c>
      <c r="AP8" s="9">
        <v>5313586615.8908606</v>
      </c>
      <c r="AQ8" s="9">
        <v>5312337062.1269007</v>
      </c>
    </row>
    <row r="9" spans="1:43" x14ac:dyDescent="0.25">
      <c r="A9" s="7" t="s">
        <v>0</v>
      </c>
      <c r="B9" s="9">
        <v>4332357065.8384399</v>
      </c>
      <c r="C9" s="9">
        <v>4355229400.0272598</v>
      </c>
      <c r="D9" s="9">
        <v>4364328740.9601803</v>
      </c>
      <c r="E9" s="9">
        <v>4374873295.0307007</v>
      </c>
      <c r="F9" s="9">
        <v>4394477008.0957603</v>
      </c>
      <c r="G9" s="9">
        <v>4419596225.1684999</v>
      </c>
      <c r="H9" s="9">
        <v>4426856077.2143602</v>
      </c>
      <c r="I9" s="9">
        <v>4464601614.0613499</v>
      </c>
      <c r="J9" s="9">
        <v>4512447684.4509907</v>
      </c>
      <c r="K9" s="9">
        <v>4560385895.8420792</v>
      </c>
      <c r="L9" s="9">
        <v>4576352271.3604002</v>
      </c>
      <c r="M9" s="9">
        <v>4594864040.7329702</v>
      </c>
      <c r="N9" s="9">
        <v>4616492538.1930408</v>
      </c>
      <c r="O9" s="9">
        <v>4658448059.1813993</v>
      </c>
      <c r="P9" s="9">
        <v>4690999472.7996798</v>
      </c>
      <c r="Q9" s="9">
        <v>4716431361.5829401</v>
      </c>
      <c r="R9" s="9">
        <v>4741857147.9981594</v>
      </c>
      <c r="S9" s="9">
        <v>4777371398.7887411</v>
      </c>
      <c r="T9" s="9">
        <v>4816823540.331871</v>
      </c>
      <c r="U9" s="9">
        <v>4868692859.3730793</v>
      </c>
      <c r="V9" s="9">
        <v>4925843194.0716095</v>
      </c>
      <c r="W9" s="9">
        <v>4972931014.105319</v>
      </c>
      <c r="X9" s="9">
        <v>5001520972.9548407</v>
      </c>
      <c r="Y9" s="9">
        <v>5038464315.2975216</v>
      </c>
      <c r="Z9" s="9">
        <v>5055748251.3738804</v>
      </c>
      <c r="AA9" s="9">
        <v>5071295440.5791693</v>
      </c>
      <c r="AB9" s="9">
        <v>5066135130.7048016</v>
      </c>
      <c r="AC9" s="9">
        <v>5095813596.0777998</v>
      </c>
      <c r="AD9" s="9">
        <v>5099101232.2697983</v>
      </c>
      <c r="AE9" s="9">
        <v>5155796911.2844009</v>
      </c>
      <c r="AF9" s="9">
        <v>5170160333.7342892</v>
      </c>
      <c r="AG9" s="9">
        <v>5201323351.7882996</v>
      </c>
      <c r="AH9" s="9">
        <v>5239346484.1895008</v>
      </c>
      <c r="AI9" s="9">
        <v>5258310393.3667507</v>
      </c>
      <c r="AJ9" s="9">
        <v>5282507426.3412399</v>
      </c>
      <c r="AK9" s="9">
        <v>5279661633.87852</v>
      </c>
      <c r="AL9" s="9">
        <v>5261303690</v>
      </c>
      <c r="AM9" s="9">
        <v>5262193140</v>
      </c>
      <c r="AN9" s="9">
        <v>5255521010</v>
      </c>
      <c r="AO9" s="9">
        <v>5245504796.6937885</v>
      </c>
      <c r="AP9" s="9">
        <v>5242030621.5633802</v>
      </c>
      <c r="AQ9" s="9">
        <v>5236547060.9275007</v>
      </c>
    </row>
    <row r="10" spans="1:43" x14ac:dyDescent="0.25">
      <c r="A10" s="7" t="s">
        <v>1</v>
      </c>
      <c r="B10" s="9">
        <v>9051410.7590000015</v>
      </c>
      <c r="C10" s="9">
        <v>8962030.7870000005</v>
      </c>
      <c r="D10" s="9">
        <v>11233021.685000001</v>
      </c>
      <c r="E10" s="9">
        <v>8769444.8900000006</v>
      </c>
      <c r="F10" s="9">
        <v>8516928.8739999998</v>
      </c>
      <c r="G10" s="9">
        <v>8413552.4419999998</v>
      </c>
      <c r="H10" s="9">
        <v>8354762.5589999994</v>
      </c>
      <c r="I10" s="9">
        <v>8469365.3790000007</v>
      </c>
      <c r="J10" s="9">
        <v>8594857.0280000009</v>
      </c>
      <c r="K10" s="9">
        <v>11290412.744999999</v>
      </c>
      <c r="L10" s="9">
        <v>11051075.534</v>
      </c>
      <c r="M10" s="9">
        <v>10361281.523</v>
      </c>
      <c r="N10" s="9">
        <v>10519789.465</v>
      </c>
      <c r="O10" s="9">
        <v>10454181.132999999</v>
      </c>
      <c r="P10" s="9">
        <v>10945219.327</v>
      </c>
      <c r="Q10" s="9">
        <v>10978087.92</v>
      </c>
      <c r="R10" s="9">
        <v>9929506.8269999996</v>
      </c>
      <c r="S10" s="9">
        <v>10066270.090999998</v>
      </c>
      <c r="T10" s="9">
        <v>9226789.9819999989</v>
      </c>
      <c r="U10" s="9">
        <v>9243081.6510000005</v>
      </c>
      <c r="V10" s="9">
        <v>9585096.6580000017</v>
      </c>
      <c r="W10" s="9">
        <v>9760552.5460000001</v>
      </c>
      <c r="X10" s="9">
        <v>9966870.0149999987</v>
      </c>
      <c r="Y10" s="9">
        <v>10502726.086000001</v>
      </c>
      <c r="Z10" s="9">
        <v>10945398.436000001</v>
      </c>
      <c r="AA10" s="9">
        <v>10295947.616</v>
      </c>
      <c r="AB10" s="9">
        <v>10442101.127</v>
      </c>
      <c r="AC10" s="9">
        <v>10380689.913000001</v>
      </c>
      <c r="AD10" s="9">
        <v>10021245.613</v>
      </c>
      <c r="AE10" s="9">
        <v>9557578.0779999997</v>
      </c>
      <c r="AF10" s="9">
        <v>10263840.819</v>
      </c>
      <c r="AG10" s="9">
        <v>10117043.657</v>
      </c>
      <c r="AH10" s="9">
        <v>10087150.414999999</v>
      </c>
      <c r="AI10" s="9">
        <v>9891375.7400000002</v>
      </c>
      <c r="AJ10" s="9">
        <v>9736115.8629999999</v>
      </c>
      <c r="AK10" s="9">
        <v>9698369.9270000011</v>
      </c>
      <c r="AL10" s="9">
        <v>10442790</v>
      </c>
      <c r="AM10" s="9">
        <v>9290390</v>
      </c>
      <c r="AN10" s="9">
        <v>10865460</v>
      </c>
      <c r="AO10" s="9">
        <v>10242780.786829999</v>
      </c>
      <c r="AP10" s="9">
        <v>10035872.341639999</v>
      </c>
      <c r="AQ10" s="9">
        <v>10126930.592900001</v>
      </c>
    </row>
    <row r="11" spans="1:43" x14ac:dyDescent="0.25">
      <c r="A11" s="7" t="s">
        <v>45</v>
      </c>
      <c r="B11" s="9">
        <v>30750291.70572</v>
      </c>
      <c r="C11" s="9">
        <v>30665567.507059999</v>
      </c>
      <c r="D11" s="9">
        <v>27911386.193719998</v>
      </c>
      <c r="E11" s="9">
        <v>32228846.79355</v>
      </c>
      <c r="F11" s="9">
        <v>32739402.669440001</v>
      </c>
      <c r="G11" s="9">
        <v>33593173.202940002</v>
      </c>
      <c r="H11" s="9">
        <v>33711013.276759997</v>
      </c>
      <c r="I11" s="9">
        <v>34691074.320950001</v>
      </c>
      <c r="J11" s="9">
        <v>38227023.857980005</v>
      </c>
      <c r="K11" s="9">
        <v>35437291.948979996</v>
      </c>
      <c r="L11" s="9">
        <v>35525146.590879992</v>
      </c>
      <c r="M11" s="9">
        <v>36097654.02166</v>
      </c>
      <c r="N11" s="9">
        <v>37772396.142759994</v>
      </c>
      <c r="O11" s="9">
        <v>37627905.691399999</v>
      </c>
      <c r="P11" s="9">
        <v>37859356.096299998</v>
      </c>
      <c r="Q11" s="9">
        <v>39597539.387460001</v>
      </c>
      <c r="R11" s="9">
        <v>41055238.369959995</v>
      </c>
      <c r="S11" s="9">
        <v>39973737.595070004</v>
      </c>
      <c r="T11" s="9">
        <v>42543187.444729999</v>
      </c>
      <c r="U11" s="9">
        <v>43430986.796839997</v>
      </c>
      <c r="V11" s="9">
        <v>42316525.405189991</v>
      </c>
      <c r="W11" s="9">
        <v>43748595.809039995</v>
      </c>
      <c r="X11" s="9">
        <v>42538195.953979999</v>
      </c>
      <c r="Y11" s="9">
        <v>45505370.339559995</v>
      </c>
      <c r="Z11" s="9">
        <v>41292774.633479998</v>
      </c>
      <c r="AA11" s="9">
        <v>43380249.618859999</v>
      </c>
      <c r="AB11" s="9">
        <v>44933021.172119997</v>
      </c>
      <c r="AC11" s="9">
        <v>41769161.896599993</v>
      </c>
      <c r="AD11" s="9">
        <v>51837750.945639998</v>
      </c>
      <c r="AE11" s="9">
        <v>48927730.566859998</v>
      </c>
      <c r="AF11" s="9">
        <v>52254418.044609994</v>
      </c>
      <c r="AG11" s="9">
        <v>52361943.83115001</v>
      </c>
      <c r="AH11" s="9">
        <v>49755248.781100005</v>
      </c>
      <c r="AI11" s="9">
        <v>52129638.300250001</v>
      </c>
      <c r="AJ11" s="9">
        <v>52176800.994419999</v>
      </c>
      <c r="AK11" s="9">
        <v>58232568.797389992</v>
      </c>
      <c r="AL11" s="9">
        <v>59237270</v>
      </c>
      <c r="AM11" s="9">
        <v>58212360</v>
      </c>
      <c r="AN11" s="9">
        <v>59099870</v>
      </c>
      <c r="AO11" s="9">
        <v>60576449.112989992</v>
      </c>
      <c r="AP11" s="9">
        <v>61520121.98584</v>
      </c>
      <c r="AQ11" s="9">
        <v>65663070.606499992</v>
      </c>
    </row>
    <row r="12" spans="1:43" x14ac:dyDescent="0.25">
      <c r="A12" s="6" t="s">
        <v>47</v>
      </c>
      <c r="B12" s="9">
        <v>5198257458.4056807</v>
      </c>
      <c r="C12" s="9">
        <v>5211183009.3945799</v>
      </c>
      <c r="D12" s="9">
        <v>5242094619.6672792</v>
      </c>
      <c r="E12" s="9">
        <v>5279315479.4628983</v>
      </c>
      <c r="F12" s="9">
        <v>5305366810.5915699</v>
      </c>
      <c r="G12" s="9">
        <v>5330215598.9088411</v>
      </c>
      <c r="H12" s="9">
        <v>5331693912.38062</v>
      </c>
      <c r="I12" s="9">
        <v>5357636529.02775</v>
      </c>
      <c r="J12" s="9">
        <v>5396212309.8299694</v>
      </c>
      <c r="K12" s="9">
        <v>5416273047.3853407</v>
      </c>
      <c r="L12" s="9">
        <v>5429197773.4580812</v>
      </c>
      <c r="M12" s="9">
        <v>5433957589.2822905</v>
      </c>
      <c r="N12" s="9">
        <v>5447466308.3824997</v>
      </c>
      <c r="O12" s="9">
        <v>5471398875.3259983</v>
      </c>
      <c r="P12" s="9">
        <v>5487409913.6721601</v>
      </c>
      <c r="Q12" s="9">
        <v>5525302709.1252403</v>
      </c>
      <c r="R12" s="9">
        <v>5538847504.0663414</v>
      </c>
      <c r="S12" s="9">
        <v>5560640451.5938702</v>
      </c>
      <c r="T12" s="9">
        <v>5575881996.4344091</v>
      </c>
      <c r="U12" s="9">
        <v>5599449645.3774405</v>
      </c>
      <c r="V12" s="9">
        <v>5620660149.2081118</v>
      </c>
      <c r="W12" s="9">
        <v>5661481071.6576614</v>
      </c>
      <c r="X12" s="9">
        <v>5687853800.9530983</v>
      </c>
      <c r="Y12" s="9">
        <v>5713557160.1046</v>
      </c>
      <c r="Z12" s="9">
        <v>5735041209.6779585</v>
      </c>
      <c r="AA12" s="9">
        <v>5779147640.9428616</v>
      </c>
      <c r="AB12" s="9">
        <v>5822229377.8895197</v>
      </c>
      <c r="AC12" s="9">
        <v>5859111937.1906996</v>
      </c>
      <c r="AD12" s="9">
        <v>5915375324.9494991</v>
      </c>
      <c r="AE12" s="9">
        <v>5949066868.674159</v>
      </c>
      <c r="AF12" s="9">
        <v>5993659673.0510588</v>
      </c>
      <c r="AG12" s="9">
        <v>6061008446.59025</v>
      </c>
      <c r="AH12" s="9">
        <v>6126739478.6517</v>
      </c>
      <c r="AI12" s="9">
        <v>6208004050.3818007</v>
      </c>
      <c r="AJ12" s="9">
        <v>6279880884.5895395</v>
      </c>
      <c r="AK12" s="9">
        <v>6336428045.0117817</v>
      </c>
      <c r="AL12" s="9">
        <v>6406873480</v>
      </c>
      <c r="AM12" s="9">
        <v>6484850390</v>
      </c>
      <c r="AN12" s="9">
        <v>6540593890</v>
      </c>
      <c r="AO12" s="9">
        <v>6589985771.0418348</v>
      </c>
      <c r="AP12" s="9">
        <v>6658289801.8698597</v>
      </c>
      <c r="AQ12" s="9">
        <v>6738824482.0593987</v>
      </c>
    </row>
    <row r="13" spans="1:43" x14ac:dyDescent="0.25">
      <c r="A13" s="7" t="s">
        <v>0</v>
      </c>
      <c r="B13" s="9">
        <v>4959761342.3191404</v>
      </c>
      <c r="C13" s="9">
        <v>4971517711.4895</v>
      </c>
      <c r="D13" s="9">
        <v>4997685425.08918</v>
      </c>
      <c r="E13" s="9">
        <v>5035858664.0374479</v>
      </c>
      <c r="F13" s="9">
        <v>5050984969.5681601</v>
      </c>
      <c r="G13" s="9">
        <v>5075142183.2440805</v>
      </c>
      <c r="H13" s="9">
        <v>5076603237.9392796</v>
      </c>
      <c r="I13" s="9">
        <v>5100448110.3830996</v>
      </c>
      <c r="J13" s="9">
        <v>5137501702.0372992</v>
      </c>
      <c r="K13" s="9">
        <v>5150004502.972641</v>
      </c>
      <c r="L13" s="9">
        <v>5156740683.1387415</v>
      </c>
      <c r="M13" s="9">
        <v>5168656659.1623507</v>
      </c>
      <c r="N13" s="9">
        <v>5164653458.1211195</v>
      </c>
      <c r="O13" s="9">
        <v>5184279116.9129982</v>
      </c>
      <c r="P13" s="9">
        <v>5211301277.4658003</v>
      </c>
      <c r="Q13" s="9">
        <v>5226056547.5688105</v>
      </c>
      <c r="R13" s="9">
        <v>5234743278.7965612</v>
      </c>
      <c r="S13" s="9">
        <v>5261202755.3873701</v>
      </c>
      <c r="T13" s="9">
        <v>5281427649.1045895</v>
      </c>
      <c r="U13" s="9">
        <v>5311862339.9259205</v>
      </c>
      <c r="V13" s="9">
        <v>5330047620.1454115</v>
      </c>
      <c r="W13" s="9">
        <v>5361172428.9850607</v>
      </c>
      <c r="X13" s="9">
        <v>5383169327.1457386</v>
      </c>
      <c r="Y13" s="9">
        <v>5405914344.1216202</v>
      </c>
      <c r="Z13" s="9">
        <v>5425523232.2775593</v>
      </c>
      <c r="AA13" s="9">
        <v>5477330068.8263807</v>
      </c>
      <c r="AB13" s="9">
        <v>5504671622.9893799</v>
      </c>
      <c r="AC13" s="9">
        <v>5542776265.7624998</v>
      </c>
      <c r="AD13" s="9">
        <v>5585485461.0130796</v>
      </c>
      <c r="AE13" s="9">
        <v>5617677712.3912592</v>
      </c>
      <c r="AF13" s="9">
        <v>5660577044.3661594</v>
      </c>
      <c r="AG13" s="9">
        <v>5726776180.9995995</v>
      </c>
      <c r="AH13" s="9">
        <v>5801076659.9881001</v>
      </c>
      <c r="AI13" s="9">
        <v>5876945355.8728504</v>
      </c>
      <c r="AJ13" s="9">
        <v>5956656586.1967392</v>
      </c>
      <c r="AK13" s="9">
        <v>6017109922.2593613</v>
      </c>
      <c r="AL13" s="9">
        <v>6092399280</v>
      </c>
      <c r="AM13" s="9">
        <v>6181576950</v>
      </c>
      <c r="AN13" s="9">
        <v>6230319040</v>
      </c>
      <c r="AO13" s="9">
        <v>6285177844.8473654</v>
      </c>
      <c r="AP13" s="9">
        <v>6359744988.4219799</v>
      </c>
      <c r="AQ13" s="9">
        <v>6428545052.3226986</v>
      </c>
    </row>
    <row r="14" spans="1:43" x14ac:dyDescent="0.25">
      <c r="A14" s="7" t="s">
        <v>1</v>
      </c>
      <c r="B14" s="9">
        <v>25350173.736000001</v>
      </c>
      <c r="C14" s="9">
        <v>24852503.169</v>
      </c>
      <c r="D14" s="9">
        <v>25405816.314999998</v>
      </c>
      <c r="E14" s="9">
        <v>24700818.271999996</v>
      </c>
      <c r="F14" s="9">
        <v>23697440.107000005</v>
      </c>
      <c r="G14" s="9">
        <v>24101612.678000003</v>
      </c>
      <c r="H14" s="9">
        <v>23810212.872999996</v>
      </c>
      <c r="I14" s="9">
        <v>22819178.807</v>
      </c>
      <c r="J14" s="9">
        <v>22042399.078000002</v>
      </c>
      <c r="K14" s="9">
        <v>22073915.328000002</v>
      </c>
      <c r="L14" s="9">
        <v>21970871.334000003</v>
      </c>
      <c r="M14" s="9">
        <v>21864132.765999999</v>
      </c>
      <c r="N14" s="9">
        <v>21249445.454</v>
      </c>
      <c r="O14" s="9">
        <v>21636020.825000003</v>
      </c>
      <c r="P14" s="9">
        <v>20909542.734999999</v>
      </c>
      <c r="Q14" s="9">
        <v>20435039.664000001</v>
      </c>
      <c r="R14" s="9">
        <v>20276758.125</v>
      </c>
      <c r="S14" s="9">
        <v>19985956.225999996</v>
      </c>
      <c r="T14" s="9">
        <v>20458455.813999999</v>
      </c>
      <c r="U14" s="9">
        <v>20030332.649</v>
      </c>
      <c r="V14" s="9">
        <v>19607758.469000001</v>
      </c>
      <c r="W14" s="9">
        <v>19974756.081</v>
      </c>
      <c r="X14" s="9">
        <v>20060528.072999999</v>
      </c>
      <c r="Y14" s="9">
        <v>19584985.657000002</v>
      </c>
      <c r="Z14" s="9">
        <v>19294818.598000005</v>
      </c>
      <c r="AA14" s="9">
        <v>18868182.244000003</v>
      </c>
      <c r="AB14" s="9">
        <v>19478901.612999998</v>
      </c>
      <c r="AC14" s="9">
        <v>19714438.601</v>
      </c>
      <c r="AD14" s="9">
        <v>19433357.568</v>
      </c>
      <c r="AE14" s="9">
        <v>19920687.351</v>
      </c>
      <c r="AF14" s="9">
        <v>19846426.827</v>
      </c>
      <c r="AG14" s="9">
        <v>19868650.870999999</v>
      </c>
      <c r="AH14" s="9">
        <v>20609901.226199999</v>
      </c>
      <c r="AI14" s="9">
        <v>20460520.4188</v>
      </c>
      <c r="AJ14" s="9">
        <v>21048008.719999999</v>
      </c>
      <c r="AK14" s="9">
        <v>21873128.2445</v>
      </c>
      <c r="AL14" s="9">
        <v>22317120</v>
      </c>
      <c r="AM14" s="9">
        <v>23350050</v>
      </c>
      <c r="AN14" s="9">
        <v>23338460</v>
      </c>
      <c r="AO14" s="9">
        <v>23575752.481889997</v>
      </c>
      <c r="AP14" s="9">
        <v>23689738.167399991</v>
      </c>
      <c r="AQ14" s="9">
        <v>23746994.672399998</v>
      </c>
    </row>
    <row r="15" spans="1:43" x14ac:dyDescent="0.25">
      <c r="A15" s="7" t="s">
        <v>45</v>
      </c>
      <c r="B15" s="9">
        <v>213145942.35053998</v>
      </c>
      <c r="C15" s="9">
        <v>214812794.73607996</v>
      </c>
      <c r="D15" s="9">
        <v>219003378.26310003</v>
      </c>
      <c r="E15" s="9">
        <v>218755997.15345004</v>
      </c>
      <c r="F15" s="9">
        <v>230684400.91640994</v>
      </c>
      <c r="G15" s="9">
        <v>230971802.98675999</v>
      </c>
      <c r="H15" s="9">
        <v>231280461.56834</v>
      </c>
      <c r="I15" s="9">
        <v>234369239.83765</v>
      </c>
      <c r="J15" s="9">
        <v>236668208.71467</v>
      </c>
      <c r="K15" s="9">
        <v>244194629.08469999</v>
      </c>
      <c r="L15" s="9">
        <v>250486218.98534003</v>
      </c>
      <c r="M15" s="9">
        <v>243436797.35393998</v>
      </c>
      <c r="N15" s="9">
        <v>261563404.80737999</v>
      </c>
      <c r="O15" s="9">
        <v>265483737.58799997</v>
      </c>
      <c r="P15" s="9">
        <v>255199093.47135994</v>
      </c>
      <c r="Q15" s="9">
        <v>278811121.89243007</v>
      </c>
      <c r="R15" s="9">
        <v>283827467.14477998</v>
      </c>
      <c r="S15" s="9">
        <v>279451739.98049998</v>
      </c>
      <c r="T15" s="9">
        <v>273995891.51582003</v>
      </c>
      <c r="U15" s="9">
        <v>267556972.80251998</v>
      </c>
      <c r="V15" s="9">
        <v>271004770.59370005</v>
      </c>
      <c r="W15" s="9">
        <v>280333886.5916</v>
      </c>
      <c r="X15" s="9">
        <v>284623945.73436004</v>
      </c>
      <c r="Y15" s="9">
        <v>288057830.32598001</v>
      </c>
      <c r="Z15" s="9">
        <v>290223158.80239999</v>
      </c>
      <c r="AA15" s="9">
        <v>282949389.87248003</v>
      </c>
      <c r="AB15" s="9">
        <v>298078853.28714007</v>
      </c>
      <c r="AC15" s="9">
        <v>296621232.8272</v>
      </c>
      <c r="AD15" s="9">
        <v>310456506.36842</v>
      </c>
      <c r="AE15" s="9">
        <v>311468468.93189996</v>
      </c>
      <c r="AF15" s="9">
        <v>313236201.85789996</v>
      </c>
      <c r="AG15" s="9">
        <v>314363614.71965003</v>
      </c>
      <c r="AH15" s="9">
        <v>305052917.43740004</v>
      </c>
      <c r="AI15" s="9">
        <v>310598174.09015</v>
      </c>
      <c r="AJ15" s="9">
        <v>302176289.6728</v>
      </c>
      <c r="AK15" s="9">
        <v>297444994.50792003</v>
      </c>
      <c r="AL15" s="9">
        <v>292157080</v>
      </c>
      <c r="AM15" s="9">
        <v>279923390</v>
      </c>
      <c r="AN15" s="9">
        <v>286936390</v>
      </c>
      <c r="AO15" s="9">
        <v>281232173.71258003</v>
      </c>
      <c r="AP15" s="9">
        <v>274855075.28047991</v>
      </c>
      <c r="AQ15" s="9">
        <v>286532435.0643</v>
      </c>
    </row>
    <row r="16" spans="1:43" x14ac:dyDescent="0.25">
      <c r="A16" s="6" t="s">
        <v>46</v>
      </c>
      <c r="B16" s="9">
        <v>17815542.034700003</v>
      </c>
      <c r="C16" s="9">
        <v>20087897.509039998</v>
      </c>
      <c r="D16" s="9">
        <v>20541256.135840006</v>
      </c>
      <c r="E16" s="9">
        <v>19622334.118999999</v>
      </c>
      <c r="F16" s="9">
        <v>20162613.528699998</v>
      </c>
      <c r="G16" s="9">
        <v>19215368.681139998</v>
      </c>
      <c r="H16" s="9">
        <v>18392874.769760005</v>
      </c>
      <c r="I16" s="9">
        <v>18106055.523200002</v>
      </c>
      <c r="J16" s="9">
        <v>16789109.59699</v>
      </c>
      <c r="K16" s="9">
        <v>15476760.351379998</v>
      </c>
      <c r="L16" s="9">
        <v>15439542.67574</v>
      </c>
      <c r="M16" s="9">
        <v>16068669.893949999</v>
      </c>
      <c r="N16" s="9">
        <v>15696442.590960002</v>
      </c>
      <c r="O16" s="9">
        <v>14993103.8552</v>
      </c>
      <c r="P16" s="9">
        <v>14398684.13882</v>
      </c>
      <c r="Q16" s="9">
        <v>13665131.332440002</v>
      </c>
      <c r="R16" s="9">
        <v>14035604.458519999</v>
      </c>
      <c r="S16" s="9">
        <v>14730266.812469998</v>
      </c>
      <c r="T16" s="9">
        <v>15450459.4309</v>
      </c>
      <c r="U16" s="9">
        <v>14780794.57484</v>
      </c>
      <c r="V16" s="9">
        <v>14182612.439109998</v>
      </c>
      <c r="W16" s="9">
        <v>13871410.633420004</v>
      </c>
      <c r="X16" s="9">
        <v>13735942.760839999</v>
      </c>
      <c r="Y16" s="9">
        <v>17025016.152139999</v>
      </c>
      <c r="Z16" s="9">
        <v>16264697.757959999</v>
      </c>
      <c r="AA16" s="9">
        <v>16315344.757069999</v>
      </c>
      <c r="AB16" s="9">
        <v>17428802.942880001</v>
      </c>
      <c r="AC16" s="9">
        <v>16596311.067550004</v>
      </c>
      <c r="AD16" s="9">
        <v>17703366.966319997</v>
      </c>
      <c r="AE16" s="9">
        <v>15399193.67378</v>
      </c>
      <c r="AF16" s="9">
        <v>16513208.538659997</v>
      </c>
      <c r="AG16" s="9">
        <v>17597480.675749995</v>
      </c>
      <c r="AH16" s="9">
        <v>21151370.495499998</v>
      </c>
      <c r="AI16" s="9">
        <v>24004699.989750009</v>
      </c>
      <c r="AJ16" s="9">
        <v>28153769.911259994</v>
      </c>
      <c r="AK16" s="9">
        <v>32820112.942189999</v>
      </c>
      <c r="AL16" s="9">
        <v>33717990</v>
      </c>
      <c r="AM16" s="9">
        <v>34804370</v>
      </c>
      <c r="AN16" s="9">
        <v>40881080</v>
      </c>
      <c r="AO16" s="9">
        <v>45140063.568859987</v>
      </c>
      <c r="AP16" s="9">
        <v>47537709.467419989</v>
      </c>
      <c r="AQ16" s="9">
        <v>54227987.126299992</v>
      </c>
    </row>
    <row r="17" spans="1:43" x14ac:dyDescent="0.25">
      <c r="A17" s="7" t="s">
        <v>0</v>
      </c>
      <c r="B17" s="9">
        <v>14860794.40828</v>
      </c>
      <c r="C17" s="9">
        <v>17089853.438779999</v>
      </c>
      <c r="D17" s="9">
        <v>17802663.244740006</v>
      </c>
      <c r="E17" s="9">
        <v>17369855.596000001</v>
      </c>
      <c r="F17" s="9">
        <v>18144675.363329999</v>
      </c>
      <c r="G17" s="9">
        <v>17815676.619659998</v>
      </c>
      <c r="H17" s="9">
        <v>17060996.732880004</v>
      </c>
      <c r="I17" s="9">
        <v>16847095.155700002</v>
      </c>
      <c r="J17" s="9">
        <v>15538967.050600003</v>
      </c>
      <c r="K17" s="9">
        <v>14056045.634639999</v>
      </c>
      <c r="L17" s="9">
        <v>14259104.991180001</v>
      </c>
      <c r="M17" s="9">
        <v>14848351.827559998</v>
      </c>
      <c r="N17" s="9">
        <v>14382293.134280002</v>
      </c>
      <c r="O17" s="9">
        <v>13252777.842599999</v>
      </c>
      <c r="P17" s="9">
        <v>13249079.136919999</v>
      </c>
      <c r="Q17" s="9">
        <v>12655187.431090001</v>
      </c>
      <c r="R17" s="9">
        <v>13021366.745619999</v>
      </c>
      <c r="S17" s="9">
        <v>13719411.312469998</v>
      </c>
      <c r="T17" s="9">
        <v>14357145.060900001</v>
      </c>
      <c r="U17" s="9">
        <v>13772065.81484</v>
      </c>
      <c r="V17" s="9">
        <v>13175271.219109997</v>
      </c>
      <c r="W17" s="9">
        <v>13075968.883420004</v>
      </c>
      <c r="X17" s="9">
        <v>12970335.650839999</v>
      </c>
      <c r="Y17" s="9">
        <v>16261162.03214</v>
      </c>
      <c r="Z17" s="9">
        <v>15433776.577959999</v>
      </c>
      <c r="AA17" s="9">
        <v>15554318.837069999</v>
      </c>
      <c r="AB17" s="9">
        <v>16671133.212880002</v>
      </c>
      <c r="AC17" s="9">
        <v>15840287.937550003</v>
      </c>
      <c r="AD17" s="9">
        <v>16950579.066319998</v>
      </c>
      <c r="AE17" s="9">
        <v>14647911.92378</v>
      </c>
      <c r="AF17" s="9">
        <v>15519053.008659998</v>
      </c>
      <c r="AG17" s="9">
        <v>16604889.195749996</v>
      </c>
      <c r="AH17" s="9">
        <v>20406795.335499998</v>
      </c>
      <c r="AI17" s="9">
        <v>23434968.159750011</v>
      </c>
      <c r="AJ17" s="9">
        <v>27655990.671259996</v>
      </c>
      <c r="AK17" s="9">
        <v>32323328.022190001</v>
      </c>
      <c r="AL17" s="9">
        <v>33218850</v>
      </c>
      <c r="AM17" s="9">
        <v>34305700</v>
      </c>
      <c r="AN17" s="9">
        <v>39936480</v>
      </c>
      <c r="AO17" s="9">
        <v>44029362.908859991</v>
      </c>
      <c r="AP17" s="9">
        <v>46427894.297419988</v>
      </c>
      <c r="AQ17" s="9">
        <v>52638864.346299991</v>
      </c>
    </row>
    <row r="18" spans="1:43" x14ac:dyDescent="0.25">
      <c r="A18" s="7" t="s">
        <v>1</v>
      </c>
      <c r="B18" s="9">
        <v>48541.373520000001</v>
      </c>
      <c r="C18" s="9">
        <v>15789.16</v>
      </c>
      <c r="D18" s="9">
        <v>14042.12</v>
      </c>
      <c r="E18" s="9">
        <v>13156.2</v>
      </c>
      <c r="F18" s="9">
        <v>12266.75</v>
      </c>
      <c r="G18" s="9">
        <v>11370</v>
      </c>
      <c r="H18" s="9">
        <v>10456.82</v>
      </c>
      <c r="I18" s="9">
        <v>9545.2099999999991</v>
      </c>
      <c r="J18" s="9">
        <v>8623.58</v>
      </c>
      <c r="K18" s="9">
        <v>7696.93</v>
      </c>
      <c r="L18" s="9">
        <v>6760.62</v>
      </c>
      <c r="M18" s="9">
        <v>5818.68</v>
      </c>
      <c r="N18" s="9">
        <v>4869</v>
      </c>
      <c r="O18" s="9">
        <v>3910.23</v>
      </c>
      <c r="P18" s="9">
        <v>2944.89</v>
      </c>
      <c r="Q18" s="9">
        <v>2944.89</v>
      </c>
      <c r="R18" s="9">
        <v>0</v>
      </c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</row>
    <row r="19" spans="1:43" x14ac:dyDescent="0.25">
      <c r="A19" s="7" t="s">
        <v>45</v>
      </c>
      <c r="B19" s="9">
        <v>2906206.2528999997</v>
      </c>
      <c r="C19" s="9">
        <v>2982254.9102600003</v>
      </c>
      <c r="D19" s="9">
        <v>2724550.7710999995</v>
      </c>
      <c r="E19" s="9">
        <v>2239322.3229999999</v>
      </c>
      <c r="F19" s="9">
        <v>2005671.4153700001</v>
      </c>
      <c r="G19" s="9">
        <v>1388322.0614800001</v>
      </c>
      <c r="H19" s="9">
        <v>1321421.21688</v>
      </c>
      <c r="I19" s="9">
        <v>1249415.1575</v>
      </c>
      <c r="J19" s="9">
        <v>1241518.9663900002</v>
      </c>
      <c r="K19" s="9">
        <v>1413017.7867399999</v>
      </c>
      <c r="L19" s="9">
        <v>1173677.0645600001</v>
      </c>
      <c r="M19" s="9">
        <v>1214499.3863899999</v>
      </c>
      <c r="N19" s="9">
        <v>1309280.4566799998</v>
      </c>
      <c r="O19" s="9">
        <v>1736415.7826</v>
      </c>
      <c r="P19" s="9">
        <v>1146660.1119000001</v>
      </c>
      <c r="Q19" s="9">
        <v>1006999.0113499999</v>
      </c>
      <c r="R19" s="9">
        <v>1014237.7129</v>
      </c>
      <c r="S19" s="9">
        <v>1010855.5</v>
      </c>
      <c r="T19" s="9">
        <v>1093314.3699999999</v>
      </c>
      <c r="U19" s="9">
        <v>1008728.76</v>
      </c>
      <c r="V19" s="9">
        <v>1007341.22</v>
      </c>
      <c r="W19" s="9">
        <v>795441.75</v>
      </c>
      <c r="X19" s="9">
        <v>765607.11</v>
      </c>
      <c r="Y19" s="9">
        <v>763854.11999999988</v>
      </c>
      <c r="Z19" s="9">
        <v>830921.17999999993</v>
      </c>
      <c r="AA19" s="9">
        <v>761025.91999999993</v>
      </c>
      <c r="AB19" s="9">
        <v>757669.73</v>
      </c>
      <c r="AC19" s="9">
        <v>756023.13</v>
      </c>
      <c r="AD19" s="9">
        <v>752787.89999999991</v>
      </c>
      <c r="AE19" s="9">
        <v>751281.74999999988</v>
      </c>
      <c r="AF19" s="9">
        <v>994155.53</v>
      </c>
      <c r="AG19" s="9">
        <v>992591.48</v>
      </c>
      <c r="AH19" s="9">
        <v>744575.16</v>
      </c>
      <c r="AI19" s="9">
        <v>569731.82999999996</v>
      </c>
      <c r="AJ19" s="9">
        <v>497779.23999999993</v>
      </c>
      <c r="AK19" s="9">
        <v>496784.91999999993</v>
      </c>
      <c r="AL19" s="9">
        <v>499140</v>
      </c>
      <c r="AM19" s="9">
        <v>498670</v>
      </c>
      <c r="AN19" s="9">
        <v>944600</v>
      </c>
      <c r="AO19" s="9">
        <v>1110700.6599999999</v>
      </c>
      <c r="AP19" s="9">
        <v>1109815.17</v>
      </c>
      <c r="AQ19" s="9">
        <v>1589122.7799999998</v>
      </c>
    </row>
    <row r="20" spans="1:43" x14ac:dyDescent="0.25">
      <c r="A20" s="6" t="s">
        <v>48</v>
      </c>
      <c r="B20" s="9">
        <v>0</v>
      </c>
      <c r="C20" s="9">
        <v>0</v>
      </c>
      <c r="D20" s="9">
        <v>0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</row>
    <row r="21" spans="1:43" x14ac:dyDescent="0.25">
      <c r="A21" s="7" t="s">
        <v>0</v>
      </c>
      <c r="B21" s="9">
        <v>0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</row>
    <row r="22" spans="1:43" x14ac:dyDescent="0.25">
      <c r="A22" s="7" t="s">
        <v>1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>
        <v>0</v>
      </c>
      <c r="Z22" s="9"/>
      <c r="AA22" s="9"/>
      <c r="AB22" s="9"/>
      <c r="AC22" s="9"/>
      <c r="AD22" s="9"/>
      <c r="AE22" s="9"/>
      <c r="AF22" s="9">
        <v>0</v>
      </c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</row>
    <row r="23" spans="1:43" x14ac:dyDescent="0.25">
      <c r="A23" s="7" t="s">
        <v>45</v>
      </c>
      <c r="B23" s="9">
        <v>0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</row>
    <row r="24" spans="1:43" x14ac:dyDescent="0.25">
      <c r="A24" s="5" t="s">
        <v>52</v>
      </c>
      <c r="B24" s="9">
        <v>9541366478.5174789</v>
      </c>
      <c r="C24" s="9">
        <v>9584812562.2343388</v>
      </c>
      <c r="D24" s="9">
        <v>9620948558.1271992</v>
      </c>
      <c r="E24" s="9">
        <v>9665682562.1174412</v>
      </c>
      <c r="F24" s="9">
        <v>9711386825.7449608</v>
      </c>
      <c r="G24" s="9">
        <v>9762107422.4814987</v>
      </c>
      <c r="H24" s="9">
        <v>9803238424.9534798</v>
      </c>
      <c r="I24" s="9">
        <v>9828174624.3921032</v>
      </c>
      <c r="J24" s="9">
        <v>9899789055.0664597</v>
      </c>
      <c r="K24" s="9">
        <v>9983097322.0877514</v>
      </c>
      <c r="L24" s="9">
        <v>10025455329.30114</v>
      </c>
      <c r="M24" s="9">
        <v>10059300245.724684</v>
      </c>
      <c r="N24" s="9">
        <v>10078687941.718521</v>
      </c>
      <c r="O24" s="9">
        <v>10136740897.76844</v>
      </c>
      <c r="P24" s="9">
        <v>10189048949.74074</v>
      </c>
      <c r="Q24" s="9">
        <v>10237667712.046879</v>
      </c>
      <c r="R24" s="9">
        <v>10288386890.394899</v>
      </c>
      <c r="S24" s="9">
        <v>10343039373.522421</v>
      </c>
      <c r="T24" s="9">
        <v>10409652749.929342</v>
      </c>
      <c r="U24" s="9">
        <v>10458340001.298048</v>
      </c>
      <c r="V24" s="9">
        <v>10548450012.4116</v>
      </c>
      <c r="W24" s="9">
        <v>10614656250.496479</v>
      </c>
      <c r="X24" s="9">
        <v>10690562983.840199</v>
      </c>
      <c r="Y24" s="9">
        <v>10747452487.788549</v>
      </c>
      <c r="Z24" s="9">
        <v>10799425201.987932</v>
      </c>
      <c r="AA24" s="9">
        <v>10849301479.412998</v>
      </c>
      <c r="AB24" s="9">
        <v>10905153801.862087</v>
      </c>
      <c r="AC24" s="9">
        <v>10956610094.928041</v>
      </c>
      <c r="AD24" s="9">
        <v>11019028715.413801</v>
      </c>
      <c r="AE24" s="9">
        <v>11096948717.488522</v>
      </c>
      <c r="AF24" s="9">
        <v>11173819536.38036</v>
      </c>
      <c r="AG24" s="9">
        <v>11245326145.715851</v>
      </c>
      <c r="AH24" s="9">
        <v>11346102984.06888</v>
      </c>
      <c r="AI24" s="9">
        <v>11443491121.48222</v>
      </c>
      <c r="AJ24" s="9">
        <v>11554381555.801302</v>
      </c>
      <c r="AK24" s="9">
        <v>11641250357.79352</v>
      </c>
      <c r="AL24" s="9">
        <v>11693786230</v>
      </c>
      <c r="AM24" s="9">
        <v>11765020920</v>
      </c>
      <c r="AN24" s="9">
        <v>11838303960</v>
      </c>
      <c r="AO24" s="9">
        <v>11874354177.331827</v>
      </c>
      <c r="AP24" s="9">
        <v>11940040223.053593</v>
      </c>
      <c r="AQ24" s="9">
        <v>12013711944.399904</v>
      </c>
    </row>
    <row r="25" spans="1:43" x14ac:dyDescent="0.25">
      <c r="A25" s="6" t="s">
        <v>49</v>
      </c>
      <c r="B25" s="9">
        <v>4355983421.7221203</v>
      </c>
      <c r="C25" s="9">
        <v>4376522910.1308584</v>
      </c>
      <c r="D25" s="9">
        <v>4391648366.9100008</v>
      </c>
      <c r="E25" s="9">
        <v>4401882666.8910999</v>
      </c>
      <c r="F25" s="9">
        <v>4417539696.8966808</v>
      </c>
      <c r="G25" s="9">
        <v>4444060240.4934998</v>
      </c>
      <c r="H25" s="9">
        <v>4463168854.6901598</v>
      </c>
      <c r="I25" s="9">
        <v>4481304997.1297007</v>
      </c>
      <c r="J25" s="9">
        <v>4527108180.2902403</v>
      </c>
      <c r="K25" s="9">
        <v>4579820767.0953989</v>
      </c>
      <c r="L25" s="9">
        <v>4606358314.1305008</v>
      </c>
      <c r="M25" s="9">
        <v>4629423729.0698214</v>
      </c>
      <c r="N25" s="9">
        <v>4642879884.8700609</v>
      </c>
      <c r="O25" s="9">
        <v>4677702901.7777805</v>
      </c>
      <c r="P25" s="9">
        <v>4711937365.1178713</v>
      </c>
      <c r="Q25" s="9">
        <v>4736735960.1487789</v>
      </c>
      <c r="R25" s="9">
        <v>4759182682.0686016</v>
      </c>
      <c r="S25" s="9">
        <v>4797685806.7806997</v>
      </c>
      <c r="T25" s="9">
        <v>4839755528.0563812</v>
      </c>
      <c r="U25" s="9">
        <v>4878648827.9176102</v>
      </c>
      <c r="V25" s="9">
        <v>4936872757.4722195</v>
      </c>
      <c r="W25" s="9">
        <v>4987133589.6307983</v>
      </c>
      <c r="X25" s="9">
        <v>5021692413.2102394</v>
      </c>
      <c r="Y25" s="9">
        <v>5055862099.1399498</v>
      </c>
      <c r="Z25" s="9">
        <v>5082574574.8514805</v>
      </c>
      <c r="AA25" s="9">
        <v>5099341754.3449993</v>
      </c>
      <c r="AB25" s="9">
        <v>5112462792.0373487</v>
      </c>
      <c r="AC25" s="9">
        <v>5120841703.7348394</v>
      </c>
      <c r="AD25" s="9">
        <v>5140021601.4166002</v>
      </c>
      <c r="AE25" s="9">
        <v>5181372675.4709206</v>
      </c>
      <c r="AF25" s="9">
        <v>5203165108.0299397</v>
      </c>
      <c r="AG25" s="9">
        <v>5227244613.5566502</v>
      </c>
      <c r="AH25" s="9">
        <v>5256760192.8875198</v>
      </c>
      <c r="AI25" s="9">
        <v>5284191401.0891609</v>
      </c>
      <c r="AJ25" s="9">
        <v>5310103739.0031796</v>
      </c>
      <c r="AK25" s="9">
        <v>5331544324.8690386</v>
      </c>
      <c r="AL25" s="9">
        <v>5320766470</v>
      </c>
      <c r="AM25" s="9">
        <v>5310993280</v>
      </c>
      <c r="AN25" s="9">
        <v>5315135890</v>
      </c>
      <c r="AO25" s="9">
        <v>5294890493.7220297</v>
      </c>
      <c r="AP25" s="9">
        <v>5293027454.2063894</v>
      </c>
      <c r="AQ25" s="9">
        <v>5297058944.9569511</v>
      </c>
    </row>
    <row r="26" spans="1:43" x14ac:dyDescent="0.25">
      <c r="A26" s="7" t="s">
        <v>0</v>
      </c>
      <c r="B26" s="9">
        <v>4314956884.26896</v>
      </c>
      <c r="C26" s="9">
        <v>4336379715.5385685</v>
      </c>
      <c r="D26" s="9">
        <v>4350066814.9262009</v>
      </c>
      <c r="E26" s="9">
        <v>4359924829.6034002</v>
      </c>
      <c r="F26" s="9">
        <v>4375699480.5130205</v>
      </c>
      <c r="G26" s="9">
        <v>4401763638.5444994</v>
      </c>
      <c r="H26" s="9">
        <v>4421446481.091979</v>
      </c>
      <c r="I26" s="9">
        <v>4438978709.2734203</v>
      </c>
      <c r="J26" s="9">
        <v>4480133451.3214207</v>
      </c>
      <c r="K26" s="9">
        <v>4531926793.9835491</v>
      </c>
      <c r="L26" s="9">
        <v>4559016634.7464409</v>
      </c>
      <c r="M26" s="9">
        <v>4582285416.116991</v>
      </c>
      <c r="N26" s="9">
        <v>4594627168.0018406</v>
      </c>
      <c r="O26" s="9">
        <v>4627923920.4205008</v>
      </c>
      <c r="P26" s="9">
        <v>4663821904.6119213</v>
      </c>
      <c r="Q26" s="9">
        <v>4686564587.1698389</v>
      </c>
      <c r="R26" s="9">
        <v>4707361236.5481014</v>
      </c>
      <c r="S26" s="9">
        <v>4745745384.2721901</v>
      </c>
      <c r="T26" s="9">
        <v>4786600324.9513617</v>
      </c>
      <c r="U26" s="9">
        <v>4824527651.4649</v>
      </c>
      <c r="V26" s="9">
        <v>4883299674.1688194</v>
      </c>
      <c r="W26" s="9">
        <v>4933589450.7187386</v>
      </c>
      <c r="X26" s="9">
        <v>4967225763.6904192</v>
      </c>
      <c r="Y26" s="9">
        <v>5000101201.25035</v>
      </c>
      <c r="Z26" s="9">
        <v>5027739705.4372101</v>
      </c>
      <c r="AA26" s="9">
        <v>5043872481.4919996</v>
      </c>
      <c r="AB26" s="9">
        <v>5055249166.1000595</v>
      </c>
      <c r="AC26" s="9">
        <v>5065016264.4659996</v>
      </c>
      <c r="AD26" s="9">
        <v>5078495889.896801</v>
      </c>
      <c r="AE26" s="9">
        <v>5118217554.270401</v>
      </c>
      <c r="AF26" s="9">
        <v>5142652865.7740002</v>
      </c>
      <c r="AG26" s="9">
        <v>5164010341.1265507</v>
      </c>
      <c r="AH26" s="9">
        <v>5195904205.9015398</v>
      </c>
      <c r="AI26" s="9">
        <v>5222118457.2387209</v>
      </c>
      <c r="AJ26" s="9">
        <v>5246247739.3268099</v>
      </c>
      <c r="AK26" s="9">
        <v>5262870309.6673393</v>
      </c>
      <c r="AL26" s="9">
        <v>5248813350</v>
      </c>
      <c r="AM26" s="9">
        <v>5238473560</v>
      </c>
      <c r="AN26" s="9">
        <v>5244244770</v>
      </c>
      <c r="AO26" s="9">
        <v>5222347391.2562094</v>
      </c>
      <c r="AP26" s="9">
        <v>5218374483.1528196</v>
      </c>
      <c r="AQ26" s="9">
        <v>5221509287.6439018</v>
      </c>
    </row>
    <row r="27" spans="1:43" x14ac:dyDescent="0.25">
      <c r="A27" s="7" t="s">
        <v>1</v>
      </c>
      <c r="B27" s="9">
        <v>9029158.9199999999</v>
      </c>
      <c r="C27" s="9">
        <v>9021273.9710000008</v>
      </c>
      <c r="D27" s="9">
        <v>9053747.5880000014</v>
      </c>
      <c r="E27" s="9">
        <v>10983639.981000001</v>
      </c>
      <c r="F27" s="9">
        <v>8542078.7140000015</v>
      </c>
      <c r="G27" s="9">
        <v>8454671.3230000008</v>
      </c>
      <c r="H27" s="9">
        <v>8352996.4229999995</v>
      </c>
      <c r="I27" s="9">
        <v>8476633.3609999996</v>
      </c>
      <c r="J27" s="9">
        <v>8503500.1569999997</v>
      </c>
      <c r="K27" s="9">
        <v>10256333.866</v>
      </c>
      <c r="L27" s="9">
        <v>11120541.117000001</v>
      </c>
      <c r="M27" s="9">
        <v>10748229.344000001</v>
      </c>
      <c r="N27" s="9">
        <v>10400001.153999999</v>
      </c>
      <c r="O27" s="9">
        <v>10594128.188999999</v>
      </c>
      <c r="P27" s="9">
        <v>10650794.625</v>
      </c>
      <c r="Q27" s="9">
        <v>10916210.358000001</v>
      </c>
      <c r="R27" s="9">
        <v>9990249.4409999996</v>
      </c>
      <c r="S27" s="9">
        <v>9986036.0540000014</v>
      </c>
      <c r="T27" s="9">
        <v>9362134.8549999986</v>
      </c>
      <c r="U27" s="9">
        <v>9249771.3849999998</v>
      </c>
      <c r="V27" s="9">
        <v>9060335.7819999997</v>
      </c>
      <c r="W27" s="9">
        <v>9133133.6810000017</v>
      </c>
      <c r="X27" s="9">
        <v>9419353.2120000012</v>
      </c>
      <c r="Y27" s="9">
        <v>10032508.711999999</v>
      </c>
      <c r="Z27" s="9">
        <v>10882051.536</v>
      </c>
      <c r="AA27" s="9">
        <v>10396949.629000001</v>
      </c>
      <c r="AB27" s="9">
        <v>10299808.109999999</v>
      </c>
      <c r="AC27" s="9">
        <v>10461550.622000001</v>
      </c>
      <c r="AD27" s="9">
        <v>10251788.025</v>
      </c>
      <c r="AE27" s="9">
        <v>9723653.1810000017</v>
      </c>
      <c r="AF27" s="9">
        <v>10193280.734999999</v>
      </c>
      <c r="AG27" s="9">
        <v>10245162.103</v>
      </c>
      <c r="AH27" s="9">
        <v>10150911.836999999</v>
      </c>
      <c r="AI27" s="9">
        <v>9974598.8900000006</v>
      </c>
      <c r="AJ27" s="9">
        <v>9900778.6130000018</v>
      </c>
      <c r="AK27" s="9">
        <v>9662853.4519999996</v>
      </c>
      <c r="AL27" s="9">
        <v>10093500</v>
      </c>
      <c r="AM27" s="9">
        <v>9344370</v>
      </c>
      <c r="AN27" s="9">
        <v>10128070</v>
      </c>
      <c r="AO27" s="9">
        <v>10423884.174830001</v>
      </c>
      <c r="AP27" s="9">
        <v>10134759.87238</v>
      </c>
      <c r="AQ27" s="9">
        <v>9266376.2656500004</v>
      </c>
    </row>
    <row r="28" spans="1:43" x14ac:dyDescent="0.25">
      <c r="A28" s="7" t="s">
        <v>45</v>
      </c>
      <c r="B28" s="9">
        <v>31997378.533159997</v>
      </c>
      <c r="C28" s="9">
        <v>31121920.621290002</v>
      </c>
      <c r="D28" s="9">
        <v>32527804.395800002</v>
      </c>
      <c r="E28" s="9">
        <v>30974197.306699999</v>
      </c>
      <c r="F28" s="9">
        <v>33298137.669660002</v>
      </c>
      <c r="G28" s="9">
        <v>33841930.626000002</v>
      </c>
      <c r="H28" s="9">
        <v>33369377.175180003</v>
      </c>
      <c r="I28" s="9">
        <v>33849654.495279998</v>
      </c>
      <c r="J28" s="9">
        <v>38471228.81182</v>
      </c>
      <c r="K28" s="9">
        <v>37637639.245849997</v>
      </c>
      <c r="L28" s="9">
        <v>36221138.267059997</v>
      </c>
      <c r="M28" s="9">
        <v>36390083.608829997</v>
      </c>
      <c r="N28" s="9">
        <v>37852715.714220002</v>
      </c>
      <c r="O28" s="9">
        <v>39184853.168280005</v>
      </c>
      <c r="P28" s="9">
        <v>37464665.880949996</v>
      </c>
      <c r="Q28" s="9">
        <v>39255162.62094</v>
      </c>
      <c r="R28" s="9">
        <v>41831196.079500005</v>
      </c>
      <c r="S28" s="9">
        <v>41954386.454510003</v>
      </c>
      <c r="T28" s="9">
        <v>43793068.250019997</v>
      </c>
      <c r="U28" s="9">
        <v>44871405.067710005</v>
      </c>
      <c r="V28" s="9">
        <v>44512747.521399997</v>
      </c>
      <c r="W28" s="9">
        <v>44411005.231060013</v>
      </c>
      <c r="X28" s="9">
        <v>45047296.30782</v>
      </c>
      <c r="Y28" s="9">
        <v>45728389.177599996</v>
      </c>
      <c r="Z28" s="9">
        <v>43952817.87827</v>
      </c>
      <c r="AA28" s="9">
        <v>45072323.223999992</v>
      </c>
      <c r="AB28" s="9">
        <v>46913817.827289999</v>
      </c>
      <c r="AC28" s="9">
        <v>45363888.646840006</v>
      </c>
      <c r="AD28" s="9">
        <v>51273923.494799994</v>
      </c>
      <c r="AE28" s="9">
        <v>53431468.01952</v>
      </c>
      <c r="AF28" s="9">
        <v>50318961.520939998</v>
      </c>
      <c r="AG28" s="9">
        <v>52989110.327100001</v>
      </c>
      <c r="AH28" s="9">
        <v>50705075.148980007</v>
      </c>
      <c r="AI28" s="9">
        <v>52098344.96044001</v>
      </c>
      <c r="AJ28" s="9">
        <v>53955221.063369997</v>
      </c>
      <c r="AK28" s="9">
        <v>59011161.749699995</v>
      </c>
      <c r="AL28" s="9">
        <v>61859620</v>
      </c>
      <c r="AM28" s="9">
        <v>63175350</v>
      </c>
      <c r="AN28" s="9">
        <v>60763050</v>
      </c>
      <c r="AO28" s="9">
        <v>62119218.290989988</v>
      </c>
      <c r="AP28" s="9">
        <v>64518211.181189984</v>
      </c>
      <c r="AQ28" s="9">
        <v>66283281.047399953</v>
      </c>
    </row>
    <row r="29" spans="1:43" x14ac:dyDescent="0.25">
      <c r="A29" s="6" t="s">
        <v>47</v>
      </c>
      <c r="B29" s="9">
        <v>5167435534.558979</v>
      </c>
      <c r="C29" s="9">
        <v>5190609057.8648205</v>
      </c>
      <c r="D29" s="9">
        <v>5209300831.6629992</v>
      </c>
      <c r="E29" s="9">
        <v>5244078895.2273607</v>
      </c>
      <c r="F29" s="9">
        <v>5274521779.9406395</v>
      </c>
      <c r="G29" s="9">
        <v>5300008528.1540003</v>
      </c>
      <c r="H29" s="9">
        <v>5321746646.1239691</v>
      </c>
      <c r="I29" s="9">
        <v>5328805431.847681</v>
      </c>
      <c r="J29" s="9">
        <v>5355842255.7879896</v>
      </c>
      <c r="K29" s="9">
        <v>5387849403.8131018</v>
      </c>
      <c r="L29" s="9">
        <v>5404005005.3858995</v>
      </c>
      <c r="M29" s="9">
        <v>5414369167.739851</v>
      </c>
      <c r="N29" s="9">
        <v>5419915078.9764395</v>
      </c>
      <c r="O29" s="9">
        <v>5443887253.7412605</v>
      </c>
      <c r="P29" s="9">
        <v>5462538890.3764887</v>
      </c>
      <c r="Q29" s="9">
        <v>5487399673.9309807</v>
      </c>
      <c r="R29" s="9">
        <v>5515669853.7252979</v>
      </c>
      <c r="S29" s="9">
        <v>5530878270.8939419</v>
      </c>
      <c r="T29" s="9">
        <v>5554823762.9172401</v>
      </c>
      <c r="U29" s="9">
        <v>5564735714.430829</v>
      </c>
      <c r="V29" s="9">
        <v>5597342315.1584015</v>
      </c>
      <c r="W29" s="9">
        <v>5613803795.6814013</v>
      </c>
      <c r="X29" s="9">
        <v>5655061027.7866993</v>
      </c>
      <c r="Y29" s="9">
        <v>5676942150.2224998</v>
      </c>
      <c r="Z29" s="9">
        <v>5700528401.3193903</v>
      </c>
      <c r="AA29" s="9">
        <v>5734039906.3170004</v>
      </c>
      <c r="AB29" s="9">
        <v>5776245401.7507992</v>
      </c>
      <c r="AC29" s="9">
        <v>5820155501.5569315</v>
      </c>
      <c r="AD29" s="9">
        <v>5862328937.2544012</v>
      </c>
      <c r="AE29" s="9">
        <v>5900470046.9780006</v>
      </c>
      <c r="AF29" s="9">
        <v>5955058194.2952394</v>
      </c>
      <c r="AG29" s="9">
        <v>6001329327.9286003</v>
      </c>
      <c r="AH29" s="9">
        <v>6070641961.8764896</v>
      </c>
      <c r="AI29" s="9">
        <v>6137342337.617979</v>
      </c>
      <c r="AJ29" s="9">
        <v>6219371717.9225616</v>
      </c>
      <c r="AK29" s="9">
        <v>6280624355.6702404</v>
      </c>
      <c r="AL29" s="9">
        <v>6339753480</v>
      </c>
      <c r="AM29" s="9">
        <v>6420204660</v>
      </c>
      <c r="AN29" s="9">
        <v>6486519340</v>
      </c>
      <c r="AO29" s="9">
        <v>6536849033.7333374</v>
      </c>
      <c r="AP29" s="9">
        <v>6601383256.5845623</v>
      </c>
      <c r="AQ29" s="9">
        <v>6667491274.1495028</v>
      </c>
    </row>
    <row r="30" spans="1:43" x14ac:dyDescent="0.25">
      <c r="A30" s="7" t="s">
        <v>0</v>
      </c>
      <c r="B30" s="9">
        <v>4927297886.3469791</v>
      </c>
      <c r="C30" s="9">
        <v>4949685303.3919001</v>
      </c>
      <c r="D30" s="9">
        <v>4964086432.2959995</v>
      </c>
      <c r="E30" s="9">
        <v>4994403128.4063807</v>
      </c>
      <c r="F30" s="9">
        <v>5019369570.5158396</v>
      </c>
      <c r="G30" s="9">
        <v>5043251720.5325003</v>
      </c>
      <c r="H30" s="9">
        <v>5068006711.1480894</v>
      </c>
      <c r="I30" s="9">
        <v>5071157300.2966204</v>
      </c>
      <c r="J30" s="9">
        <v>5096915576.2814999</v>
      </c>
      <c r="K30" s="9">
        <v>5123411828.1818514</v>
      </c>
      <c r="L30" s="9">
        <v>5129847302.5297394</v>
      </c>
      <c r="M30" s="9">
        <v>5142585864.3920107</v>
      </c>
      <c r="N30" s="9">
        <v>5138367883.5029392</v>
      </c>
      <c r="O30" s="9">
        <v>5157940453.5996809</v>
      </c>
      <c r="P30" s="9">
        <v>5173983850.3170395</v>
      </c>
      <c r="Q30" s="9">
        <v>5187772307.6717205</v>
      </c>
      <c r="R30" s="9">
        <v>5209444523.9838982</v>
      </c>
      <c r="S30" s="9">
        <v>5218298699.7554722</v>
      </c>
      <c r="T30" s="9">
        <v>5252287667.9582605</v>
      </c>
      <c r="U30" s="9">
        <v>5268666560.128479</v>
      </c>
      <c r="V30" s="9">
        <v>5303428501.7932615</v>
      </c>
      <c r="W30" s="9">
        <v>5324297234.9987812</v>
      </c>
      <c r="X30" s="9">
        <v>5350274037.7722397</v>
      </c>
      <c r="Y30" s="9">
        <v>5369521780.4245996</v>
      </c>
      <c r="Z30" s="9">
        <v>5389308014.9286098</v>
      </c>
      <c r="AA30" s="9">
        <v>5422226471.2840004</v>
      </c>
      <c r="AB30" s="9">
        <v>5457835599.5839796</v>
      </c>
      <c r="AC30" s="9">
        <v>5494677718.5554409</v>
      </c>
      <c r="AD30" s="9">
        <v>5529026480.6654015</v>
      </c>
      <c r="AE30" s="9">
        <v>5563344287.1953001</v>
      </c>
      <c r="AF30" s="9">
        <v>5620623320.5770597</v>
      </c>
      <c r="AG30" s="9">
        <v>5665045954.3317003</v>
      </c>
      <c r="AH30" s="9">
        <v>5738997719.7252588</v>
      </c>
      <c r="AI30" s="9">
        <v>5801282047.3188992</v>
      </c>
      <c r="AJ30" s="9">
        <v>5881019014.1259012</v>
      </c>
      <c r="AK30" s="9">
        <v>5950087943.3744812</v>
      </c>
      <c r="AL30" s="9">
        <v>6016839380</v>
      </c>
      <c r="AM30" s="9">
        <v>6103537980</v>
      </c>
      <c r="AN30" s="9">
        <v>6171713750</v>
      </c>
      <c r="AO30" s="9">
        <v>6220138036.3800383</v>
      </c>
      <c r="AP30" s="9">
        <v>6288333277.713912</v>
      </c>
      <c r="AQ30" s="9">
        <v>6354220135.4037027</v>
      </c>
    </row>
    <row r="31" spans="1:43" x14ac:dyDescent="0.25">
      <c r="A31" s="7" t="s">
        <v>1</v>
      </c>
      <c r="B31" s="9">
        <v>24585140.791999999</v>
      </c>
      <c r="C31" s="9">
        <v>23961776.717999998</v>
      </c>
      <c r="D31" s="9">
        <v>24612585.274999999</v>
      </c>
      <c r="E31" s="9">
        <v>24452508.463999998</v>
      </c>
      <c r="F31" s="9">
        <v>23614108.720999997</v>
      </c>
      <c r="G31" s="9">
        <v>23349985.614</v>
      </c>
      <c r="H31" s="9">
        <v>23586137.188999999</v>
      </c>
      <c r="I31" s="9">
        <v>22563283.819000002</v>
      </c>
      <c r="J31" s="9">
        <v>21627577.546</v>
      </c>
      <c r="K31" s="9">
        <v>20921000.433999997</v>
      </c>
      <c r="L31" s="9">
        <v>21160083.956999999</v>
      </c>
      <c r="M31" s="9">
        <v>21268410.617999997</v>
      </c>
      <c r="N31" s="9">
        <v>20983524.797000002</v>
      </c>
      <c r="O31" s="9">
        <v>20516254.129999999</v>
      </c>
      <c r="P31" s="9">
        <v>20743451.789000001</v>
      </c>
      <c r="Q31" s="9">
        <v>20157067.818999998</v>
      </c>
      <c r="R31" s="9">
        <v>19873136.484999999</v>
      </c>
      <c r="S31" s="9">
        <v>19629899.392999999</v>
      </c>
      <c r="T31" s="9">
        <v>19940794.669999998</v>
      </c>
      <c r="U31" s="9">
        <v>19575597.026000001</v>
      </c>
      <c r="V31" s="9">
        <v>19493562.346000001</v>
      </c>
      <c r="W31" s="9">
        <v>19827850.327</v>
      </c>
      <c r="X31" s="9">
        <v>19640307.494999997</v>
      </c>
      <c r="Y31" s="9">
        <v>19001142.778000001</v>
      </c>
      <c r="Z31" s="9">
        <v>19123951.571000002</v>
      </c>
      <c r="AA31" s="9">
        <v>18812553.482999999</v>
      </c>
      <c r="AB31" s="9">
        <v>18834000.610000003</v>
      </c>
      <c r="AC31" s="9">
        <v>19663345.101999998</v>
      </c>
      <c r="AD31" s="9">
        <v>19330698.491</v>
      </c>
      <c r="AE31" s="9">
        <v>19614045.853999998</v>
      </c>
      <c r="AF31" s="9">
        <v>19879457.986000001</v>
      </c>
      <c r="AG31" s="9">
        <v>19615468.864999998</v>
      </c>
      <c r="AH31" s="9">
        <v>19946803.949000001</v>
      </c>
      <c r="AI31" s="9">
        <v>20353834.7509</v>
      </c>
      <c r="AJ31" s="9">
        <v>20491866.168000001</v>
      </c>
      <c r="AK31" s="9">
        <v>20876349.629000001</v>
      </c>
      <c r="AL31" s="9">
        <v>22106490</v>
      </c>
      <c r="AM31" s="9">
        <v>22393540</v>
      </c>
      <c r="AN31" s="9">
        <v>23564660</v>
      </c>
      <c r="AO31" s="9">
        <v>23055705.17571</v>
      </c>
      <c r="AP31" s="9">
        <v>23496519.037280001</v>
      </c>
      <c r="AQ31" s="9">
        <v>23449182.229200013</v>
      </c>
    </row>
    <row r="32" spans="1:43" x14ac:dyDescent="0.25">
      <c r="A32" s="7" t="s">
        <v>45</v>
      </c>
      <c r="B32" s="9">
        <v>215552507.42000002</v>
      </c>
      <c r="C32" s="9">
        <v>216961977.75491995</v>
      </c>
      <c r="D32" s="9">
        <v>220601814.09200004</v>
      </c>
      <c r="E32" s="9">
        <v>225223258.35697997</v>
      </c>
      <c r="F32" s="9">
        <v>231538100.70380008</v>
      </c>
      <c r="G32" s="9">
        <v>233406822.00750005</v>
      </c>
      <c r="H32" s="9">
        <v>230153797.78687999</v>
      </c>
      <c r="I32" s="9">
        <v>235084847.73206007</v>
      </c>
      <c r="J32" s="9">
        <v>237299101.96048999</v>
      </c>
      <c r="K32" s="9">
        <v>243516575.19724992</v>
      </c>
      <c r="L32" s="9">
        <v>252997618.89916</v>
      </c>
      <c r="M32" s="9">
        <v>250514892.72984001</v>
      </c>
      <c r="N32" s="9">
        <v>260563670.67650005</v>
      </c>
      <c r="O32" s="9">
        <v>265430546.01157993</v>
      </c>
      <c r="P32" s="9">
        <v>267811588.27044997</v>
      </c>
      <c r="Q32" s="9">
        <v>279470298.44025993</v>
      </c>
      <c r="R32" s="9">
        <v>286352193.25639993</v>
      </c>
      <c r="S32" s="9">
        <v>292949671.74546999</v>
      </c>
      <c r="T32" s="9">
        <v>282595300.28898001</v>
      </c>
      <c r="U32" s="9">
        <v>276493557.27634996</v>
      </c>
      <c r="V32" s="9">
        <v>274420251.01914001</v>
      </c>
      <c r="W32" s="9">
        <v>269678710.35561997</v>
      </c>
      <c r="X32" s="9">
        <v>285146682.51946002</v>
      </c>
      <c r="Y32" s="9">
        <v>288419227.0198999</v>
      </c>
      <c r="Z32" s="9">
        <v>292096434.81977999</v>
      </c>
      <c r="AA32" s="9">
        <v>293000881.55000001</v>
      </c>
      <c r="AB32" s="9">
        <v>299575801.55681998</v>
      </c>
      <c r="AC32" s="9">
        <v>305814437.89949</v>
      </c>
      <c r="AD32" s="9">
        <v>313971758.09799993</v>
      </c>
      <c r="AE32" s="9">
        <v>317511713.92869997</v>
      </c>
      <c r="AF32" s="9">
        <v>314555415.73218006</v>
      </c>
      <c r="AG32" s="9">
        <v>316667904.73190004</v>
      </c>
      <c r="AH32" s="9">
        <v>311697438.2022301</v>
      </c>
      <c r="AI32" s="9">
        <v>315706455.54817998</v>
      </c>
      <c r="AJ32" s="9">
        <v>317860837.62866008</v>
      </c>
      <c r="AK32" s="9">
        <v>309660062.66675997</v>
      </c>
      <c r="AL32" s="9">
        <v>300807610</v>
      </c>
      <c r="AM32" s="9">
        <v>294273140</v>
      </c>
      <c r="AN32" s="9">
        <v>291240930</v>
      </c>
      <c r="AO32" s="9">
        <v>293655292.17758983</v>
      </c>
      <c r="AP32" s="9">
        <v>289553459.83336997</v>
      </c>
      <c r="AQ32" s="9">
        <v>289821956.51660001</v>
      </c>
    </row>
    <row r="33" spans="1:43" x14ac:dyDescent="0.25">
      <c r="A33" s="6" t="s">
        <v>46</v>
      </c>
      <c r="B33" s="9">
        <v>17947522.23638</v>
      </c>
      <c r="C33" s="9">
        <v>17680594.23866</v>
      </c>
      <c r="D33" s="9">
        <v>19999359.554199997</v>
      </c>
      <c r="E33" s="9">
        <v>19720999.998979997</v>
      </c>
      <c r="F33" s="9">
        <v>19325348.907640003</v>
      </c>
      <c r="G33" s="9">
        <v>18038653.834000003</v>
      </c>
      <c r="H33" s="9">
        <v>18322924.139349997</v>
      </c>
      <c r="I33" s="9">
        <v>18064195.414719999</v>
      </c>
      <c r="J33" s="9">
        <v>16838618.988229997</v>
      </c>
      <c r="K33" s="9">
        <v>15427151.179249998</v>
      </c>
      <c r="L33" s="9">
        <v>15092009.784740001</v>
      </c>
      <c r="M33" s="9">
        <v>15507348.915010002</v>
      </c>
      <c r="N33" s="9">
        <v>15892977.872020001</v>
      </c>
      <c r="O33" s="9">
        <v>15150742.249400003</v>
      </c>
      <c r="P33" s="9">
        <v>14572694.246380001</v>
      </c>
      <c r="Q33" s="9">
        <v>13532077.967120001</v>
      </c>
      <c r="R33" s="9">
        <v>13534354.601000005</v>
      </c>
      <c r="S33" s="9">
        <v>14475295.847779999</v>
      </c>
      <c r="T33" s="9">
        <v>15073458.955719998</v>
      </c>
      <c r="U33" s="9">
        <v>14955458.949609999</v>
      </c>
      <c r="V33" s="9">
        <v>14234939.780979998</v>
      </c>
      <c r="W33" s="9">
        <v>13718865.184280001</v>
      </c>
      <c r="X33" s="9">
        <v>13809542.84326</v>
      </c>
      <c r="Y33" s="9">
        <v>14648238.426100001</v>
      </c>
      <c r="Z33" s="9">
        <v>16322225.817060001</v>
      </c>
      <c r="AA33" s="9">
        <v>15919818.751000002</v>
      </c>
      <c r="AB33" s="9">
        <v>16445608.073940001</v>
      </c>
      <c r="AC33" s="9">
        <v>15612889.636270002</v>
      </c>
      <c r="AD33" s="9">
        <v>16678176.742800001</v>
      </c>
      <c r="AE33" s="9">
        <v>15105995.039600002</v>
      </c>
      <c r="AF33" s="9">
        <v>15596234.055180002</v>
      </c>
      <c r="AG33" s="9">
        <v>16752204.230600001</v>
      </c>
      <c r="AH33" s="9">
        <v>18700829.304870002</v>
      </c>
      <c r="AI33" s="9">
        <v>21957382.775079999</v>
      </c>
      <c r="AJ33" s="9">
        <v>24906098.875560001</v>
      </c>
      <c r="AK33" s="9">
        <v>29081677.254240002</v>
      </c>
      <c r="AL33" s="9">
        <v>33266280</v>
      </c>
      <c r="AM33" s="9">
        <v>33822980</v>
      </c>
      <c r="AN33" s="9">
        <v>36648730</v>
      </c>
      <c r="AO33" s="9">
        <v>42614649.876460008</v>
      </c>
      <c r="AP33" s="9">
        <v>45629512.262639999</v>
      </c>
      <c r="AQ33" s="9">
        <v>49161725.293450005</v>
      </c>
    </row>
    <row r="34" spans="1:43" x14ac:dyDescent="0.25">
      <c r="A34" s="7" t="s">
        <v>0</v>
      </c>
      <c r="B34" s="9">
        <v>14971289.310279999</v>
      </c>
      <c r="C34" s="9">
        <v>14742981.547479998</v>
      </c>
      <c r="D34" s="9">
        <v>17059547.930799998</v>
      </c>
      <c r="E34" s="9">
        <v>17145245.904819999</v>
      </c>
      <c r="F34" s="9">
        <v>17191810.899240002</v>
      </c>
      <c r="G34" s="9">
        <v>16205368.650500003</v>
      </c>
      <c r="H34" s="9">
        <v>16960382.112239998</v>
      </c>
      <c r="I34" s="9">
        <v>16799624.526159998</v>
      </c>
      <c r="J34" s="9">
        <v>15581821.431509998</v>
      </c>
      <c r="K34" s="9">
        <v>14169089.471699998</v>
      </c>
      <c r="L34" s="9">
        <v>13688238.933900001</v>
      </c>
      <c r="M34" s="9">
        <v>14291680.819370002</v>
      </c>
      <c r="N34" s="9">
        <v>14700383.863299999</v>
      </c>
      <c r="O34" s="9">
        <v>13821724.936480004</v>
      </c>
      <c r="P34" s="9">
        <v>13191375.9703</v>
      </c>
      <c r="Q34" s="9">
        <v>12416875.49464</v>
      </c>
      <c r="R34" s="9">
        <v>12570460.517000005</v>
      </c>
      <c r="S34" s="9">
        <v>13463767.251959998</v>
      </c>
      <c r="T34" s="9">
        <v>14041591.835719999</v>
      </c>
      <c r="U34" s="9">
        <v>13935728.349609999</v>
      </c>
      <c r="V34" s="9">
        <v>13226914.110979998</v>
      </c>
      <c r="W34" s="9">
        <v>12846762.174280001</v>
      </c>
      <c r="X34" s="9">
        <v>13035360.15326</v>
      </c>
      <c r="Y34" s="9">
        <v>13914170.306100002</v>
      </c>
      <c r="Z34" s="9">
        <v>15541208.68706</v>
      </c>
      <c r="AA34" s="9">
        <v>15143008.521000002</v>
      </c>
      <c r="AB34" s="9">
        <v>15686579.063940002</v>
      </c>
      <c r="AC34" s="9">
        <v>14855971.976270001</v>
      </c>
      <c r="AD34" s="9">
        <v>15923995.502800001</v>
      </c>
      <c r="AE34" s="9">
        <v>14353845.599600002</v>
      </c>
      <c r="AF34" s="9">
        <v>14830281.655180002</v>
      </c>
      <c r="AG34" s="9">
        <v>15982481.830600001</v>
      </c>
      <c r="AH34" s="9">
        <v>18014025.38487</v>
      </c>
      <c r="AI34" s="9">
        <v>21429483.57508</v>
      </c>
      <c r="AJ34" s="9">
        <v>24377227.865559999</v>
      </c>
      <c r="AK34" s="9">
        <v>28571302.004240002</v>
      </c>
      <c r="AL34" s="9">
        <v>32758550</v>
      </c>
      <c r="AM34" s="9">
        <v>33316810</v>
      </c>
      <c r="AN34" s="9">
        <v>35711050</v>
      </c>
      <c r="AO34" s="9">
        <v>41651386.416460007</v>
      </c>
      <c r="AP34" s="9">
        <v>44617084.432640001</v>
      </c>
      <c r="AQ34" s="9">
        <v>48045390.773450002</v>
      </c>
    </row>
    <row r="35" spans="1:43" x14ac:dyDescent="0.25">
      <c r="A35" s="7" t="s">
        <v>1</v>
      </c>
      <c r="B35" s="9">
        <v>50387.792929999996</v>
      </c>
      <c r="C35" s="9">
        <v>33302.967700000001</v>
      </c>
      <c r="D35" s="9">
        <v>14634.84</v>
      </c>
      <c r="E35" s="9">
        <v>25893.882679999999</v>
      </c>
      <c r="F35" s="9">
        <v>12754.48</v>
      </c>
      <c r="G35" s="9">
        <v>11818.33</v>
      </c>
      <c r="H35" s="9">
        <v>11016.48</v>
      </c>
      <c r="I35" s="9">
        <v>10045.09</v>
      </c>
      <c r="J35" s="9">
        <v>9195.59</v>
      </c>
      <c r="K35" s="9">
        <v>8235.01</v>
      </c>
      <c r="L35" s="9">
        <v>7259.96</v>
      </c>
      <c r="M35" s="9">
        <v>6244.03</v>
      </c>
      <c r="N35" s="9">
        <v>5083.3999999999996</v>
      </c>
      <c r="O35" s="9">
        <v>4406.1000000000004</v>
      </c>
      <c r="P35" s="9">
        <v>3380.8</v>
      </c>
      <c r="Q35" s="9">
        <v>2944.89</v>
      </c>
      <c r="R35" s="9">
        <v>380.67</v>
      </c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</row>
    <row r="36" spans="1:43" x14ac:dyDescent="0.25">
      <c r="A36" s="7" t="s">
        <v>45</v>
      </c>
      <c r="B36" s="9">
        <v>2925845.1331700003</v>
      </c>
      <c r="C36" s="9">
        <v>2904309.7234799997</v>
      </c>
      <c r="D36" s="9">
        <v>2925176.7834000001</v>
      </c>
      <c r="E36" s="9">
        <v>2549860.2114800005</v>
      </c>
      <c r="F36" s="9">
        <v>2120783.5284000002</v>
      </c>
      <c r="G36" s="9">
        <v>1821466.8535</v>
      </c>
      <c r="H36" s="9">
        <v>1351525.5471100002</v>
      </c>
      <c r="I36" s="9">
        <v>1254525.79856</v>
      </c>
      <c r="J36" s="9">
        <v>1247601.9667199999</v>
      </c>
      <c r="K36" s="9">
        <v>1249826.6975499999</v>
      </c>
      <c r="L36" s="9">
        <v>1396510.8908399998</v>
      </c>
      <c r="M36" s="9">
        <v>1209424.0656400002</v>
      </c>
      <c r="N36" s="9">
        <v>1187510.6087199999</v>
      </c>
      <c r="O36" s="9">
        <v>1324611.2129199998</v>
      </c>
      <c r="P36" s="9">
        <v>1377937.4760799997</v>
      </c>
      <c r="Q36" s="9">
        <v>1112257.5824799999</v>
      </c>
      <c r="R36" s="9">
        <v>963513.41399999999</v>
      </c>
      <c r="S36" s="9">
        <v>1011528.59582</v>
      </c>
      <c r="T36" s="9">
        <v>1031867.12</v>
      </c>
      <c r="U36" s="9">
        <v>1019730.6000000001</v>
      </c>
      <c r="V36" s="9">
        <v>1008025.6699999999</v>
      </c>
      <c r="W36" s="9">
        <v>872103.01000000013</v>
      </c>
      <c r="X36" s="9">
        <v>774182.69</v>
      </c>
      <c r="Y36" s="9">
        <v>734068.12</v>
      </c>
      <c r="Z36" s="9">
        <v>781017.12999999989</v>
      </c>
      <c r="AA36" s="9">
        <v>776810.23</v>
      </c>
      <c r="AB36" s="9">
        <v>759029.01</v>
      </c>
      <c r="AC36" s="9">
        <v>756917.65999999992</v>
      </c>
      <c r="AD36" s="9">
        <v>754181.23999999987</v>
      </c>
      <c r="AE36" s="9">
        <v>752149.44000000006</v>
      </c>
      <c r="AF36" s="9">
        <v>765952.4</v>
      </c>
      <c r="AG36" s="9">
        <v>769722.39999999991</v>
      </c>
      <c r="AH36" s="9">
        <v>686803.92</v>
      </c>
      <c r="AI36" s="9">
        <v>527899.19999999995</v>
      </c>
      <c r="AJ36" s="9">
        <v>528871.01</v>
      </c>
      <c r="AK36" s="9">
        <v>510375.25</v>
      </c>
      <c r="AL36" s="9">
        <v>507730</v>
      </c>
      <c r="AM36" s="9">
        <v>506170</v>
      </c>
      <c r="AN36" s="9">
        <v>937680</v>
      </c>
      <c r="AO36" s="9">
        <v>963263.46000000008</v>
      </c>
      <c r="AP36" s="9">
        <v>1012427.8300000001</v>
      </c>
      <c r="AQ36" s="9">
        <v>1116334.52</v>
      </c>
    </row>
    <row r="37" spans="1:43" x14ac:dyDescent="0.25">
      <c r="A37" s="6" t="s">
        <v>48</v>
      </c>
      <c r="B37" s="9">
        <v>0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</row>
    <row r="38" spans="1:43" x14ac:dyDescent="0.25">
      <c r="A38" s="7" t="s">
        <v>0</v>
      </c>
      <c r="B38" s="9">
        <v>0</v>
      </c>
      <c r="C38" s="9">
        <v>0</v>
      </c>
      <c r="D38" s="9">
        <v>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9">
        <v>0</v>
      </c>
      <c r="O38" s="9">
        <v>0</v>
      </c>
      <c r="P38" s="9">
        <v>0</v>
      </c>
      <c r="Q38" s="9">
        <v>0</v>
      </c>
      <c r="R38" s="9">
        <v>0</v>
      </c>
      <c r="S38" s="9">
        <v>0</v>
      </c>
      <c r="T38" s="9">
        <v>0</v>
      </c>
      <c r="U38" s="9">
        <v>0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</v>
      </c>
      <c r="AB38" s="9">
        <v>0</v>
      </c>
      <c r="AC38" s="9">
        <v>0</v>
      </c>
      <c r="AD38" s="9">
        <v>0</v>
      </c>
      <c r="AE38" s="9">
        <v>0</v>
      </c>
      <c r="AF38" s="9">
        <v>0</v>
      </c>
      <c r="AG38" s="9">
        <v>0</v>
      </c>
      <c r="AH38" s="9">
        <v>0</v>
      </c>
      <c r="AI38" s="9">
        <v>0</v>
      </c>
      <c r="AJ38" s="9">
        <v>0</v>
      </c>
      <c r="AK38" s="9">
        <v>0</v>
      </c>
      <c r="AL38" s="9">
        <v>0</v>
      </c>
      <c r="AM38" s="9">
        <v>0</v>
      </c>
      <c r="AN38" s="9">
        <v>0</v>
      </c>
      <c r="AO38" s="9">
        <v>0</v>
      </c>
      <c r="AP38" s="9">
        <v>0</v>
      </c>
      <c r="AQ38" s="9">
        <v>0</v>
      </c>
    </row>
    <row r="39" spans="1:43" x14ac:dyDescent="0.25">
      <c r="A39" s="7" t="s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>
        <v>0</v>
      </c>
      <c r="Z39" s="9"/>
      <c r="AA39" s="9"/>
      <c r="AB39" s="9"/>
      <c r="AC39" s="9"/>
      <c r="AD39" s="9"/>
      <c r="AE39" s="9"/>
      <c r="AF39" s="9">
        <v>0</v>
      </c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</row>
    <row r="40" spans="1:43" x14ac:dyDescent="0.25">
      <c r="A40" s="7" t="s">
        <v>45</v>
      </c>
      <c r="B40" s="9">
        <v>0</v>
      </c>
      <c r="C40" s="9">
        <v>0</v>
      </c>
      <c r="D40" s="9">
        <v>0</v>
      </c>
      <c r="E40" s="9">
        <v>0</v>
      </c>
      <c r="F40" s="9">
        <v>0</v>
      </c>
      <c r="G40" s="9">
        <v>0</v>
      </c>
      <c r="H40" s="9">
        <v>0</v>
      </c>
      <c r="I40" s="9">
        <v>0</v>
      </c>
      <c r="J40" s="9">
        <v>0</v>
      </c>
      <c r="K40" s="9">
        <v>0</v>
      </c>
      <c r="L40" s="9">
        <v>0</v>
      </c>
      <c r="M40" s="9">
        <v>0</v>
      </c>
      <c r="N40" s="9">
        <v>0</v>
      </c>
      <c r="O40" s="9">
        <v>0</v>
      </c>
      <c r="P40" s="9">
        <v>0</v>
      </c>
      <c r="Q40" s="9">
        <v>0</v>
      </c>
      <c r="R40" s="9">
        <v>0</v>
      </c>
      <c r="S40" s="9">
        <v>0</v>
      </c>
      <c r="T40" s="9">
        <v>0</v>
      </c>
      <c r="U40" s="9">
        <v>0</v>
      </c>
      <c r="V40" s="9">
        <v>0</v>
      </c>
      <c r="W40" s="9">
        <v>0</v>
      </c>
      <c r="X40" s="9">
        <v>0</v>
      </c>
      <c r="Y40" s="9">
        <v>0</v>
      </c>
      <c r="Z40" s="9">
        <v>0</v>
      </c>
      <c r="AA40" s="9">
        <v>0</v>
      </c>
      <c r="AB40" s="9">
        <v>0</v>
      </c>
      <c r="AC40" s="9">
        <v>0</v>
      </c>
      <c r="AD40" s="9">
        <v>0</v>
      </c>
      <c r="AE40" s="9">
        <v>0</v>
      </c>
      <c r="AF40" s="9">
        <v>0</v>
      </c>
      <c r="AG40" s="9">
        <v>0</v>
      </c>
      <c r="AH40" s="9">
        <v>0</v>
      </c>
      <c r="AI40" s="9">
        <v>0</v>
      </c>
      <c r="AJ40" s="9">
        <v>0</v>
      </c>
      <c r="AK40" s="9">
        <v>0</v>
      </c>
      <c r="AL40" s="9">
        <v>0</v>
      </c>
      <c r="AM40" s="9">
        <v>0</v>
      </c>
      <c r="AN40" s="9">
        <v>0</v>
      </c>
      <c r="AO40" s="9">
        <v>0</v>
      </c>
      <c r="AP40" s="9">
        <v>0</v>
      </c>
      <c r="AQ40" s="9">
        <v>0</v>
      </c>
    </row>
    <row r="41" spans="1:43" x14ac:dyDescent="0.25">
      <c r="A41" s="5" t="s">
        <v>55</v>
      </c>
      <c r="B41" s="9">
        <v>64772596.226929992</v>
      </c>
      <c r="C41" s="9">
        <v>58890512.909829997</v>
      </c>
      <c r="D41" s="9">
        <v>66139762.169739999</v>
      </c>
      <c r="E41" s="9">
        <v>63778606.519609988</v>
      </c>
      <c r="F41" s="9">
        <v>68116093.831199989</v>
      </c>
      <c r="G41" s="9">
        <v>66079985.004819989</v>
      </c>
      <c r="H41" s="9">
        <v>69046130.888839975</v>
      </c>
      <c r="I41" s="9">
        <v>68972946.664430007</v>
      </c>
      <c r="J41" s="9">
        <v>67187936.740360007</v>
      </c>
      <c r="K41" s="9">
        <v>71211013.119900003</v>
      </c>
      <c r="L41" s="9">
        <v>68787318.198980004</v>
      </c>
      <c r="M41" s="9">
        <v>71099134.938339993</v>
      </c>
      <c r="N41" s="9">
        <v>72560710.158599988</v>
      </c>
      <c r="O41" s="9">
        <v>67472658.79350999</v>
      </c>
      <c r="P41" s="9">
        <v>71809901.278840005</v>
      </c>
      <c r="Q41" s="9">
        <v>72017213.44788</v>
      </c>
      <c r="R41" s="9">
        <v>74129726.147369996</v>
      </c>
      <c r="S41" s="9">
        <v>71700511.806060001</v>
      </c>
      <c r="T41" s="9">
        <v>76504930.717709988</v>
      </c>
      <c r="U41" s="9">
        <v>75602619.190329999</v>
      </c>
      <c r="V41" s="9">
        <v>74454948.840259999</v>
      </c>
      <c r="W41" s="9">
        <v>76605380.281609997</v>
      </c>
      <c r="X41" s="9">
        <v>74776548.901719987</v>
      </c>
      <c r="Y41" s="9">
        <v>78521074.141950011</v>
      </c>
      <c r="Z41" s="9">
        <v>78019047.003219992</v>
      </c>
      <c r="AA41" s="9">
        <v>70685088.096959978</v>
      </c>
      <c r="AB41" s="9">
        <v>78685250.510210007</v>
      </c>
      <c r="AC41" s="9">
        <v>76368488.298829988</v>
      </c>
      <c r="AD41" s="9">
        <v>79971936.521560013</v>
      </c>
      <c r="AE41" s="9">
        <v>77528592.929680005</v>
      </c>
      <c r="AF41" s="9">
        <v>80746517.943030015</v>
      </c>
      <c r="AG41" s="9">
        <v>80099316.246300012</v>
      </c>
      <c r="AH41" s="9">
        <v>79837789.227570012</v>
      </c>
      <c r="AI41" s="9">
        <v>81833528.881149977</v>
      </c>
      <c r="AJ41" s="9">
        <v>79702573.340349987</v>
      </c>
      <c r="AK41" s="9">
        <v>84452469.168699995</v>
      </c>
      <c r="AL41" s="9">
        <v>83029544.995540008</v>
      </c>
      <c r="AM41" s="9">
        <v>75862453.309650004</v>
      </c>
      <c r="AN41" s="9">
        <v>84721271.818959996</v>
      </c>
      <c r="AO41" s="9">
        <v>81185431.76067999</v>
      </c>
      <c r="AP41" s="9">
        <v>84102009.652310029</v>
      </c>
      <c r="AQ41" s="9">
        <v>82044827.563720003</v>
      </c>
    </row>
    <row r="42" spans="1:43" x14ac:dyDescent="0.25">
      <c r="A42" s="6" t="s">
        <v>49</v>
      </c>
      <c r="B42" s="9">
        <v>24643885.512309998</v>
      </c>
      <c r="C42" s="9">
        <v>22485986.920209996</v>
      </c>
      <c r="D42" s="9">
        <v>25225121.527820002</v>
      </c>
      <c r="E42" s="9">
        <v>24450316.459769998</v>
      </c>
      <c r="F42" s="9">
        <v>25764124.441650003</v>
      </c>
      <c r="G42" s="9">
        <v>25012614.361599993</v>
      </c>
      <c r="H42" s="9">
        <v>26253322.445879992</v>
      </c>
      <c r="I42" s="9">
        <v>26378406.60464</v>
      </c>
      <c r="J42" s="9">
        <v>25912875.378830001</v>
      </c>
      <c r="K42" s="9">
        <v>27513761.249670003</v>
      </c>
      <c r="L42" s="9">
        <v>26474646.775289994</v>
      </c>
      <c r="M42" s="9">
        <v>27599642.913379997</v>
      </c>
      <c r="N42" s="9">
        <v>28171989.631979994</v>
      </c>
      <c r="O42" s="9">
        <v>26321406.157629997</v>
      </c>
      <c r="P42" s="9">
        <v>28338441.94128</v>
      </c>
      <c r="Q42" s="9">
        <v>27882287.927630007</v>
      </c>
      <c r="R42" s="9">
        <v>28819578.691850007</v>
      </c>
      <c r="S42" s="9">
        <v>28252557.452460002</v>
      </c>
      <c r="T42" s="9">
        <v>29568125.065709997</v>
      </c>
      <c r="U42" s="9">
        <v>29779608.254540004</v>
      </c>
      <c r="V42" s="9">
        <v>29385012.614950001</v>
      </c>
      <c r="W42" s="9">
        <v>30658559.995050002</v>
      </c>
      <c r="X42" s="9">
        <v>29840706.409339998</v>
      </c>
      <c r="Y42" s="9">
        <v>31073434.602369998</v>
      </c>
      <c r="Z42" s="9">
        <v>31164129.585579999</v>
      </c>
      <c r="AA42" s="9">
        <v>28161121.957899991</v>
      </c>
      <c r="AB42" s="9">
        <v>31274564.254810005</v>
      </c>
      <c r="AC42" s="9">
        <v>30171374.556799993</v>
      </c>
      <c r="AD42" s="9">
        <v>31400880.253870003</v>
      </c>
      <c r="AE42" s="9">
        <v>30479757.74453</v>
      </c>
      <c r="AF42" s="9">
        <v>31658896.789570004</v>
      </c>
      <c r="AG42" s="9">
        <v>31740280.41164</v>
      </c>
      <c r="AH42" s="9">
        <v>31254781.805780008</v>
      </c>
      <c r="AI42" s="9">
        <v>32104738.115809992</v>
      </c>
      <c r="AJ42" s="9">
        <v>31083524.231380001</v>
      </c>
      <c r="AK42" s="9">
        <v>32511437.762279999</v>
      </c>
      <c r="AL42" s="9">
        <v>32303475.56439</v>
      </c>
      <c r="AM42" s="9">
        <v>28868495.187289998</v>
      </c>
      <c r="AN42" s="9">
        <v>32400444.359839994</v>
      </c>
      <c r="AO42" s="9">
        <v>30894449.286029998</v>
      </c>
      <c r="AP42" s="9">
        <v>31946919.933710001</v>
      </c>
      <c r="AQ42" s="9">
        <v>30971713.196019996</v>
      </c>
    </row>
    <row r="43" spans="1:43" x14ac:dyDescent="0.25">
      <c r="A43" s="7" t="s">
        <v>0</v>
      </c>
      <c r="B43" s="9">
        <v>23421950.494919997</v>
      </c>
      <c r="C43" s="9">
        <v>21342734.390879996</v>
      </c>
      <c r="D43" s="9">
        <v>23947840.612260003</v>
      </c>
      <c r="E43" s="9">
        <v>23296022.315009996</v>
      </c>
      <c r="F43" s="9">
        <v>24385092.047630005</v>
      </c>
      <c r="G43" s="9">
        <v>23700692.364509992</v>
      </c>
      <c r="H43" s="9">
        <v>24753362.613459993</v>
      </c>
      <c r="I43" s="9">
        <v>24940545.271779999</v>
      </c>
      <c r="J43" s="9">
        <v>24535281.23502</v>
      </c>
      <c r="K43" s="9">
        <v>25781758.661910001</v>
      </c>
      <c r="L43" s="9">
        <v>25104357.754859995</v>
      </c>
      <c r="M43" s="9">
        <v>26290742.864939999</v>
      </c>
      <c r="N43" s="9">
        <v>26462928.104219992</v>
      </c>
      <c r="O43" s="9">
        <v>24864298.238709997</v>
      </c>
      <c r="P43" s="9">
        <v>27019945.216150001</v>
      </c>
      <c r="Q43" s="9">
        <v>26240598.841120008</v>
      </c>
      <c r="R43" s="9">
        <v>27330690.974160008</v>
      </c>
      <c r="S43" s="9">
        <v>26833623.419370003</v>
      </c>
      <c r="T43" s="9">
        <v>27936317.744929995</v>
      </c>
      <c r="U43" s="9">
        <v>28293517.281000003</v>
      </c>
      <c r="V43" s="9">
        <v>27714888.45465</v>
      </c>
      <c r="W43" s="9">
        <v>29035746.105</v>
      </c>
      <c r="X43" s="9">
        <v>28277261.423149999</v>
      </c>
      <c r="Y43" s="9">
        <v>29447485.498199999</v>
      </c>
      <c r="Z43" s="9">
        <v>29467206.301989999</v>
      </c>
      <c r="AA43" s="9">
        <v>26810124.093329992</v>
      </c>
      <c r="AB43" s="9">
        <v>29663118.290010005</v>
      </c>
      <c r="AC43" s="9">
        <v>28636070.064769994</v>
      </c>
      <c r="AD43" s="9">
        <v>29849900.762320004</v>
      </c>
      <c r="AE43" s="9">
        <v>28927556.030809999</v>
      </c>
      <c r="AF43" s="9">
        <v>30208404.512990002</v>
      </c>
      <c r="AG43" s="9">
        <v>30258197.672819998</v>
      </c>
      <c r="AH43" s="9">
        <v>29369916.925830007</v>
      </c>
      <c r="AI43" s="9">
        <v>30523629.052939992</v>
      </c>
      <c r="AJ43" s="9">
        <v>29697695.32347</v>
      </c>
      <c r="AK43" s="9">
        <v>30853054.842569999</v>
      </c>
      <c r="AL43" s="9">
        <v>30792713.190809999</v>
      </c>
      <c r="AM43" s="9">
        <v>27669936.483479999</v>
      </c>
      <c r="AN43" s="9">
        <v>30733329.371009994</v>
      </c>
      <c r="AO43" s="9">
        <v>29560114.364829998</v>
      </c>
      <c r="AP43" s="9">
        <v>30515113.504670002</v>
      </c>
      <c r="AQ43" s="9">
        <v>29491594.225489996</v>
      </c>
    </row>
    <row r="44" spans="1:43" x14ac:dyDescent="0.25">
      <c r="A44" s="7" t="s">
        <v>45</v>
      </c>
      <c r="B44" s="9">
        <v>260777.74669999996</v>
      </c>
      <c r="C44" s="9">
        <v>271195.39109000005</v>
      </c>
      <c r="D44" s="9">
        <v>293585.14776000002</v>
      </c>
      <c r="E44" s="9">
        <v>219897.59060000003</v>
      </c>
      <c r="F44" s="9">
        <v>230122.98169999997</v>
      </c>
      <c r="G44" s="9">
        <v>238849.64358999996</v>
      </c>
      <c r="H44" s="9">
        <v>357459.99572000006</v>
      </c>
      <c r="I44" s="9">
        <v>293428.04646000004</v>
      </c>
      <c r="J44" s="9">
        <v>292787.54016999993</v>
      </c>
      <c r="K44" s="9">
        <v>523913.94576000003</v>
      </c>
      <c r="L44" s="9">
        <v>230685.28763000001</v>
      </c>
      <c r="M44" s="9">
        <v>189842.66054999997</v>
      </c>
      <c r="N44" s="9">
        <v>437357.75023999996</v>
      </c>
      <c r="O44" s="9">
        <v>328142.51971999998</v>
      </c>
      <c r="P44" s="9">
        <v>258479.61793999997</v>
      </c>
      <c r="Q44" s="9">
        <v>317091.29843000002</v>
      </c>
      <c r="R44" s="9">
        <v>279205.24919</v>
      </c>
      <c r="S44" s="9">
        <v>316931.78803</v>
      </c>
      <c r="T44" s="9">
        <v>330605.10443999997</v>
      </c>
      <c r="U44" s="9">
        <v>334727.34733999998</v>
      </c>
      <c r="V44" s="9">
        <v>410225.10498</v>
      </c>
      <c r="W44" s="9">
        <v>405635.15900999994</v>
      </c>
      <c r="X44" s="9">
        <v>427847.67742999998</v>
      </c>
      <c r="Y44" s="9">
        <v>375554.72292000003</v>
      </c>
      <c r="Z44" s="9">
        <v>483041.54712999996</v>
      </c>
      <c r="AA44" s="9">
        <v>268969.30456999998</v>
      </c>
      <c r="AB44" s="9">
        <v>428199.44529</v>
      </c>
      <c r="AC44" s="9">
        <v>401239.91534000007</v>
      </c>
      <c r="AD44" s="9">
        <v>422257.14395000006</v>
      </c>
      <c r="AE44" s="9">
        <v>389594.47656000004</v>
      </c>
      <c r="AF44" s="9">
        <v>297979.96996000002</v>
      </c>
      <c r="AG44" s="9">
        <v>414510.55976999999</v>
      </c>
      <c r="AH44" s="9">
        <v>718497.0601</v>
      </c>
      <c r="AI44" s="9">
        <v>464877.95230999996</v>
      </c>
      <c r="AJ44" s="9">
        <v>389937.49845000001</v>
      </c>
      <c r="AK44" s="9">
        <v>496536.94935000001</v>
      </c>
      <c r="AL44" s="9">
        <v>469487.48583000002</v>
      </c>
      <c r="AM44" s="9">
        <v>238814.75381000002</v>
      </c>
      <c r="AN44" s="9">
        <v>586212.14883000008</v>
      </c>
      <c r="AO44" s="9">
        <v>334661.2711999999</v>
      </c>
      <c r="AP44" s="9">
        <v>478806.34903999994</v>
      </c>
      <c r="AQ44" s="9">
        <v>442976.41052999999</v>
      </c>
    </row>
    <row r="45" spans="1:43" x14ac:dyDescent="0.25">
      <c r="A45" s="7" t="s">
        <v>74</v>
      </c>
      <c r="B45" s="9">
        <v>961157.27069000003</v>
      </c>
      <c r="C45" s="9">
        <v>872057.13824</v>
      </c>
      <c r="D45" s="9">
        <v>983695.76779999991</v>
      </c>
      <c r="E45" s="9">
        <v>934396.55416000006</v>
      </c>
      <c r="F45" s="9">
        <v>1148909.4123200001</v>
      </c>
      <c r="G45" s="9">
        <v>1073072.3535000002</v>
      </c>
      <c r="H45" s="9">
        <v>1142499.8367000001</v>
      </c>
      <c r="I45" s="9">
        <v>1144433.2864000001</v>
      </c>
      <c r="J45" s="9">
        <v>1084806.6036400001</v>
      </c>
      <c r="K45" s="9">
        <v>1208088.642</v>
      </c>
      <c r="L45" s="9">
        <v>1139603.7328000001</v>
      </c>
      <c r="M45" s="9">
        <v>1119057.3878900001</v>
      </c>
      <c r="N45" s="9">
        <v>1271703.7775199998</v>
      </c>
      <c r="O45" s="9">
        <v>1128965.3992000003</v>
      </c>
      <c r="P45" s="9">
        <v>1060017.1071899999</v>
      </c>
      <c r="Q45" s="9">
        <v>1324597.7880799996</v>
      </c>
      <c r="R45" s="9">
        <v>1209682.4685</v>
      </c>
      <c r="S45" s="9">
        <v>1102002.2450600001</v>
      </c>
      <c r="T45" s="9">
        <v>1301202.21634</v>
      </c>
      <c r="U45" s="9">
        <v>1151363.6262000001</v>
      </c>
      <c r="V45" s="9">
        <v>1259899.0553199998</v>
      </c>
      <c r="W45" s="9">
        <v>1217178.7310400002</v>
      </c>
      <c r="X45" s="9">
        <v>1135597.3087599999</v>
      </c>
      <c r="Y45" s="9">
        <v>1250394.3812499999</v>
      </c>
      <c r="Z45" s="9">
        <v>1213881.7364600003</v>
      </c>
      <c r="AA45" s="9">
        <v>1082028.5599999998</v>
      </c>
      <c r="AB45" s="9">
        <v>1183246.5195100002</v>
      </c>
      <c r="AC45" s="9">
        <v>1134064.57669</v>
      </c>
      <c r="AD45" s="9">
        <v>1128722.3476</v>
      </c>
      <c r="AE45" s="9">
        <v>1162607.2371599998</v>
      </c>
      <c r="AF45" s="9">
        <v>1152512.3066200002</v>
      </c>
      <c r="AG45" s="9">
        <v>1067572.1790499999</v>
      </c>
      <c r="AH45" s="9">
        <v>1166367.8198500003</v>
      </c>
      <c r="AI45" s="9">
        <v>1116231.1105599997</v>
      </c>
      <c r="AJ45" s="9">
        <v>995891.40946</v>
      </c>
      <c r="AK45" s="9">
        <v>1161845.9703599999</v>
      </c>
      <c r="AL45" s="9">
        <v>1041274.88775</v>
      </c>
      <c r="AM45" s="9">
        <v>959743.95000000007</v>
      </c>
      <c r="AN45" s="9">
        <v>1080902.8399999999</v>
      </c>
      <c r="AO45" s="9">
        <v>999673.65</v>
      </c>
      <c r="AP45" s="9">
        <v>953000.08</v>
      </c>
      <c r="AQ45" s="9">
        <v>1037142.56</v>
      </c>
    </row>
    <row r="46" spans="1:43" x14ac:dyDescent="0.25">
      <c r="A46" s="6" t="s">
        <v>47</v>
      </c>
      <c r="B46" s="9">
        <v>39985164.041439995</v>
      </c>
      <c r="C46" s="9">
        <v>36259271.411499999</v>
      </c>
      <c r="D46" s="9">
        <v>40760635.248279996</v>
      </c>
      <c r="E46" s="9">
        <v>39171987.162959993</v>
      </c>
      <c r="F46" s="9">
        <v>42191232.440169998</v>
      </c>
      <c r="G46" s="9">
        <v>40830892.792099997</v>
      </c>
      <c r="H46" s="9">
        <v>42625063.893169992</v>
      </c>
      <c r="I46" s="9">
        <v>42421504.359129995</v>
      </c>
      <c r="J46" s="9">
        <v>40952584.819720007</v>
      </c>
      <c r="K46" s="9">
        <v>43568322.683889993</v>
      </c>
      <c r="L46" s="9">
        <v>42178414.238820001</v>
      </c>
      <c r="M46" s="9">
        <v>43365442.146479994</v>
      </c>
      <c r="N46" s="9">
        <v>44249761.47445</v>
      </c>
      <c r="O46" s="9">
        <v>41031397.287719995</v>
      </c>
      <c r="P46" s="9">
        <v>43329490.023709998</v>
      </c>
      <c r="Q46" s="9">
        <v>44004268.863540001</v>
      </c>
      <c r="R46" s="9">
        <v>45194272.908420004</v>
      </c>
      <c r="S46" s="9">
        <v>43324417.385090001</v>
      </c>
      <c r="T46" s="9">
        <v>46799508.706689991</v>
      </c>
      <c r="U46" s="9">
        <v>45693839.016000003</v>
      </c>
      <c r="V46" s="9">
        <v>44945434.136989996</v>
      </c>
      <c r="W46" s="9">
        <v>45817344.393099993</v>
      </c>
      <c r="X46" s="9">
        <v>44809729.638749987</v>
      </c>
      <c r="Y46" s="9">
        <v>47318855.892330006</v>
      </c>
      <c r="Z46" s="9">
        <v>46716525.486529998</v>
      </c>
      <c r="AA46" s="9">
        <v>42398543.948899992</v>
      </c>
      <c r="AB46" s="9">
        <v>47269441.348469995</v>
      </c>
      <c r="AC46" s="9">
        <v>46062872.771369994</v>
      </c>
      <c r="AD46" s="9">
        <v>48425304.28715001</v>
      </c>
      <c r="AE46" s="9">
        <v>46917767.570500001</v>
      </c>
      <c r="AF46" s="9">
        <v>48952648.216010012</v>
      </c>
      <c r="AG46" s="9">
        <v>48205152.787220009</v>
      </c>
      <c r="AH46" s="9">
        <v>48423420.729110003</v>
      </c>
      <c r="AI46" s="9">
        <v>49537299.051999986</v>
      </c>
      <c r="AJ46" s="9">
        <v>48415050.856019989</v>
      </c>
      <c r="AK46" s="9">
        <v>51711979.073969997</v>
      </c>
      <c r="AL46" s="9">
        <v>50461228.294820011</v>
      </c>
      <c r="AM46" s="9">
        <v>46756580.028880008</v>
      </c>
      <c r="AN46" s="9">
        <v>52040593.289280005</v>
      </c>
      <c r="AO46" s="9">
        <v>49981859.522479996</v>
      </c>
      <c r="AP46" s="9">
        <v>51817616.822810024</v>
      </c>
      <c r="AQ46" s="9">
        <v>50726195.100520007</v>
      </c>
    </row>
    <row r="47" spans="1:43" x14ac:dyDescent="0.25">
      <c r="A47" s="7" t="s">
        <v>0</v>
      </c>
      <c r="B47" s="9">
        <v>30984396.955759995</v>
      </c>
      <c r="C47" s="9">
        <v>28315344.619090002</v>
      </c>
      <c r="D47" s="9">
        <v>31361810.371359996</v>
      </c>
      <c r="E47" s="9">
        <v>30776179.348499995</v>
      </c>
      <c r="F47" s="9">
        <v>31909048.683649998</v>
      </c>
      <c r="G47" s="9">
        <v>31061115.081830002</v>
      </c>
      <c r="H47" s="9">
        <v>32423393.895749994</v>
      </c>
      <c r="I47" s="9">
        <v>32229387.349049993</v>
      </c>
      <c r="J47" s="9">
        <v>31319108.849820007</v>
      </c>
      <c r="K47" s="9">
        <v>32517008.029329993</v>
      </c>
      <c r="L47" s="9">
        <v>31771568.00237</v>
      </c>
      <c r="M47" s="9">
        <v>33201946.126859996</v>
      </c>
      <c r="N47" s="9">
        <v>32680771.895369999</v>
      </c>
      <c r="O47" s="9">
        <v>30905306.769509993</v>
      </c>
      <c r="P47" s="9">
        <v>33282916.374339998</v>
      </c>
      <c r="Q47" s="9">
        <v>31878448.213300001</v>
      </c>
      <c r="R47" s="9">
        <v>33676492.781240001</v>
      </c>
      <c r="S47" s="9">
        <v>32825486.824280001</v>
      </c>
      <c r="T47" s="9">
        <v>34190019.014519989</v>
      </c>
      <c r="U47" s="9">
        <v>34445605.201590002</v>
      </c>
      <c r="V47" s="9">
        <v>33148670.33636</v>
      </c>
      <c r="W47" s="9">
        <v>34415404.145439997</v>
      </c>
      <c r="X47" s="9">
        <v>33835507.016639993</v>
      </c>
      <c r="Y47" s="9">
        <v>34912858.090500005</v>
      </c>
      <c r="Z47" s="9">
        <v>34724361.825029999</v>
      </c>
      <c r="AA47" s="9">
        <v>31734722.766209994</v>
      </c>
      <c r="AB47" s="9">
        <v>35013874.882039994</v>
      </c>
      <c r="AC47" s="9">
        <v>34339654.127959996</v>
      </c>
      <c r="AD47" s="9">
        <v>36154248.142260008</v>
      </c>
      <c r="AE47" s="9">
        <v>34748910.494000003</v>
      </c>
      <c r="AF47" s="9">
        <v>36708272.330200009</v>
      </c>
      <c r="AG47" s="9">
        <v>36833359.618450008</v>
      </c>
      <c r="AH47" s="9">
        <v>35717671.481389999</v>
      </c>
      <c r="AI47" s="9">
        <v>37591832.841109991</v>
      </c>
      <c r="AJ47" s="9">
        <v>37201843.809459984</v>
      </c>
      <c r="AK47" s="9">
        <v>38781520.985429995</v>
      </c>
      <c r="AL47" s="9">
        <v>39087070.743730009</v>
      </c>
      <c r="AM47" s="9">
        <v>36056561.920620009</v>
      </c>
      <c r="AN47" s="9">
        <v>39974466.543740004</v>
      </c>
      <c r="AO47" s="9">
        <v>38936695.027400002</v>
      </c>
      <c r="AP47" s="9">
        <v>40947753.545980021</v>
      </c>
      <c r="AQ47" s="9">
        <v>39313553.521070011</v>
      </c>
    </row>
    <row r="48" spans="1:43" x14ac:dyDescent="0.25">
      <c r="A48" s="7" t="s">
        <v>45</v>
      </c>
      <c r="B48" s="9">
        <v>1567239.4419800001</v>
      </c>
      <c r="C48" s="9">
        <v>1286510.3176799996</v>
      </c>
      <c r="D48" s="9">
        <v>1940482.7991200001</v>
      </c>
      <c r="E48" s="9">
        <v>1475968.39078</v>
      </c>
      <c r="F48" s="9">
        <v>1901394.4090800001</v>
      </c>
      <c r="G48" s="9">
        <v>1929041.4972699999</v>
      </c>
      <c r="H48" s="9">
        <v>1968036.5848099999</v>
      </c>
      <c r="I48" s="9">
        <v>1847449.0972</v>
      </c>
      <c r="J48" s="9">
        <v>1751807.3691300002</v>
      </c>
      <c r="K48" s="9">
        <v>2273038.5412599999</v>
      </c>
      <c r="L48" s="9">
        <v>2070728.1846700003</v>
      </c>
      <c r="M48" s="9">
        <v>2039163.7279400001</v>
      </c>
      <c r="N48" s="9">
        <v>2303732.1575600002</v>
      </c>
      <c r="O48" s="9">
        <v>1897101.1236099997</v>
      </c>
      <c r="P48" s="9">
        <v>2321896.2949100002</v>
      </c>
      <c r="Q48" s="9">
        <v>2342720.4901600005</v>
      </c>
      <c r="R48" s="9">
        <v>2480937.5021799998</v>
      </c>
      <c r="S48" s="9">
        <v>2317808.5546999997</v>
      </c>
      <c r="T48" s="9">
        <v>2886513.6104100002</v>
      </c>
      <c r="U48" s="9">
        <v>2632428.0809100005</v>
      </c>
      <c r="V48" s="9">
        <v>2265710.6419500001</v>
      </c>
      <c r="W48" s="9">
        <v>2092035.1683799999</v>
      </c>
      <c r="X48" s="9">
        <v>2201219.8281100001</v>
      </c>
      <c r="Y48" s="9">
        <v>2731475.97303</v>
      </c>
      <c r="Z48" s="9">
        <v>2493365.8757799999</v>
      </c>
      <c r="AA48" s="9">
        <v>2064329.1526899999</v>
      </c>
      <c r="AB48" s="9">
        <v>2730154.71367</v>
      </c>
      <c r="AC48" s="9">
        <v>2477870.8698899997</v>
      </c>
      <c r="AD48" s="9">
        <v>2977267.1400899999</v>
      </c>
      <c r="AE48" s="9">
        <v>2515150.4608199997</v>
      </c>
      <c r="AF48" s="9">
        <v>2537244.1188500002</v>
      </c>
      <c r="AG48" s="9">
        <v>2268609.66157</v>
      </c>
      <c r="AH48" s="9">
        <v>2782672.9385600006</v>
      </c>
      <c r="AI48" s="9">
        <v>2415010.4047300005</v>
      </c>
      <c r="AJ48" s="9">
        <v>2667151.3383399998</v>
      </c>
      <c r="AK48" s="9">
        <v>2939607.50226</v>
      </c>
      <c r="AL48" s="9">
        <v>2360871.8316899999</v>
      </c>
      <c r="AM48" s="9">
        <v>2373458.5878700009</v>
      </c>
      <c r="AN48" s="9">
        <v>2649176.1835399996</v>
      </c>
      <c r="AO48" s="9">
        <v>2297482.3559900001</v>
      </c>
      <c r="AP48" s="9">
        <v>2490171.5165600004</v>
      </c>
      <c r="AQ48" s="9">
        <v>2241108.9710500003</v>
      </c>
    </row>
    <row r="49" spans="1:43" x14ac:dyDescent="0.25">
      <c r="A49" s="7" t="s">
        <v>74</v>
      </c>
      <c r="B49" s="9">
        <v>7433527.6436999999</v>
      </c>
      <c r="C49" s="9">
        <v>6657416.474729998</v>
      </c>
      <c r="D49" s="9">
        <v>7458342.0778000001</v>
      </c>
      <c r="E49" s="9">
        <v>6919839.42368</v>
      </c>
      <c r="F49" s="9">
        <v>8380789.3474399997</v>
      </c>
      <c r="G49" s="9">
        <v>7840736.2129999995</v>
      </c>
      <c r="H49" s="9">
        <v>8233633.4126099991</v>
      </c>
      <c r="I49" s="9">
        <v>8344667.9128800007</v>
      </c>
      <c r="J49" s="9">
        <v>7881668.6007700013</v>
      </c>
      <c r="K49" s="9">
        <v>8778276.1133000012</v>
      </c>
      <c r="L49" s="9">
        <v>8336118.0517799994</v>
      </c>
      <c r="M49" s="9">
        <v>8124332.2916799998</v>
      </c>
      <c r="N49" s="9">
        <v>9265257.4215200022</v>
      </c>
      <c r="O49" s="9">
        <v>8228989.3946000002</v>
      </c>
      <c r="P49" s="9">
        <v>7724677.354460001</v>
      </c>
      <c r="Q49" s="9">
        <v>9783100.1600800008</v>
      </c>
      <c r="R49" s="9">
        <v>9036842.6250000019</v>
      </c>
      <c r="S49" s="9">
        <v>8181122.0061099986</v>
      </c>
      <c r="T49" s="9">
        <v>9722976.0817600004</v>
      </c>
      <c r="U49" s="9">
        <v>8615805.7335000001</v>
      </c>
      <c r="V49" s="9">
        <v>9531053.1586799994</v>
      </c>
      <c r="W49" s="9">
        <v>9309905.0792800002</v>
      </c>
      <c r="X49" s="9">
        <v>8773002.7939999979</v>
      </c>
      <c r="Y49" s="9">
        <v>9674521.8288000003</v>
      </c>
      <c r="Z49" s="9">
        <v>9498797.7857199982</v>
      </c>
      <c r="AA49" s="9">
        <v>8599492.0299999993</v>
      </c>
      <c r="AB49" s="9">
        <v>9525411.7527600005</v>
      </c>
      <c r="AC49" s="9">
        <v>9245347.7735200003</v>
      </c>
      <c r="AD49" s="9">
        <v>9293789.0048000012</v>
      </c>
      <c r="AE49" s="9">
        <v>9653706.6156800017</v>
      </c>
      <c r="AF49" s="9">
        <v>9707131.7669600006</v>
      </c>
      <c r="AG49" s="9">
        <v>9103183.5072000008</v>
      </c>
      <c r="AH49" s="9">
        <v>9923076.3091600016</v>
      </c>
      <c r="AI49" s="9">
        <v>9530455.8061599992</v>
      </c>
      <c r="AJ49" s="9">
        <v>8546055.7082200013</v>
      </c>
      <c r="AK49" s="9">
        <v>9990850.5862800032</v>
      </c>
      <c r="AL49" s="9">
        <v>9013285.7194000017</v>
      </c>
      <c r="AM49" s="9">
        <v>8326559.5203899993</v>
      </c>
      <c r="AN49" s="9">
        <v>9416950.5620000027</v>
      </c>
      <c r="AO49" s="9">
        <v>8747682.1390899979</v>
      </c>
      <c r="AP49" s="9">
        <v>8379691.7602700004</v>
      </c>
      <c r="AQ49" s="9">
        <v>9171532.6083999984</v>
      </c>
    </row>
    <row r="50" spans="1:43" x14ac:dyDescent="0.25">
      <c r="A50" s="6" t="s">
        <v>46</v>
      </c>
      <c r="B50" s="9">
        <v>143546.67318000001</v>
      </c>
      <c r="C50" s="9">
        <v>145254.57811999999</v>
      </c>
      <c r="D50" s="9">
        <v>154005.39363999999</v>
      </c>
      <c r="E50" s="9">
        <v>156302.89687999999</v>
      </c>
      <c r="F50" s="9">
        <v>160736.94937999998</v>
      </c>
      <c r="G50" s="9">
        <v>236477.85112000001</v>
      </c>
      <c r="H50" s="9">
        <v>167744.54979000002</v>
      </c>
      <c r="I50" s="9">
        <v>173035.70066</v>
      </c>
      <c r="J50" s="9">
        <v>322476.54181000002</v>
      </c>
      <c r="K50" s="9">
        <v>128929.18634</v>
      </c>
      <c r="L50" s="9">
        <v>134257.18487</v>
      </c>
      <c r="M50" s="9">
        <v>134049.87847999998</v>
      </c>
      <c r="N50" s="9">
        <v>138959.05216999998</v>
      </c>
      <c r="O50" s="9">
        <v>119855.34815999999</v>
      </c>
      <c r="P50" s="9">
        <v>141969.31384999998</v>
      </c>
      <c r="Q50" s="9">
        <v>130656.65670999998</v>
      </c>
      <c r="R50" s="9">
        <v>115874.54710000003</v>
      </c>
      <c r="S50" s="9">
        <v>123536.96851000001</v>
      </c>
      <c r="T50" s="9">
        <v>137296.94530999998</v>
      </c>
      <c r="U50" s="9">
        <v>129171.91978999999</v>
      </c>
      <c r="V50" s="9">
        <v>124502.08832</v>
      </c>
      <c r="W50" s="9">
        <v>129475.89346000002</v>
      </c>
      <c r="X50" s="9">
        <v>126112.85363</v>
      </c>
      <c r="Y50" s="9">
        <v>128783.64725000001</v>
      </c>
      <c r="Z50" s="9">
        <v>138391.93111</v>
      </c>
      <c r="AA50" s="9">
        <v>125422.19015999998</v>
      </c>
      <c r="AB50" s="9">
        <v>141244.90693</v>
      </c>
      <c r="AC50" s="9">
        <v>134240.97066000002</v>
      </c>
      <c r="AD50" s="9">
        <v>145751.98053999999</v>
      </c>
      <c r="AE50" s="9">
        <v>131067.61465000003</v>
      </c>
      <c r="AF50" s="9">
        <v>134972.93745000003</v>
      </c>
      <c r="AG50" s="9">
        <v>153883.04743999999</v>
      </c>
      <c r="AH50" s="9">
        <v>159586.69268000001</v>
      </c>
      <c r="AI50" s="9">
        <v>191491.71333999999</v>
      </c>
      <c r="AJ50" s="9">
        <v>203998.25294999999</v>
      </c>
      <c r="AK50" s="9">
        <v>229052.33244999999</v>
      </c>
      <c r="AL50" s="9">
        <v>264841.13633000001</v>
      </c>
      <c r="AM50" s="9">
        <v>237378.09347999998</v>
      </c>
      <c r="AN50" s="9">
        <v>280234.16983999999</v>
      </c>
      <c r="AO50" s="9">
        <v>309122.95217</v>
      </c>
      <c r="AP50" s="9">
        <v>337472.89578999998</v>
      </c>
      <c r="AQ50" s="9">
        <v>346919.26718000008</v>
      </c>
    </row>
    <row r="51" spans="1:43" x14ac:dyDescent="0.25">
      <c r="A51" s="7" t="s">
        <v>0</v>
      </c>
      <c r="B51" s="9">
        <v>102233.47658</v>
      </c>
      <c r="C51" s="9">
        <v>90032.251619999995</v>
      </c>
      <c r="D51" s="9">
        <v>118644.61086</v>
      </c>
      <c r="E51" s="9">
        <v>113360.18222999999</v>
      </c>
      <c r="F51" s="9">
        <v>114307.89961999998</v>
      </c>
      <c r="G51" s="9">
        <v>106237.00502999999</v>
      </c>
      <c r="H51" s="9">
        <v>115030.74105000003</v>
      </c>
      <c r="I51" s="9">
        <v>116557.50528</v>
      </c>
      <c r="J51" s="9">
        <v>104030.21674999999</v>
      </c>
      <c r="K51" s="9">
        <v>87485.357229999994</v>
      </c>
      <c r="L51" s="9">
        <v>88471.882209999996</v>
      </c>
      <c r="M51" s="9">
        <v>96372.597769999993</v>
      </c>
      <c r="N51" s="9">
        <v>97215.665969999987</v>
      </c>
      <c r="O51" s="9">
        <v>84893.262060000008</v>
      </c>
      <c r="P51" s="9">
        <v>91131.731879999963</v>
      </c>
      <c r="Q51" s="9">
        <v>78854.331909999979</v>
      </c>
      <c r="R51" s="9">
        <v>81675.719530000017</v>
      </c>
      <c r="S51" s="9">
        <v>88199.916760000007</v>
      </c>
      <c r="T51" s="9">
        <v>96749.873859999992</v>
      </c>
      <c r="U51" s="9">
        <v>94925.337269999989</v>
      </c>
      <c r="V51" s="9">
        <v>87832.831099999996</v>
      </c>
      <c r="W51" s="9">
        <v>83665.735170000014</v>
      </c>
      <c r="X51" s="9">
        <v>86465.659849999996</v>
      </c>
      <c r="Y51" s="9">
        <v>94866.13596</v>
      </c>
      <c r="Z51" s="9">
        <v>101451.96027000001</v>
      </c>
      <c r="AA51" s="9">
        <v>90789.201449999979</v>
      </c>
      <c r="AB51" s="9">
        <v>105919.33426</v>
      </c>
      <c r="AC51" s="9">
        <v>98134.477280000021</v>
      </c>
      <c r="AD51" s="9">
        <v>106935.39902</v>
      </c>
      <c r="AE51" s="9">
        <v>95794.931230000031</v>
      </c>
      <c r="AF51" s="9">
        <v>98145.559610000011</v>
      </c>
      <c r="AG51" s="9">
        <v>111690.35677999999</v>
      </c>
      <c r="AH51" s="9">
        <v>116626.23596999999</v>
      </c>
      <c r="AI51" s="9">
        <v>144330.94835999998</v>
      </c>
      <c r="AJ51" s="9">
        <v>166547.78692999997</v>
      </c>
      <c r="AK51" s="9">
        <v>185168.88473999998</v>
      </c>
      <c r="AL51" s="9">
        <v>221920.45814999999</v>
      </c>
      <c r="AM51" s="9">
        <v>202261.19631999999</v>
      </c>
      <c r="AN51" s="9">
        <v>233333.02718</v>
      </c>
      <c r="AO51" s="9">
        <v>269216.33970000001</v>
      </c>
      <c r="AP51" s="9">
        <v>299775.37145999999</v>
      </c>
      <c r="AQ51" s="9">
        <v>302468.1724000001</v>
      </c>
    </row>
    <row r="52" spans="1:43" x14ac:dyDescent="0.25">
      <c r="A52" s="7" t="s">
        <v>45</v>
      </c>
      <c r="B52" s="9">
        <v>7015.9583300000013</v>
      </c>
      <c r="C52" s="9">
        <v>26634.673189999998</v>
      </c>
      <c r="D52" s="9">
        <v>3240.2621799999997</v>
      </c>
      <c r="E52" s="9">
        <v>11407.76937</v>
      </c>
      <c r="F52" s="9">
        <v>6103.82384</v>
      </c>
      <c r="G52" s="9">
        <v>90357.988089999999</v>
      </c>
      <c r="H52" s="9">
        <v>9198.1800000000021</v>
      </c>
      <c r="I52" s="9">
        <v>13917.027939999998</v>
      </c>
      <c r="J52" s="9">
        <v>185214.83920000002</v>
      </c>
      <c r="K52" s="9">
        <v>5015.6806100000003</v>
      </c>
      <c r="L52" s="9">
        <v>13860.565699999997</v>
      </c>
      <c r="M52" s="9">
        <v>5519.7896999999994</v>
      </c>
      <c r="N52" s="9">
        <v>5450.5027600000012</v>
      </c>
      <c r="O52" s="9">
        <v>3458.6442200000001</v>
      </c>
      <c r="P52" s="9">
        <v>23146.072920000002</v>
      </c>
      <c r="Q52" s="9">
        <v>17527.189200000008</v>
      </c>
      <c r="R52" s="9">
        <v>3372.1821699999996</v>
      </c>
      <c r="S52" s="9">
        <v>7771.1017000000011</v>
      </c>
      <c r="T52" s="9">
        <v>8222.3676500000001</v>
      </c>
      <c r="U52" s="9">
        <v>4474.9149600000001</v>
      </c>
      <c r="V52" s="9">
        <v>3983.52286</v>
      </c>
      <c r="W52" s="9">
        <v>14295.279970000001</v>
      </c>
      <c r="X52" s="9">
        <v>10313.276099999999</v>
      </c>
      <c r="Y52" s="9">
        <v>1870.69229</v>
      </c>
      <c r="Z52" s="9">
        <v>604.5671900000001</v>
      </c>
      <c r="AA52" s="9">
        <v>4722.5517100000006</v>
      </c>
      <c r="AB52" s="9">
        <v>2312.66059</v>
      </c>
      <c r="AC52" s="9">
        <v>2750.4355399999999</v>
      </c>
      <c r="AD52" s="9">
        <v>3739.67112</v>
      </c>
      <c r="AE52" s="9">
        <v>1220.1650999999999</v>
      </c>
      <c r="AF52" s="9">
        <v>1607.3091199999999</v>
      </c>
      <c r="AG52" s="9">
        <v>4350.6195100000004</v>
      </c>
      <c r="AH52" s="9">
        <v>3615.2081400000002</v>
      </c>
      <c r="AI52" s="9">
        <v>9306.0762600000016</v>
      </c>
      <c r="AJ52" s="9">
        <v>3645.3804199999995</v>
      </c>
      <c r="AK52" s="9">
        <v>4207.1740099999997</v>
      </c>
      <c r="AL52" s="9">
        <v>7019.8053099999997</v>
      </c>
      <c r="AM52" s="9">
        <v>1759.5404800000001</v>
      </c>
      <c r="AN52" s="9">
        <v>9040.0141600000006</v>
      </c>
      <c r="AO52" s="9">
        <v>4661.3070200000002</v>
      </c>
      <c r="AP52" s="9">
        <v>3776.1242499999998</v>
      </c>
      <c r="AQ52" s="9">
        <v>7202.4297800000004</v>
      </c>
    </row>
    <row r="53" spans="1:43" x14ac:dyDescent="0.25">
      <c r="A53" s="7" t="s">
        <v>74</v>
      </c>
      <c r="B53" s="9">
        <v>34297.238270000002</v>
      </c>
      <c r="C53" s="9">
        <v>28587.653309999998</v>
      </c>
      <c r="D53" s="9">
        <v>32120.520599999996</v>
      </c>
      <c r="E53" s="9">
        <v>31534.945279999993</v>
      </c>
      <c r="F53" s="9">
        <v>40325.225920000004</v>
      </c>
      <c r="G53" s="9">
        <v>39882.858</v>
      </c>
      <c r="H53" s="9">
        <v>43515.628739999993</v>
      </c>
      <c r="I53" s="9">
        <v>42561.167440000005</v>
      </c>
      <c r="J53" s="9">
        <v>33231.485860000008</v>
      </c>
      <c r="K53" s="9">
        <v>36428.148500000003</v>
      </c>
      <c r="L53" s="9">
        <v>31924.736960000002</v>
      </c>
      <c r="M53" s="9">
        <v>32157.491009999998</v>
      </c>
      <c r="N53" s="9">
        <v>36292.883439999998</v>
      </c>
      <c r="O53" s="9">
        <v>31503.441879999995</v>
      </c>
      <c r="P53" s="9">
        <v>27691.509050000008</v>
      </c>
      <c r="Q53" s="9">
        <v>34275.135600000001</v>
      </c>
      <c r="R53" s="9">
        <v>30826.645400000001</v>
      </c>
      <c r="S53" s="9">
        <v>27565.950050000003</v>
      </c>
      <c r="T53" s="9">
        <v>32324.703800000003</v>
      </c>
      <c r="U53" s="9">
        <v>29771.667560000005</v>
      </c>
      <c r="V53" s="9">
        <v>32685.734359999999</v>
      </c>
      <c r="W53" s="9">
        <v>31514.878320000003</v>
      </c>
      <c r="X53" s="9">
        <v>29333.917680000002</v>
      </c>
      <c r="Y53" s="9">
        <v>32046.819</v>
      </c>
      <c r="Z53" s="9">
        <v>36335.40365</v>
      </c>
      <c r="AA53" s="9">
        <v>29910.437000000002</v>
      </c>
      <c r="AB53" s="9">
        <v>33012.912079999995</v>
      </c>
      <c r="AC53" s="9">
        <v>33356.057840000001</v>
      </c>
      <c r="AD53" s="9">
        <v>35076.910400000001</v>
      </c>
      <c r="AE53" s="9">
        <v>34052.518320000003</v>
      </c>
      <c r="AF53" s="9">
        <v>35220.068720000003</v>
      </c>
      <c r="AG53" s="9">
        <v>37842.071150000003</v>
      </c>
      <c r="AH53" s="9">
        <v>39345.248570000003</v>
      </c>
      <c r="AI53" s="9">
        <v>37854.688720000013</v>
      </c>
      <c r="AJ53" s="9">
        <v>33805.085600000006</v>
      </c>
      <c r="AK53" s="9">
        <v>39676.273699999998</v>
      </c>
      <c r="AL53" s="9">
        <v>35900.872869999999</v>
      </c>
      <c r="AM53" s="9">
        <v>33357.356679999997</v>
      </c>
      <c r="AN53" s="9">
        <v>37861.128499999999</v>
      </c>
      <c r="AO53" s="9">
        <v>35245.305449999993</v>
      </c>
      <c r="AP53" s="9">
        <v>33921.400080000007</v>
      </c>
      <c r="AQ53" s="9">
        <v>37248.664999999994</v>
      </c>
    </row>
    <row r="54" spans="1:43" x14ac:dyDescent="0.25">
      <c r="A54" s="5" t="s">
        <v>50</v>
      </c>
      <c r="B54" s="9">
        <v>38635458.757780001</v>
      </c>
      <c r="C54" s="9">
        <v>39065995.511210002</v>
      </c>
      <c r="D54" s="9">
        <v>39514561.32819999</v>
      </c>
      <c r="E54" s="9">
        <v>40061768.929019995</v>
      </c>
      <c r="F54" s="9">
        <v>40453183.528979979</v>
      </c>
      <c r="G54" s="9">
        <v>40908203.801000006</v>
      </c>
      <c r="H54" s="9">
        <v>41299897.580169998</v>
      </c>
      <c r="I54" s="9">
        <v>41558769.998479992</v>
      </c>
      <c r="J54" s="9">
        <v>41990972.690429993</v>
      </c>
      <c r="K54" s="9">
        <v>42531523.506850004</v>
      </c>
      <c r="L54" s="9">
        <v>42917319.198360004</v>
      </c>
      <c r="M54" s="9">
        <v>43269217.860209987</v>
      </c>
      <c r="N54" s="9">
        <v>43634070.074660003</v>
      </c>
      <c r="O54" s="9">
        <v>43894649.487539999</v>
      </c>
      <c r="P54" s="9">
        <v>44435594.421009988</v>
      </c>
      <c r="Q54" s="9">
        <v>44679559.686460003</v>
      </c>
      <c r="R54" s="9">
        <v>45211579.817300014</v>
      </c>
      <c r="S54" s="9">
        <v>45496837.917749986</v>
      </c>
      <c r="T54" s="9">
        <v>46115759.909459993</v>
      </c>
      <c r="U54" s="9">
        <v>46718406.109630004</v>
      </c>
      <c r="V54" s="9">
        <v>47035957.627300002</v>
      </c>
      <c r="W54" s="9">
        <v>47352131.002539992</v>
      </c>
      <c r="X54" s="9">
        <v>47863244.734380007</v>
      </c>
      <c r="Y54" s="9">
        <v>48167164.942899995</v>
      </c>
      <c r="Z54" s="9">
        <v>48588444.37128</v>
      </c>
      <c r="AA54" s="9">
        <v>48841727.765000001</v>
      </c>
      <c r="AB54" s="9">
        <v>49237675.796950012</v>
      </c>
      <c r="AC54" s="9">
        <v>49530156.22529</v>
      </c>
      <c r="AD54" s="9">
        <v>49997571.455400012</v>
      </c>
      <c r="AE54" s="9">
        <v>50384215.788700014</v>
      </c>
      <c r="AF54" s="9">
        <v>50906147.506159998</v>
      </c>
      <c r="AG54" s="9">
        <v>51349627.233100004</v>
      </c>
      <c r="AH54" s="9">
        <v>51825407.084109992</v>
      </c>
      <c r="AI54" s="9">
        <v>52241822.064500012</v>
      </c>
      <c r="AJ54" s="9">
        <v>52787187.275910005</v>
      </c>
      <c r="AK54" s="9">
        <v>53136697.28294</v>
      </c>
      <c r="AL54" s="9">
        <v>53444440.245369993</v>
      </c>
      <c r="AM54" s="9">
        <v>53683197.648419999</v>
      </c>
      <c r="AN54" s="9">
        <v>54051360.561999999</v>
      </c>
      <c r="AO54" s="9">
        <v>54108369.776430003</v>
      </c>
      <c r="AP54" s="9">
        <v>54573729.031209983</v>
      </c>
      <c r="AQ54" s="9">
        <v>54860860.067650005</v>
      </c>
    </row>
    <row r="55" spans="1:43" x14ac:dyDescent="0.25">
      <c r="A55" s="6" t="s">
        <v>49</v>
      </c>
      <c r="B55" s="9">
        <v>16467007.533349996</v>
      </c>
      <c r="C55" s="9">
        <v>16684749.09354</v>
      </c>
      <c r="D55" s="9">
        <v>16914989.873799998</v>
      </c>
      <c r="E55" s="9">
        <v>17169178.869940005</v>
      </c>
      <c r="F55" s="9">
        <v>17298275.556479994</v>
      </c>
      <c r="G55" s="9">
        <v>17551489.201000001</v>
      </c>
      <c r="H55" s="9">
        <v>17751192.862640001</v>
      </c>
      <c r="I55" s="9">
        <v>17913581.504359998</v>
      </c>
      <c r="J55" s="9">
        <v>18181694.969289996</v>
      </c>
      <c r="K55" s="9">
        <v>18500369.567799997</v>
      </c>
      <c r="L55" s="9">
        <v>18730793.523120001</v>
      </c>
      <c r="M55" s="9">
        <v>18954916.407559995</v>
      </c>
      <c r="N55" s="9">
        <v>19181124.643759992</v>
      </c>
      <c r="O55" s="9">
        <v>19318872.255180001</v>
      </c>
      <c r="P55" s="9">
        <v>19660836.079909984</v>
      </c>
      <c r="Q55" s="9">
        <v>19769165.76050001</v>
      </c>
      <c r="R55" s="9">
        <v>20042640.713800006</v>
      </c>
      <c r="S55" s="9">
        <v>20225123.864999995</v>
      </c>
      <c r="T55" s="9">
        <v>20601680.48206</v>
      </c>
      <c r="U55" s="9">
        <v>20856058.031470001</v>
      </c>
      <c r="V55" s="9">
        <v>21201493.191199996</v>
      </c>
      <c r="W55" s="9">
        <v>21433612.019579992</v>
      </c>
      <c r="X55" s="9">
        <v>21676503.977700002</v>
      </c>
      <c r="Y55" s="9">
        <v>21856101.231549997</v>
      </c>
      <c r="Z55" s="9">
        <v>22047020.17216</v>
      </c>
      <c r="AA55" s="9">
        <v>22147568.342000004</v>
      </c>
      <c r="AB55" s="9">
        <v>22265426.427410007</v>
      </c>
      <c r="AC55" s="9">
        <v>22306140.176260002</v>
      </c>
      <c r="AD55" s="9">
        <v>22440674.277400006</v>
      </c>
      <c r="AE55" s="9">
        <v>22666614.99138001</v>
      </c>
      <c r="AF55" s="9">
        <v>22819533.336000003</v>
      </c>
      <c r="AG55" s="9">
        <v>23001431.181450002</v>
      </c>
      <c r="AH55" s="9">
        <v>23119048.310030002</v>
      </c>
      <c r="AI55" s="9">
        <v>23237450.143880002</v>
      </c>
      <c r="AJ55" s="9">
        <v>23354729.71283</v>
      </c>
      <c r="AK55" s="9">
        <v>23439367.39886</v>
      </c>
      <c r="AL55" s="9">
        <v>23413794.987339988</v>
      </c>
      <c r="AM55" s="9">
        <v>23345321.25936</v>
      </c>
      <c r="AN55" s="9">
        <v>23366847.617000002</v>
      </c>
      <c r="AO55" s="9">
        <v>23233660.876010001</v>
      </c>
      <c r="AP55" s="9">
        <v>23278600.658130005</v>
      </c>
      <c r="AQ55" s="9">
        <v>23288537.79115</v>
      </c>
    </row>
    <row r="56" spans="1:43" x14ac:dyDescent="0.25">
      <c r="A56" s="7" t="s">
        <v>0</v>
      </c>
      <c r="B56" s="9">
        <v>16326814.399809998</v>
      </c>
      <c r="C56" s="9">
        <v>16551859.2393</v>
      </c>
      <c r="D56" s="9">
        <v>16775241.514999999</v>
      </c>
      <c r="E56" s="9">
        <v>17026648.686820004</v>
      </c>
      <c r="F56" s="9">
        <v>17162948.999439996</v>
      </c>
      <c r="G56" s="9">
        <v>17415070.550500002</v>
      </c>
      <c r="H56" s="9">
        <v>17617095.941939998</v>
      </c>
      <c r="I56" s="9">
        <v>17773594.0086</v>
      </c>
      <c r="J56" s="9">
        <v>18028188.352449995</v>
      </c>
      <c r="K56" s="9">
        <v>18336185.280549996</v>
      </c>
      <c r="L56" s="9">
        <v>18562778.446940001</v>
      </c>
      <c r="M56" s="9">
        <v>18787453.387799993</v>
      </c>
      <c r="N56" s="9">
        <v>19010051.031759992</v>
      </c>
      <c r="O56" s="9">
        <v>19143879.997220002</v>
      </c>
      <c r="P56" s="9">
        <v>19489219.723869987</v>
      </c>
      <c r="Q56" s="9">
        <v>19590983.00954001</v>
      </c>
      <c r="R56" s="9">
        <v>19856044.216700006</v>
      </c>
      <c r="S56" s="9">
        <v>20040129.174749997</v>
      </c>
      <c r="T56" s="9">
        <v>20408247.845079999</v>
      </c>
      <c r="U56" s="9">
        <v>20663560.129410002</v>
      </c>
      <c r="V56" s="9">
        <v>21010322.406199995</v>
      </c>
      <c r="W56" s="9">
        <v>21242405.919339992</v>
      </c>
      <c r="X56" s="9">
        <v>21476434.205000002</v>
      </c>
      <c r="Y56" s="9">
        <v>21647185.896649994</v>
      </c>
      <c r="Z56" s="9">
        <v>21836277.370309997</v>
      </c>
      <c r="AA56" s="9">
        <v>21935898.997000001</v>
      </c>
      <c r="AB56" s="9">
        <v>22051179.964590006</v>
      </c>
      <c r="AC56" s="9">
        <v>22090270.417890001</v>
      </c>
      <c r="AD56" s="9">
        <v>22193638.627200004</v>
      </c>
      <c r="AE56" s="9">
        <v>22416002.676100008</v>
      </c>
      <c r="AF56" s="9">
        <v>22580342.055560004</v>
      </c>
      <c r="AG56" s="9">
        <v>22736213.804750003</v>
      </c>
      <c r="AH56" s="9">
        <v>22877102.171360001</v>
      </c>
      <c r="AI56" s="9">
        <v>22987866.002120003</v>
      </c>
      <c r="AJ56" s="9">
        <v>23095610.40749</v>
      </c>
      <c r="AK56" s="9">
        <v>23160843.99244</v>
      </c>
      <c r="AL56" s="9">
        <v>23121359.610679988</v>
      </c>
      <c r="AM56" s="9">
        <v>23053775.24831</v>
      </c>
      <c r="AN56" s="9">
        <v>23084310.539000001</v>
      </c>
      <c r="AO56" s="9">
        <v>22945282.307710003</v>
      </c>
      <c r="AP56" s="9">
        <v>22973516.768250007</v>
      </c>
      <c r="AQ56" s="9">
        <v>22983122.976</v>
      </c>
    </row>
    <row r="57" spans="1:43" x14ac:dyDescent="0.25">
      <c r="A57" s="7" t="s">
        <v>1</v>
      </c>
      <c r="B57" s="9">
        <v>34511.428069999994</v>
      </c>
      <c r="C57" s="9">
        <v>32817.17022</v>
      </c>
      <c r="D57" s="9">
        <v>32884.825199999999</v>
      </c>
      <c r="E57" s="9">
        <v>40965.633879999994</v>
      </c>
      <c r="F57" s="9">
        <v>31231.222560000002</v>
      </c>
      <c r="G57" s="9">
        <v>30931.499499999998</v>
      </c>
      <c r="H57" s="9">
        <v>30578.919550000002</v>
      </c>
      <c r="I57" s="9">
        <v>30974.274319999997</v>
      </c>
      <c r="J57" s="9">
        <v>31065.617320000001</v>
      </c>
      <c r="K57" s="9">
        <v>37212.840400000001</v>
      </c>
      <c r="L57" s="9">
        <v>39842.574000000008</v>
      </c>
      <c r="M57" s="9">
        <v>38469.742470000005</v>
      </c>
      <c r="N57" s="9">
        <v>37162.45048</v>
      </c>
      <c r="O57" s="9">
        <v>37754.80704</v>
      </c>
      <c r="P57" s="9">
        <v>39210.332200000004</v>
      </c>
      <c r="Q57" s="9">
        <v>40169.091200000003</v>
      </c>
      <c r="R57" s="9">
        <v>37323.073900000003</v>
      </c>
      <c r="S57" s="9">
        <v>36559.004130000001</v>
      </c>
      <c r="T57" s="9">
        <v>34749.923640000001</v>
      </c>
      <c r="U57" s="9">
        <v>33718.975729999998</v>
      </c>
      <c r="V57" s="9">
        <v>33284.183279999997</v>
      </c>
      <c r="W57" s="9">
        <v>33135.509839999999</v>
      </c>
      <c r="X57" s="9">
        <v>34995.499660000001</v>
      </c>
      <c r="Y57" s="9">
        <v>37251.49525</v>
      </c>
      <c r="Z57" s="9">
        <v>41806.711470000002</v>
      </c>
      <c r="AA57" s="9">
        <v>39128.155000000006</v>
      </c>
      <c r="AB57" s="9">
        <v>39395.253530000002</v>
      </c>
      <c r="AC57" s="9">
        <v>39555.693230000004</v>
      </c>
      <c r="AD57" s="9">
        <v>39068.9882</v>
      </c>
      <c r="AE57" s="9">
        <v>36788.649959999995</v>
      </c>
      <c r="AF57" s="9">
        <v>40306.23732</v>
      </c>
      <c r="AG57" s="9">
        <v>41069.229500000001</v>
      </c>
      <c r="AH57" s="9">
        <v>40614.840450000003</v>
      </c>
      <c r="AI57" s="9">
        <v>39666.489679999999</v>
      </c>
      <c r="AJ57" s="9">
        <v>39763.585739999995</v>
      </c>
      <c r="AK57" s="9">
        <v>38302.803500000002</v>
      </c>
      <c r="AL57" s="9">
        <v>40862.585739999995</v>
      </c>
      <c r="AM57" s="9">
        <v>36142.448120000001</v>
      </c>
      <c r="AN57" s="9">
        <v>40444.748999999996</v>
      </c>
      <c r="AO57" s="9">
        <v>41909.299449999999</v>
      </c>
      <c r="AP57" s="9">
        <v>41178.101710000003</v>
      </c>
      <c r="AQ57" s="9">
        <v>36504.611100000002</v>
      </c>
    </row>
    <row r="58" spans="1:43" x14ac:dyDescent="0.25">
      <c r="A58" s="7" t="s">
        <v>45</v>
      </c>
      <c r="B58" s="9">
        <v>105681.70547000002</v>
      </c>
      <c r="C58" s="9">
        <v>100072.68402</v>
      </c>
      <c r="D58" s="9">
        <v>106863.5336</v>
      </c>
      <c r="E58" s="9">
        <v>101564.54923999999</v>
      </c>
      <c r="F58" s="9">
        <v>104095.33447999999</v>
      </c>
      <c r="G58" s="9">
        <v>105487.151</v>
      </c>
      <c r="H58" s="9">
        <v>103518.00115</v>
      </c>
      <c r="I58" s="9">
        <v>109013.22143999999</v>
      </c>
      <c r="J58" s="9">
        <v>122440.99951999998</v>
      </c>
      <c r="K58" s="9">
        <v>126971.44685000001</v>
      </c>
      <c r="L58" s="9">
        <v>128172.50218000001</v>
      </c>
      <c r="M58" s="9">
        <v>128993.27729</v>
      </c>
      <c r="N58" s="9">
        <v>133911.16152000002</v>
      </c>
      <c r="O58" s="9">
        <v>137237.45092</v>
      </c>
      <c r="P58" s="9">
        <v>132406.02384000001</v>
      </c>
      <c r="Q58" s="9">
        <v>138013.65976000001</v>
      </c>
      <c r="R58" s="9">
        <v>149273.42319999999</v>
      </c>
      <c r="S58" s="9">
        <v>148435.68612000003</v>
      </c>
      <c r="T58" s="9">
        <v>158682.71334000002</v>
      </c>
      <c r="U58" s="9">
        <v>158778.92633000002</v>
      </c>
      <c r="V58" s="9">
        <v>157886.60172000001</v>
      </c>
      <c r="W58" s="9">
        <v>158070.59039999999</v>
      </c>
      <c r="X58" s="9">
        <v>165074.27304</v>
      </c>
      <c r="Y58" s="9">
        <v>171663.83965000001</v>
      </c>
      <c r="Z58" s="9">
        <v>168936.09038000001</v>
      </c>
      <c r="AA58" s="9">
        <v>172541.19</v>
      </c>
      <c r="AB58" s="9">
        <v>174851.20928999997</v>
      </c>
      <c r="AC58" s="9">
        <v>176314.06514000002</v>
      </c>
      <c r="AD58" s="9">
        <v>207966.66200000001</v>
      </c>
      <c r="AE58" s="9">
        <v>213823.66531999997</v>
      </c>
      <c r="AF58" s="9">
        <v>198885.04312000002</v>
      </c>
      <c r="AG58" s="9">
        <v>224148.14719999998</v>
      </c>
      <c r="AH58" s="9">
        <v>201331.29822</v>
      </c>
      <c r="AI58" s="9">
        <v>209917.65207999997</v>
      </c>
      <c r="AJ58" s="9">
        <v>219355.71959999998</v>
      </c>
      <c r="AK58" s="9">
        <v>240220.60291999998</v>
      </c>
      <c r="AL58" s="9">
        <v>251572.79092000003</v>
      </c>
      <c r="AM58" s="9">
        <v>255403.56293000001</v>
      </c>
      <c r="AN58" s="9">
        <v>242092.32899999994</v>
      </c>
      <c r="AO58" s="9">
        <v>246469.26884999999</v>
      </c>
      <c r="AP58" s="9">
        <v>263905.78817000001</v>
      </c>
      <c r="AQ58" s="9">
        <v>268910.20405</v>
      </c>
    </row>
    <row r="59" spans="1:43" x14ac:dyDescent="0.25">
      <c r="A59" s="6" t="s">
        <v>47</v>
      </c>
      <c r="B59" s="9">
        <v>22084532.4639</v>
      </c>
      <c r="C59" s="9">
        <v>22298372.398470007</v>
      </c>
      <c r="D59" s="9">
        <v>22501726.809799995</v>
      </c>
      <c r="E59" s="9">
        <v>22794561.264119994</v>
      </c>
      <c r="F59" s="9">
        <v>23058492.38849999</v>
      </c>
      <c r="G59" s="9">
        <v>23269607.283000004</v>
      </c>
      <c r="H59" s="9">
        <v>23459285.983030003</v>
      </c>
      <c r="I59" s="9">
        <v>23557062.624119997</v>
      </c>
      <c r="J59" s="9">
        <v>23728361.247249998</v>
      </c>
      <c r="K59" s="9">
        <v>23958254.800650004</v>
      </c>
      <c r="L59" s="9">
        <v>24115276.126580004</v>
      </c>
      <c r="M59" s="9">
        <v>24240498.044209991</v>
      </c>
      <c r="N59" s="9">
        <v>24376492.756500006</v>
      </c>
      <c r="O59" s="9">
        <v>24503435.574879996</v>
      </c>
      <c r="P59" s="9">
        <v>24705275.172789998</v>
      </c>
      <c r="Q59" s="9">
        <v>24846572.064839996</v>
      </c>
      <c r="R59" s="9">
        <v>25106015.965000007</v>
      </c>
      <c r="S59" s="9">
        <v>25204763.173789997</v>
      </c>
      <c r="T59" s="9">
        <v>25443608.268259995</v>
      </c>
      <c r="U59" s="9">
        <v>25791143.79318</v>
      </c>
      <c r="V59" s="9">
        <v>25768302.878980003</v>
      </c>
      <c r="W59" s="9">
        <v>25855384.946080003</v>
      </c>
      <c r="X59" s="9">
        <v>26123016.354180001</v>
      </c>
      <c r="Y59" s="9">
        <v>26242770.348250002</v>
      </c>
      <c r="Z59" s="9">
        <v>26463653.422950003</v>
      </c>
      <c r="AA59" s="9">
        <v>26618706.562999997</v>
      </c>
      <c r="AB59" s="9">
        <v>26893598.508410007</v>
      </c>
      <c r="AC59" s="9">
        <v>27150182.569569994</v>
      </c>
      <c r="AD59" s="9">
        <v>27477013.306200005</v>
      </c>
      <c r="AE59" s="9">
        <v>27646570.790320002</v>
      </c>
      <c r="AF59" s="9">
        <v>28012574.070039995</v>
      </c>
      <c r="AG59" s="9">
        <v>28268526.771150004</v>
      </c>
      <c r="AH59" s="9">
        <v>28616514.72107999</v>
      </c>
      <c r="AI59" s="9">
        <v>28898406.637180004</v>
      </c>
      <c r="AJ59" s="9">
        <v>29312060.392730005</v>
      </c>
      <c r="AK59" s="9">
        <v>29556946.121099997</v>
      </c>
      <c r="AL59" s="9">
        <v>29870963.467220005</v>
      </c>
      <c r="AM59" s="9">
        <v>30176001.139519997</v>
      </c>
      <c r="AN59" s="9">
        <v>30509256.742999993</v>
      </c>
      <c r="AO59" s="9">
        <v>30672951.875789996</v>
      </c>
      <c r="AP59" s="9">
        <v>31076894.568059985</v>
      </c>
      <c r="AQ59" s="9">
        <v>31337365.962900005</v>
      </c>
    </row>
    <row r="60" spans="1:43" x14ac:dyDescent="0.25">
      <c r="A60" s="7" t="s">
        <v>0</v>
      </c>
      <c r="B60" s="9">
        <v>21052395.781160001</v>
      </c>
      <c r="C60" s="9">
        <v>21259101.646060005</v>
      </c>
      <c r="D60" s="9">
        <v>21441686.582999993</v>
      </c>
      <c r="E60" s="9">
        <v>21713187.269819994</v>
      </c>
      <c r="F60" s="9">
        <v>21945430.248199992</v>
      </c>
      <c r="G60" s="9">
        <v>22155037.453000002</v>
      </c>
      <c r="H60" s="9">
        <v>22361898.219130002</v>
      </c>
      <c r="I60" s="9">
        <v>22441478.458299998</v>
      </c>
      <c r="J60" s="9">
        <v>22607273.843719997</v>
      </c>
      <c r="K60" s="9">
        <v>22809875.839750003</v>
      </c>
      <c r="L60" s="9">
        <v>22913799.444800004</v>
      </c>
      <c r="M60" s="9">
        <v>23044782.634289991</v>
      </c>
      <c r="N60" s="9">
        <v>23137912.690020006</v>
      </c>
      <c r="O60" s="9">
        <v>23249885.892999995</v>
      </c>
      <c r="P60" s="9">
        <v>23425860.354799997</v>
      </c>
      <c r="Q60" s="9">
        <v>23524776.358679995</v>
      </c>
      <c r="R60" s="9">
        <v>23744239.454900008</v>
      </c>
      <c r="S60" s="9">
        <v>23816188.762609996</v>
      </c>
      <c r="T60" s="9">
        <v>24089560.327259995</v>
      </c>
      <c r="U60" s="9">
        <v>24470186.900180001</v>
      </c>
      <c r="V60" s="9">
        <v>24453149.822740003</v>
      </c>
      <c r="W60" s="9">
        <v>24564563.168320004</v>
      </c>
      <c r="X60" s="9">
        <v>24752101.725960001</v>
      </c>
      <c r="Y60" s="9">
        <v>24868643.621100001</v>
      </c>
      <c r="Z60" s="9">
        <v>25068421.321650006</v>
      </c>
      <c r="AA60" s="9">
        <v>25238581.843999997</v>
      </c>
      <c r="AB60" s="9">
        <v>25517205.905500006</v>
      </c>
      <c r="AC60" s="9">
        <v>25687187.73568999</v>
      </c>
      <c r="AD60" s="9">
        <v>25943191.497200005</v>
      </c>
      <c r="AE60" s="9">
        <v>26131596.405000001</v>
      </c>
      <c r="AF60" s="9">
        <v>26498384.372879993</v>
      </c>
      <c r="AG60" s="9">
        <v>26717431.668650005</v>
      </c>
      <c r="AH60" s="9">
        <v>27110518.805029992</v>
      </c>
      <c r="AI60" s="9">
        <v>27377101.189020004</v>
      </c>
      <c r="AJ60" s="9">
        <v>27774971.860340003</v>
      </c>
      <c r="AK60" s="9">
        <v>28055520.394359998</v>
      </c>
      <c r="AL60" s="9">
        <v>28397649.057320002</v>
      </c>
      <c r="AM60" s="9">
        <v>28736706.73477</v>
      </c>
      <c r="AN60" s="9">
        <v>29070338.815499991</v>
      </c>
      <c r="AO60" s="9">
        <v>29230817.520209998</v>
      </c>
      <c r="AP60" s="9">
        <v>29618279.278919984</v>
      </c>
      <c r="AQ60" s="9">
        <v>29909638.993700005</v>
      </c>
    </row>
    <row r="61" spans="1:43" x14ac:dyDescent="0.25">
      <c r="A61" s="7" t="s">
        <v>1</v>
      </c>
      <c r="B61" s="9">
        <v>101871.26939</v>
      </c>
      <c r="C61" s="9">
        <v>99349.567539999989</v>
      </c>
      <c r="D61" s="9">
        <v>102905.18620000001</v>
      </c>
      <c r="E61" s="9">
        <v>103181.39240000001</v>
      </c>
      <c r="F61" s="9">
        <v>100989.82088</v>
      </c>
      <c r="G61" s="9">
        <v>100194.45600000001</v>
      </c>
      <c r="H61" s="9">
        <v>101082.90188</v>
      </c>
      <c r="I61" s="9">
        <v>95595.422640000004</v>
      </c>
      <c r="J61" s="9">
        <v>90285.182309999989</v>
      </c>
      <c r="K61" s="9">
        <v>86919.94945</v>
      </c>
      <c r="L61" s="9">
        <v>89359.365520000007</v>
      </c>
      <c r="M61" s="9">
        <v>90934.182589999997</v>
      </c>
      <c r="N61" s="9">
        <v>90193.482640000002</v>
      </c>
      <c r="O61" s="9">
        <v>88224.578880000001</v>
      </c>
      <c r="P61" s="9">
        <v>89857.2546</v>
      </c>
      <c r="Q61" s="9">
        <v>87599.625279999993</v>
      </c>
      <c r="R61" s="9">
        <v>87012.972000000009</v>
      </c>
      <c r="S61" s="9">
        <v>85885.824649999995</v>
      </c>
      <c r="T61" s="9">
        <v>87384.510040000008</v>
      </c>
      <c r="U61" s="9">
        <v>85839.66734</v>
      </c>
      <c r="V61" s="9">
        <v>86387.144839999994</v>
      </c>
      <c r="W61" s="9">
        <v>87739.896160000004</v>
      </c>
      <c r="X61" s="9">
        <v>87281.987620000014</v>
      </c>
      <c r="Y61" s="9">
        <v>84693.591199999995</v>
      </c>
      <c r="Z61" s="9">
        <v>85585.36765</v>
      </c>
      <c r="AA61" s="9">
        <v>83697.036999999997</v>
      </c>
      <c r="AB61" s="9">
        <v>84948.306940000009</v>
      </c>
      <c r="AC61" s="9">
        <v>89413.95895</v>
      </c>
      <c r="AD61" s="9">
        <v>88719.783800000005</v>
      </c>
      <c r="AE61" s="9">
        <v>89722.929879999996</v>
      </c>
      <c r="AF61" s="9">
        <v>91487.918759999986</v>
      </c>
      <c r="AG61" s="9">
        <v>89970.287650000013</v>
      </c>
      <c r="AH61" s="9">
        <v>91883.563779999997</v>
      </c>
      <c r="AI61" s="9">
        <v>93923.475279999999</v>
      </c>
      <c r="AJ61" s="9">
        <v>94670.047989999992</v>
      </c>
      <c r="AK61" s="9">
        <v>96186.146800000017</v>
      </c>
      <c r="AL61" s="9">
        <v>102877.55396999999</v>
      </c>
      <c r="AM61" s="9">
        <v>103848.43551</v>
      </c>
      <c r="AN61" s="9">
        <v>110526.659</v>
      </c>
      <c r="AO61" s="9">
        <v>108496.98450000001</v>
      </c>
      <c r="AP61" s="9">
        <v>111199.05853000001</v>
      </c>
      <c r="AQ61" s="9">
        <v>110385.61035</v>
      </c>
    </row>
    <row r="62" spans="1:43" x14ac:dyDescent="0.25">
      <c r="A62" s="7" t="s">
        <v>45</v>
      </c>
      <c r="B62" s="9">
        <v>930265.41335000005</v>
      </c>
      <c r="C62" s="9">
        <v>939921.18487000011</v>
      </c>
      <c r="D62" s="9">
        <v>957135.04060000007</v>
      </c>
      <c r="E62" s="9">
        <v>978192.60190000001</v>
      </c>
      <c r="F62" s="9">
        <v>1012072.3194200001</v>
      </c>
      <c r="G62" s="9">
        <v>1014375.3740000002</v>
      </c>
      <c r="H62" s="9">
        <v>996304.86202</v>
      </c>
      <c r="I62" s="9">
        <v>1019988.7431799999</v>
      </c>
      <c r="J62" s="9">
        <v>1030802.2212199999</v>
      </c>
      <c r="K62" s="9">
        <v>1061459.0114500001</v>
      </c>
      <c r="L62" s="9">
        <v>1112117.31626</v>
      </c>
      <c r="M62" s="9">
        <v>1104781.2273300001</v>
      </c>
      <c r="N62" s="9">
        <v>1148386.58384</v>
      </c>
      <c r="O62" s="9">
        <v>1165325.1030000001</v>
      </c>
      <c r="P62" s="9">
        <v>1189557.5633900003</v>
      </c>
      <c r="Q62" s="9">
        <v>1234196.08088</v>
      </c>
      <c r="R62" s="9">
        <v>1274763.5380999998</v>
      </c>
      <c r="S62" s="9">
        <v>1302688.5865300007</v>
      </c>
      <c r="T62" s="9">
        <v>1266663.4309599998</v>
      </c>
      <c r="U62" s="9">
        <v>1235117.22566</v>
      </c>
      <c r="V62" s="9">
        <v>1228765.9114000001</v>
      </c>
      <c r="W62" s="9">
        <v>1203081.8816</v>
      </c>
      <c r="X62" s="9">
        <v>1283632.6406</v>
      </c>
      <c r="Y62" s="9">
        <v>1289433.1359500005</v>
      </c>
      <c r="Z62" s="9">
        <v>1309646.7336500001</v>
      </c>
      <c r="AA62" s="9">
        <v>1296427.6820000003</v>
      </c>
      <c r="AB62" s="9">
        <v>1291444.2959699999</v>
      </c>
      <c r="AC62" s="9">
        <v>1373580.8749300002</v>
      </c>
      <c r="AD62" s="9">
        <v>1445102.0252000003</v>
      </c>
      <c r="AE62" s="9">
        <v>1425251.4554400004</v>
      </c>
      <c r="AF62" s="9">
        <v>1422701.7784000004</v>
      </c>
      <c r="AG62" s="9">
        <v>1461124.8148499997</v>
      </c>
      <c r="AH62" s="9">
        <v>1414112.3522699999</v>
      </c>
      <c r="AI62" s="9">
        <v>1427381.97288</v>
      </c>
      <c r="AJ62" s="9">
        <v>1442418.4844</v>
      </c>
      <c r="AK62" s="9">
        <v>1405239.5799400003</v>
      </c>
      <c r="AL62" s="9">
        <v>1370436.8559299998</v>
      </c>
      <c r="AM62" s="9">
        <v>1335445.9692400002</v>
      </c>
      <c r="AN62" s="9">
        <v>1328391.2685</v>
      </c>
      <c r="AO62" s="9">
        <v>1333637.37108</v>
      </c>
      <c r="AP62" s="9">
        <v>1347416.23061</v>
      </c>
      <c r="AQ62" s="9">
        <v>1317341.3588500002</v>
      </c>
    </row>
    <row r="63" spans="1:43" x14ac:dyDescent="0.25">
      <c r="A63" s="6" t="s">
        <v>46</v>
      </c>
      <c r="B63" s="9">
        <v>83918.760530000014</v>
      </c>
      <c r="C63" s="9">
        <v>82874.019200000024</v>
      </c>
      <c r="D63" s="9">
        <v>97844.644599999985</v>
      </c>
      <c r="E63" s="9">
        <v>98028.794960000014</v>
      </c>
      <c r="F63" s="9">
        <v>96415.583999999988</v>
      </c>
      <c r="G63" s="9">
        <v>87107.316999999995</v>
      </c>
      <c r="H63" s="9">
        <v>89418.734500000035</v>
      </c>
      <c r="I63" s="9">
        <v>88125.869999999981</v>
      </c>
      <c r="J63" s="9">
        <v>80916.473890000008</v>
      </c>
      <c r="K63" s="9">
        <v>72899.138399999996</v>
      </c>
      <c r="L63" s="9">
        <v>71249.54866</v>
      </c>
      <c r="M63" s="9">
        <v>73803.408439999999</v>
      </c>
      <c r="N63" s="9">
        <v>76452.674400000004</v>
      </c>
      <c r="O63" s="9">
        <v>72341.657479999994</v>
      </c>
      <c r="P63" s="9">
        <v>69483.168310000008</v>
      </c>
      <c r="Q63" s="9">
        <v>63821.861120000001</v>
      </c>
      <c r="R63" s="9">
        <v>62923.138500000008</v>
      </c>
      <c r="S63" s="9">
        <v>66950.878960000002</v>
      </c>
      <c r="T63" s="9">
        <v>70471.159139999989</v>
      </c>
      <c r="U63" s="9">
        <v>71204.284980000011</v>
      </c>
      <c r="V63" s="9">
        <v>66161.557119999998</v>
      </c>
      <c r="W63" s="9">
        <v>63134.03688</v>
      </c>
      <c r="X63" s="9">
        <v>63724.402500000004</v>
      </c>
      <c r="Y63" s="9">
        <v>68293.363100000002</v>
      </c>
      <c r="Z63" s="9">
        <v>77770.776170000012</v>
      </c>
      <c r="AA63" s="9">
        <v>75452.86</v>
      </c>
      <c r="AB63" s="9">
        <v>78650.861130000005</v>
      </c>
      <c r="AC63" s="9">
        <v>73833.479460000002</v>
      </c>
      <c r="AD63" s="9">
        <v>79883.871799999994</v>
      </c>
      <c r="AE63" s="9">
        <v>71030.007000000012</v>
      </c>
      <c r="AF63" s="9">
        <v>74040.100120000017</v>
      </c>
      <c r="AG63" s="9">
        <v>79669.280499999979</v>
      </c>
      <c r="AH63" s="9">
        <v>89844.052999999985</v>
      </c>
      <c r="AI63" s="9">
        <v>105965.28343999998</v>
      </c>
      <c r="AJ63" s="9">
        <v>120397.17034999999</v>
      </c>
      <c r="AK63" s="9">
        <v>140383.76298</v>
      </c>
      <c r="AL63" s="9">
        <v>159681.79081000001</v>
      </c>
      <c r="AM63" s="9">
        <v>161875.24953999999</v>
      </c>
      <c r="AN63" s="9">
        <v>175256.20200000002</v>
      </c>
      <c r="AO63" s="9">
        <v>201757.02462999997</v>
      </c>
      <c r="AP63" s="9">
        <v>218233.80502000003</v>
      </c>
      <c r="AQ63" s="9">
        <v>234956.31360000005</v>
      </c>
    </row>
    <row r="64" spans="1:43" x14ac:dyDescent="0.25">
      <c r="A64" s="7" t="s">
        <v>0</v>
      </c>
      <c r="B64" s="9">
        <v>66886.377590000004</v>
      </c>
      <c r="C64" s="9">
        <v>66062.772910000014</v>
      </c>
      <c r="D64" s="9">
        <v>81626.818799999979</v>
      </c>
      <c r="E64" s="9">
        <v>82742.618760000012</v>
      </c>
      <c r="F64" s="9">
        <v>83022.456719999987</v>
      </c>
      <c r="G64" s="9">
        <v>76078.638999999996</v>
      </c>
      <c r="H64" s="9">
        <v>80950.313210000037</v>
      </c>
      <c r="I64" s="9">
        <v>80188.98119999998</v>
      </c>
      <c r="J64" s="9">
        <v>73026.396520000009</v>
      </c>
      <c r="K64" s="9">
        <v>64949.678749999992</v>
      </c>
      <c r="L64" s="9">
        <v>62397.944680000008</v>
      </c>
      <c r="M64" s="9">
        <v>65944.443400000004</v>
      </c>
      <c r="N64" s="9">
        <v>68767.900640000007</v>
      </c>
      <c r="O64" s="9">
        <v>63962.413599999993</v>
      </c>
      <c r="P64" s="9">
        <v>60747.950570000008</v>
      </c>
      <c r="Q64" s="9">
        <v>56717.015680000004</v>
      </c>
      <c r="R64" s="9">
        <v>57942.663100000005</v>
      </c>
      <c r="S64" s="9">
        <v>62465.029329999998</v>
      </c>
      <c r="T64" s="9">
        <v>65834.569139999992</v>
      </c>
      <c r="U64" s="9">
        <v>66702.264980000007</v>
      </c>
      <c r="V64" s="9">
        <v>62143.207119999992</v>
      </c>
      <c r="W64" s="9">
        <v>59786.686880000001</v>
      </c>
      <c r="X64" s="9">
        <v>60994.272500000006</v>
      </c>
      <c r="Y64" s="9">
        <v>65891.063099999999</v>
      </c>
      <c r="Z64" s="9">
        <v>75090.966170000014</v>
      </c>
      <c r="AA64" s="9">
        <v>72833.72</v>
      </c>
      <c r="AB64" s="9">
        <v>76068.091130000001</v>
      </c>
      <c r="AC64" s="9">
        <v>71301.379459999996</v>
      </c>
      <c r="AD64" s="9">
        <v>77362.481799999994</v>
      </c>
      <c r="AE64" s="9">
        <v>68517.627000000008</v>
      </c>
      <c r="AF64" s="9">
        <v>71458.160120000015</v>
      </c>
      <c r="AG64" s="9">
        <v>77074.700499999977</v>
      </c>
      <c r="AH64" s="9">
        <v>87560.862999999983</v>
      </c>
      <c r="AI64" s="9">
        <v>104102.72343999999</v>
      </c>
      <c r="AJ64" s="9">
        <v>118469.90034999998</v>
      </c>
      <c r="AK64" s="9">
        <v>138609.52298000001</v>
      </c>
      <c r="AL64" s="9">
        <v>157864.11081000001</v>
      </c>
      <c r="AM64" s="9">
        <v>160120.76953999998</v>
      </c>
      <c r="AN64" s="9">
        <v>171170.59200000003</v>
      </c>
      <c r="AO64" s="9">
        <v>197593.09462999998</v>
      </c>
      <c r="AP64" s="9">
        <v>213230.09502000004</v>
      </c>
      <c r="AQ64" s="9">
        <v>230561.08360000004</v>
      </c>
    </row>
    <row r="65" spans="1:43" x14ac:dyDescent="0.25">
      <c r="A65" s="7" t="s">
        <v>1</v>
      </c>
      <c r="B65" s="9">
        <v>167.35739000000001</v>
      </c>
      <c r="C65" s="9">
        <v>114.0163</v>
      </c>
      <c r="D65" s="9">
        <v>54.77</v>
      </c>
      <c r="E65" s="9">
        <v>89.509879999999995</v>
      </c>
      <c r="F65" s="9">
        <v>47.74</v>
      </c>
      <c r="G65" s="9">
        <v>44.23</v>
      </c>
      <c r="H65" s="9">
        <v>41.23</v>
      </c>
      <c r="I65" s="9">
        <v>37.590000000000003</v>
      </c>
      <c r="J65" s="9">
        <v>34.42</v>
      </c>
      <c r="K65" s="9">
        <v>30.82</v>
      </c>
      <c r="L65" s="9">
        <v>27.17</v>
      </c>
      <c r="M65" s="9">
        <v>23.37</v>
      </c>
      <c r="N65" s="9">
        <v>19.03</v>
      </c>
      <c r="O65" s="9">
        <v>16.489999999999998</v>
      </c>
      <c r="P65" s="9">
        <v>12.68</v>
      </c>
      <c r="Q65" s="9">
        <v>11.02</v>
      </c>
      <c r="R65" s="9">
        <v>1.43</v>
      </c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</row>
    <row r="66" spans="1:43" x14ac:dyDescent="0.25">
      <c r="A66" s="7" t="s">
        <v>45</v>
      </c>
      <c r="B66" s="9">
        <v>16865.025550000002</v>
      </c>
      <c r="C66" s="9">
        <v>16697.22999</v>
      </c>
      <c r="D66" s="9">
        <v>16163.055800000004</v>
      </c>
      <c r="E66" s="9">
        <v>15196.66632</v>
      </c>
      <c r="F66" s="9">
        <v>13345.387279999999</v>
      </c>
      <c r="G66" s="9">
        <v>10984.448000000002</v>
      </c>
      <c r="H66" s="9">
        <v>8427.1912900000007</v>
      </c>
      <c r="I66" s="9">
        <v>7899.2987999999996</v>
      </c>
      <c r="J66" s="9">
        <v>7855.6573699999999</v>
      </c>
      <c r="K66" s="9">
        <v>7918.639650000001</v>
      </c>
      <c r="L66" s="9">
        <v>8824.4339799999998</v>
      </c>
      <c r="M66" s="9">
        <v>7835.5950400000002</v>
      </c>
      <c r="N66" s="9">
        <v>7665.7437600000003</v>
      </c>
      <c r="O66" s="9">
        <v>8362.7538800000002</v>
      </c>
      <c r="P66" s="9">
        <v>8722.5377400000016</v>
      </c>
      <c r="Q66" s="9">
        <v>7093.8254400000014</v>
      </c>
      <c r="R66" s="9">
        <v>4979.0454</v>
      </c>
      <c r="S66" s="9">
        <v>4485.8496299999997</v>
      </c>
      <c r="T66" s="9">
        <v>4636.59</v>
      </c>
      <c r="U66" s="9">
        <v>4502.0199999999995</v>
      </c>
      <c r="V66" s="9">
        <v>4018.3500000000004</v>
      </c>
      <c r="W66" s="9">
        <v>3347.3500000000004</v>
      </c>
      <c r="X66" s="9">
        <v>2730.13</v>
      </c>
      <c r="Y66" s="9">
        <v>2402.2999999999997</v>
      </c>
      <c r="Z66" s="9">
        <v>2679.81</v>
      </c>
      <c r="AA66" s="9">
        <v>2619.1400000000003</v>
      </c>
      <c r="AB66" s="9">
        <v>2582.77</v>
      </c>
      <c r="AC66" s="9">
        <v>2532.1</v>
      </c>
      <c r="AD66" s="9">
        <v>2521.39</v>
      </c>
      <c r="AE66" s="9">
        <v>2512.38</v>
      </c>
      <c r="AF66" s="9">
        <v>2581.94</v>
      </c>
      <c r="AG66" s="9">
        <v>2594.58</v>
      </c>
      <c r="AH66" s="9">
        <v>2283.1899999999996</v>
      </c>
      <c r="AI66" s="9">
        <v>1862.5599999999997</v>
      </c>
      <c r="AJ66" s="9">
        <v>1927.27</v>
      </c>
      <c r="AK66" s="9">
        <v>1774.2399999999998</v>
      </c>
      <c r="AL66" s="9">
        <v>1817.6799999999998</v>
      </c>
      <c r="AM66" s="9">
        <v>1754.4799999999998</v>
      </c>
      <c r="AN66" s="9">
        <v>4085.6099999999997</v>
      </c>
      <c r="AO66" s="9">
        <v>4163.9299999999994</v>
      </c>
      <c r="AP66" s="9">
        <v>5003.71</v>
      </c>
      <c r="AQ66" s="9">
        <v>4395.2299999999996</v>
      </c>
    </row>
    <row r="67" spans="1:43" x14ac:dyDescent="0.25">
      <c r="A67" s="6" t="s">
        <v>48</v>
      </c>
      <c r="B67" s="9">
        <v>0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</v>
      </c>
    </row>
    <row r="68" spans="1:43" x14ac:dyDescent="0.25">
      <c r="A68" s="7" t="s">
        <v>0</v>
      </c>
      <c r="B68" s="9">
        <v>0</v>
      </c>
      <c r="C68" s="9">
        <v>0</v>
      </c>
      <c r="D68" s="9">
        <v>0</v>
      </c>
      <c r="E68" s="9">
        <v>0</v>
      </c>
      <c r="F68" s="9">
        <v>0</v>
      </c>
      <c r="G68" s="9">
        <v>0</v>
      </c>
      <c r="H68" s="9">
        <v>0</v>
      </c>
      <c r="I68" s="9">
        <v>0</v>
      </c>
      <c r="J68" s="9">
        <v>0</v>
      </c>
      <c r="K68" s="9">
        <v>0</v>
      </c>
      <c r="L68" s="9">
        <v>0</v>
      </c>
      <c r="M68" s="9">
        <v>0</v>
      </c>
      <c r="N68" s="9">
        <v>0</v>
      </c>
      <c r="O68" s="9">
        <v>0</v>
      </c>
      <c r="P68" s="9">
        <v>0</v>
      </c>
      <c r="Q68" s="9">
        <v>0</v>
      </c>
      <c r="R68" s="9">
        <v>0</v>
      </c>
      <c r="S68" s="9">
        <v>0</v>
      </c>
      <c r="T68" s="9">
        <v>0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>
        <v>0</v>
      </c>
      <c r="AH68" s="9">
        <v>0</v>
      </c>
      <c r="AI68" s="9">
        <v>0</v>
      </c>
      <c r="AJ68" s="9">
        <v>0</v>
      </c>
      <c r="AK68" s="9">
        <v>0</v>
      </c>
      <c r="AL68" s="9">
        <v>0</v>
      </c>
      <c r="AM68" s="9">
        <v>0</v>
      </c>
      <c r="AN68" s="9">
        <v>0</v>
      </c>
      <c r="AO68" s="9">
        <v>0</v>
      </c>
      <c r="AP68" s="9">
        <v>0</v>
      </c>
      <c r="AQ68" s="9">
        <v>0</v>
      </c>
    </row>
    <row r="69" spans="1:43" x14ac:dyDescent="0.25">
      <c r="A69" s="7" t="s">
        <v>1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>
        <v>0</v>
      </c>
      <c r="Z69" s="9"/>
      <c r="AA69" s="9"/>
      <c r="AB69" s="9"/>
      <c r="AC69" s="9"/>
      <c r="AD69" s="9"/>
      <c r="AE69" s="9"/>
      <c r="AF69" s="9">
        <v>0</v>
      </c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</row>
    <row r="70" spans="1:43" x14ac:dyDescent="0.25">
      <c r="A70" s="7" t="s">
        <v>45</v>
      </c>
      <c r="B70" s="9">
        <v>0</v>
      </c>
      <c r="C70" s="9">
        <v>0</v>
      </c>
      <c r="D70" s="9">
        <v>0</v>
      </c>
      <c r="E70" s="9">
        <v>0</v>
      </c>
      <c r="F70" s="9">
        <v>0</v>
      </c>
      <c r="G70" s="9">
        <v>0</v>
      </c>
      <c r="H70" s="9">
        <v>0</v>
      </c>
      <c r="I70" s="9">
        <v>0</v>
      </c>
      <c r="J70" s="9">
        <v>0</v>
      </c>
      <c r="K70" s="9">
        <v>0</v>
      </c>
      <c r="L70" s="9">
        <v>0</v>
      </c>
      <c r="M70" s="9">
        <v>0</v>
      </c>
      <c r="N70" s="9">
        <v>0</v>
      </c>
      <c r="O70" s="9">
        <v>0</v>
      </c>
      <c r="P70" s="9">
        <v>0</v>
      </c>
      <c r="Q70" s="9">
        <v>0</v>
      </c>
      <c r="R70" s="9">
        <v>0</v>
      </c>
      <c r="S70" s="9">
        <v>0</v>
      </c>
      <c r="T70" s="9">
        <v>0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9">
        <v>0</v>
      </c>
      <c r="AE70" s="9">
        <v>0</v>
      </c>
      <c r="AF70" s="9">
        <v>0</v>
      </c>
      <c r="AG70" s="9">
        <v>0</v>
      </c>
      <c r="AH70" s="9">
        <v>0</v>
      </c>
      <c r="AI70" s="9">
        <v>0</v>
      </c>
      <c r="AJ70" s="9">
        <v>0</v>
      </c>
      <c r="AK70" s="9">
        <v>0</v>
      </c>
      <c r="AL70" s="9">
        <v>0</v>
      </c>
      <c r="AM70" s="9">
        <v>0</v>
      </c>
      <c r="AN70" s="9">
        <v>0</v>
      </c>
      <c r="AO70" s="9">
        <v>0</v>
      </c>
      <c r="AP70" s="9">
        <v>0</v>
      </c>
      <c r="AQ70" s="9">
        <v>0</v>
      </c>
    </row>
    <row r="71" spans="1:43" x14ac:dyDescent="0.25">
      <c r="A71" s="5" t="s">
        <v>64</v>
      </c>
      <c r="B71" s="9">
        <v>-2170590.1090887133</v>
      </c>
      <c r="C71" s="9">
        <v>-2366105.9589085826</v>
      </c>
      <c r="D71" s="9">
        <v>-1002998.6046849481</v>
      </c>
      <c r="E71" s="9">
        <v>-2464603.0140623851</v>
      </c>
      <c r="F71" s="9">
        <v>-4418979.5649469979</v>
      </c>
      <c r="G71" s="9">
        <v>-2147660.2626552591</v>
      </c>
      <c r="H71" s="9">
        <v>2525217.3841729965</v>
      </c>
      <c r="I71" s="9">
        <v>-1735536.1541283848</v>
      </c>
      <c r="J71" s="9">
        <v>-6867521.0211719833</v>
      </c>
      <c r="K71" s="9">
        <v>-7290181.2810133472</v>
      </c>
      <c r="L71" s="9">
        <v>-5135624.7567691598</v>
      </c>
      <c r="M71" s="9">
        <v>775869.14267389197</v>
      </c>
      <c r="N71" s="9">
        <v>-7821735.3191975607</v>
      </c>
      <c r="O71" s="9">
        <v>-2164124.5900179469</v>
      </c>
      <c r="P71" s="9">
        <v>-1164927.23509472</v>
      </c>
      <c r="Q71" s="9">
        <v>-8168192.5367614906</v>
      </c>
      <c r="R71" s="9">
        <v>-580881.31070701079</v>
      </c>
      <c r="S71" s="9">
        <v>-1530536.6010718108</v>
      </c>
      <c r="T71" s="9">
        <v>-4597149.0890398482</v>
      </c>
      <c r="U71" s="9">
        <v>-1066618.5331926728</v>
      </c>
      <c r="V71" s="9">
        <v>-2648101.4337025965</v>
      </c>
      <c r="W71" s="9">
        <v>-7912080.7126310943</v>
      </c>
      <c r="X71" s="9">
        <v>1202280.6933859827</v>
      </c>
      <c r="Y71" s="9">
        <v>-1003686.7782978516</v>
      </c>
      <c r="Z71" s="9">
        <v>-4717007.8858464323</v>
      </c>
      <c r="AA71" s="9">
        <v>-2528696.1780323838</v>
      </c>
      <c r="AB71" s="9">
        <v>-1775783.993041195</v>
      </c>
      <c r="AC71" s="9">
        <v>-7186502.7064025346</v>
      </c>
      <c r="AD71" s="9">
        <v>4151414.1139319902</v>
      </c>
      <c r="AE71" s="9">
        <v>-5344500.739509197</v>
      </c>
      <c r="AF71" s="9">
        <v>-2683046.8482800801</v>
      </c>
      <c r="AG71" s="9">
        <v>-5000888.3546600053</v>
      </c>
      <c r="AH71" s="9">
        <v>-6662361.2380243279</v>
      </c>
      <c r="AI71" s="9">
        <v>-10174709.281729121</v>
      </c>
      <c r="AJ71" s="9">
        <v>2606218.7335496219</v>
      </c>
      <c r="AK71" s="9">
        <v>10903124.611745669</v>
      </c>
      <c r="AL71" s="9">
        <v>528760.23822345491</v>
      </c>
      <c r="AM71" s="9">
        <v>1220189.9933843121</v>
      </c>
      <c r="AN71" s="9">
        <v>-2362518.7835698538</v>
      </c>
      <c r="AO71" s="9">
        <v>-2036827.1051247949</v>
      </c>
      <c r="AP71" s="9">
        <v>4461023.7419000054</v>
      </c>
      <c r="AQ71" s="9">
        <v>-5484415.1899999697</v>
      </c>
    </row>
    <row r="72" spans="1:43" x14ac:dyDescent="0.25">
      <c r="A72" s="6" t="s">
        <v>49</v>
      </c>
      <c r="B72" s="9">
        <v>-3678.027154929151</v>
      </c>
      <c r="C72" s="9">
        <v>3371.1270930633036</v>
      </c>
      <c r="D72" s="9">
        <v>-37199.75148456014</v>
      </c>
      <c r="E72" s="9">
        <v>176359.073013391</v>
      </c>
      <c r="F72" s="9">
        <v>337407.20648719056</v>
      </c>
      <c r="G72" s="9">
        <v>3394809.2768815449</v>
      </c>
      <c r="H72" s="9">
        <v>88010.300690204225</v>
      </c>
      <c r="I72" s="9">
        <v>-19578.995386117083</v>
      </c>
      <c r="J72" s="9">
        <v>-141708.36847693028</v>
      </c>
      <c r="K72" s="9">
        <v>6151.3156152481415</v>
      </c>
      <c r="L72" s="9">
        <v>48112.544151760419</v>
      </c>
      <c r="M72" s="9">
        <v>89661.01666315175</v>
      </c>
      <c r="N72" s="9">
        <v>548899.13692360464</v>
      </c>
      <c r="O72" s="9">
        <v>246291.67794970091</v>
      </c>
      <c r="P72" s="9">
        <v>-1489463.9879787248</v>
      </c>
      <c r="Q72" s="9">
        <v>-2246034.3082543532</v>
      </c>
      <c r="R72" s="9">
        <v>-381685.41393896891</v>
      </c>
      <c r="S72" s="9">
        <v>-1106870.0338443078</v>
      </c>
      <c r="T72" s="9">
        <v>-2975346.0180735392</v>
      </c>
      <c r="U72" s="9">
        <v>-2347909.641985287</v>
      </c>
      <c r="V72" s="9">
        <v>-1212679.2828578867</v>
      </c>
      <c r="W72" s="9">
        <v>-317296.60147746099</v>
      </c>
      <c r="X72" s="9">
        <v>1692661.0875054032</v>
      </c>
      <c r="Y72" s="9">
        <v>-221993.22275261901</v>
      </c>
      <c r="Z72" s="9">
        <v>-2737040.9649839662</v>
      </c>
      <c r="AA72" s="9">
        <v>185480.89245826288</v>
      </c>
      <c r="AB72" s="9">
        <v>-654004.20000000007</v>
      </c>
      <c r="AC72" s="9">
        <v>-3084401.55</v>
      </c>
      <c r="AD72" s="9">
        <v>625469.03999999992</v>
      </c>
      <c r="AE72" s="9">
        <v>-1294612.1800000002</v>
      </c>
      <c r="AF72" s="9">
        <v>-176546.13</v>
      </c>
      <c r="AG72" s="9">
        <v>-1851969.1017201899</v>
      </c>
      <c r="AH72" s="9">
        <v>-2254020.0794766601</v>
      </c>
      <c r="AI72" s="9">
        <v>-2585688.9732564902</v>
      </c>
      <c r="AJ72" s="9">
        <v>-356242.75734221999</v>
      </c>
      <c r="AK72" s="9">
        <v>-1743064.4973230299</v>
      </c>
      <c r="AL72" s="9">
        <v>-1671332.36</v>
      </c>
      <c r="AM72" s="9">
        <v>-182445.33</v>
      </c>
      <c r="AN72" s="9">
        <v>-1676808.46</v>
      </c>
      <c r="AO72" s="9">
        <v>-1815841.44</v>
      </c>
      <c r="AP72" s="9">
        <v>914785.72000000498</v>
      </c>
      <c r="AQ72" s="9">
        <v>-2962476.27999999</v>
      </c>
    </row>
    <row r="73" spans="1:43" x14ac:dyDescent="0.25">
      <c r="A73" s="7" t="s">
        <v>67</v>
      </c>
      <c r="B73" s="9">
        <v>-3678.027154929151</v>
      </c>
      <c r="C73" s="9">
        <v>3371.1270930633036</v>
      </c>
      <c r="D73" s="9">
        <v>-37199.75148456014</v>
      </c>
      <c r="E73" s="9">
        <v>176359.073013391</v>
      </c>
      <c r="F73" s="9">
        <v>337407.20648719056</v>
      </c>
      <c r="G73" s="9">
        <v>3394809.2768815449</v>
      </c>
      <c r="H73" s="9">
        <v>88010.300690204225</v>
      </c>
      <c r="I73" s="9">
        <v>-19578.995386117083</v>
      </c>
      <c r="J73" s="9">
        <v>-141708.36847693028</v>
      </c>
      <c r="K73" s="9">
        <v>6151.3156152481415</v>
      </c>
      <c r="L73" s="9">
        <v>48112.544151760419</v>
      </c>
      <c r="M73" s="9">
        <v>89661.01666315175</v>
      </c>
      <c r="N73" s="9">
        <v>548899.13692360464</v>
      </c>
      <c r="O73" s="9">
        <v>246291.67794970091</v>
      </c>
      <c r="P73" s="9">
        <v>-1489463.9879787248</v>
      </c>
      <c r="Q73" s="9">
        <v>-2246034.3082543532</v>
      </c>
      <c r="R73" s="9">
        <v>-381685.41393896891</v>
      </c>
      <c r="S73" s="9">
        <v>-1106870.0338443078</v>
      </c>
      <c r="T73" s="9">
        <v>-2975346.0180735392</v>
      </c>
      <c r="U73" s="9">
        <v>-2347909.641985287</v>
      </c>
      <c r="V73" s="9">
        <v>-1212679.2828578867</v>
      </c>
      <c r="W73" s="9">
        <v>-317296.60147746099</v>
      </c>
      <c r="X73" s="9">
        <v>1692661.0875054032</v>
      </c>
      <c r="Y73" s="9">
        <v>-221993.22275261901</v>
      </c>
      <c r="Z73" s="9">
        <v>-2737040.9649839662</v>
      </c>
      <c r="AA73" s="9">
        <v>185480.89245826288</v>
      </c>
      <c r="AB73" s="9">
        <v>-654004.20000000007</v>
      </c>
      <c r="AC73" s="9">
        <v>-3084401.55</v>
      </c>
      <c r="AD73" s="9">
        <v>625469.03999999992</v>
      </c>
      <c r="AE73" s="9">
        <v>-1294612.1800000002</v>
      </c>
      <c r="AF73" s="9">
        <v>-176546.13</v>
      </c>
      <c r="AG73" s="9">
        <v>-1851969.1017201899</v>
      </c>
      <c r="AH73" s="9">
        <v>-2254020.0794766601</v>
      </c>
      <c r="AI73" s="9">
        <v>-2585688.9732564902</v>
      </c>
      <c r="AJ73" s="9">
        <v>-356242.75734221999</v>
      </c>
      <c r="AK73" s="9">
        <v>-1743064.4973230299</v>
      </c>
      <c r="AL73" s="9">
        <v>-1671332.36</v>
      </c>
      <c r="AM73" s="9">
        <v>-182445.33</v>
      </c>
      <c r="AN73" s="9">
        <v>-1676808.46</v>
      </c>
      <c r="AO73" s="9">
        <v>-1815841.44</v>
      </c>
      <c r="AP73" s="9">
        <v>914785.72000000498</v>
      </c>
      <c r="AQ73" s="9">
        <v>-2962476.27999999</v>
      </c>
    </row>
    <row r="74" spans="1:43" x14ac:dyDescent="0.25">
      <c r="A74" s="6" t="s">
        <v>47</v>
      </c>
      <c r="B74" s="9">
        <v>-2385669.6323006265</v>
      </c>
      <c r="C74" s="9">
        <v>-2729150.8173573166</v>
      </c>
      <c r="D74" s="9">
        <v>-789842.00060695608</v>
      </c>
      <c r="E74" s="9">
        <v>-1366861.865563364</v>
      </c>
      <c r="F74" s="9">
        <v>-5167107.0162914479</v>
      </c>
      <c r="G74" s="9">
        <v>2961837.6607169211</v>
      </c>
      <c r="H74" s="9">
        <v>2866276.105826329</v>
      </c>
      <c r="I74" s="9">
        <v>-2104826.7107906686</v>
      </c>
      <c r="J74" s="9">
        <v>-4298724.3710892582</v>
      </c>
      <c r="K74" s="9">
        <v>-6687234.8748846725</v>
      </c>
      <c r="L74" s="9">
        <v>-3634414.2039740896</v>
      </c>
      <c r="M74" s="9">
        <v>6697487.4321279805</v>
      </c>
      <c r="N74" s="9">
        <v>-8361937.7767385822</v>
      </c>
      <c r="O74" s="9">
        <v>-2407902.2427626005</v>
      </c>
      <c r="P74" s="9">
        <v>121025.09813797196</v>
      </c>
      <c r="Q74" s="9">
        <v>-6002921.3952849722</v>
      </c>
      <c r="R74" s="9">
        <v>-334759.13961832307</v>
      </c>
      <c r="S74" s="9">
        <v>-391517.45334307296</v>
      </c>
      <c r="T74" s="9">
        <v>-1620311.330480797</v>
      </c>
      <c r="U74" s="9">
        <v>1331850.4314076263</v>
      </c>
      <c r="V74" s="9">
        <v>-1393173.5765151149</v>
      </c>
      <c r="W74" s="9">
        <v>-7646010.3949471107</v>
      </c>
      <c r="X74" s="9">
        <v>-561821.04190604575</v>
      </c>
      <c r="Y74" s="9">
        <v>-732603.0953635117</v>
      </c>
      <c r="Z74" s="9">
        <v>-1975034.6173183632</v>
      </c>
      <c r="AA74" s="9">
        <v>-2713086.3158399211</v>
      </c>
      <c r="AB74" s="9">
        <v>-1121497.3230411948</v>
      </c>
      <c r="AC74" s="9">
        <v>-4090999.2764025349</v>
      </c>
      <c r="AD74" s="9">
        <v>3568632.3939319905</v>
      </c>
      <c r="AE74" s="9">
        <v>-4042234.3995091971</v>
      </c>
      <c r="AF74" s="9">
        <v>-2481701.8682800801</v>
      </c>
      <c r="AG74" s="9">
        <v>-3144894.1350649199</v>
      </c>
      <c r="AH74" s="9">
        <v>-4317367.6841487996</v>
      </c>
      <c r="AI74" s="9">
        <v>-7640778.5801729197</v>
      </c>
      <c r="AJ74" s="9">
        <v>2993343.4292296199</v>
      </c>
      <c r="AK74" s="9">
        <v>12689003.928940799</v>
      </c>
      <c r="AL74" s="9">
        <v>2254500.4882234549</v>
      </c>
      <c r="AM74" s="9">
        <v>1359316.2133843121</v>
      </c>
      <c r="AN74" s="9">
        <v>-574278.40000000002</v>
      </c>
      <c r="AO74" s="9">
        <v>-133384.78512479505</v>
      </c>
      <c r="AP74" s="9">
        <v>3687840.8318999992</v>
      </c>
      <c r="AQ74" s="9">
        <v>-2420343.9699999802</v>
      </c>
    </row>
    <row r="75" spans="1:43" x14ac:dyDescent="0.25">
      <c r="A75" s="7" t="s">
        <v>67</v>
      </c>
      <c r="B75" s="9">
        <v>-2385669.6323006265</v>
      </c>
      <c r="C75" s="9">
        <v>-2729150.8173573166</v>
      </c>
      <c r="D75" s="9">
        <v>-789842.00060695608</v>
      </c>
      <c r="E75" s="9">
        <v>-1366861.865563364</v>
      </c>
      <c r="F75" s="9">
        <v>-5167107.0162914479</v>
      </c>
      <c r="G75" s="9">
        <v>2961837.6607169211</v>
      </c>
      <c r="H75" s="9">
        <v>2866276.105826329</v>
      </c>
      <c r="I75" s="9">
        <v>-2104826.7107906686</v>
      </c>
      <c r="J75" s="9">
        <v>-4298724.3710892582</v>
      </c>
      <c r="K75" s="9">
        <v>-6687234.8748846725</v>
      </c>
      <c r="L75" s="9">
        <v>-3634414.2039740896</v>
      </c>
      <c r="M75" s="9">
        <v>6697487.4321279805</v>
      </c>
      <c r="N75" s="9">
        <v>-8361937.7767385822</v>
      </c>
      <c r="O75" s="9">
        <v>-2407902.2427626005</v>
      </c>
      <c r="P75" s="9">
        <v>121025.09813797196</v>
      </c>
      <c r="Q75" s="9">
        <v>-6002921.3952849722</v>
      </c>
      <c r="R75" s="9">
        <v>-334759.13961832307</v>
      </c>
      <c r="S75" s="9">
        <v>-391517.45334307296</v>
      </c>
      <c r="T75" s="9">
        <v>-1620311.330480797</v>
      </c>
      <c r="U75" s="9">
        <v>1331850.4314076263</v>
      </c>
      <c r="V75" s="9">
        <v>-1393173.5765151149</v>
      </c>
      <c r="W75" s="9">
        <v>-7646010.3949471107</v>
      </c>
      <c r="X75" s="9">
        <v>-561821.04190604575</v>
      </c>
      <c r="Y75" s="9">
        <v>-732603.0953635117</v>
      </c>
      <c r="Z75" s="9">
        <v>-1975034.6173183632</v>
      </c>
      <c r="AA75" s="9">
        <v>-2713086.3158399211</v>
      </c>
      <c r="AB75" s="9">
        <v>-1121497.3230411948</v>
      </c>
      <c r="AC75" s="9">
        <v>-4090999.2764025349</v>
      </c>
      <c r="AD75" s="9">
        <v>3568632.3939319905</v>
      </c>
      <c r="AE75" s="9">
        <v>-4042234.3995091971</v>
      </c>
      <c r="AF75" s="9">
        <v>-2481701.8682800801</v>
      </c>
      <c r="AG75" s="9">
        <v>-3144894.1350649199</v>
      </c>
      <c r="AH75" s="9">
        <v>-4317367.6841487996</v>
      </c>
      <c r="AI75" s="9">
        <v>-7640778.5801729197</v>
      </c>
      <c r="AJ75" s="9">
        <v>2993343.4292296199</v>
      </c>
      <c r="AK75" s="9">
        <v>12689003.928940799</v>
      </c>
      <c r="AL75" s="9">
        <v>2254500.4882234549</v>
      </c>
      <c r="AM75" s="9">
        <v>1359316.2133843121</v>
      </c>
      <c r="AN75" s="9">
        <v>-574278.40000000002</v>
      </c>
      <c r="AO75" s="9">
        <v>-133384.78512479505</v>
      </c>
      <c r="AP75" s="9">
        <v>3687840.8318999992</v>
      </c>
      <c r="AQ75" s="9">
        <v>-2420343.9699999802</v>
      </c>
    </row>
    <row r="76" spans="1:43" x14ac:dyDescent="0.25">
      <c r="A76" s="6" t="s">
        <v>46</v>
      </c>
      <c r="B76" s="9">
        <v>218757.55036684233</v>
      </c>
      <c r="C76" s="9">
        <v>359673.7313556709</v>
      </c>
      <c r="D76" s="9">
        <v>-175956.85259343192</v>
      </c>
      <c r="E76" s="9">
        <v>-1274100.2215124122</v>
      </c>
      <c r="F76" s="9">
        <v>410720.24485725991</v>
      </c>
      <c r="G76" s="9">
        <v>-8504307.2002537251</v>
      </c>
      <c r="H76" s="9">
        <v>-429069.02234353696</v>
      </c>
      <c r="I76" s="9">
        <v>388869.55204840086</v>
      </c>
      <c r="J76" s="9">
        <v>-2427088.2816057946</v>
      </c>
      <c r="K76" s="9">
        <v>-609097.72174392268</v>
      </c>
      <c r="L76" s="9">
        <v>-1549323.0969468311</v>
      </c>
      <c r="M76" s="9">
        <v>-6011279.3061172403</v>
      </c>
      <c r="N76" s="9">
        <v>-8696.6793825829336</v>
      </c>
      <c r="O76" s="9">
        <v>-2514.0252050471772</v>
      </c>
      <c r="P76" s="9">
        <v>203511.65474603267</v>
      </c>
      <c r="Q76" s="9">
        <v>80763.166777835446</v>
      </c>
      <c r="R76" s="9">
        <v>135563.24285028124</v>
      </c>
      <c r="S76" s="9">
        <v>-32149.113884430175</v>
      </c>
      <c r="T76" s="9">
        <v>-1491.7404855119494</v>
      </c>
      <c r="U76" s="9">
        <v>-50559.322615012243</v>
      </c>
      <c r="V76" s="9">
        <v>-42248.574329594921</v>
      </c>
      <c r="W76" s="9">
        <v>51226.283793477291</v>
      </c>
      <c r="X76" s="9">
        <v>71440.647786625123</v>
      </c>
      <c r="Y76" s="9">
        <v>-49090.460181720882</v>
      </c>
      <c r="Z76" s="9">
        <v>-4932.3035441029715</v>
      </c>
      <c r="AA76" s="9">
        <v>-1090.7546507254619</v>
      </c>
      <c r="AB76" s="9">
        <v>-282.47000000000025</v>
      </c>
      <c r="AC76" s="9">
        <v>-11101.88</v>
      </c>
      <c r="AD76" s="9">
        <v>-42687.32</v>
      </c>
      <c r="AE76" s="9">
        <v>-7654.16</v>
      </c>
      <c r="AF76" s="9">
        <v>-24798.850000000002</v>
      </c>
      <c r="AG76" s="9">
        <v>-4025.1178748952798</v>
      </c>
      <c r="AH76" s="9">
        <v>-90973.474398868406</v>
      </c>
      <c r="AI76" s="9">
        <v>51758.271700288198</v>
      </c>
      <c r="AJ76" s="9">
        <v>-30881.938337777799</v>
      </c>
      <c r="AK76" s="9">
        <v>-42814.81987209995</v>
      </c>
      <c r="AL76" s="9">
        <v>-54407.89</v>
      </c>
      <c r="AM76" s="9">
        <v>43319.11</v>
      </c>
      <c r="AN76" s="9">
        <v>-111431.92356985366</v>
      </c>
      <c r="AO76" s="9">
        <v>-87600.88</v>
      </c>
      <c r="AP76" s="9">
        <v>-141602.80999999901</v>
      </c>
      <c r="AQ76" s="9">
        <v>-101594.94</v>
      </c>
    </row>
    <row r="77" spans="1:43" x14ac:dyDescent="0.25">
      <c r="A77" s="7" t="s">
        <v>67</v>
      </c>
      <c r="B77" s="9">
        <v>218757.55036684233</v>
      </c>
      <c r="C77" s="9">
        <v>359673.7313556709</v>
      </c>
      <c r="D77" s="9">
        <v>-175956.85259343192</v>
      </c>
      <c r="E77" s="9">
        <v>-1274100.2215124122</v>
      </c>
      <c r="F77" s="9">
        <v>410720.24485725991</v>
      </c>
      <c r="G77" s="9">
        <v>-8504307.2002537251</v>
      </c>
      <c r="H77" s="9">
        <v>-429069.02234353696</v>
      </c>
      <c r="I77" s="9">
        <v>388869.55204840086</v>
      </c>
      <c r="J77" s="9">
        <v>-2427088.2816057946</v>
      </c>
      <c r="K77" s="9">
        <v>-609097.72174392268</v>
      </c>
      <c r="L77" s="9">
        <v>-1549323.0969468311</v>
      </c>
      <c r="M77" s="9">
        <v>-6011279.3061172403</v>
      </c>
      <c r="N77" s="9">
        <v>-8696.6793825829336</v>
      </c>
      <c r="O77" s="9">
        <v>-2514.0252050471772</v>
      </c>
      <c r="P77" s="9">
        <v>203511.65474603267</v>
      </c>
      <c r="Q77" s="9">
        <v>80763.166777835446</v>
      </c>
      <c r="R77" s="9">
        <v>135563.24285028124</v>
      </c>
      <c r="S77" s="9">
        <v>-32149.113884430175</v>
      </c>
      <c r="T77" s="9">
        <v>-1491.7404855119494</v>
      </c>
      <c r="U77" s="9">
        <v>-50559.322615012243</v>
      </c>
      <c r="V77" s="9">
        <v>-42248.574329594921</v>
      </c>
      <c r="W77" s="9">
        <v>51226.283793477291</v>
      </c>
      <c r="X77" s="9">
        <v>71440.647786625123</v>
      </c>
      <c r="Y77" s="9">
        <v>-49090.460181720882</v>
      </c>
      <c r="Z77" s="9">
        <v>-4932.3035441029715</v>
      </c>
      <c r="AA77" s="9">
        <v>-1090.7546507254619</v>
      </c>
      <c r="AB77" s="9">
        <v>-282.47000000000025</v>
      </c>
      <c r="AC77" s="9">
        <v>-11101.88</v>
      </c>
      <c r="AD77" s="9">
        <v>-42687.32</v>
      </c>
      <c r="AE77" s="9">
        <v>-7654.16</v>
      </c>
      <c r="AF77" s="9">
        <v>-24798.850000000002</v>
      </c>
      <c r="AG77" s="9">
        <v>-4025.1178748952798</v>
      </c>
      <c r="AH77" s="9">
        <v>-90973.474398868406</v>
      </c>
      <c r="AI77" s="9">
        <v>51758.271700288198</v>
      </c>
      <c r="AJ77" s="9">
        <v>-30881.938337777799</v>
      </c>
      <c r="AK77" s="9">
        <v>-42814.81987209995</v>
      </c>
      <c r="AL77" s="9">
        <v>-54407.89</v>
      </c>
      <c r="AM77" s="9">
        <v>43319.11</v>
      </c>
      <c r="AN77" s="9">
        <v>-111431.92356985366</v>
      </c>
      <c r="AO77" s="9">
        <v>-87600.88</v>
      </c>
      <c r="AP77" s="9">
        <v>-141602.80999999901</v>
      </c>
      <c r="AQ77" s="9">
        <v>-101594.94</v>
      </c>
    </row>
    <row r="78" spans="1:43" x14ac:dyDescent="0.25">
      <c r="A78" s="5" t="s">
        <v>65</v>
      </c>
      <c r="B78" s="9">
        <v>700</v>
      </c>
      <c r="C78" s="9">
        <v>0</v>
      </c>
      <c r="D78" s="9">
        <v>44159.119999999995</v>
      </c>
      <c r="E78" s="9">
        <v>153178.11000000002</v>
      </c>
      <c r="F78" s="9">
        <v>16878.849999999999</v>
      </c>
      <c r="G78" s="9">
        <v>65143.630000000005</v>
      </c>
      <c r="H78" s="9">
        <v>74585</v>
      </c>
      <c r="I78" s="9">
        <v>66297.759999999995</v>
      </c>
      <c r="J78" s="9">
        <v>72245.820000000007</v>
      </c>
      <c r="K78" s="9">
        <v>103736.37</v>
      </c>
      <c r="L78" s="9">
        <v>0</v>
      </c>
      <c r="M78" s="9">
        <v>0</v>
      </c>
      <c r="N78" s="9"/>
      <c r="O78" s="9">
        <v>3370</v>
      </c>
      <c r="P78" s="9"/>
      <c r="Q78" s="9"/>
      <c r="R78" s="9">
        <v>1759.6200000000001</v>
      </c>
      <c r="S78" s="9">
        <v>36611.96</v>
      </c>
      <c r="T78" s="9">
        <v>70667.53</v>
      </c>
      <c r="U78" s="9">
        <v>648.91</v>
      </c>
      <c r="V78" s="9"/>
      <c r="W78" s="9">
        <v>3374.86</v>
      </c>
      <c r="X78" s="9"/>
      <c r="Y78" s="9">
        <v>181.1</v>
      </c>
      <c r="Z78" s="9">
        <v>3366.29</v>
      </c>
      <c r="AA78" s="9">
        <v>38.5</v>
      </c>
      <c r="AB78" s="9">
        <v>60703.76</v>
      </c>
      <c r="AC78" s="9">
        <v>47775.23</v>
      </c>
      <c r="AD78" s="9">
        <v>3955.63</v>
      </c>
      <c r="AE78" s="9">
        <v>2392</v>
      </c>
      <c r="AF78" s="9"/>
      <c r="AG78" s="9">
        <v>10962.8</v>
      </c>
      <c r="AH78" s="9"/>
      <c r="AI78" s="9">
        <v>188.39</v>
      </c>
      <c r="AJ78" s="9">
        <v>2000</v>
      </c>
      <c r="AK78" s="9"/>
      <c r="AL78" s="9"/>
      <c r="AM78" s="9">
        <v>20095</v>
      </c>
      <c r="AN78" s="9">
        <v>480.19</v>
      </c>
      <c r="AO78" s="9">
        <v>195.47</v>
      </c>
      <c r="AP78" s="9">
        <v>46878.939999999995</v>
      </c>
      <c r="AQ78" s="9"/>
    </row>
    <row r="79" spans="1:43" x14ac:dyDescent="0.25">
      <c r="A79" s="6" t="s">
        <v>49</v>
      </c>
      <c r="B79" s="9">
        <v>0</v>
      </c>
      <c r="C79" s="9">
        <v>0</v>
      </c>
      <c r="D79" s="9">
        <v>0</v>
      </c>
      <c r="E79" s="9">
        <v>31495.620056359086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/>
      <c r="O79" s="9"/>
      <c r="P79" s="9"/>
      <c r="Q79" s="9"/>
      <c r="R79" s="9">
        <v>25.19</v>
      </c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</row>
    <row r="80" spans="1:43" x14ac:dyDescent="0.25">
      <c r="A80" s="7" t="s">
        <v>69</v>
      </c>
      <c r="B80" s="9">
        <v>0</v>
      </c>
      <c r="C80" s="9">
        <v>0</v>
      </c>
      <c r="D80" s="9">
        <v>0</v>
      </c>
      <c r="E80" s="9">
        <v>31495.620056359086</v>
      </c>
      <c r="F80" s="9">
        <v>0</v>
      </c>
      <c r="G80" s="9">
        <v>0</v>
      </c>
      <c r="H80" s="9">
        <v>0</v>
      </c>
      <c r="I80" s="9">
        <v>0</v>
      </c>
      <c r="J80" s="9">
        <v>0</v>
      </c>
      <c r="K80" s="9">
        <v>0</v>
      </c>
      <c r="L80" s="9">
        <v>0</v>
      </c>
      <c r="M80" s="9">
        <v>0</v>
      </c>
      <c r="N80" s="9"/>
      <c r="O80" s="9"/>
      <c r="P80" s="9"/>
      <c r="Q80" s="9"/>
      <c r="R80" s="9">
        <v>25.19</v>
      </c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/>
      <c r="AI80" s="9"/>
      <c r="AJ80" s="9"/>
      <c r="AK80" s="9"/>
      <c r="AL80" s="9"/>
      <c r="AM80" s="9"/>
      <c r="AN80" s="9"/>
      <c r="AO80" s="9"/>
      <c r="AP80" s="9"/>
      <c r="AQ80" s="9"/>
    </row>
    <row r="81" spans="1:43" x14ac:dyDescent="0.25">
      <c r="A81" s="6" t="s">
        <v>47</v>
      </c>
      <c r="B81" s="9">
        <v>700</v>
      </c>
      <c r="C81" s="9">
        <v>0</v>
      </c>
      <c r="D81" s="9">
        <v>44159.119999999995</v>
      </c>
      <c r="E81" s="9">
        <v>83923.322741096243</v>
      </c>
      <c r="F81" s="9">
        <v>16878.849999999999</v>
      </c>
      <c r="G81" s="9">
        <v>65143.630000000005</v>
      </c>
      <c r="H81" s="9">
        <v>74585</v>
      </c>
      <c r="I81" s="9">
        <v>66297.759999999995</v>
      </c>
      <c r="J81" s="9">
        <v>72245.820000000007</v>
      </c>
      <c r="K81" s="9">
        <v>103736.37</v>
      </c>
      <c r="L81" s="9">
        <v>0</v>
      </c>
      <c r="M81" s="9">
        <v>0</v>
      </c>
      <c r="N81" s="9"/>
      <c r="O81" s="9">
        <v>3370</v>
      </c>
      <c r="P81" s="9"/>
      <c r="Q81" s="9"/>
      <c r="R81" s="9">
        <v>1734.43</v>
      </c>
      <c r="S81" s="9">
        <v>36611.96</v>
      </c>
      <c r="T81" s="9">
        <v>70667.53</v>
      </c>
      <c r="U81" s="9">
        <v>648.91</v>
      </c>
      <c r="V81" s="9"/>
      <c r="W81" s="9">
        <v>3374.86</v>
      </c>
      <c r="X81" s="9"/>
      <c r="Y81" s="9">
        <v>181.1</v>
      </c>
      <c r="Z81" s="9">
        <v>3183.23</v>
      </c>
      <c r="AA81" s="9">
        <v>36.24</v>
      </c>
      <c r="AB81" s="9">
        <v>60702.78</v>
      </c>
      <c r="AC81" s="9">
        <v>47775.23</v>
      </c>
      <c r="AD81" s="9">
        <v>3954.6400000000003</v>
      </c>
      <c r="AE81" s="9">
        <v>2392</v>
      </c>
      <c r="AF81" s="9"/>
      <c r="AG81" s="9">
        <v>10962.8</v>
      </c>
      <c r="AH81" s="9"/>
      <c r="AI81" s="9"/>
      <c r="AJ81" s="9">
        <v>2000</v>
      </c>
      <c r="AK81" s="9"/>
      <c r="AL81" s="9"/>
      <c r="AM81" s="9">
        <v>20095</v>
      </c>
      <c r="AN81" s="9"/>
      <c r="AO81" s="9"/>
      <c r="AP81" s="9">
        <v>46878.84</v>
      </c>
      <c r="AQ81" s="9"/>
    </row>
    <row r="82" spans="1:43" x14ac:dyDescent="0.25">
      <c r="A82" s="7" t="s">
        <v>69</v>
      </c>
      <c r="B82" s="9">
        <v>700</v>
      </c>
      <c r="C82" s="9">
        <v>0</v>
      </c>
      <c r="D82" s="9">
        <v>44159.119999999995</v>
      </c>
      <c r="E82" s="9">
        <v>83923.322741096243</v>
      </c>
      <c r="F82" s="9">
        <v>16878.849999999999</v>
      </c>
      <c r="G82" s="9">
        <v>65143.630000000005</v>
      </c>
      <c r="H82" s="9">
        <v>74585</v>
      </c>
      <c r="I82" s="9">
        <v>66297.759999999995</v>
      </c>
      <c r="J82" s="9">
        <v>72245.820000000007</v>
      </c>
      <c r="K82" s="9">
        <v>103736.37</v>
      </c>
      <c r="L82" s="9">
        <v>0</v>
      </c>
      <c r="M82" s="9">
        <v>0</v>
      </c>
      <c r="N82" s="9"/>
      <c r="O82" s="9">
        <v>3370</v>
      </c>
      <c r="P82" s="9"/>
      <c r="Q82" s="9"/>
      <c r="R82" s="9">
        <v>1734.43</v>
      </c>
      <c r="S82" s="9">
        <v>36611.96</v>
      </c>
      <c r="T82" s="9">
        <v>70667.53</v>
      </c>
      <c r="U82" s="9">
        <v>648.91</v>
      </c>
      <c r="V82" s="9"/>
      <c r="W82" s="9">
        <v>3374.86</v>
      </c>
      <c r="X82" s="9"/>
      <c r="Y82" s="9">
        <v>181.1</v>
      </c>
      <c r="Z82" s="9">
        <v>3183.23</v>
      </c>
      <c r="AA82" s="9">
        <v>36.24</v>
      </c>
      <c r="AB82" s="9">
        <v>60702.78</v>
      </c>
      <c r="AC82" s="9">
        <v>47775.23</v>
      </c>
      <c r="AD82" s="9">
        <v>3954.6400000000003</v>
      </c>
      <c r="AE82" s="9">
        <v>2392</v>
      </c>
      <c r="AF82" s="9"/>
      <c r="AG82" s="9">
        <v>10962.8</v>
      </c>
      <c r="AH82" s="9"/>
      <c r="AI82" s="9"/>
      <c r="AJ82" s="9">
        <v>2000</v>
      </c>
      <c r="AK82" s="9"/>
      <c r="AL82" s="9"/>
      <c r="AM82" s="9">
        <v>20095</v>
      </c>
      <c r="AN82" s="9"/>
      <c r="AO82" s="9"/>
      <c r="AP82" s="9">
        <v>46878.84</v>
      </c>
      <c r="AQ82" s="9"/>
    </row>
    <row r="83" spans="1:43" x14ac:dyDescent="0.25">
      <c r="A83" s="6" t="s">
        <v>46</v>
      </c>
      <c r="B83" s="9">
        <v>0</v>
      </c>
      <c r="C83" s="9">
        <v>0</v>
      </c>
      <c r="D83" s="9">
        <v>0</v>
      </c>
      <c r="E83" s="9">
        <v>37759.167202544682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>
        <v>183.06</v>
      </c>
      <c r="AA83" s="9">
        <v>2.2599999999999998</v>
      </c>
      <c r="AB83" s="9">
        <v>0.98</v>
      </c>
      <c r="AC83" s="9"/>
      <c r="AD83" s="9">
        <v>0.99</v>
      </c>
      <c r="AE83" s="9"/>
      <c r="AF83" s="9"/>
      <c r="AG83" s="9"/>
      <c r="AH83" s="9"/>
      <c r="AI83" s="9">
        <v>188.39</v>
      </c>
      <c r="AJ83" s="9"/>
      <c r="AK83" s="9"/>
      <c r="AL83" s="9"/>
      <c r="AM83" s="9"/>
      <c r="AN83" s="9">
        <v>480.19</v>
      </c>
      <c r="AO83" s="9">
        <v>195.47</v>
      </c>
      <c r="AP83" s="9">
        <v>0.1</v>
      </c>
      <c r="AQ83" s="9"/>
    </row>
    <row r="84" spans="1:43" x14ac:dyDescent="0.25">
      <c r="A84" s="7" t="s">
        <v>69</v>
      </c>
      <c r="B84" s="9">
        <v>0</v>
      </c>
      <c r="C84" s="9">
        <v>0</v>
      </c>
      <c r="D84" s="9">
        <v>0</v>
      </c>
      <c r="E84" s="9">
        <v>37759.167202544682</v>
      </c>
      <c r="F84" s="9">
        <v>0</v>
      </c>
      <c r="G84" s="9">
        <v>0</v>
      </c>
      <c r="H84" s="9">
        <v>0</v>
      </c>
      <c r="I84" s="9">
        <v>0</v>
      </c>
      <c r="J84" s="9">
        <v>0</v>
      </c>
      <c r="K84" s="9">
        <v>0</v>
      </c>
      <c r="L84" s="9">
        <v>0</v>
      </c>
      <c r="M84" s="9">
        <v>0</v>
      </c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>
        <v>183.06</v>
      </c>
      <c r="AA84" s="9">
        <v>2.2599999999999998</v>
      </c>
      <c r="AB84" s="9">
        <v>0.98</v>
      </c>
      <c r="AC84" s="9"/>
      <c r="AD84" s="9">
        <v>0.99</v>
      </c>
      <c r="AE84" s="9"/>
      <c r="AF84" s="9"/>
      <c r="AG84" s="9"/>
      <c r="AH84" s="9"/>
      <c r="AI84" s="9">
        <v>188.39</v>
      </c>
      <c r="AJ84" s="9"/>
      <c r="AK84" s="9"/>
      <c r="AL84" s="9"/>
      <c r="AM84" s="9"/>
      <c r="AN84" s="9">
        <v>480.19</v>
      </c>
      <c r="AO84" s="9">
        <v>195.47</v>
      </c>
      <c r="AP84" s="9">
        <v>0.1</v>
      </c>
      <c r="AQ84" s="9"/>
    </row>
    <row r="85" spans="1:43" x14ac:dyDescent="0.25">
      <c r="A85" s="5" t="s">
        <v>71</v>
      </c>
      <c r="B85" s="9">
        <v>1175062.4578428825</v>
      </c>
      <c r="C85" s="9">
        <v>1036346.5022050603</v>
      </c>
      <c r="D85" s="9">
        <v>1109796.3311132465</v>
      </c>
      <c r="E85" s="9">
        <v>1121614.7167422578</v>
      </c>
      <c r="F85" s="9">
        <v>955999.43526498473</v>
      </c>
      <c r="G85" s="9">
        <v>775587.17712413729</v>
      </c>
      <c r="H85" s="9">
        <v>776171.24979730253</v>
      </c>
      <c r="I85" s="9">
        <v>781011.07107041124</v>
      </c>
      <c r="J85" s="9">
        <v>559630.13489034912</v>
      </c>
      <c r="K85" s="9">
        <v>894516.58066960424</v>
      </c>
      <c r="L85" s="9">
        <v>544441.78695807769</v>
      </c>
      <c r="M85" s="9">
        <v>831672.36718947208</v>
      </c>
      <c r="N85" s="9">
        <v>753705.59882820095</v>
      </c>
      <c r="O85" s="9">
        <v>501420.26739267213</v>
      </c>
      <c r="P85" s="9">
        <v>679676.01803597412</v>
      </c>
      <c r="Q85" s="9">
        <v>708020.04483968474</v>
      </c>
      <c r="R85" s="9">
        <v>734748.54785221489</v>
      </c>
      <c r="S85" s="9">
        <v>735068.86034519144</v>
      </c>
      <c r="T85" s="9">
        <v>912703.93786379613</v>
      </c>
      <c r="U85" s="9">
        <v>871092.61517705081</v>
      </c>
      <c r="V85" s="9">
        <v>1157701.1988383834</v>
      </c>
      <c r="W85" s="9">
        <v>42152.826062480286</v>
      </c>
      <c r="X85" s="9">
        <v>455732.60441746376</v>
      </c>
      <c r="Y85" s="9">
        <v>965350.51673330006</v>
      </c>
      <c r="Z85" s="9">
        <v>1037373.5447613067</v>
      </c>
      <c r="AA85" s="9">
        <v>902336.73046556953</v>
      </c>
      <c r="AB85" s="9">
        <v>1042187.3039410512</v>
      </c>
      <c r="AC85" s="9">
        <v>1103734.555866743</v>
      </c>
      <c r="AD85" s="9">
        <v>958603.60120786913</v>
      </c>
      <c r="AE85" s="9">
        <v>1111404.7088210774</v>
      </c>
      <c r="AF85" s="9">
        <v>955247.74453576573</v>
      </c>
      <c r="AG85" s="9">
        <v>1027451.2144824427</v>
      </c>
      <c r="AH85" s="9">
        <v>800414.40113839286</v>
      </c>
      <c r="AI85" s="9">
        <v>1197996.2181704924</v>
      </c>
      <c r="AJ85" s="9">
        <v>1342413.8558765932</v>
      </c>
      <c r="AK85" s="9">
        <v>1439347.0522904885</v>
      </c>
      <c r="AL85" s="9">
        <v>1223174.1676215739</v>
      </c>
      <c r="AM85" s="9">
        <v>907528.49462002632</v>
      </c>
      <c r="AN85" s="9">
        <v>1408474.0153220443</v>
      </c>
      <c r="AO85" s="9">
        <v>1164404.1981306872</v>
      </c>
      <c r="AP85" s="9">
        <v>1636466.0689363163</v>
      </c>
      <c r="AQ85" s="9">
        <v>1100399.7502163078</v>
      </c>
    </row>
    <row r="86" spans="1:43" x14ac:dyDescent="0.25">
      <c r="A86" s="6" t="s">
        <v>49</v>
      </c>
      <c r="B86" s="9">
        <v>534530.08260509418</v>
      </c>
      <c r="C86" s="9">
        <v>490839.83709546237</v>
      </c>
      <c r="D86" s="9">
        <v>500914.82240657584</v>
      </c>
      <c r="E86" s="9">
        <v>502829.97635183408</v>
      </c>
      <c r="F86" s="9">
        <v>437382.18484796485</v>
      </c>
      <c r="G86" s="9">
        <v>373572.0651262778</v>
      </c>
      <c r="H86" s="9">
        <v>375513.96771934407</v>
      </c>
      <c r="I86" s="9">
        <v>389414.36652036686</v>
      </c>
      <c r="J86" s="9">
        <v>301030.89613669517</v>
      </c>
      <c r="K86" s="9">
        <v>429563.80431405676</v>
      </c>
      <c r="L86" s="9">
        <v>280734.50560474198</v>
      </c>
      <c r="M86" s="9">
        <v>405559.1010589925</v>
      </c>
      <c r="N86" s="9">
        <v>424090.52602596791</v>
      </c>
      <c r="O86" s="9">
        <v>215580.50809536694</v>
      </c>
      <c r="P86" s="9">
        <v>342842.5524679065</v>
      </c>
      <c r="Q86" s="9">
        <v>354697.75495167944</v>
      </c>
      <c r="R86" s="9">
        <v>373137.9377998925</v>
      </c>
      <c r="S86" s="9">
        <v>357301.93565241224</v>
      </c>
      <c r="T86" s="9">
        <v>448660.36070874316</v>
      </c>
      <c r="U86" s="9">
        <v>419105.84381214116</v>
      </c>
      <c r="V86" s="9">
        <v>605942.40581446048</v>
      </c>
      <c r="W86" s="9">
        <v>-717.67282809078461</v>
      </c>
      <c r="X86" s="9">
        <v>238830.59159808702</v>
      </c>
      <c r="Y86" s="9">
        <v>459177.33863709873</v>
      </c>
      <c r="Z86" s="9">
        <v>517166.91873625695</v>
      </c>
      <c r="AA86" s="9">
        <v>431661.15150113415</v>
      </c>
      <c r="AB86" s="9">
        <v>498141.89254755416</v>
      </c>
      <c r="AC86" s="9">
        <v>512451.35815008066</v>
      </c>
      <c r="AD86" s="9">
        <v>470637.81552095857</v>
      </c>
      <c r="AE86" s="9">
        <v>539260.91419171693</v>
      </c>
      <c r="AF86" s="9">
        <v>462113.70204149891</v>
      </c>
      <c r="AG86" s="9">
        <v>497996.04222280928</v>
      </c>
      <c r="AH86" s="9">
        <v>375418.95959234203</v>
      </c>
      <c r="AI86" s="9">
        <v>557864.30237259076</v>
      </c>
      <c r="AJ86" s="9">
        <v>632448.84272578894</v>
      </c>
      <c r="AK86" s="9">
        <v>634348.82332498999</v>
      </c>
      <c r="AL86" s="9">
        <v>569231.74531492067</v>
      </c>
      <c r="AM86" s="9">
        <v>405583.15597425605</v>
      </c>
      <c r="AN86" s="9">
        <v>619297.86630277918</v>
      </c>
      <c r="AO86" s="9">
        <v>528088.52971385198</v>
      </c>
      <c r="AP86" s="9">
        <v>735788.28857061127</v>
      </c>
      <c r="AQ86" s="9">
        <v>496736.10519146378</v>
      </c>
    </row>
    <row r="87" spans="1:43" x14ac:dyDescent="0.25">
      <c r="A87" s="7" t="s">
        <v>127</v>
      </c>
      <c r="B87" s="9">
        <v>303346.82325805427</v>
      </c>
      <c r="C87" s="9">
        <v>263227.97143143235</v>
      </c>
      <c r="D87" s="9">
        <v>353201.20242257585</v>
      </c>
      <c r="E87" s="9">
        <v>287819.9487424441</v>
      </c>
      <c r="F87" s="9">
        <v>314014.19314893481</v>
      </c>
      <c r="G87" s="9">
        <v>271789.05224124785</v>
      </c>
      <c r="H87" s="9">
        <v>309797.45077363413</v>
      </c>
      <c r="I87" s="9">
        <v>278935.44250735384</v>
      </c>
      <c r="J87" s="9">
        <v>286100.56684193906</v>
      </c>
      <c r="K87" s="9">
        <v>336242.11114128883</v>
      </c>
      <c r="L87" s="9">
        <v>157495.38540379202</v>
      </c>
      <c r="M87" s="9">
        <v>224087.5972939835</v>
      </c>
      <c r="N87" s="9">
        <v>203054.70819506794</v>
      </c>
      <c r="O87" s="9">
        <v>159722.40621656695</v>
      </c>
      <c r="P87" s="9">
        <v>243849.56583585643</v>
      </c>
      <c r="Q87" s="9">
        <v>197685.29941864943</v>
      </c>
      <c r="R87" s="9">
        <v>255726.11389892249</v>
      </c>
      <c r="S87" s="9">
        <v>227303.22696461223</v>
      </c>
      <c r="T87" s="9">
        <v>278612.94139274315</v>
      </c>
      <c r="U87" s="9">
        <v>233191.32644513116</v>
      </c>
      <c r="V87" s="9">
        <v>173317.27355948449</v>
      </c>
      <c r="W87" s="9">
        <v>210875.72957365919</v>
      </c>
      <c r="X87" s="9">
        <v>56238.33875608704</v>
      </c>
      <c r="Y87" s="9">
        <v>235209.90569705871</v>
      </c>
      <c r="Z87" s="9">
        <v>315998.51804625691</v>
      </c>
      <c r="AA87" s="9">
        <v>196574.3042917742</v>
      </c>
      <c r="AB87" s="9">
        <v>379831.97787854413</v>
      </c>
      <c r="AC87" s="9">
        <v>274970.94371558068</v>
      </c>
      <c r="AD87" s="9">
        <v>343354.58228099853</v>
      </c>
      <c r="AE87" s="9">
        <v>287134.46337449685</v>
      </c>
      <c r="AF87" s="9">
        <v>259116.38897598191</v>
      </c>
      <c r="AG87" s="9">
        <v>297437.27832515922</v>
      </c>
      <c r="AH87" s="9">
        <v>150881.79195257201</v>
      </c>
      <c r="AI87" s="9">
        <v>339272.45083976077</v>
      </c>
      <c r="AJ87" s="9">
        <v>414946.27388538193</v>
      </c>
      <c r="AK87" s="9">
        <v>424012.57576402003</v>
      </c>
      <c r="AL87" s="9">
        <v>383702.49559929682</v>
      </c>
      <c r="AM87" s="9">
        <v>118051.16407035549</v>
      </c>
      <c r="AN87" s="9">
        <v>460209.63771977514</v>
      </c>
      <c r="AO87" s="9">
        <v>357743.77006609103</v>
      </c>
      <c r="AP87" s="9">
        <v>492792.78150389576</v>
      </c>
      <c r="AQ87" s="9">
        <v>366881.4845546204</v>
      </c>
    </row>
    <row r="88" spans="1:43" x14ac:dyDescent="0.25">
      <c r="A88" s="7" t="s">
        <v>75</v>
      </c>
      <c r="B88" s="9">
        <v>258910.34381999998</v>
      </c>
      <c r="C88" s="9">
        <v>242314.99609</v>
      </c>
      <c r="D88" s="9">
        <v>197941.73795000001</v>
      </c>
      <c r="E88" s="9">
        <v>275786.57205000002</v>
      </c>
      <c r="F88" s="9">
        <v>223710.93653000001</v>
      </c>
      <c r="G88" s="9">
        <v>259917.54439</v>
      </c>
      <c r="H88" s="9">
        <v>230978.96505999999</v>
      </c>
      <c r="I88" s="9">
        <v>255914.48251999999</v>
      </c>
      <c r="J88" s="9">
        <v>249721.10628000001</v>
      </c>
      <c r="K88" s="9">
        <v>232424.73502999998</v>
      </c>
      <c r="L88" s="9">
        <v>261705.03350999998</v>
      </c>
      <c r="M88" s="9">
        <v>232019.36442</v>
      </c>
      <c r="N88" s="9">
        <v>259345.32939</v>
      </c>
      <c r="O88" s="9">
        <v>245847.39137</v>
      </c>
      <c r="P88" s="9">
        <v>209708.53794000001</v>
      </c>
      <c r="Q88" s="9">
        <v>278528.29061000003</v>
      </c>
      <c r="R88" s="9">
        <v>235151.85481000002</v>
      </c>
      <c r="S88" s="9">
        <v>244380.68307</v>
      </c>
      <c r="T88" s="9">
        <v>231786.64434</v>
      </c>
      <c r="U88" s="9">
        <v>250732.0839</v>
      </c>
      <c r="V88" s="9">
        <v>531770.35603999998</v>
      </c>
      <c r="W88" s="9">
        <v>-51308.676019999999</v>
      </c>
      <c r="X88" s="9">
        <v>261457.51537000001</v>
      </c>
      <c r="Y88" s="9">
        <v>228280.96174</v>
      </c>
      <c r="Z88" s="9">
        <v>292881.16638000001</v>
      </c>
      <c r="AA88" s="9">
        <v>222072.35743999999</v>
      </c>
      <c r="AB88" s="9">
        <v>175850.60928</v>
      </c>
      <c r="AC88" s="9">
        <v>234424.36794</v>
      </c>
      <c r="AD88" s="9">
        <v>222458.80081000002</v>
      </c>
      <c r="AE88" s="9">
        <v>267831.26371000003</v>
      </c>
      <c r="AF88" s="9">
        <v>228918.76163999998</v>
      </c>
      <c r="AG88" s="9">
        <v>268772.30645000003</v>
      </c>
      <c r="AH88" s="9">
        <v>242032.76106999998</v>
      </c>
      <c r="AI88" s="9">
        <v>229202.38483</v>
      </c>
      <c r="AJ88" s="9">
        <v>289244.01767999999</v>
      </c>
      <c r="AK88" s="9">
        <v>227855.272257</v>
      </c>
      <c r="AL88" s="9">
        <v>261283.92763076018</v>
      </c>
      <c r="AM88" s="9">
        <v>238683.18888897245</v>
      </c>
      <c r="AN88" s="9">
        <v>198931.65591817276</v>
      </c>
      <c r="AO88" s="9">
        <v>272631.71724544914</v>
      </c>
      <c r="AP88" s="9">
        <v>224548.06247116491</v>
      </c>
      <c r="AQ88" s="9">
        <v>246930.38784909164</v>
      </c>
    </row>
    <row r="89" spans="1:43" x14ac:dyDescent="0.25">
      <c r="A89" s="7" t="s">
        <v>128</v>
      </c>
      <c r="B89" s="9">
        <v>-27887.021802999996</v>
      </c>
      <c r="C89" s="9">
        <v>-15464.757406000019</v>
      </c>
      <c r="D89" s="9">
        <v>-50647.25736600002</v>
      </c>
      <c r="E89" s="9">
        <v>-61852.667281000009</v>
      </c>
      <c r="F89" s="9">
        <v>-100902.90331100002</v>
      </c>
      <c r="G89" s="9">
        <v>-158594.851005</v>
      </c>
      <c r="H89" s="9">
        <v>-165673.4441043</v>
      </c>
      <c r="I89" s="9">
        <v>-145842.77306699997</v>
      </c>
      <c r="J89" s="9">
        <v>-234951.23698519997</v>
      </c>
      <c r="K89" s="9">
        <v>-139368.55185720199</v>
      </c>
      <c r="L89" s="9">
        <v>-139318.90330899999</v>
      </c>
      <c r="M89" s="9">
        <v>-50955.370655000021</v>
      </c>
      <c r="N89" s="9">
        <v>-137991.73787779998</v>
      </c>
      <c r="O89" s="9">
        <v>-92152.740332700007</v>
      </c>
      <c r="P89" s="9">
        <v>-111581.70220799997</v>
      </c>
      <c r="Q89" s="9">
        <v>-122230.02179699999</v>
      </c>
      <c r="R89" s="9">
        <v>-118306.570909</v>
      </c>
      <c r="S89" s="9">
        <v>-116571.58171199998</v>
      </c>
      <c r="T89" s="9">
        <v>-61903.355023999989</v>
      </c>
      <c r="U89" s="9">
        <v>-65780.366532999993</v>
      </c>
      <c r="V89" s="9">
        <v>-99753.913784999997</v>
      </c>
      <c r="W89" s="9">
        <v>-162070.31638169999</v>
      </c>
      <c r="X89" s="9">
        <v>-79442.262528000021</v>
      </c>
      <c r="Y89" s="9">
        <v>-5199.2887999999921</v>
      </c>
      <c r="Z89" s="9">
        <v>-92576.065690000003</v>
      </c>
      <c r="AA89" s="9">
        <v>12029.279769399975</v>
      </c>
      <c r="AB89" s="9">
        <v>-59005.394611000003</v>
      </c>
      <c r="AC89" s="9">
        <v>2039.7764944999635</v>
      </c>
      <c r="AD89" s="9">
        <v>-95445.527569999977</v>
      </c>
      <c r="AE89" s="9">
        <v>-17282.832892999952</v>
      </c>
      <c r="AF89" s="9">
        <v>-26937.798574199987</v>
      </c>
      <c r="AG89" s="9">
        <v>-68972.942552400011</v>
      </c>
      <c r="AH89" s="9">
        <v>-19405.873429999978</v>
      </c>
      <c r="AI89" s="9">
        <v>-11640.533296999974</v>
      </c>
      <c r="AJ89" s="9">
        <v>-73648.128839999932</v>
      </c>
      <c r="AK89" s="9">
        <v>-18245.364696000041</v>
      </c>
      <c r="AL89" s="9">
        <v>-77038.617915136303</v>
      </c>
      <c r="AM89" s="9">
        <v>48184.413014928112</v>
      </c>
      <c r="AN89" s="9">
        <v>-42774.017335168668</v>
      </c>
      <c r="AO89" s="9">
        <v>-103817.17759768819</v>
      </c>
      <c r="AP89" s="9">
        <v>17986.684595550621</v>
      </c>
      <c r="AQ89" s="9">
        <v>-118815.67721224825</v>
      </c>
    </row>
    <row r="90" spans="1:43" x14ac:dyDescent="0.25">
      <c r="A90" s="7" t="s">
        <v>129</v>
      </c>
      <c r="B90" s="9">
        <v>159.93733004000001</v>
      </c>
      <c r="C90" s="9">
        <v>761.62698002999991</v>
      </c>
      <c r="D90" s="9">
        <v>419.13939999999997</v>
      </c>
      <c r="E90" s="9">
        <v>1076.12284039</v>
      </c>
      <c r="F90" s="9">
        <v>559.95848003000003</v>
      </c>
      <c r="G90" s="9">
        <v>460.31950003000003</v>
      </c>
      <c r="H90" s="9">
        <v>410.99599001000001</v>
      </c>
      <c r="I90" s="9">
        <v>407.21456001300004</v>
      </c>
      <c r="J90" s="9">
        <v>160.45999995600002</v>
      </c>
      <c r="K90" s="9">
        <v>265.50999996999997</v>
      </c>
      <c r="L90" s="9">
        <v>852.98999995000008</v>
      </c>
      <c r="M90" s="9">
        <v>407.51000000900001</v>
      </c>
      <c r="N90" s="9">
        <v>99682.226318699992</v>
      </c>
      <c r="O90" s="9">
        <v>-97836.549158499998</v>
      </c>
      <c r="P90" s="9">
        <v>866.15090005000002</v>
      </c>
      <c r="Q90" s="9">
        <v>714.18672003000006</v>
      </c>
      <c r="R90" s="9">
        <v>566.53999997000005</v>
      </c>
      <c r="S90" s="9">
        <v>2189.6073298000001</v>
      </c>
      <c r="T90" s="9">
        <v>164.13000000000002</v>
      </c>
      <c r="U90" s="9">
        <v>962.80000000999996</v>
      </c>
      <c r="V90" s="9">
        <v>608.68999997599997</v>
      </c>
      <c r="W90" s="9">
        <v>1785.58999995</v>
      </c>
      <c r="X90" s="9">
        <v>577</v>
      </c>
      <c r="Y90" s="9">
        <v>885.76000004000002</v>
      </c>
      <c r="Z90" s="9">
        <v>863.30000000000007</v>
      </c>
      <c r="AA90" s="9">
        <v>985.20999996</v>
      </c>
      <c r="AB90" s="9">
        <v>1464.7000000099999</v>
      </c>
      <c r="AC90" s="9">
        <v>1016.27</v>
      </c>
      <c r="AD90" s="9">
        <v>269.95999996</v>
      </c>
      <c r="AE90" s="9">
        <v>1578.0200002200002</v>
      </c>
      <c r="AF90" s="9">
        <v>1016.3499997170001</v>
      </c>
      <c r="AG90" s="9">
        <v>759.40000005000002</v>
      </c>
      <c r="AH90" s="9">
        <v>1910.2799997699999</v>
      </c>
      <c r="AI90" s="9">
        <v>1029.99999983</v>
      </c>
      <c r="AJ90" s="9">
        <v>1906.6800004070001</v>
      </c>
      <c r="AK90" s="9">
        <v>726.33999997000001</v>
      </c>
      <c r="AL90" s="9">
        <v>1283.94</v>
      </c>
      <c r="AM90" s="9">
        <v>664.39</v>
      </c>
      <c r="AN90" s="9">
        <v>2930.59</v>
      </c>
      <c r="AO90" s="9">
        <v>1530.22</v>
      </c>
      <c r="AP90" s="9">
        <v>460.76000000000005</v>
      </c>
      <c r="AQ90" s="9">
        <v>1739.9099999999999</v>
      </c>
    </row>
    <row r="91" spans="1:43" x14ac:dyDescent="0.25">
      <c r="A91" s="6" t="s">
        <v>47</v>
      </c>
      <c r="B91" s="9">
        <v>638404.01247639721</v>
      </c>
      <c r="C91" s="9">
        <v>543560.951514808</v>
      </c>
      <c r="D91" s="9">
        <v>606565.59822713665</v>
      </c>
      <c r="E91" s="9">
        <v>612065.77860989876</v>
      </c>
      <c r="F91" s="9">
        <v>511461.05887202389</v>
      </c>
      <c r="G91" s="9">
        <v>396824.96780370758</v>
      </c>
      <c r="H91" s="9">
        <v>399499.44412827049</v>
      </c>
      <c r="I91" s="9">
        <v>390501.17852318333</v>
      </c>
      <c r="J91" s="9">
        <v>258052.49919163901</v>
      </c>
      <c r="K91" s="9">
        <v>463824.34306597052</v>
      </c>
      <c r="L91" s="9">
        <v>263259.55236902973</v>
      </c>
      <c r="M91" s="9">
        <v>425059.33366601355</v>
      </c>
      <c r="N91" s="9">
        <v>329018.06727283209</v>
      </c>
      <c r="O91" s="9">
        <v>285261.88443362521</v>
      </c>
      <c r="P91" s="9">
        <v>336153.50733572862</v>
      </c>
      <c r="Q91" s="9">
        <v>352732.98098812823</v>
      </c>
      <c r="R91" s="9">
        <v>360872.22856210836</v>
      </c>
      <c r="S91" s="9">
        <v>376987.71325693117</v>
      </c>
      <c r="T91" s="9">
        <v>462936.89826284902</v>
      </c>
      <c r="U91" s="9">
        <v>451000.79416507267</v>
      </c>
      <c r="V91" s="9">
        <v>550639.19714765786</v>
      </c>
      <c r="W91" s="9">
        <v>42871.797178764071</v>
      </c>
      <c r="X91" s="9">
        <v>216573.8708248958</v>
      </c>
      <c r="Y91" s="9">
        <v>500487.60591458739</v>
      </c>
      <c r="Z91" s="9">
        <v>518897.63250053476</v>
      </c>
      <c r="AA91" s="9">
        <v>469555.00946728035</v>
      </c>
      <c r="AB91" s="9">
        <v>542599.68718753709</v>
      </c>
      <c r="AC91" s="9">
        <v>585583.07807589346</v>
      </c>
      <c r="AD91" s="9">
        <v>483970.36005959351</v>
      </c>
      <c r="AE91" s="9">
        <v>570920.14909110335</v>
      </c>
      <c r="AF91" s="9">
        <v>489895.38540326676</v>
      </c>
      <c r="AG91" s="9">
        <v>526023.76319106645</v>
      </c>
      <c r="AH91" s="9">
        <v>412847.1532194498</v>
      </c>
      <c r="AI91" s="9">
        <v>630703.16653168167</v>
      </c>
      <c r="AJ91" s="9">
        <v>702374.71453417023</v>
      </c>
      <c r="AK91" s="9">
        <v>784874.98455344827</v>
      </c>
      <c r="AL91" s="9">
        <v>644101.36560940545</v>
      </c>
      <c r="AM91" s="9">
        <v>497648.3424871678</v>
      </c>
      <c r="AN91" s="9">
        <v>777478.46637526969</v>
      </c>
      <c r="AO91" s="9">
        <v>617184.74751431588</v>
      </c>
      <c r="AP91" s="9">
        <v>893767.2354250378</v>
      </c>
      <c r="AQ91" s="9">
        <v>595019.64013419824</v>
      </c>
    </row>
    <row r="92" spans="1:43" x14ac:dyDescent="0.25">
      <c r="A92" s="7" t="s">
        <v>127</v>
      </c>
      <c r="B92" s="9">
        <v>371669.43028337724</v>
      </c>
      <c r="C92" s="9">
        <v>321152.565277708</v>
      </c>
      <c r="D92" s="9">
        <v>432654.91770613665</v>
      </c>
      <c r="E92" s="9">
        <v>352746.09046987875</v>
      </c>
      <c r="F92" s="9">
        <v>384605.46684712393</v>
      </c>
      <c r="G92" s="9">
        <v>331895.3940176575</v>
      </c>
      <c r="H92" s="9">
        <v>376617.55409187049</v>
      </c>
      <c r="I92" s="9">
        <v>337293.69937629334</v>
      </c>
      <c r="J92" s="9">
        <v>344991.340566859</v>
      </c>
      <c r="K92" s="9">
        <v>402739.82848359545</v>
      </c>
      <c r="L92" s="9">
        <v>187489.93668703974</v>
      </c>
      <c r="M92" s="9">
        <v>265135.77726830356</v>
      </c>
      <c r="N92" s="9">
        <v>240604.87760010309</v>
      </c>
      <c r="O92" s="9">
        <v>187662.25489322524</v>
      </c>
      <c r="P92" s="9">
        <v>285239.67023167864</v>
      </c>
      <c r="Q92" s="9">
        <v>231528.93719735823</v>
      </c>
      <c r="R92" s="9">
        <v>297186.06134504837</v>
      </c>
      <c r="S92" s="9">
        <v>262436.54823196115</v>
      </c>
      <c r="T92" s="9">
        <v>319403.6770618491</v>
      </c>
      <c r="U92" s="9">
        <v>264988.15491528268</v>
      </c>
      <c r="V92" s="9">
        <v>196104.85748443782</v>
      </c>
      <c r="W92" s="9">
        <v>238740.9320367671</v>
      </c>
      <c r="X92" s="9">
        <v>63248.907301595835</v>
      </c>
      <c r="Y92" s="9">
        <v>263942.68364122731</v>
      </c>
      <c r="Z92" s="9">
        <v>355667.65045273479</v>
      </c>
      <c r="AA92" s="9">
        <v>222242.6168982794</v>
      </c>
      <c r="AB92" s="9">
        <v>433370.73744454718</v>
      </c>
      <c r="AC92" s="9">
        <v>313682.36408389342</v>
      </c>
      <c r="AD92" s="9">
        <v>393001.92173409346</v>
      </c>
      <c r="AE92" s="9">
        <v>328140.39115032344</v>
      </c>
      <c r="AF92" s="9">
        <v>296780.46927998675</v>
      </c>
      <c r="AG92" s="9">
        <v>341157.56823241647</v>
      </c>
      <c r="AH92" s="9">
        <v>174202.69977941981</v>
      </c>
      <c r="AI92" s="9">
        <v>394031.62022571167</v>
      </c>
      <c r="AJ92" s="9">
        <v>483130.36822258017</v>
      </c>
      <c r="AK92" s="9">
        <v>496800.81401591829</v>
      </c>
      <c r="AL92" s="9">
        <v>454704.51159410481</v>
      </c>
      <c r="AM92" s="9">
        <v>140960.64426922111</v>
      </c>
      <c r="AN92" s="9">
        <v>554855.69000570953</v>
      </c>
      <c r="AO92" s="9">
        <v>435460.26973313879</v>
      </c>
      <c r="AP92" s="9">
        <v>604110.37462714477</v>
      </c>
      <c r="AQ92" s="9">
        <v>456015.03849168197</v>
      </c>
    </row>
    <row r="93" spans="1:43" x14ac:dyDescent="0.25">
      <c r="A93" s="7" t="s">
        <v>75</v>
      </c>
      <c r="B93" s="9">
        <v>230071.19377000001</v>
      </c>
      <c r="C93" s="9">
        <v>214420.76072999998</v>
      </c>
      <c r="D93" s="9">
        <v>174773.53245</v>
      </c>
      <c r="E93" s="9">
        <v>243744.44325000001</v>
      </c>
      <c r="F93" s="9">
        <v>197292.10269</v>
      </c>
      <c r="G93" s="9">
        <v>227762.14050000001</v>
      </c>
      <c r="H93" s="9">
        <v>201627.42209000001</v>
      </c>
      <c r="I93" s="9">
        <v>222277.51804999998</v>
      </c>
      <c r="J93" s="9">
        <v>215471.04611999998</v>
      </c>
      <c r="K93" s="9">
        <v>199087.91524</v>
      </c>
      <c r="L93" s="9">
        <v>222986.76569</v>
      </c>
      <c r="M93" s="9">
        <v>196742.27015999999</v>
      </c>
      <c r="N93" s="9">
        <v>219004.30747</v>
      </c>
      <c r="O93" s="9">
        <v>206771.89788999999</v>
      </c>
      <c r="P93" s="9">
        <v>175301.77116999999</v>
      </c>
      <c r="Q93" s="9">
        <v>232432.82631</v>
      </c>
      <c r="R93" s="9">
        <v>196118.34315999999</v>
      </c>
      <c r="S93" s="9">
        <v>202509.43468000001</v>
      </c>
      <c r="T93" s="9">
        <v>191003.86744999999</v>
      </c>
      <c r="U93" s="9">
        <v>204956.23733</v>
      </c>
      <c r="V93" s="9">
        <v>431953.04492000001</v>
      </c>
      <c r="W93" s="9">
        <v>-41313.011030200003</v>
      </c>
      <c r="X93" s="9">
        <v>210707.90054</v>
      </c>
      <c r="Y93" s="9">
        <v>183399.60786000002</v>
      </c>
      <c r="Z93" s="9">
        <v>234898.19141999999</v>
      </c>
      <c r="AA93" s="9">
        <v>178588.78198</v>
      </c>
      <c r="AB93" s="9">
        <v>142288.29724500002</v>
      </c>
      <c r="AC93" s="9">
        <v>191207.38829</v>
      </c>
      <c r="AD93" s="9">
        <v>182331.26859000002</v>
      </c>
      <c r="AE93" s="9">
        <v>219214.48817</v>
      </c>
      <c r="AF93" s="9">
        <v>188770.09114</v>
      </c>
      <c r="AG93" s="9">
        <v>222818.17627</v>
      </c>
      <c r="AH93" s="9">
        <v>202185.37882900002</v>
      </c>
      <c r="AI93" s="9">
        <v>192742.139883</v>
      </c>
      <c r="AJ93" s="9">
        <v>245855.87221</v>
      </c>
      <c r="AK93" s="9">
        <v>194792.47304799999</v>
      </c>
      <c r="AL93" s="9">
        <v>225907.83494464011</v>
      </c>
      <c r="AM93" s="9">
        <v>210103.67985817872</v>
      </c>
      <c r="AN93" s="9">
        <v>177059.92057309032</v>
      </c>
      <c r="AO93" s="9">
        <v>245860.74619407507</v>
      </c>
      <c r="AP93" s="9">
        <v>205031.89881229875</v>
      </c>
      <c r="AQ93" s="9">
        <v>227945.15961005498</v>
      </c>
    </row>
    <row r="94" spans="1:43" x14ac:dyDescent="0.25">
      <c r="A94" s="7" t="s">
        <v>128</v>
      </c>
      <c r="B94" s="9">
        <v>34740.171482999998</v>
      </c>
      <c r="C94" s="9">
        <v>9263.9877470000138</v>
      </c>
      <c r="D94" s="9">
        <v>1084.3932710000117</v>
      </c>
      <c r="E94" s="9">
        <v>14750.983810000029</v>
      </c>
      <c r="F94" s="9">
        <v>-68648.558104999989</v>
      </c>
      <c r="G94" s="9">
        <v>-163563.465214</v>
      </c>
      <c r="H94" s="9">
        <v>-176734.01556400003</v>
      </c>
      <c r="I94" s="9">
        <v>-156584.980182</v>
      </c>
      <c r="J94" s="9">
        <v>-300723.66799500003</v>
      </c>
      <c r="K94" s="9">
        <v>-138108.42040762497</v>
      </c>
      <c r="L94" s="9">
        <v>-147069.93418800004</v>
      </c>
      <c r="M94" s="9">
        <v>-33139.160591999978</v>
      </c>
      <c r="N94" s="9">
        <v>-131277.09331729999</v>
      </c>
      <c r="O94" s="9">
        <v>-107732.27863000003</v>
      </c>
      <c r="P94" s="9">
        <v>-125225.75356600001</v>
      </c>
      <c r="Q94" s="9">
        <v>-108378.70611899998</v>
      </c>
      <c r="R94" s="9">
        <v>-129567.83564299997</v>
      </c>
      <c r="S94" s="9">
        <v>-86998.001414999992</v>
      </c>
      <c r="T94" s="9">
        <v>-47204.470249000049</v>
      </c>
      <c r="U94" s="9">
        <v>-15101.7919907</v>
      </c>
      <c r="V94" s="9">
        <v>-72534.262816999995</v>
      </c>
      <c r="W94" s="9">
        <v>-154578.70230780003</v>
      </c>
      <c r="X94" s="9">
        <v>-56709.698677000037</v>
      </c>
      <c r="Y94" s="9">
        <v>51882.861013000031</v>
      </c>
      <c r="Z94" s="9">
        <v>-72765.344122000024</v>
      </c>
      <c r="AA94" s="9">
        <v>68758.260588999954</v>
      </c>
      <c r="AB94" s="9">
        <v>-35035.690862000076</v>
      </c>
      <c r="AC94" s="9">
        <v>81344.103111999968</v>
      </c>
      <c r="AD94" s="9">
        <v>-92543.019263999973</v>
      </c>
      <c r="AE94" s="9">
        <v>22362.924810999979</v>
      </c>
      <c r="AF94" s="9">
        <v>1380.2179629999682</v>
      </c>
      <c r="AG94" s="9">
        <v>-38777.384261299958</v>
      </c>
      <c r="AH94" s="9">
        <v>35723.96293099998</v>
      </c>
      <c r="AI94" s="9">
        <v>42970.588183000022</v>
      </c>
      <c r="AJ94" s="9">
        <v>-28882.628497999987</v>
      </c>
      <c r="AK94" s="9">
        <v>91845.543290000001</v>
      </c>
      <c r="AL94" s="9">
        <v>-38014.600219339496</v>
      </c>
      <c r="AM94" s="9">
        <v>144995.51191976795</v>
      </c>
      <c r="AN94" s="9">
        <v>44917.651296469819</v>
      </c>
      <c r="AO94" s="9">
        <v>-65011.117932898036</v>
      </c>
      <c r="AP94" s="9">
        <v>85961.618705594272</v>
      </c>
      <c r="AQ94" s="9">
        <v>-88450.728067538672</v>
      </c>
    </row>
    <row r="95" spans="1:43" x14ac:dyDescent="0.25">
      <c r="A95" s="7" t="s">
        <v>129</v>
      </c>
      <c r="B95" s="9">
        <v>1923.21694002</v>
      </c>
      <c r="C95" s="9">
        <v>-1276.3622398999998</v>
      </c>
      <c r="D95" s="9">
        <v>-1947.2452000000003</v>
      </c>
      <c r="E95" s="9">
        <v>824.26108002000001</v>
      </c>
      <c r="F95" s="9">
        <v>-1787.9525601</v>
      </c>
      <c r="G95" s="9">
        <v>730.89850005000005</v>
      </c>
      <c r="H95" s="9">
        <v>-2011.5164896000001</v>
      </c>
      <c r="I95" s="9">
        <v>-12485.058721110001</v>
      </c>
      <c r="J95" s="9">
        <v>-1686.2195002200001</v>
      </c>
      <c r="K95" s="9">
        <v>105.01975</v>
      </c>
      <c r="L95" s="9">
        <v>-147.21582001000002</v>
      </c>
      <c r="M95" s="9">
        <v>-3679.5531702900003</v>
      </c>
      <c r="N95" s="9">
        <v>685.97552002900011</v>
      </c>
      <c r="O95" s="9">
        <v>-1439.9897196000002</v>
      </c>
      <c r="P95" s="9">
        <v>837.81950004999999</v>
      </c>
      <c r="Q95" s="9">
        <v>-2850.0764002299998</v>
      </c>
      <c r="R95" s="9">
        <v>-2864.34029994</v>
      </c>
      <c r="S95" s="9">
        <v>-960.26824003000002</v>
      </c>
      <c r="T95" s="9">
        <v>-266.17600000000004</v>
      </c>
      <c r="U95" s="9">
        <v>-3841.8060895100002</v>
      </c>
      <c r="V95" s="9">
        <v>-4884.4424397800003</v>
      </c>
      <c r="W95" s="9">
        <v>22.578479997000002</v>
      </c>
      <c r="X95" s="9">
        <v>-673.2383397000001</v>
      </c>
      <c r="Y95" s="9">
        <v>1262.4534003599999</v>
      </c>
      <c r="Z95" s="9">
        <v>1097.1347498</v>
      </c>
      <c r="AA95" s="9">
        <v>-34.649999998999995</v>
      </c>
      <c r="AB95" s="9">
        <v>1976.34335999</v>
      </c>
      <c r="AC95" s="9">
        <v>-650.77741000000003</v>
      </c>
      <c r="AD95" s="9">
        <v>1180.1889994999999</v>
      </c>
      <c r="AE95" s="9">
        <v>1202.34495978</v>
      </c>
      <c r="AF95" s="9">
        <v>2964.6070202800001</v>
      </c>
      <c r="AG95" s="9">
        <v>825.40294994999999</v>
      </c>
      <c r="AH95" s="9">
        <v>735.11168003</v>
      </c>
      <c r="AI95" s="9">
        <v>958.81823997000004</v>
      </c>
      <c r="AJ95" s="9">
        <v>2271.10259959</v>
      </c>
      <c r="AK95" s="9">
        <v>1436.1541995300001</v>
      </c>
      <c r="AL95" s="9">
        <v>1503.6192899999999</v>
      </c>
      <c r="AM95" s="9">
        <v>1588.5064399999999</v>
      </c>
      <c r="AN95" s="9">
        <v>645.20450000000005</v>
      </c>
      <c r="AO95" s="9">
        <v>874.8495200000001</v>
      </c>
      <c r="AP95" s="9">
        <v>-1336.6567199999997</v>
      </c>
      <c r="AQ95" s="9">
        <v>-489.82989999999984</v>
      </c>
    </row>
    <row r="96" spans="1:43" x14ac:dyDescent="0.25">
      <c r="A96" s="6" t="s">
        <v>46</v>
      </c>
      <c r="B96" s="9">
        <v>2128.3627613909985</v>
      </c>
      <c r="C96" s="9">
        <v>1945.7135947899999</v>
      </c>
      <c r="D96" s="9">
        <v>2315.9104795340022</v>
      </c>
      <c r="E96" s="9">
        <v>6718.9617805249982</v>
      </c>
      <c r="F96" s="9">
        <v>7156.1915449959979</v>
      </c>
      <c r="G96" s="9">
        <v>5190.1441941519997</v>
      </c>
      <c r="H96" s="9">
        <v>1157.8379496879998</v>
      </c>
      <c r="I96" s="9">
        <v>1095.526026861</v>
      </c>
      <c r="J96" s="9">
        <v>546.73956201499936</v>
      </c>
      <c r="K96" s="9">
        <v>1128.4332895770003</v>
      </c>
      <c r="L96" s="9">
        <v>447.72898430600117</v>
      </c>
      <c r="M96" s="9">
        <v>1053.9324644660003</v>
      </c>
      <c r="N96" s="9">
        <v>597.00552940100192</v>
      </c>
      <c r="O96" s="9">
        <v>577.87486368000054</v>
      </c>
      <c r="P96" s="9">
        <v>679.95823233900057</v>
      </c>
      <c r="Q96" s="9">
        <v>589.30889987699925</v>
      </c>
      <c r="R96" s="9">
        <v>738.38149021399965</v>
      </c>
      <c r="S96" s="9">
        <v>779.21143584800063</v>
      </c>
      <c r="T96" s="9">
        <v>1106.6788922039996</v>
      </c>
      <c r="U96" s="9">
        <v>985.97719983700074</v>
      </c>
      <c r="V96" s="9">
        <v>1119.5958762650007</v>
      </c>
      <c r="W96" s="9">
        <v>-1.2982881930005306</v>
      </c>
      <c r="X96" s="9">
        <v>328.14199448099998</v>
      </c>
      <c r="Y96" s="9">
        <v>5685.5721816140012</v>
      </c>
      <c r="Z96" s="9">
        <v>1308.9935245150007</v>
      </c>
      <c r="AA96" s="9">
        <v>1120.5694971550013</v>
      </c>
      <c r="AB96" s="9">
        <v>1445.7242059599989</v>
      </c>
      <c r="AC96" s="9">
        <v>5700.1196407689977</v>
      </c>
      <c r="AD96" s="9">
        <v>3995.4256273169995</v>
      </c>
      <c r="AE96" s="9">
        <v>1223.6455382570011</v>
      </c>
      <c r="AF96" s="9">
        <v>3238.6570909999987</v>
      </c>
      <c r="AG96" s="9">
        <v>3431.4090685669971</v>
      </c>
      <c r="AH96" s="9">
        <v>12148.288326601005</v>
      </c>
      <c r="AI96" s="9">
        <v>9428.749266220002</v>
      </c>
      <c r="AJ96" s="9">
        <v>7590.2986166340033</v>
      </c>
      <c r="AK96" s="9">
        <v>20123.244412050004</v>
      </c>
      <c r="AL96" s="9">
        <v>9841.0566972477536</v>
      </c>
      <c r="AM96" s="9">
        <v>4296.9961586023801</v>
      </c>
      <c r="AN96" s="9">
        <v>11697.682643995306</v>
      </c>
      <c r="AO96" s="9">
        <v>19130.920902519541</v>
      </c>
      <c r="AP96" s="9">
        <v>6910.5449406672706</v>
      </c>
      <c r="AQ96" s="9">
        <v>8644.0048906458323</v>
      </c>
    </row>
    <row r="97" spans="1:43" x14ac:dyDescent="0.25">
      <c r="A97" s="7" t="s">
        <v>127</v>
      </c>
      <c r="B97" s="9">
        <v>1737.1966235009982</v>
      </c>
      <c r="C97" s="9">
        <v>1562.0134595099998</v>
      </c>
      <c r="D97" s="9">
        <v>2080.8095554960023</v>
      </c>
      <c r="E97" s="9">
        <v>1579.5105532689981</v>
      </c>
      <c r="F97" s="9">
        <v>1716.0405185629977</v>
      </c>
      <c r="G97" s="9">
        <v>1385.7040167530001</v>
      </c>
      <c r="H97" s="9">
        <v>1532.6953746679997</v>
      </c>
      <c r="I97" s="9">
        <v>1337.5877873710001</v>
      </c>
      <c r="J97" s="9">
        <v>1238.0525019519991</v>
      </c>
      <c r="K97" s="9">
        <v>1389.7005687500005</v>
      </c>
      <c r="L97" s="9">
        <v>632.71750025600113</v>
      </c>
      <c r="M97" s="9">
        <v>874.15499497900032</v>
      </c>
      <c r="N97" s="9">
        <v>758.70357648200184</v>
      </c>
      <c r="O97" s="9">
        <v>565.74872497600052</v>
      </c>
      <c r="P97" s="9">
        <v>815.47446051900056</v>
      </c>
      <c r="Q97" s="9">
        <v>610.14399886699925</v>
      </c>
      <c r="R97" s="9">
        <v>794.27427064299957</v>
      </c>
      <c r="S97" s="9">
        <v>719.57473366600061</v>
      </c>
      <c r="T97" s="9">
        <v>882.56123598399972</v>
      </c>
      <c r="U97" s="9">
        <v>724.87957403300072</v>
      </c>
      <c r="V97" s="9">
        <v>512.55873855500079</v>
      </c>
      <c r="W97" s="9">
        <v>620.37846472999956</v>
      </c>
      <c r="X97" s="9">
        <v>160.66446125099992</v>
      </c>
      <c r="Y97" s="9">
        <v>778.28104840399976</v>
      </c>
      <c r="Z97" s="9">
        <v>1014.0110792880006</v>
      </c>
      <c r="AA97" s="9">
        <v>644.01861747200121</v>
      </c>
      <c r="AB97" s="9">
        <v>1296.8146685599991</v>
      </c>
      <c r="AC97" s="9">
        <v>879.02232467599856</v>
      </c>
      <c r="AD97" s="9">
        <v>1161.3752881070006</v>
      </c>
      <c r="AE97" s="9">
        <v>866.88474623700108</v>
      </c>
      <c r="AF97" s="9">
        <v>828.47214019099863</v>
      </c>
      <c r="AG97" s="9">
        <v>980.02285484399795</v>
      </c>
      <c r="AH97" s="9">
        <v>577.96742760100244</v>
      </c>
      <c r="AI97" s="9">
        <v>1431.0986712800022</v>
      </c>
      <c r="AJ97" s="9">
        <v>1968.6471512840028</v>
      </c>
      <c r="AK97" s="9">
        <v>2333.8811437700001</v>
      </c>
      <c r="AL97" s="9">
        <v>2159.2828065940785</v>
      </c>
      <c r="AM97" s="9">
        <v>683.31166041729193</v>
      </c>
      <c r="AN97" s="9">
        <v>3071.2722745152619</v>
      </c>
      <c r="AO97" s="9">
        <v>2599.3902007729616</v>
      </c>
      <c r="AP97" s="9">
        <v>3786.4438689556368</v>
      </c>
      <c r="AQ97" s="9">
        <v>3179.0469536908417</v>
      </c>
    </row>
    <row r="98" spans="1:43" x14ac:dyDescent="0.25">
      <c r="A98" s="7" t="s">
        <v>75</v>
      </c>
      <c r="B98" s="9">
        <v>633.84704365000005</v>
      </c>
      <c r="C98" s="9">
        <v>592.09933232000003</v>
      </c>
      <c r="D98" s="9">
        <v>588.50177427999995</v>
      </c>
      <c r="E98" s="9">
        <v>774.76597949999996</v>
      </c>
      <c r="F98" s="9">
        <v>604.90488579999999</v>
      </c>
      <c r="G98" s="9">
        <v>574.54616439000006</v>
      </c>
      <c r="H98" s="9">
        <v>513.69628762000002</v>
      </c>
      <c r="I98" s="9">
        <v>571.40133592999996</v>
      </c>
      <c r="J98" s="9">
        <v>543.09662576999995</v>
      </c>
      <c r="K98" s="9">
        <v>429.0301255</v>
      </c>
      <c r="L98" s="9">
        <v>481.97129742999999</v>
      </c>
      <c r="M98" s="9">
        <v>437.08872809999997</v>
      </c>
      <c r="N98" s="9">
        <v>512.81216982000001</v>
      </c>
      <c r="O98" s="9">
        <v>447.77716240000001</v>
      </c>
      <c r="P98" s="9">
        <v>370.28184700999998</v>
      </c>
      <c r="Q98" s="9">
        <v>440.41190174999997</v>
      </c>
      <c r="R98" s="9">
        <v>383.66067308000004</v>
      </c>
      <c r="S98" s="9">
        <v>455.12651762000002</v>
      </c>
      <c r="T98" s="9">
        <v>458.60474898999996</v>
      </c>
      <c r="U98" s="9">
        <v>474.27035348999999</v>
      </c>
      <c r="V98" s="9">
        <v>915.00800885000001</v>
      </c>
      <c r="W98" s="9">
        <v>-82.182868892000002</v>
      </c>
      <c r="X98" s="9">
        <v>421.83576109000001</v>
      </c>
      <c r="Y98" s="9">
        <v>397.99448390000003</v>
      </c>
      <c r="Z98" s="9">
        <v>586.75460932999999</v>
      </c>
      <c r="AA98" s="9">
        <v>437.08859538000002</v>
      </c>
      <c r="AB98" s="9">
        <v>363.54973613999999</v>
      </c>
      <c r="AC98" s="9">
        <v>412.70721111</v>
      </c>
      <c r="AD98" s="9">
        <v>428.87659551000002</v>
      </c>
      <c r="AE98" s="9">
        <v>409.30671856999999</v>
      </c>
      <c r="AF98" s="9">
        <v>347.87185054999998</v>
      </c>
      <c r="AG98" s="9">
        <v>449.03287226999998</v>
      </c>
      <c r="AH98" s="9">
        <v>449.57221812999995</v>
      </c>
      <c r="AI98" s="9">
        <v>504.98989600000004</v>
      </c>
      <c r="AJ98" s="9">
        <v>727.31139769000004</v>
      </c>
      <c r="AK98" s="9">
        <v>676.70979301</v>
      </c>
      <c r="AL98" s="9">
        <v>877.52370459974429</v>
      </c>
      <c r="AM98" s="9">
        <v>797.01660284879574</v>
      </c>
      <c r="AN98" s="9">
        <v>689.62900873697822</v>
      </c>
      <c r="AO98" s="9">
        <v>1106.7242904758784</v>
      </c>
      <c r="AP98" s="9">
        <v>954.55396653629407</v>
      </c>
      <c r="AQ98" s="9">
        <v>1125.3261408533717</v>
      </c>
    </row>
    <row r="99" spans="1:43" x14ac:dyDescent="0.25">
      <c r="A99" s="7" t="s">
        <v>128</v>
      </c>
      <c r="B99" s="9">
        <v>-251.93090576</v>
      </c>
      <c r="C99" s="9">
        <v>-208.39919703999999</v>
      </c>
      <c r="D99" s="9">
        <v>-396.06045024000008</v>
      </c>
      <c r="E99" s="9">
        <v>4331.1885677600003</v>
      </c>
      <c r="F99" s="9">
        <v>4825.6961406299997</v>
      </c>
      <c r="G99" s="9">
        <v>3196.9040130119993</v>
      </c>
      <c r="H99" s="9">
        <v>-907.83434260400008</v>
      </c>
      <c r="I99" s="9">
        <v>-823.25309644000004</v>
      </c>
      <c r="J99" s="9">
        <v>-1244.3095657079998</v>
      </c>
      <c r="K99" s="9">
        <v>-700.257404673</v>
      </c>
      <c r="L99" s="9">
        <v>-677.01981337999996</v>
      </c>
      <c r="M99" s="9">
        <v>-267.43125860999999</v>
      </c>
      <c r="N99" s="9">
        <v>-684.71021689999998</v>
      </c>
      <c r="O99" s="9">
        <v>-445.95102370000006</v>
      </c>
      <c r="P99" s="9">
        <v>-516.16807518999997</v>
      </c>
      <c r="Q99" s="9">
        <v>-461.24700073999998</v>
      </c>
      <c r="R99" s="9">
        <v>-462.69345351000004</v>
      </c>
      <c r="S99" s="9">
        <v>-395.48981543799999</v>
      </c>
      <c r="T99" s="9">
        <v>-234.48709277000006</v>
      </c>
      <c r="U99" s="9">
        <v>-213.172727686</v>
      </c>
      <c r="V99" s="9">
        <v>-307.97087113999999</v>
      </c>
      <c r="W99" s="9">
        <v>-539.49388403100011</v>
      </c>
      <c r="X99" s="9">
        <v>-254.35822785999991</v>
      </c>
      <c r="Y99" s="9">
        <v>4509.2966493100012</v>
      </c>
      <c r="Z99" s="9">
        <v>-291.77216410300002</v>
      </c>
      <c r="AA99" s="9">
        <v>39.462284302999919</v>
      </c>
      <c r="AB99" s="9">
        <v>-214.64019874000007</v>
      </c>
      <c r="AC99" s="9">
        <v>4408.3901049829992</v>
      </c>
      <c r="AD99" s="9">
        <v>2405.1737436999992</v>
      </c>
      <c r="AE99" s="9">
        <v>-52.545926550000068</v>
      </c>
      <c r="AF99" s="9">
        <v>2062.3131002589998</v>
      </c>
      <c r="AG99" s="9">
        <v>2002.3533414529995</v>
      </c>
      <c r="AH99" s="9">
        <v>11120.748680870001</v>
      </c>
      <c r="AI99" s="9">
        <v>7492.6606989399988</v>
      </c>
      <c r="AJ99" s="9">
        <v>4894.3400676600004</v>
      </c>
      <c r="AK99" s="9">
        <v>17112.653475270006</v>
      </c>
      <c r="AL99" s="9">
        <v>6804.2501860539314</v>
      </c>
      <c r="AM99" s="9">
        <v>2816.6678953362925</v>
      </c>
      <c r="AN99" s="9">
        <v>7936.7813607430653</v>
      </c>
      <c r="AO99" s="9">
        <v>15164.806411270702</v>
      </c>
      <c r="AP99" s="9">
        <v>2169.5471051753398</v>
      </c>
      <c r="AQ99" s="9">
        <v>4339.6317961016193</v>
      </c>
    </row>
    <row r="100" spans="1:43" x14ac:dyDescent="0.25">
      <c r="A100" s="7" t="s">
        <v>129</v>
      </c>
      <c r="B100" s="9">
        <v>9.25</v>
      </c>
      <c r="C100" s="9"/>
      <c r="D100" s="9">
        <v>42.659599997999997</v>
      </c>
      <c r="E100" s="9">
        <v>33.496679995999997</v>
      </c>
      <c r="F100" s="9">
        <v>9.550000003000001</v>
      </c>
      <c r="G100" s="9">
        <v>32.989999996999998</v>
      </c>
      <c r="H100" s="9">
        <v>19.280630004000002</v>
      </c>
      <c r="I100" s="9">
        <v>9.7900000000000009</v>
      </c>
      <c r="J100" s="9">
        <v>9.9000000009999987</v>
      </c>
      <c r="K100" s="9">
        <v>9.9600000000000009</v>
      </c>
      <c r="L100" s="9">
        <v>10.06</v>
      </c>
      <c r="M100" s="9">
        <v>10.119999997000001</v>
      </c>
      <c r="N100" s="9">
        <v>10.199999999000001</v>
      </c>
      <c r="O100" s="9">
        <v>10.300000004000001</v>
      </c>
      <c r="P100" s="9">
        <v>10.370000000000001</v>
      </c>
      <c r="Q100" s="9"/>
      <c r="R100" s="9">
        <v>23.140000000999997</v>
      </c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>
        <v>260.00000000000006</v>
      </c>
      <c r="AP100" s="9"/>
      <c r="AQ100" s="9"/>
    </row>
    <row r="101" spans="1:43" x14ac:dyDescent="0.25">
      <c r="A101" s="6" t="s">
        <v>48</v>
      </c>
      <c r="B101" s="9">
        <v>0</v>
      </c>
      <c r="C101" s="9">
        <v>0</v>
      </c>
      <c r="D101" s="9">
        <v>0</v>
      </c>
      <c r="E101" s="9">
        <v>0</v>
      </c>
      <c r="F101" s="9">
        <v>0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9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9">
        <v>0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9">
        <v>0</v>
      </c>
      <c r="AQ101" s="9">
        <v>0</v>
      </c>
    </row>
    <row r="102" spans="1:43" x14ac:dyDescent="0.25">
      <c r="A102" s="7" t="s">
        <v>75</v>
      </c>
      <c r="B102" s="9">
        <v>0</v>
      </c>
      <c r="C102" s="9">
        <v>0</v>
      </c>
      <c r="D102" s="9">
        <v>0</v>
      </c>
      <c r="E102" s="9">
        <v>0</v>
      </c>
      <c r="F102" s="9">
        <v>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9">
        <v>0</v>
      </c>
      <c r="N102" s="9">
        <v>0</v>
      </c>
      <c r="O102" s="9">
        <v>0</v>
      </c>
      <c r="P102" s="9">
        <v>0</v>
      </c>
      <c r="Q102" s="9">
        <v>0</v>
      </c>
      <c r="R102" s="9">
        <v>0</v>
      </c>
      <c r="S102" s="9">
        <v>0</v>
      </c>
      <c r="T102" s="9">
        <v>0</v>
      </c>
      <c r="U102" s="9">
        <v>0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</v>
      </c>
      <c r="AB102" s="9">
        <v>0</v>
      </c>
      <c r="AC102" s="9">
        <v>0</v>
      </c>
      <c r="AD102" s="9">
        <v>0</v>
      </c>
      <c r="AE102" s="9">
        <v>0</v>
      </c>
      <c r="AF102" s="9">
        <v>0</v>
      </c>
      <c r="AG102" s="9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9">
        <v>0</v>
      </c>
      <c r="AQ102" s="9">
        <v>0</v>
      </c>
    </row>
    <row r="103" spans="1:43" x14ac:dyDescent="0.25">
      <c r="A103" s="5" t="s">
        <v>76</v>
      </c>
      <c r="B103" s="9">
        <v>-5933389.7246734994</v>
      </c>
      <c r="C103" s="9">
        <v>-5905543.6342052007</v>
      </c>
      <c r="D103" s="9">
        <v>-6414477.1751486994</v>
      </c>
      <c r="E103" s="9">
        <v>-6500328.8084510993</v>
      </c>
      <c r="F103" s="9">
        <v>-6303735.1804492995</v>
      </c>
      <c r="G103" s="9">
        <v>-6223725.7704093009</v>
      </c>
      <c r="H103" s="9">
        <v>-6067783.1841009008</v>
      </c>
      <c r="I103" s="9">
        <v>-5715501.5428764001</v>
      </c>
      <c r="J103" s="9">
        <v>-6037329.0153122991</v>
      </c>
      <c r="K103" s="9">
        <v>-5865931.9172309991</v>
      </c>
      <c r="L103" s="9">
        <v>-5976203.8280138001</v>
      </c>
      <c r="M103" s="9">
        <v>-5723645.6279135002</v>
      </c>
      <c r="N103" s="9">
        <v>-5693682.5662526991</v>
      </c>
      <c r="O103" s="9">
        <v>-6444607.272989301</v>
      </c>
      <c r="P103" s="9">
        <v>-6269859.080693</v>
      </c>
      <c r="Q103" s="9">
        <v>-6252024.9995671995</v>
      </c>
      <c r="R103" s="9">
        <v>-6767063.9818584006</v>
      </c>
      <c r="S103" s="9">
        <v>-8382642.0807370003</v>
      </c>
      <c r="T103" s="9">
        <v>-7702056.1565474998</v>
      </c>
      <c r="U103" s="9">
        <v>-7056114.2374587003</v>
      </c>
      <c r="V103" s="9">
        <v>-6659892.4233525004</v>
      </c>
      <c r="W103" s="9">
        <v>-6615954.0494750999</v>
      </c>
      <c r="X103" s="9">
        <v>-7267158.8311377</v>
      </c>
      <c r="Y103" s="9">
        <v>-6821368.2184544997</v>
      </c>
      <c r="Z103" s="9">
        <v>-7734218.433854701</v>
      </c>
      <c r="AA103" s="9">
        <v>-7306563.9721625</v>
      </c>
      <c r="AB103" s="9">
        <v>-7520260.1355085988</v>
      </c>
      <c r="AC103" s="9">
        <v>-7699137.0049042003</v>
      </c>
      <c r="AD103" s="9">
        <v>-7952192.1154049002</v>
      </c>
      <c r="AE103" s="9">
        <v>-8100945.4170065001</v>
      </c>
      <c r="AF103" s="9">
        <v>-8314182.6577489004</v>
      </c>
      <c r="AG103" s="9">
        <v>-8405882.6661247015</v>
      </c>
      <c r="AH103" s="9">
        <v>-7699070.1555904001</v>
      </c>
      <c r="AI103" s="9">
        <v>-7202010.183547901</v>
      </c>
      <c r="AJ103" s="9">
        <v>-7968455.713721999</v>
      </c>
      <c r="AK103" s="9">
        <v>-8220716.3526906995</v>
      </c>
      <c r="AL103" s="9">
        <v>-7913686.4894577991</v>
      </c>
      <c r="AM103" s="9">
        <v>-7744734.4598638006</v>
      </c>
      <c r="AN103" s="9">
        <v>-7997098.6650575008</v>
      </c>
      <c r="AO103" s="9">
        <v>-8367124.8202523999</v>
      </c>
      <c r="AP103" s="9">
        <v>-8363450.8024888989</v>
      </c>
      <c r="AQ103" s="9">
        <v>-8289309.6178104002</v>
      </c>
    </row>
    <row r="104" spans="1:43" x14ac:dyDescent="0.25">
      <c r="A104" s="6" t="s">
        <v>49</v>
      </c>
      <c r="B104" s="9">
        <v>-2092658.7562288998</v>
      </c>
      <c r="C104" s="9">
        <v>-2087495.2967859998</v>
      </c>
      <c r="D104" s="9">
        <v>-2228808.0661450997</v>
      </c>
      <c r="E104" s="9">
        <v>-2260377.4899678002</v>
      </c>
      <c r="F104" s="9">
        <v>-2173716.6398609998</v>
      </c>
      <c r="G104" s="9">
        <v>-2133528.3918565004</v>
      </c>
      <c r="H104" s="9">
        <v>-2130313.1199944001</v>
      </c>
      <c r="I104" s="9">
        <v>-1980971.5909960999</v>
      </c>
      <c r="J104" s="9">
        <v>-2105271.2145873997</v>
      </c>
      <c r="K104" s="9">
        <v>-2046722.6739653999</v>
      </c>
      <c r="L104" s="9">
        <v>-2091496.8576588</v>
      </c>
      <c r="M104" s="9">
        <v>-1976187.0591390999</v>
      </c>
      <c r="N104" s="9">
        <v>-1950528.7235940997</v>
      </c>
      <c r="O104" s="9">
        <v>-2221031.4387350003</v>
      </c>
      <c r="P104" s="9">
        <v>-2117085.6439124001</v>
      </c>
      <c r="Q104" s="9">
        <v>-2138617.1475863997</v>
      </c>
      <c r="R104" s="9">
        <v>-2298954.9671383998</v>
      </c>
      <c r="S104" s="9">
        <v>-2951926.8201032002</v>
      </c>
      <c r="T104" s="9">
        <v>-2717073.7919502999</v>
      </c>
      <c r="U104" s="9">
        <v>-2462144.2298379</v>
      </c>
      <c r="V104" s="9">
        <v>-2318524.2160682003</v>
      </c>
      <c r="W104" s="9">
        <v>-2320325.1271503</v>
      </c>
      <c r="X104" s="9">
        <v>-2542386.7475974001</v>
      </c>
      <c r="Y104" s="9">
        <v>-2413159.113446</v>
      </c>
      <c r="Z104" s="9">
        <v>-2606676.8349210001</v>
      </c>
      <c r="AA104" s="9">
        <v>-2446073.9169096001</v>
      </c>
      <c r="AB104" s="9">
        <v>-2468133.2481093002</v>
      </c>
      <c r="AC104" s="9">
        <v>-2553478.4017789001</v>
      </c>
      <c r="AD104" s="9">
        <v>-2649501.0552854002</v>
      </c>
      <c r="AE104" s="9">
        <v>-2689130.1240053</v>
      </c>
      <c r="AF104" s="9">
        <v>-2770286.5878041</v>
      </c>
      <c r="AG104" s="9">
        <v>-2782723.0119063002</v>
      </c>
      <c r="AH104" s="9">
        <v>-2560028.6167291999</v>
      </c>
      <c r="AI104" s="9">
        <v>-2395711.7878207997</v>
      </c>
      <c r="AJ104" s="9">
        <v>-2663310.8050867999</v>
      </c>
      <c r="AK104" s="9">
        <v>-2724095.5325565003</v>
      </c>
      <c r="AL104" s="9">
        <v>-2756366.3680372997</v>
      </c>
      <c r="AM104" s="9">
        <v>-2603558.9302466004</v>
      </c>
      <c r="AN104" s="9">
        <v>-2246361.0401805001</v>
      </c>
      <c r="AO104" s="9">
        <v>-2822041.5330698001</v>
      </c>
      <c r="AP104" s="9">
        <v>-2600814.5576795</v>
      </c>
      <c r="AQ104" s="9">
        <v>-2796182.5886550001</v>
      </c>
    </row>
    <row r="105" spans="1:43" x14ac:dyDescent="0.25">
      <c r="A105" s="7" t="s">
        <v>78</v>
      </c>
      <c r="B105" s="9">
        <v>-108157.09722159999</v>
      </c>
      <c r="C105" s="9">
        <v>-112094.64685079998</v>
      </c>
      <c r="D105" s="9">
        <v>-124936.66463470001</v>
      </c>
      <c r="E105" s="9">
        <v>-114191.73382379999</v>
      </c>
      <c r="F105" s="9">
        <v>-113353.68553529998</v>
      </c>
      <c r="G105" s="9">
        <v>-114970.9522652</v>
      </c>
      <c r="H105" s="9">
        <v>-110473.3206644</v>
      </c>
      <c r="I105" s="9">
        <v>-113149.57960750001</v>
      </c>
      <c r="J105" s="9">
        <v>-115196.3772357</v>
      </c>
      <c r="K105" s="9">
        <v>-117419.9081653</v>
      </c>
      <c r="L105" s="9">
        <v>-105691.877439</v>
      </c>
      <c r="M105" s="9">
        <v>-81643.393091199992</v>
      </c>
      <c r="N105" s="9">
        <v>-105571.12811919999</v>
      </c>
      <c r="O105" s="9">
        <v>-114475.6191464</v>
      </c>
      <c r="P105" s="9">
        <v>-125698.94296459999</v>
      </c>
      <c r="Q105" s="9">
        <v>-111806.7898589</v>
      </c>
      <c r="R105" s="9">
        <v>-114536.7987894</v>
      </c>
      <c r="S105" s="9">
        <v>-106066.45687929999</v>
      </c>
      <c r="T105" s="9">
        <v>-147443.9204373</v>
      </c>
      <c r="U105" s="9">
        <v>-119721.60082779999</v>
      </c>
      <c r="V105" s="9">
        <v>-134789.43103719997</v>
      </c>
      <c r="W105" s="9">
        <v>-134708.4974585</v>
      </c>
      <c r="X105" s="9">
        <v>-118957.92344610002</v>
      </c>
      <c r="Y105" s="9">
        <v>-143981.2025599</v>
      </c>
      <c r="Z105" s="9">
        <v>-138505.12227009999</v>
      </c>
      <c r="AA105" s="9">
        <v>-118229.44744339999</v>
      </c>
      <c r="AB105" s="9">
        <v>-116130.485915</v>
      </c>
      <c r="AC105" s="9">
        <v>-116943.81328810001</v>
      </c>
      <c r="AD105" s="9">
        <v>-141328.2331901</v>
      </c>
      <c r="AE105" s="9">
        <v>-132882.35731399999</v>
      </c>
      <c r="AF105" s="9">
        <v>-120466.00982809998</v>
      </c>
      <c r="AG105" s="9">
        <v>-118702.22499500001</v>
      </c>
      <c r="AH105" s="9">
        <v>-111242.39163309999</v>
      </c>
      <c r="AI105" s="9">
        <v>-107991.68773039999</v>
      </c>
      <c r="AJ105" s="9">
        <v>-99811.952465599999</v>
      </c>
      <c r="AK105" s="9">
        <v>-112768.27917939999</v>
      </c>
      <c r="AL105" s="9">
        <v>-106174.14110529999</v>
      </c>
      <c r="AM105" s="9">
        <v>-111218.11271449999</v>
      </c>
      <c r="AN105" s="9">
        <v>-115217.68548849999</v>
      </c>
      <c r="AO105" s="9">
        <v>-121410.4460847</v>
      </c>
      <c r="AP105" s="9">
        <v>-119854.41193840001</v>
      </c>
      <c r="AQ105" s="9">
        <v>-129030.75067010001</v>
      </c>
    </row>
    <row r="106" spans="1:43" x14ac:dyDescent="0.25">
      <c r="A106" s="7" t="s">
        <v>79</v>
      </c>
      <c r="B106" s="9">
        <v>-1287540.5133521999</v>
      </c>
      <c r="C106" s="9">
        <v>-1281213.4326714</v>
      </c>
      <c r="D106" s="9">
        <v>-1383076.6195511001</v>
      </c>
      <c r="E106" s="9">
        <v>-1404320.0049649002</v>
      </c>
      <c r="F106" s="9">
        <v>-1347965.6693694999</v>
      </c>
      <c r="G106" s="9">
        <v>-1366945.0283851002</v>
      </c>
      <c r="H106" s="9">
        <v>-1295190.1728296001</v>
      </c>
      <c r="I106" s="9">
        <v>-1198804.4416771999</v>
      </c>
      <c r="J106" s="9">
        <v>-1297712.8946444998</v>
      </c>
      <c r="K106" s="9">
        <v>-1238539.3977806999</v>
      </c>
      <c r="L106" s="9">
        <v>-1240152.5465569</v>
      </c>
      <c r="M106" s="9">
        <v>-1236790.1775914</v>
      </c>
      <c r="N106" s="9">
        <v>-1149530.7852230999</v>
      </c>
      <c r="O106" s="9">
        <v>-1354803.0617655001</v>
      </c>
      <c r="P106" s="9">
        <v>-1339894.8985597</v>
      </c>
      <c r="Q106" s="9">
        <v>-1291253.4296863</v>
      </c>
      <c r="R106" s="9">
        <v>-1374956.1502942001</v>
      </c>
      <c r="S106" s="9">
        <v>-1246513.0023498</v>
      </c>
      <c r="T106" s="9">
        <v>-1437779.8369459</v>
      </c>
      <c r="U106" s="9">
        <v>-1424427.3805322</v>
      </c>
      <c r="V106" s="9">
        <v>-1370015.9045278002</v>
      </c>
      <c r="W106" s="9">
        <v>-1382372.7739420999</v>
      </c>
      <c r="X106" s="9">
        <v>-1607880.3534360002</v>
      </c>
      <c r="Y106" s="9">
        <v>-1462802.6270756</v>
      </c>
      <c r="Z106" s="9">
        <v>-1528127.7947339001</v>
      </c>
      <c r="AA106" s="9">
        <v>-1500540.0478006999</v>
      </c>
      <c r="AB106" s="9">
        <v>-1532549.8050858001</v>
      </c>
      <c r="AC106" s="9">
        <v>-1589273.5872104999</v>
      </c>
      <c r="AD106" s="9">
        <v>-1642736.7104060003</v>
      </c>
      <c r="AE106" s="9">
        <v>-1680987.6154180001</v>
      </c>
      <c r="AF106" s="9">
        <v>-1804830.8515393999</v>
      </c>
      <c r="AG106" s="9">
        <v>-1807528.1793862002</v>
      </c>
      <c r="AH106" s="9">
        <v>-1614336.8798561003</v>
      </c>
      <c r="AI106" s="9">
        <v>-1533898.1157853999</v>
      </c>
      <c r="AJ106" s="9">
        <v>-1629927.3303943002</v>
      </c>
      <c r="AK106" s="9">
        <v>-1748318.8686590001</v>
      </c>
      <c r="AL106" s="9">
        <v>-1652130.1142658</v>
      </c>
      <c r="AM106" s="9">
        <v>-1547257.3610860002</v>
      </c>
      <c r="AN106" s="9">
        <v>-1286049.8288679998</v>
      </c>
      <c r="AO106" s="9">
        <v>-1680790.7519616999</v>
      </c>
      <c r="AP106" s="9">
        <v>-1588238.5289948999</v>
      </c>
      <c r="AQ106" s="9">
        <v>-1669123.0509610998</v>
      </c>
    </row>
    <row r="107" spans="1:43" x14ac:dyDescent="0.25">
      <c r="A107" s="7" t="s">
        <v>80</v>
      </c>
      <c r="B107" s="9">
        <v>-696961.1456551</v>
      </c>
      <c r="C107" s="9">
        <v>-694187.21726379998</v>
      </c>
      <c r="D107" s="9">
        <v>-720794.78195929993</v>
      </c>
      <c r="E107" s="9">
        <v>-741865.75117910001</v>
      </c>
      <c r="F107" s="9">
        <v>-712397.28495620005</v>
      </c>
      <c r="G107" s="9">
        <v>-651612.41120620002</v>
      </c>
      <c r="H107" s="9">
        <v>-724649.62650040002</v>
      </c>
      <c r="I107" s="9">
        <v>-669017.56971139996</v>
      </c>
      <c r="J107" s="9">
        <v>-692361.94270720007</v>
      </c>
      <c r="K107" s="9">
        <v>-690763.36801940005</v>
      </c>
      <c r="L107" s="9">
        <v>-745652.4336629</v>
      </c>
      <c r="M107" s="9">
        <v>-657753.4884565</v>
      </c>
      <c r="N107" s="9">
        <v>-695426.81025179999</v>
      </c>
      <c r="O107" s="9">
        <v>-751752.75782309996</v>
      </c>
      <c r="P107" s="9">
        <v>-651491.80238809995</v>
      </c>
      <c r="Q107" s="9">
        <v>-735556.92804119992</v>
      </c>
      <c r="R107" s="9">
        <v>-809462.01805479988</v>
      </c>
      <c r="S107" s="9">
        <v>-1599347.3608741001</v>
      </c>
      <c r="T107" s="9">
        <v>-1131850.0345671</v>
      </c>
      <c r="U107" s="9">
        <v>-917995.24847790017</v>
      </c>
      <c r="V107" s="9">
        <v>-813718.88050319999</v>
      </c>
      <c r="W107" s="9">
        <v>-803243.85574969999</v>
      </c>
      <c r="X107" s="9">
        <v>-815548.47071529995</v>
      </c>
      <c r="Y107" s="9">
        <v>-806375.28381049994</v>
      </c>
      <c r="Z107" s="9">
        <v>-940043.91791700001</v>
      </c>
      <c r="AA107" s="9">
        <v>-827304.42166550015</v>
      </c>
      <c r="AB107" s="9">
        <v>-819452.95710849995</v>
      </c>
      <c r="AC107" s="9">
        <v>-847261.00128029997</v>
      </c>
      <c r="AD107" s="9">
        <v>-865436.11168930004</v>
      </c>
      <c r="AE107" s="9">
        <v>-875260.15127329994</v>
      </c>
      <c r="AF107" s="9">
        <v>-844989.72643659997</v>
      </c>
      <c r="AG107" s="9">
        <v>-856492.6075251</v>
      </c>
      <c r="AH107" s="9">
        <v>-834449.34523999994</v>
      </c>
      <c r="AI107" s="9">
        <v>-753821.98430499993</v>
      </c>
      <c r="AJ107" s="9">
        <v>-933571.52222689998</v>
      </c>
      <c r="AK107" s="9">
        <v>-863008.38471810007</v>
      </c>
      <c r="AL107" s="9">
        <v>-998062.11266619992</v>
      </c>
      <c r="AM107" s="9">
        <v>-945083.45644610003</v>
      </c>
      <c r="AN107" s="9">
        <v>-845093.52582400001</v>
      </c>
      <c r="AO107" s="9">
        <v>-1019840.3350233999</v>
      </c>
      <c r="AP107" s="9">
        <v>-892721.61674620002</v>
      </c>
      <c r="AQ107" s="9">
        <v>-998028.78702379996</v>
      </c>
    </row>
    <row r="108" spans="1:43" x14ac:dyDescent="0.25">
      <c r="A108" s="6" t="s">
        <v>47</v>
      </c>
      <c r="B108" s="9">
        <v>-3651158.3471872997</v>
      </c>
      <c r="C108" s="9">
        <v>-3633119.8524122005</v>
      </c>
      <c r="D108" s="9">
        <v>-3961013.0047378</v>
      </c>
      <c r="E108" s="9">
        <v>-4019157.1872524996</v>
      </c>
      <c r="F108" s="9">
        <v>-3893339.6226106999</v>
      </c>
      <c r="G108" s="9">
        <v>-3856935.9014440998</v>
      </c>
      <c r="H108" s="9">
        <v>-3748022.8666849006</v>
      </c>
      <c r="I108" s="9">
        <v>-3529440.7551410003</v>
      </c>
      <c r="J108" s="9">
        <v>-3724165.7319491999</v>
      </c>
      <c r="K108" s="9">
        <v>-3616702.7000169996</v>
      </c>
      <c r="L108" s="9">
        <v>-3686547.9701842</v>
      </c>
      <c r="M108" s="9">
        <v>-3553889.8544367002</v>
      </c>
      <c r="N108" s="9">
        <v>-3536516.3297209996</v>
      </c>
      <c r="O108" s="9">
        <v>-3994046.5332549</v>
      </c>
      <c r="P108" s="9">
        <v>-3930462.1607836001</v>
      </c>
      <c r="Q108" s="9">
        <v>-3889225.6303289998</v>
      </c>
      <c r="R108" s="9">
        <v>-4227771.5758835999</v>
      </c>
      <c r="S108" s="9">
        <v>-5185409.6604076</v>
      </c>
      <c r="T108" s="9">
        <v>-4707202.7205035994</v>
      </c>
      <c r="U108" s="9">
        <v>-4320373.7987315999</v>
      </c>
      <c r="V108" s="9">
        <v>-4065604.4836601</v>
      </c>
      <c r="W108" s="9">
        <v>-4037359.4672703999</v>
      </c>
      <c r="X108" s="9">
        <v>-4456560.7315277997</v>
      </c>
      <c r="Y108" s="9">
        <v>-4147255.9385508997</v>
      </c>
      <c r="Z108" s="9">
        <v>-4803988.4674621001</v>
      </c>
      <c r="AA108" s="9">
        <v>-4571260.8609256996</v>
      </c>
      <c r="AB108" s="9">
        <v>-4710320.767193499</v>
      </c>
      <c r="AC108" s="9">
        <v>-4771386.2756858999</v>
      </c>
      <c r="AD108" s="9">
        <v>-4926651.3483260004</v>
      </c>
      <c r="AE108" s="9">
        <v>-5045129.4678557999</v>
      </c>
      <c r="AF108" s="9">
        <v>-5129562.3972554002</v>
      </c>
      <c r="AG108" s="9">
        <v>-5206225.5783808008</v>
      </c>
      <c r="AH108" s="9">
        <v>-4818288.1499647005</v>
      </c>
      <c r="AI108" s="9">
        <v>-4432365.7965208003</v>
      </c>
      <c r="AJ108" s="9">
        <v>-4895537.447540299</v>
      </c>
      <c r="AK108" s="9">
        <v>-5037887.7496984992</v>
      </c>
      <c r="AL108" s="9">
        <v>-4823460.6400697995</v>
      </c>
      <c r="AM108" s="9">
        <v>-4744923.4611138003</v>
      </c>
      <c r="AN108" s="9">
        <v>-5015364.8439165</v>
      </c>
      <c r="AO108" s="9">
        <v>-5100123.0859885002</v>
      </c>
      <c r="AP108" s="9">
        <v>-5268100.7991405996</v>
      </c>
      <c r="AQ108" s="9">
        <v>-5065609.4360718001</v>
      </c>
    </row>
    <row r="109" spans="1:43" x14ac:dyDescent="0.25">
      <c r="A109" s="7" t="s">
        <v>78</v>
      </c>
      <c r="B109" s="9">
        <v>-363647.764333</v>
      </c>
      <c r="C109" s="9">
        <v>-362316.22583900008</v>
      </c>
      <c r="D109" s="9">
        <v>-399096.91233580007</v>
      </c>
      <c r="E109" s="9">
        <v>-374357.32690039993</v>
      </c>
      <c r="F109" s="9">
        <v>-387597.01102849998</v>
      </c>
      <c r="G109" s="9">
        <v>-379209.46000880003</v>
      </c>
      <c r="H109" s="9">
        <v>-365758.23879130004</v>
      </c>
      <c r="I109" s="9">
        <v>-369779.03008970007</v>
      </c>
      <c r="J109" s="9">
        <v>-365206.31029299996</v>
      </c>
      <c r="K109" s="9">
        <v>-364820.91560669994</v>
      </c>
      <c r="L109" s="9">
        <v>-362849.95906939998</v>
      </c>
      <c r="M109" s="9">
        <v>-314691.10456820001</v>
      </c>
      <c r="N109" s="9">
        <v>-373922.71484750003</v>
      </c>
      <c r="O109" s="9">
        <v>-368698.2793996</v>
      </c>
      <c r="P109" s="9">
        <v>-395465.4085887</v>
      </c>
      <c r="Q109" s="9">
        <v>-376019.34500049998</v>
      </c>
      <c r="R109" s="9">
        <v>-390442.76442129997</v>
      </c>
      <c r="S109" s="9">
        <v>-360160.63398620003</v>
      </c>
      <c r="T109" s="9">
        <v>-374684.10232210002</v>
      </c>
      <c r="U109" s="9">
        <v>-375724.14910819998</v>
      </c>
      <c r="V109" s="9">
        <v>-407661.2079887999</v>
      </c>
      <c r="W109" s="9">
        <v>-419868.64197500004</v>
      </c>
      <c r="X109" s="9">
        <v>-405101.76749060006</v>
      </c>
      <c r="Y109" s="9">
        <v>-408089.90649530001</v>
      </c>
      <c r="Z109" s="9">
        <v>-401528.71502419998</v>
      </c>
      <c r="AA109" s="9">
        <v>-396562.27131829993</v>
      </c>
      <c r="AB109" s="9">
        <v>-406694.44062530005</v>
      </c>
      <c r="AC109" s="9">
        <v>-389913.06350299995</v>
      </c>
      <c r="AD109" s="9">
        <v>-405662.57499200001</v>
      </c>
      <c r="AE109" s="9">
        <v>-417285.64342789998</v>
      </c>
      <c r="AF109" s="9">
        <v>-383321.77376219997</v>
      </c>
      <c r="AG109" s="9">
        <v>-377497.13184440008</v>
      </c>
      <c r="AH109" s="9">
        <v>-362131.83362899994</v>
      </c>
      <c r="AI109" s="9">
        <v>-381188.6324837</v>
      </c>
      <c r="AJ109" s="9">
        <v>-406574.35234560003</v>
      </c>
      <c r="AK109" s="9">
        <v>-382487.56887320004</v>
      </c>
      <c r="AL109" s="9">
        <v>-413820.52783389995</v>
      </c>
      <c r="AM109" s="9">
        <v>-478065.74292970006</v>
      </c>
      <c r="AN109" s="9">
        <v>-474912.00987289997</v>
      </c>
      <c r="AO109" s="9">
        <v>-505758.3223377</v>
      </c>
      <c r="AP109" s="9">
        <v>-462820.05159090005</v>
      </c>
      <c r="AQ109" s="9">
        <v>-508420.00911599997</v>
      </c>
    </row>
    <row r="110" spans="1:43" x14ac:dyDescent="0.25">
      <c r="A110" s="7" t="s">
        <v>79</v>
      </c>
      <c r="B110" s="9">
        <v>-2054253.5102329999</v>
      </c>
      <c r="C110" s="9">
        <v>-2041461.3720402</v>
      </c>
      <c r="D110" s="9">
        <v>-2280310.4830447999</v>
      </c>
      <c r="E110" s="9">
        <v>-2319893.9623445002</v>
      </c>
      <c r="F110" s="9">
        <v>-2254426.9535102998</v>
      </c>
      <c r="G110" s="9">
        <v>-2316922.6493528998</v>
      </c>
      <c r="H110" s="9">
        <v>-2116681.4399279002</v>
      </c>
      <c r="I110" s="9">
        <v>-1973670.9146354003</v>
      </c>
      <c r="J110" s="9">
        <v>-2155473.8347463002</v>
      </c>
      <c r="K110" s="9">
        <v>-2045628.4764842999</v>
      </c>
      <c r="L110" s="9">
        <v>-2016493.5801233998</v>
      </c>
      <c r="M110" s="9">
        <v>-2086422.9470972</v>
      </c>
      <c r="N110" s="9">
        <v>-1953278.1770041999</v>
      </c>
      <c r="O110" s="9">
        <v>-2332615.0548601002</v>
      </c>
      <c r="P110" s="9">
        <v>-2284786.7704345002</v>
      </c>
      <c r="Q110" s="9">
        <v>-2193866.1437673997</v>
      </c>
      <c r="R110" s="9">
        <v>-2369524.1869548</v>
      </c>
      <c r="S110" s="9">
        <v>-2077048.7124732002</v>
      </c>
      <c r="T110" s="9">
        <v>-2306116.2367726001</v>
      </c>
      <c r="U110" s="9">
        <v>-2326715.8601839002</v>
      </c>
      <c r="V110" s="9">
        <v>-2197128.9358926001</v>
      </c>
      <c r="W110" s="9">
        <v>-2191030.9261566</v>
      </c>
      <c r="X110" s="9">
        <v>-2607603.8099761996</v>
      </c>
      <c r="Y110" s="9">
        <v>-2336003.2209762</v>
      </c>
      <c r="Z110" s="9">
        <v>-2713719.0903350003</v>
      </c>
      <c r="AA110" s="9">
        <v>-2634851.8998659998</v>
      </c>
      <c r="AB110" s="9">
        <v>-2783720.0736534996</v>
      </c>
      <c r="AC110" s="9">
        <v>-2795191.5658133002</v>
      </c>
      <c r="AD110" s="9">
        <v>-2932222.2432716</v>
      </c>
      <c r="AE110" s="9">
        <v>-3016167.5912579997</v>
      </c>
      <c r="AF110" s="9">
        <v>-3185129.0198493004</v>
      </c>
      <c r="AG110" s="9">
        <v>-3200624.761473</v>
      </c>
      <c r="AH110" s="9">
        <v>-2864423.2541711</v>
      </c>
      <c r="AI110" s="9">
        <v>-2583104.3631076999</v>
      </c>
      <c r="AJ110" s="9">
        <v>-2769249.0313962996</v>
      </c>
      <c r="AK110" s="9">
        <v>-3043478.6230011</v>
      </c>
      <c r="AL110" s="9">
        <v>-2578054.6433067</v>
      </c>
      <c r="AM110" s="9">
        <v>-2520159.2472754996</v>
      </c>
      <c r="AN110" s="9">
        <v>-2914151.9941989002</v>
      </c>
      <c r="AO110" s="9">
        <v>-2690389.0916983001</v>
      </c>
      <c r="AP110" s="9">
        <v>-3104688.6219282998</v>
      </c>
      <c r="AQ110" s="9">
        <v>-2695660.9389435998</v>
      </c>
    </row>
    <row r="111" spans="1:43" x14ac:dyDescent="0.25">
      <c r="A111" s="7" t="s">
        <v>80</v>
      </c>
      <c r="B111" s="9">
        <v>-1233257.0726213001</v>
      </c>
      <c r="C111" s="9">
        <v>-1229342.2545330001</v>
      </c>
      <c r="D111" s="9">
        <v>-1281605.6093571999</v>
      </c>
      <c r="E111" s="9">
        <v>-1324905.8980075996</v>
      </c>
      <c r="F111" s="9">
        <v>-1251315.6580719</v>
      </c>
      <c r="G111" s="9">
        <v>-1160803.7920824001</v>
      </c>
      <c r="H111" s="9">
        <v>-1265583.1879657002</v>
      </c>
      <c r="I111" s="9">
        <v>-1185990.8104158998</v>
      </c>
      <c r="J111" s="9">
        <v>-1203485.5869099</v>
      </c>
      <c r="K111" s="9">
        <v>-1206253.3079260001</v>
      </c>
      <c r="L111" s="9">
        <v>-1307204.4309914</v>
      </c>
      <c r="M111" s="9">
        <v>-1152775.8027713001</v>
      </c>
      <c r="N111" s="9">
        <v>-1209315.4378692999</v>
      </c>
      <c r="O111" s="9">
        <v>-1292733.1989952</v>
      </c>
      <c r="P111" s="9">
        <v>-1250209.9817603999</v>
      </c>
      <c r="Q111" s="9">
        <v>-1319340.1415611</v>
      </c>
      <c r="R111" s="9">
        <v>-1467804.6245074999</v>
      </c>
      <c r="S111" s="9">
        <v>-2748200.3139482001</v>
      </c>
      <c r="T111" s="9">
        <v>-2026402.3814088998</v>
      </c>
      <c r="U111" s="9">
        <v>-1617933.7894394998</v>
      </c>
      <c r="V111" s="9">
        <v>-1460814.3397786999</v>
      </c>
      <c r="W111" s="9">
        <v>-1426459.8991387999</v>
      </c>
      <c r="X111" s="9">
        <v>-1443855.1540609999</v>
      </c>
      <c r="Y111" s="9">
        <v>-1403162.8110793999</v>
      </c>
      <c r="Z111" s="9">
        <v>-1688740.6621028997</v>
      </c>
      <c r="AA111" s="9">
        <v>-1539846.6897413996</v>
      </c>
      <c r="AB111" s="9">
        <v>-1519906.2529147002</v>
      </c>
      <c r="AC111" s="9">
        <v>-1586281.6463696</v>
      </c>
      <c r="AD111" s="9">
        <v>-1588766.5300624</v>
      </c>
      <c r="AE111" s="9">
        <v>-1611676.2331699</v>
      </c>
      <c r="AF111" s="9">
        <v>-1561111.6036438998</v>
      </c>
      <c r="AG111" s="9">
        <v>-1628103.6850634001</v>
      </c>
      <c r="AH111" s="9">
        <v>-1591733.0621646</v>
      </c>
      <c r="AI111" s="9">
        <v>-1468072.8009293999</v>
      </c>
      <c r="AJ111" s="9">
        <v>-1719714.0637984001</v>
      </c>
      <c r="AK111" s="9">
        <v>-1611921.5578241996</v>
      </c>
      <c r="AL111" s="9">
        <v>-1831585.4689292</v>
      </c>
      <c r="AM111" s="9">
        <v>-1746698.4709086004</v>
      </c>
      <c r="AN111" s="9">
        <v>-1626300.8398446999</v>
      </c>
      <c r="AO111" s="9">
        <v>-1903975.6719524998</v>
      </c>
      <c r="AP111" s="9">
        <v>-1700592.1256213996</v>
      </c>
      <c r="AQ111" s="9">
        <v>-1861528.4880122002</v>
      </c>
    </row>
    <row r="112" spans="1:43" x14ac:dyDescent="0.25">
      <c r="A112" s="6" t="s">
        <v>46</v>
      </c>
      <c r="B112" s="9">
        <v>-189572.62125730002</v>
      </c>
      <c r="C112" s="9">
        <v>-184928.48500699998</v>
      </c>
      <c r="D112" s="9">
        <v>-224656.10426579998</v>
      </c>
      <c r="E112" s="9">
        <v>-220794.13123079998</v>
      </c>
      <c r="F112" s="9">
        <v>-236678.91797759998</v>
      </c>
      <c r="G112" s="9">
        <v>-233261.47710869997</v>
      </c>
      <c r="H112" s="9">
        <v>-189447.19742159999</v>
      </c>
      <c r="I112" s="9">
        <v>-205089.19673930001</v>
      </c>
      <c r="J112" s="9">
        <v>-207892.0687757</v>
      </c>
      <c r="K112" s="9">
        <v>-202506.54324860001</v>
      </c>
      <c r="L112" s="9">
        <v>-198159.00017079999</v>
      </c>
      <c r="M112" s="9">
        <v>-193568.71433769999</v>
      </c>
      <c r="N112" s="9">
        <v>-206637.51293760003</v>
      </c>
      <c r="O112" s="9">
        <v>-229529.3009994</v>
      </c>
      <c r="P112" s="9">
        <v>-222311.27599700002</v>
      </c>
      <c r="Q112" s="9">
        <v>-224182.22165179998</v>
      </c>
      <c r="R112" s="9">
        <v>-240337.43883639999</v>
      </c>
      <c r="S112" s="9">
        <v>-245305.60022619998</v>
      </c>
      <c r="T112" s="9">
        <v>-277779.64409359999</v>
      </c>
      <c r="U112" s="9">
        <v>-273596.20888919994</v>
      </c>
      <c r="V112" s="9">
        <v>-275763.72362420004</v>
      </c>
      <c r="W112" s="9">
        <v>-258269.45505439999</v>
      </c>
      <c r="X112" s="9">
        <v>-268211.35201250005</v>
      </c>
      <c r="Y112" s="9">
        <v>-260953.16645759999</v>
      </c>
      <c r="Z112" s="9">
        <v>-323553.13147160003</v>
      </c>
      <c r="AA112" s="9">
        <v>-289229.19432720006</v>
      </c>
      <c r="AB112" s="9">
        <v>-341806.12020579993</v>
      </c>
      <c r="AC112" s="9">
        <v>-374272.32743940002</v>
      </c>
      <c r="AD112" s="9">
        <v>-376039.71179350012</v>
      </c>
      <c r="AE112" s="9">
        <v>-366685.82514540001</v>
      </c>
      <c r="AF112" s="9">
        <v>-414333.67268940003</v>
      </c>
      <c r="AG112" s="9">
        <v>-416934.07583760004</v>
      </c>
      <c r="AH112" s="9">
        <v>-320753.38889649999</v>
      </c>
      <c r="AI112" s="9">
        <v>-373932.59920630004</v>
      </c>
      <c r="AJ112" s="9">
        <v>-409607.46109489998</v>
      </c>
      <c r="AK112" s="9">
        <v>-458733.07043570001</v>
      </c>
      <c r="AL112" s="9">
        <v>-333859.48135070002</v>
      </c>
      <c r="AM112" s="9">
        <v>-396252.06850339996</v>
      </c>
      <c r="AN112" s="9">
        <v>-735372.78096050001</v>
      </c>
      <c r="AO112" s="9">
        <v>-444960.20119410002</v>
      </c>
      <c r="AP112" s="9">
        <v>-494535.44566880004</v>
      </c>
      <c r="AQ112" s="9">
        <v>-427517.59308360005</v>
      </c>
    </row>
    <row r="113" spans="1:43" x14ac:dyDescent="0.25">
      <c r="A113" s="7" t="s">
        <v>78</v>
      </c>
      <c r="B113" s="9">
        <v>-69831.939306400003</v>
      </c>
      <c r="C113" s="9">
        <v>-64962.614919300002</v>
      </c>
      <c r="D113" s="9">
        <v>-79985.17932760001</v>
      </c>
      <c r="E113" s="9">
        <v>-73235.837618699996</v>
      </c>
      <c r="F113" s="9">
        <v>-87582.076126700005</v>
      </c>
      <c r="G113" s="9">
        <v>-81938.072581200002</v>
      </c>
      <c r="H113" s="9">
        <v>-74602.087156299996</v>
      </c>
      <c r="I113" s="9">
        <v>-87273.953475500006</v>
      </c>
      <c r="J113" s="9">
        <v>-85598.904231799999</v>
      </c>
      <c r="K113" s="9">
        <v>-91538.359540300007</v>
      </c>
      <c r="L113" s="9">
        <v>-95436.121994300003</v>
      </c>
      <c r="M113" s="9">
        <v>-87660.916136499989</v>
      </c>
      <c r="N113" s="9">
        <v>-113681.26473280002</v>
      </c>
      <c r="O113" s="9">
        <v>-109741.2432978</v>
      </c>
      <c r="P113" s="9">
        <v>-111692.99972600001</v>
      </c>
      <c r="Q113" s="9">
        <v>-105973.2415721</v>
      </c>
      <c r="R113" s="9">
        <v>-118190.8413897</v>
      </c>
      <c r="S113" s="9">
        <v>-104499.61276429999</v>
      </c>
      <c r="T113" s="9">
        <v>-112741.74606759999</v>
      </c>
      <c r="U113" s="9">
        <v>-114897.6569968</v>
      </c>
      <c r="V113" s="9">
        <v>-120876.97212840001</v>
      </c>
      <c r="W113" s="9">
        <v>-119393.3148348</v>
      </c>
      <c r="X113" s="9">
        <v>-111144.16688020001</v>
      </c>
      <c r="Y113" s="9">
        <v>-102301.68446019999</v>
      </c>
      <c r="Z113" s="9">
        <v>-128119.61236530001</v>
      </c>
      <c r="AA113" s="9">
        <v>-109262.55330960001</v>
      </c>
      <c r="AB113" s="9">
        <v>-124406.82977119999</v>
      </c>
      <c r="AC113" s="9">
        <v>-124739.6961777</v>
      </c>
      <c r="AD113" s="9">
        <v>-122268.23147250002</v>
      </c>
      <c r="AE113" s="9">
        <v>-109451.80016530001</v>
      </c>
      <c r="AF113" s="9">
        <v>-104018.9359289</v>
      </c>
      <c r="AG113" s="9">
        <v>-100879.675019</v>
      </c>
      <c r="AH113" s="9">
        <v>-96996.18017539999</v>
      </c>
      <c r="AI113" s="9">
        <v>-103681.96039800001</v>
      </c>
      <c r="AJ113" s="9">
        <v>-108871.0220404</v>
      </c>
      <c r="AK113" s="9">
        <v>-98525.412414199993</v>
      </c>
      <c r="AL113" s="9">
        <v>-104850.2523471</v>
      </c>
      <c r="AM113" s="9">
        <v>-139576.4849367</v>
      </c>
      <c r="AN113" s="9">
        <v>-140054.95044370001</v>
      </c>
      <c r="AO113" s="9">
        <v>-171873.98440299998</v>
      </c>
      <c r="AP113" s="9">
        <v>-137852.4866685</v>
      </c>
      <c r="AQ113" s="9">
        <v>-130362.197319</v>
      </c>
    </row>
    <row r="114" spans="1:43" x14ac:dyDescent="0.25">
      <c r="A114" s="7" t="s">
        <v>79</v>
      </c>
      <c r="B114" s="9">
        <v>-100083.0382231</v>
      </c>
      <c r="C114" s="9">
        <v>-99749.091572099991</v>
      </c>
      <c r="D114" s="9">
        <v>-123566.30653249999</v>
      </c>
      <c r="E114" s="9">
        <v>-126640.13158809998</v>
      </c>
      <c r="F114" s="9">
        <v>-129683.53286219998</v>
      </c>
      <c r="G114" s="9">
        <v>-131777.41415279999</v>
      </c>
      <c r="H114" s="9">
        <v>-95590.438625200011</v>
      </c>
      <c r="I114" s="9">
        <v>-99100.735922499996</v>
      </c>
      <c r="J114" s="9">
        <v>-100511.0784627</v>
      </c>
      <c r="K114" s="9">
        <v>-93055.099074400001</v>
      </c>
      <c r="L114" s="9">
        <v>-83755.003124799987</v>
      </c>
      <c r="M114" s="9">
        <v>-90003.129520999995</v>
      </c>
      <c r="N114" s="9">
        <v>-75019.641736799997</v>
      </c>
      <c r="O114" s="9">
        <v>-99331.439678800001</v>
      </c>
      <c r="P114" s="9">
        <v>-92587.261715100016</v>
      </c>
      <c r="Q114" s="9">
        <v>-99030.283333999992</v>
      </c>
      <c r="R114" s="9">
        <v>-101969.09707559999</v>
      </c>
      <c r="S114" s="9">
        <v>-82287.388245800001</v>
      </c>
      <c r="T114" s="9">
        <v>-129645.562525</v>
      </c>
      <c r="U114" s="9">
        <v>-132390.31080039998</v>
      </c>
      <c r="V114" s="9">
        <v>-133180.54329220002</v>
      </c>
      <c r="W114" s="9">
        <v>-116864.73687350001</v>
      </c>
      <c r="X114" s="9">
        <v>-134866.35691260002</v>
      </c>
      <c r="Y114" s="9">
        <v>-136463.61099309998</v>
      </c>
      <c r="Z114" s="9">
        <v>-172339.2495186</v>
      </c>
      <c r="AA114" s="9">
        <v>-157277.00040990001</v>
      </c>
      <c r="AB114" s="9">
        <v>-198184.31203929998</v>
      </c>
      <c r="AC114" s="9">
        <v>-228961.52156530001</v>
      </c>
      <c r="AD114" s="9">
        <v>-233309.64194740006</v>
      </c>
      <c r="AE114" s="9">
        <v>-235575.34599960002</v>
      </c>
      <c r="AF114" s="9">
        <v>-289634.16219639999</v>
      </c>
      <c r="AG114" s="9">
        <v>-295023.65933270002</v>
      </c>
      <c r="AH114" s="9">
        <v>-203470.68318330002</v>
      </c>
      <c r="AI114" s="9">
        <v>-251262.20234009999</v>
      </c>
      <c r="AJ114" s="9">
        <v>-277241.10494629998</v>
      </c>
      <c r="AK114" s="9">
        <v>-337587.15300240007</v>
      </c>
      <c r="AL114" s="9">
        <v>-206837.05948650005</v>
      </c>
      <c r="AM114" s="9">
        <v>-233725.3384675</v>
      </c>
      <c r="AN114" s="9">
        <v>-574634.57992610009</v>
      </c>
      <c r="AO114" s="9">
        <v>-249758.94863310002</v>
      </c>
      <c r="AP114" s="9">
        <v>-333523.69592780003</v>
      </c>
      <c r="AQ114" s="9">
        <v>-272916.29820419999</v>
      </c>
    </row>
    <row r="115" spans="1:43" x14ac:dyDescent="0.25">
      <c r="A115" s="7" t="s">
        <v>80</v>
      </c>
      <c r="B115" s="9">
        <v>-19657.643727800001</v>
      </c>
      <c r="C115" s="9">
        <v>-20216.778515599999</v>
      </c>
      <c r="D115" s="9">
        <v>-21104.618405699999</v>
      </c>
      <c r="E115" s="9">
        <v>-20918.162023999997</v>
      </c>
      <c r="F115" s="9">
        <v>-19413.308988700002</v>
      </c>
      <c r="G115" s="9">
        <v>-19545.990374699999</v>
      </c>
      <c r="H115" s="9">
        <v>-19254.671640100001</v>
      </c>
      <c r="I115" s="9">
        <v>-18714.507341300003</v>
      </c>
      <c r="J115" s="9">
        <v>-21782.086081200003</v>
      </c>
      <c r="K115" s="9">
        <v>-17913.084633899998</v>
      </c>
      <c r="L115" s="9">
        <v>-18967.875051700001</v>
      </c>
      <c r="M115" s="9">
        <v>-15904.6686802</v>
      </c>
      <c r="N115" s="9">
        <v>-17936.606467999998</v>
      </c>
      <c r="O115" s="9">
        <v>-20456.618022799998</v>
      </c>
      <c r="P115" s="9">
        <v>-18031.014555900001</v>
      </c>
      <c r="Q115" s="9">
        <v>-19178.696745699999</v>
      </c>
      <c r="R115" s="9">
        <v>-20177.500371099999</v>
      </c>
      <c r="S115" s="9">
        <v>-58518.599216100003</v>
      </c>
      <c r="T115" s="9">
        <v>-35392.335501000001</v>
      </c>
      <c r="U115" s="9">
        <v>-26308.241091999997</v>
      </c>
      <c r="V115" s="9">
        <v>-21706.208203599999</v>
      </c>
      <c r="W115" s="9">
        <v>-22011.4033461</v>
      </c>
      <c r="X115" s="9">
        <v>-22200.828219700001</v>
      </c>
      <c r="Y115" s="9">
        <v>-22187.871004300003</v>
      </c>
      <c r="Z115" s="9">
        <v>-23094.269587700001</v>
      </c>
      <c r="AA115" s="9">
        <v>-22689.640607699999</v>
      </c>
      <c r="AB115" s="9">
        <v>-19214.978395300001</v>
      </c>
      <c r="AC115" s="9">
        <v>-20571.109696399999</v>
      </c>
      <c r="AD115" s="9">
        <v>-20461.838373600003</v>
      </c>
      <c r="AE115" s="9">
        <v>-21658.678980500001</v>
      </c>
      <c r="AF115" s="9">
        <v>-20680.574564099999</v>
      </c>
      <c r="AG115" s="9">
        <v>-21030.741485900002</v>
      </c>
      <c r="AH115" s="9">
        <v>-20286.5255378</v>
      </c>
      <c r="AI115" s="9">
        <v>-18988.436468200001</v>
      </c>
      <c r="AJ115" s="9">
        <v>-23495.334108199997</v>
      </c>
      <c r="AK115" s="9">
        <v>-22620.505019100001</v>
      </c>
      <c r="AL115" s="9">
        <v>-22172.169517099999</v>
      </c>
      <c r="AM115" s="9">
        <v>-22950.245099199998</v>
      </c>
      <c r="AN115" s="9">
        <v>-20683.250590700001</v>
      </c>
      <c r="AO115" s="9">
        <v>-23327.268157999999</v>
      </c>
      <c r="AP115" s="9">
        <v>-23159.263072499998</v>
      </c>
      <c r="AQ115" s="9">
        <v>-24239.097560400001</v>
      </c>
    </row>
    <row r="116" spans="1:43" x14ac:dyDescent="0.25">
      <c r="A116" s="5" t="s">
        <v>81</v>
      </c>
      <c r="B116" s="9">
        <v>21588.909999999996</v>
      </c>
      <c r="C116" s="9">
        <v>21392.550000000007</v>
      </c>
      <c r="D116" s="9">
        <v>21187.03999999999</v>
      </c>
      <c r="E116" s="9">
        <v>20967.479999999996</v>
      </c>
      <c r="F116" s="9">
        <v>149723.08000000002</v>
      </c>
      <c r="G116" s="9">
        <v>334014.82999999996</v>
      </c>
      <c r="H116" s="9">
        <v>19924.469999999972</v>
      </c>
      <c r="I116" s="9">
        <v>179000</v>
      </c>
      <c r="J116" s="9">
        <v>19367.190000000006</v>
      </c>
      <c r="K116" s="9">
        <v>18994.079999999954</v>
      </c>
      <c r="L116" s="9">
        <v>18585.180000000102</v>
      </c>
      <c r="M116" s="9">
        <v>18477.039999999975</v>
      </c>
      <c r="N116" s="9">
        <v>-120342.34012034234</v>
      </c>
      <c r="O116" s="9">
        <v>86135.71</v>
      </c>
      <c r="P116" s="9">
        <v>156217.71000000002</v>
      </c>
      <c r="Q116" s="9">
        <v>16335.220000000005</v>
      </c>
      <c r="R116" s="9">
        <v>-97220.120097220104</v>
      </c>
      <c r="S116" s="9">
        <v>-51648.769999999982</v>
      </c>
      <c r="T116" s="9">
        <v>16020.480016020445</v>
      </c>
      <c r="U116" s="9">
        <v>13863.37000000003</v>
      </c>
      <c r="V116" s="9">
        <v>216229.70999999996</v>
      </c>
      <c r="W116" s="9">
        <v>-16793.819999999982</v>
      </c>
      <c r="X116" s="9">
        <v>-302580.74087452795</v>
      </c>
      <c r="Y116" s="9">
        <v>-224164.81869130014</v>
      </c>
      <c r="Z116" s="9">
        <v>-18307.63001830762</v>
      </c>
      <c r="AA116" s="9">
        <v>-77930.310000000012</v>
      </c>
      <c r="AB116" s="9">
        <v>-217946.25000000003</v>
      </c>
      <c r="AC116" s="9">
        <v>80384.781853709224</v>
      </c>
      <c r="AD116" s="9">
        <v>-3613.1499999999974</v>
      </c>
      <c r="AE116" s="9">
        <v>-12941.802810591083</v>
      </c>
      <c r="AF116" s="9">
        <v>5747.1103741796314</v>
      </c>
      <c r="AG116" s="9">
        <v>-17750.499999999996</v>
      </c>
      <c r="AH116" s="9">
        <v>142464.88014246486</v>
      </c>
      <c r="AI116" s="9">
        <v>-17468.855637179011</v>
      </c>
      <c r="AJ116" s="9">
        <v>-93381.799999999843</v>
      </c>
      <c r="AK116" s="9">
        <v>129544.62999999996</v>
      </c>
      <c r="AL116" s="9">
        <v>-24525.170000000002</v>
      </c>
      <c r="AM116" s="9">
        <v>70527.749396186045</v>
      </c>
      <c r="AN116" s="9">
        <v>-148849.50000000006</v>
      </c>
      <c r="AO116" s="9">
        <v>17749.439999999988</v>
      </c>
      <c r="AP116" s="9">
        <v>29720.150000000049</v>
      </c>
      <c r="AQ116" s="9">
        <v>58574.76</v>
      </c>
    </row>
    <row r="117" spans="1:43" x14ac:dyDescent="0.25">
      <c r="A117" s="6" t="s">
        <v>49</v>
      </c>
      <c r="B117" s="9">
        <v>11416.291816852299</v>
      </c>
      <c r="C117" s="9">
        <v>11334.834745041604</v>
      </c>
      <c r="D117" s="9">
        <v>11234.281112625755</v>
      </c>
      <c r="E117" s="9">
        <v>11113.752031210439</v>
      </c>
      <c r="F117" s="9">
        <v>79445.112213888206</v>
      </c>
      <c r="G117" s="9">
        <v>177809.65100292003</v>
      </c>
      <c r="H117" s="9">
        <v>10625.536964289855</v>
      </c>
      <c r="I117" s="9">
        <v>95681.274361000003</v>
      </c>
      <c r="J117" s="9">
        <v>10384.432192740513</v>
      </c>
      <c r="K117" s="9">
        <v>10220.578868256936</v>
      </c>
      <c r="L117" s="9">
        <v>10024.934260093974</v>
      </c>
      <c r="M117" s="9">
        <v>9988.4525373726265</v>
      </c>
      <c r="N117" s="9">
        <v>-65175.759525041161</v>
      </c>
      <c r="O117" s="9">
        <v>46739.745982182278</v>
      </c>
      <c r="P117" s="9">
        <v>85007.362368637827</v>
      </c>
      <c r="Q117" s="9">
        <v>8896.768286161363</v>
      </c>
      <c r="R117" s="9">
        <v>-52962.555773459513</v>
      </c>
      <c r="S117" s="9">
        <v>-28215.258470313842</v>
      </c>
      <c r="T117" s="9">
        <v>8773.3988265369408</v>
      </c>
      <c r="U117" s="9">
        <v>7620.071690966136</v>
      </c>
      <c r="V117" s="9">
        <v>119199.63885244142</v>
      </c>
      <c r="W117" s="9">
        <v>-9294.8511203918897</v>
      </c>
      <c r="X117" s="9">
        <v>-167401.91031014817</v>
      </c>
      <c r="Y117" s="9">
        <v>-124181.56353818276</v>
      </c>
      <c r="Z117" s="9">
        <v>-10148.190628076592</v>
      </c>
      <c r="AA117" s="9">
        <v>-43146.956142311501</v>
      </c>
      <c r="AB117" s="9">
        <v>-120331.821865185</v>
      </c>
      <c r="AC117" s="9">
        <v>44230.481295886937</v>
      </c>
      <c r="AD117" s="9">
        <v>-1983.5622802957487</v>
      </c>
      <c r="AE117" s="9">
        <v>-7110.8491719227759</v>
      </c>
      <c r="AF117" s="9">
        <v>3147.1430922526456</v>
      </c>
      <c r="AG117" s="9">
        <v>-9696.0562666519982</v>
      </c>
      <c r="AH117" s="9">
        <v>77543.674359096156</v>
      </c>
      <c r="AI117" s="9">
        <v>-9477.8269014580583</v>
      </c>
      <c r="AJ117" s="9">
        <v>-50408.278926538318</v>
      </c>
      <c r="AK117" s="9">
        <v>69727.667716232041</v>
      </c>
      <c r="AL117" s="9">
        <v>-13129.350531874838</v>
      </c>
      <c r="AM117" s="9">
        <v>37443.041620450698</v>
      </c>
      <c r="AN117" s="9">
        <v>-78609.914923382239</v>
      </c>
      <c r="AO117" s="9">
        <v>9313.063649090207</v>
      </c>
      <c r="AP117" s="9">
        <v>15500.736555296198</v>
      </c>
      <c r="AQ117" s="9">
        <v>30386.263990603438</v>
      </c>
    </row>
    <row r="118" spans="1:43" x14ac:dyDescent="0.25">
      <c r="A118" s="7" t="s">
        <v>48</v>
      </c>
      <c r="B118" s="9">
        <v>11416.291816852299</v>
      </c>
      <c r="C118" s="9">
        <v>11334.834745041604</v>
      </c>
      <c r="D118" s="9">
        <v>11234.281112625755</v>
      </c>
      <c r="E118" s="9">
        <v>11113.752031210439</v>
      </c>
      <c r="F118" s="9">
        <v>79445.112213888206</v>
      </c>
      <c r="G118" s="9">
        <v>177809.65100292003</v>
      </c>
      <c r="H118" s="9">
        <v>10625.536964289855</v>
      </c>
      <c r="I118" s="9">
        <v>95681.274361000003</v>
      </c>
      <c r="J118" s="9">
        <v>10384.432192740513</v>
      </c>
      <c r="K118" s="9">
        <v>10220.578868256936</v>
      </c>
      <c r="L118" s="9">
        <v>10024.934260093974</v>
      </c>
      <c r="M118" s="9">
        <v>9988.4525373726265</v>
      </c>
      <c r="N118" s="9">
        <v>-65175.759525041161</v>
      </c>
      <c r="O118" s="9">
        <v>46739.745982182278</v>
      </c>
      <c r="P118" s="9">
        <v>85007.362368637827</v>
      </c>
      <c r="Q118" s="9">
        <v>8896.768286161363</v>
      </c>
      <c r="R118" s="9">
        <v>-52962.555773459513</v>
      </c>
      <c r="S118" s="9">
        <v>-28215.258470313842</v>
      </c>
      <c r="T118" s="9">
        <v>8773.3988265369408</v>
      </c>
      <c r="U118" s="9">
        <v>7620.071690966136</v>
      </c>
      <c r="V118" s="9">
        <v>119199.63885244142</v>
      </c>
      <c r="W118" s="9">
        <v>-9294.8511203918897</v>
      </c>
      <c r="X118" s="9">
        <v>-167401.91031014817</v>
      </c>
      <c r="Y118" s="9">
        <v>-124181.56353818276</v>
      </c>
      <c r="Z118" s="9">
        <v>-10148.190628076592</v>
      </c>
      <c r="AA118" s="9">
        <v>-43146.956142311501</v>
      </c>
      <c r="AB118" s="9">
        <v>-120331.821865185</v>
      </c>
      <c r="AC118" s="9">
        <v>44230.481295886937</v>
      </c>
      <c r="AD118" s="9">
        <v>-1983.5622802957487</v>
      </c>
      <c r="AE118" s="9">
        <v>-7110.8491719227759</v>
      </c>
      <c r="AF118" s="9">
        <v>3147.1430922526456</v>
      </c>
      <c r="AG118" s="9">
        <v>-9696.0562666519982</v>
      </c>
      <c r="AH118" s="9">
        <v>77543.674359096156</v>
      </c>
      <c r="AI118" s="9">
        <v>-9477.8269014580583</v>
      </c>
      <c r="AJ118" s="9">
        <v>-50408.278926538318</v>
      </c>
      <c r="AK118" s="9">
        <v>69727.667716232041</v>
      </c>
      <c r="AL118" s="9">
        <v>-13129.350531874838</v>
      </c>
      <c r="AM118" s="9">
        <v>37443.041620450698</v>
      </c>
      <c r="AN118" s="9">
        <v>-78609.914923382239</v>
      </c>
      <c r="AO118" s="9">
        <v>9313.063649090207</v>
      </c>
      <c r="AP118" s="9">
        <v>15500.736555296198</v>
      </c>
      <c r="AQ118" s="9">
        <v>30386.263990603438</v>
      </c>
    </row>
    <row r="119" spans="1:43" x14ac:dyDescent="0.25">
      <c r="A119" s="6" t="s">
        <v>47</v>
      </c>
      <c r="B119" s="9">
        <v>10144.66956886208</v>
      </c>
      <c r="C119" s="9">
        <v>10030.018470221254</v>
      </c>
      <c r="D119" s="9">
        <v>9919.3581756124768</v>
      </c>
      <c r="E119" s="9">
        <v>9822.5061539882372</v>
      </c>
      <c r="F119" s="9">
        <v>70063.151549020258</v>
      </c>
      <c r="G119" s="9">
        <v>155812.13172208506</v>
      </c>
      <c r="H119" s="9">
        <v>9275.3018770847266</v>
      </c>
      <c r="I119" s="9">
        <v>83105.090213000003</v>
      </c>
      <c r="J119" s="9">
        <v>8960.173610797352</v>
      </c>
      <c r="K119" s="9">
        <v>8754.6350908363002</v>
      </c>
      <c r="L119" s="9">
        <v>8541.7832406793059</v>
      </c>
      <c r="M119" s="9">
        <v>8469.7707592010302</v>
      </c>
      <c r="N119" s="9">
        <v>-55037.7063444222</v>
      </c>
      <c r="O119" s="9">
        <v>39310.834028367688</v>
      </c>
      <c r="P119" s="9">
        <v>71060.250375022268</v>
      </c>
      <c r="Q119" s="9">
        <v>7424.3840510677219</v>
      </c>
      <c r="R119" s="9">
        <v>-44171.153525582667</v>
      </c>
      <c r="S119" s="9">
        <v>-23380.96438098076</v>
      </c>
      <c r="T119" s="9">
        <v>7229.7224547071837</v>
      </c>
      <c r="U119" s="9">
        <v>6228.8846186983737</v>
      </c>
      <c r="V119" s="9">
        <v>96824.96645613802</v>
      </c>
      <c r="W119" s="9">
        <v>-7484.0809902398923</v>
      </c>
      <c r="X119" s="9">
        <v>-134908.74427157841</v>
      </c>
      <c r="Y119" s="9">
        <v>-99766.75183959931</v>
      </c>
      <c r="Z119" s="9">
        <v>-8139.1086206549853</v>
      </c>
      <c r="AA119" s="9">
        <v>-34698.430860972214</v>
      </c>
      <c r="AB119" s="9">
        <v>-97365.656656946259</v>
      </c>
      <c r="AC119" s="9">
        <v>36076.432221564515</v>
      </c>
      <c r="AD119" s="9">
        <v>-1625.7636267809487</v>
      </c>
      <c r="AE119" s="9">
        <v>-5820.0866527425069</v>
      </c>
      <c r="AF119" s="9">
        <v>2595.1847895416672</v>
      </c>
      <c r="AG119" s="9">
        <v>-8038.2447158004989</v>
      </c>
      <c r="AH119" s="9">
        <v>64777.169515742316</v>
      </c>
      <c r="AI119" s="9">
        <v>-7970.1467277251031</v>
      </c>
      <c r="AJ119" s="9">
        <v>-42846.768166649934</v>
      </c>
      <c r="AK119" s="9">
        <v>59609.877290490484</v>
      </c>
      <c r="AL119" s="9">
        <v>-11351.7244622739</v>
      </c>
      <c r="AM119" s="9">
        <v>32959.677077211614</v>
      </c>
      <c r="AN119" s="9">
        <v>-69967.070994053647</v>
      </c>
      <c r="AO119" s="9">
        <v>8398.570794522826</v>
      </c>
      <c r="AP119" s="9">
        <v>14153.519803047548</v>
      </c>
      <c r="AQ119" s="9">
        <v>28050.017884086221</v>
      </c>
    </row>
    <row r="120" spans="1:43" x14ac:dyDescent="0.25">
      <c r="A120" s="7" t="s">
        <v>48</v>
      </c>
      <c r="B120" s="9">
        <v>10144.66956886208</v>
      </c>
      <c r="C120" s="9">
        <v>10030.018470221254</v>
      </c>
      <c r="D120" s="9">
        <v>9919.3581756124768</v>
      </c>
      <c r="E120" s="9">
        <v>9822.5061539882372</v>
      </c>
      <c r="F120" s="9">
        <v>70063.151549020258</v>
      </c>
      <c r="G120" s="9">
        <v>155812.13172208506</v>
      </c>
      <c r="H120" s="9">
        <v>9275.3018770847266</v>
      </c>
      <c r="I120" s="9">
        <v>83105.090213000003</v>
      </c>
      <c r="J120" s="9">
        <v>8960.173610797352</v>
      </c>
      <c r="K120" s="9">
        <v>8754.6350908363002</v>
      </c>
      <c r="L120" s="9">
        <v>8541.7832406793059</v>
      </c>
      <c r="M120" s="9">
        <v>8469.7707592010302</v>
      </c>
      <c r="N120" s="9">
        <v>-55037.7063444222</v>
      </c>
      <c r="O120" s="9">
        <v>39310.834028367688</v>
      </c>
      <c r="P120" s="9">
        <v>71060.250375022268</v>
      </c>
      <c r="Q120" s="9">
        <v>7424.3840510677219</v>
      </c>
      <c r="R120" s="9">
        <v>-44171.153525582667</v>
      </c>
      <c r="S120" s="9">
        <v>-23380.96438098076</v>
      </c>
      <c r="T120" s="9">
        <v>7229.7224547071837</v>
      </c>
      <c r="U120" s="9">
        <v>6228.8846186983737</v>
      </c>
      <c r="V120" s="9">
        <v>96824.96645613802</v>
      </c>
      <c r="W120" s="9">
        <v>-7484.0809902398923</v>
      </c>
      <c r="X120" s="9">
        <v>-134908.74427157841</v>
      </c>
      <c r="Y120" s="9">
        <v>-99766.75183959931</v>
      </c>
      <c r="Z120" s="9">
        <v>-8139.1086206549853</v>
      </c>
      <c r="AA120" s="9">
        <v>-34698.430860972214</v>
      </c>
      <c r="AB120" s="9">
        <v>-97365.656656946259</v>
      </c>
      <c r="AC120" s="9">
        <v>36076.432221564515</v>
      </c>
      <c r="AD120" s="9">
        <v>-1625.7636267809487</v>
      </c>
      <c r="AE120" s="9">
        <v>-5820.0866527425069</v>
      </c>
      <c r="AF120" s="9">
        <v>2595.1847895416672</v>
      </c>
      <c r="AG120" s="9">
        <v>-8038.2447158004989</v>
      </c>
      <c r="AH120" s="9">
        <v>64777.169515742316</v>
      </c>
      <c r="AI120" s="9">
        <v>-7970.1467277251031</v>
      </c>
      <c r="AJ120" s="9">
        <v>-42846.768166649934</v>
      </c>
      <c r="AK120" s="9">
        <v>59609.877290490484</v>
      </c>
      <c r="AL120" s="9">
        <v>-11351.7244622739</v>
      </c>
      <c r="AM120" s="9">
        <v>32959.677077211614</v>
      </c>
      <c r="AN120" s="9">
        <v>-69967.070994053647</v>
      </c>
      <c r="AO120" s="9">
        <v>8398.570794522826</v>
      </c>
      <c r="AP120" s="9">
        <v>14153.519803047548</v>
      </c>
      <c r="AQ120" s="9">
        <v>28050.017884086221</v>
      </c>
    </row>
    <row r="121" spans="1:43" x14ac:dyDescent="0.25">
      <c r="A121" s="6" t="s">
        <v>46</v>
      </c>
      <c r="B121" s="9">
        <v>27.94861428562</v>
      </c>
      <c r="C121" s="9">
        <v>27.696784737150011</v>
      </c>
      <c r="D121" s="9">
        <v>33.400711761759986</v>
      </c>
      <c r="E121" s="9">
        <v>31.221814801319994</v>
      </c>
      <c r="F121" s="9">
        <v>214.81623709156005</v>
      </c>
      <c r="G121" s="9">
        <v>393.04727499488001</v>
      </c>
      <c r="H121" s="9">
        <v>23.631158625389965</v>
      </c>
      <c r="I121" s="9">
        <v>213.63542600000002</v>
      </c>
      <c r="J121" s="9">
        <v>22.584196462140003</v>
      </c>
      <c r="K121" s="9">
        <v>18.866040906719959</v>
      </c>
      <c r="L121" s="9">
        <v>18.4624992268201</v>
      </c>
      <c r="M121" s="9">
        <v>18.816703426319979</v>
      </c>
      <c r="N121" s="9">
        <v>-128.87425087897998</v>
      </c>
      <c r="O121" s="9">
        <v>85.129989450040014</v>
      </c>
      <c r="P121" s="9">
        <v>150.09725633991002</v>
      </c>
      <c r="Q121" s="9">
        <v>14.067662770920004</v>
      </c>
      <c r="R121" s="9">
        <v>-86.410798177919986</v>
      </c>
      <c r="S121" s="9">
        <v>-52.547148705379982</v>
      </c>
      <c r="T121" s="9">
        <v>17.35873477631996</v>
      </c>
      <c r="U121" s="9">
        <v>14.41369033552003</v>
      </c>
      <c r="V121" s="9">
        <v>205.10469142049996</v>
      </c>
      <c r="W121" s="9">
        <v>-14.887889368199984</v>
      </c>
      <c r="X121" s="9">
        <v>-270.08629280135784</v>
      </c>
      <c r="Y121" s="9">
        <v>-216.50331351806886</v>
      </c>
      <c r="Z121" s="9">
        <v>-20.330769576039987</v>
      </c>
      <c r="AA121" s="9">
        <v>-84.92299671630002</v>
      </c>
      <c r="AB121" s="9">
        <v>-248.77147786875003</v>
      </c>
      <c r="AC121" s="9">
        <v>77.868336257778864</v>
      </c>
      <c r="AD121" s="9">
        <v>-3.8240929232999976</v>
      </c>
      <c r="AE121" s="9">
        <v>-10.866985925799931</v>
      </c>
      <c r="AF121" s="9">
        <v>4.7824923853183181</v>
      </c>
      <c r="AG121" s="9">
        <v>-16.199017547499995</v>
      </c>
      <c r="AH121" s="9">
        <v>144.03626762639999</v>
      </c>
      <c r="AI121" s="9">
        <v>-20.882007995849232</v>
      </c>
      <c r="AJ121" s="9">
        <v>-126.75290681159979</v>
      </c>
      <c r="AK121" s="9">
        <v>207.08499327742993</v>
      </c>
      <c r="AL121" s="9">
        <v>-44.095005851263316</v>
      </c>
      <c r="AM121" s="9">
        <v>125.0306985237219</v>
      </c>
      <c r="AN121" s="9">
        <v>-272.51408256416141</v>
      </c>
      <c r="AO121" s="9">
        <v>37.805556386958145</v>
      </c>
      <c r="AP121" s="9">
        <v>65.89364165630316</v>
      </c>
      <c r="AQ121" s="9">
        <v>138.47812531034072</v>
      </c>
    </row>
    <row r="122" spans="1:43" x14ac:dyDescent="0.25">
      <c r="A122" s="7" t="s">
        <v>48</v>
      </c>
      <c r="B122" s="9">
        <v>27.94861428562</v>
      </c>
      <c r="C122" s="9">
        <v>27.696784737150011</v>
      </c>
      <c r="D122" s="9">
        <v>33.400711761759986</v>
      </c>
      <c r="E122" s="9">
        <v>31.221814801319994</v>
      </c>
      <c r="F122" s="9">
        <v>214.81623709156005</v>
      </c>
      <c r="G122" s="9">
        <v>393.04727499488001</v>
      </c>
      <c r="H122" s="9">
        <v>23.631158625389965</v>
      </c>
      <c r="I122" s="9">
        <v>213.63542600000002</v>
      </c>
      <c r="J122" s="9">
        <v>22.584196462140003</v>
      </c>
      <c r="K122" s="9">
        <v>18.866040906719959</v>
      </c>
      <c r="L122" s="9">
        <v>18.4624992268201</v>
      </c>
      <c r="M122" s="9">
        <v>18.816703426319979</v>
      </c>
      <c r="N122" s="9">
        <v>-128.87425087897998</v>
      </c>
      <c r="O122" s="9">
        <v>85.129989450040014</v>
      </c>
      <c r="P122" s="9">
        <v>150.09725633991002</v>
      </c>
      <c r="Q122" s="9">
        <v>14.067662770920004</v>
      </c>
      <c r="R122" s="9">
        <v>-86.410798177919986</v>
      </c>
      <c r="S122" s="9">
        <v>-52.547148705379982</v>
      </c>
      <c r="T122" s="9">
        <v>17.35873477631996</v>
      </c>
      <c r="U122" s="9">
        <v>14.41369033552003</v>
      </c>
      <c r="V122" s="9">
        <v>205.10469142049996</v>
      </c>
      <c r="W122" s="9">
        <v>-14.887889368199984</v>
      </c>
      <c r="X122" s="9">
        <v>-270.08629280135784</v>
      </c>
      <c r="Y122" s="9">
        <v>-216.50331351806886</v>
      </c>
      <c r="Z122" s="9">
        <v>-20.330769576039987</v>
      </c>
      <c r="AA122" s="9">
        <v>-84.92299671630002</v>
      </c>
      <c r="AB122" s="9">
        <v>-248.77147786875003</v>
      </c>
      <c r="AC122" s="9">
        <v>77.868336257778864</v>
      </c>
      <c r="AD122" s="9">
        <v>-3.8240929232999976</v>
      </c>
      <c r="AE122" s="9">
        <v>-10.866985925799931</v>
      </c>
      <c r="AF122" s="9">
        <v>4.7824923853183181</v>
      </c>
      <c r="AG122" s="9">
        <v>-16.199017547499995</v>
      </c>
      <c r="AH122" s="9">
        <v>144.03626762639999</v>
      </c>
      <c r="AI122" s="9">
        <v>-20.882007995849232</v>
      </c>
      <c r="AJ122" s="9">
        <v>-126.75290681159979</v>
      </c>
      <c r="AK122" s="9">
        <v>207.08499327742993</v>
      </c>
      <c r="AL122" s="9">
        <v>-44.095005851263316</v>
      </c>
      <c r="AM122" s="9">
        <v>125.0306985237219</v>
      </c>
      <c r="AN122" s="9">
        <v>-272.51408256416141</v>
      </c>
      <c r="AO122" s="9">
        <v>37.805556386958145</v>
      </c>
      <c r="AP122" s="9">
        <v>65.89364165630316</v>
      </c>
      <c r="AQ122" s="9">
        <v>138.47812531034072</v>
      </c>
    </row>
    <row r="123" spans="1:43" x14ac:dyDescent="0.25">
      <c r="A123" s="6" t="s">
        <v>48</v>
      </c>
      <c r="B123" s="9">
        <v>0</v>
      </c>
      <c r="C123" s="9">
        <v>0</v>
      </c>
      <c r="D123" s="9">
        <v>0</v>
      </c>
      <c r="E123" s="9">
        <v>0</v>
      </c>
      <c r="F123" s="9">
        <v>0</v>
      </c>
      <c r="G123" s="9">
        <v>0</v>
      </c>
      <c r="H123" s="9">
        <v>0</v>
      </c>
      <c r="I123" s="9">
        <v>0</v>
      </c>
      <c r="J123" s="9">
        <v>0</v>
      </c>
      <c r="K123" s="9">
        <v>0</v>
      </c>
      <c r="L123" s="9">
        <v>0</v>
      </c>
      <c r="M123" s="9">
        <v>0</v>
      </c>
      <c r="N123" s="9">
        <v>0</v>
      </c>
      <c r="O123" s="9">
        <v>0</v>
      </c>
      <c r="P123" s="9">
        <v>0</v>
      </c>
      <c r="Q123" s="9">
        <v>0</v>
      </c>
      <c r="R123" s="9">
        <v>0</v>
      </c>
      <c r="S123" s="9">
        <v>0</v>
      </c>
      <c r="T123" s="9">
        <v>0</v>
      </c>
      <c r="U123" s="9">
        <v>0</v>
      </c>
      <c r="V123" s="9">
        <v>0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9">
        <v>0</v>
      </c>
      <c r="AE123" s="9">
        <v>0</v>
      </c>
      <c r="AF123" s="9">
        <v>0</v>
      </c>
      <c r="AG123" s="9">
        <v>0</v>
      </c>
      <c r="AH123" s="9">
        <v>0</v>
      </c>
      <c r="AI123" s="9">
        <v>0</v>
      </c>
      <c r="AJ123" s="9">
        <v>0</v>
      </c>
      <c r="AK123" s="9">
        <v>0</v>
      </c>
      <c r="AL123" s="9">
        <v>0</v>
      </c>
      <c r="AM123" s="9">
        <v>0</v>
      </c>
      <c r="AN123" s="9">
        <v>0</v>
      </c>
      <c r="AO123" s="9">
        <v>0</v>
      </c>
      <c r="AP123" s="9">
        <v>0</v>
      </c>
      <c r="AQ123" s="9">
        <v>0</v>
      </c>
    </row>
    <row r="124" spans="1:43" x14ac:dyDescent="0.25">
      <c r="A124" s="7" t="s">
        <v>48</v>
      </c>
      <c r="B124" s="9">
        <v>0</v>
      </c>
      <c r="C124" s="9">
        <v>0</v>
      </c>
      <c r="D124" s="9">
        <v>0</v>
      </c>
      <c r="E124" s="9">
        <v>0</v>
      </c>
      <c r="F124" s="9">
        <v>0</v>
      </c>
      <c r="G124" s="9">
        <v>0</v>
      </c>
      <c r="H124" s="9">
        <v>0</v>
      </c>
      <c r="I124" s="9">
        <v>0</v>
      </c>
      <c r="J124" s="9">
        <v>0</v>
      </c>
      <c r="K124" s="9">
        <v>0</v>
      </c>
      <c r="L124" s="9">
        <v>0</v>
      </c>
      <c r="M124" s="9">
        <v>0</v>
      </c>
      <c r="N124" s="9">
        <v>0</v>
      </c>
      <c r="O124" s="9">
        <v>0</v>
      </c>
      <c r="P124" s="9">
        <v>0</v>
      </c>
      <c r="Q124" s="9">
        <v>0</v>
      </c>
      <c r="R124" s="9">
        <v>0</v>
      </c>
      <c r="S124" s="9">
        <v>0</v>
      </c>
      <c r="T124" s="9">
        <v>0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9">
        <v>0</v>
      </c>
      <c r="AE124" s="9">
        <v>0</v>
      </c>
      <c r="AF124" s="9">
        <v>0</v>
      </c>
      <c r="AG124" s="9">
        <v>0</v>
      </c>
      <c r="AH124" s="9">
        <v>0</v>
      </c>
      <c r="AI124" s="9">
        <v>0</v>
      </c>
      <c r="AJ124" s="9">
        <v>0</v>
      </c>
      <c r="AK124" s="9">
        <v>0</v>
      </c>
      <c r="AL124" s="9">
        <v>0</v>
      </c>
      <c r="AM124" s="9">
        <v>0</v>
      </c>
      <c r="AN124" s="9">
        <v>0</v>
      </c>
      <c r="AO124" s="9">
        <v>0</v>
      </c>
      <c r="AP124" s="9">
        <v>0</v>
      </c>
      <c r="AQ124" s="9">
        <v>0</v>
      </c>
    </row>
    <row r="125" spans="1:43" x14ac:dyDescent="0.25">
      <c r="A125" s="5" t="s">
        <v>82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>
        <v>317569.34999999998</v>
      </c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>
        <v>60140</v>
      </c>
      <c r="AN125" s="9">
        <v>1018043.7500000001</v>
      </c>
      <c r="AO125" s="9"/>
      <c r="AP125" s="9"/>
      <c r="AQ125" s="9"/>
    </row>
    <row r="126" spans="1:43" x14ac:dyDescent="0.25">
      <c r="A126" s="6" t="s">
        <v>49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>
        <v>51339.999525584761</v>
      </c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>
        <v>12819.702593431515</v>
      </c>
      <c r="AN126" s="9">
        <v>210697.75562960617</v>
      </c>
      <c r="AO126" s="9"/>
      <c r="AP126" s="9"/>
      <c r="AQ126" s="9"/>
    </row>
    <row r="127" spans="1:43" x14ac:dyDescent="0.25">
      <c r="A127" s="7" t="s">
        <v>83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>
        <v>51339.999525584761</v>
      </c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>
        <v>12819.702593431515</v>
      </c>
      <c r="AN127" s="9">
        <v>210697.75562960617</v>
      </c>
      <c r="AO127" s="9"/>
      <c r="AP127" s="9"/>
      <c r="AQ127" s="9"/>
    </row>
    <row r="128" spans="1:43" x14ac:dyDescent="0.25">
      <c r="A128" s="6" t="s">
        <v>47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>
        <v>265547.7346716341</v>
      </c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>
        <v>47244.04666194458</v>
      </c>
      <c r="AN128" s="9">
        <v>804511.00247159589</v>
      </c>
      <c r="AO128" s="9"/>
      <c r="AP128" s="9"/>
      <c r="AQ128" s="9"/>
    </row>
    <row r="129" spans="1:43" x14ac:dyDescent="0.25">
      <c r="A129" s="7" t="s">
        <v>83</v>
      </c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>
        <v>265547.7346716341</v>
      </c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>
        <v>47244.04666194458</v>
      </c>
      <c r="AN129" s="9">
        <v>804511.00247159589</v>
      </c>
      <c r="AO129" s="9"/>
      <c r="AP129" s="9"/>
      <c r="AQ129" s="9"/>
    </row>
    <row r="130" spans="1:43" x14ac:dyDescent="0.25">
      <c r="A130" s="6" t="s">
        <v>46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>
        <v>681.61580278115957</v>
      </c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>
        <v>76.250744623901923</v>
      </c>
      <c r="AN130" s="9">
        <v>2834.9918987980491</v>
      </c>
      <c r="AO130" s="9"/>
      <c r="AP130" s="9"/>
      <c r="AQ130" s="9"/>
    </row>
    <row r="131" spans="1:43" x14ac:dyDescent="0.25">
      <c r="A131" s="7" t="s">
        <v>83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>
        <v>681.61580278115957</v>
      </c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>
        <v>76.250744623901923</v>
      </c>
      <c r="AN131" s="9">
        <v>2834.9918987980491</v>
      </c>
      <c r="AO131" s="9"/>
      <c r="AP131" s="9"/>
      <c r="AQ131" s="9"/>
    </row>
    <row r="132" spans="1:43" x14ac:dyDescent="0.25">
      <c r="A132" s="6" t="s">
        <v>48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>
        <v>0</v>
      </c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>
        <v>0</v>
      </c>
      <c r="AN132" s="9">
        <v>0</v>
      </c>
      <c r="AO132" s="9"/>
      <c r="AP132" s="9"/>
      <c r="AQ132" s="9"/>
    </row>
    <row r="133" spans="1:43" x14ac:dyDescent="0.25">
      <c r="A133" s="7" t="s">
        <v>83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>
        <v>0</v>
      </c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>
        <v>0</v>
      </c>
      <c r="AN133" s="9">
        <v>0</v>
      </c>
      <c r="AO133" s="9"/>
      <c r="AP133" s="9"/>
      <c r="AQ133" s="9"/>
    </row>
    <row r="134" spans="1:43" x14ac:dyDescent="0.25"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</row>
    <row r="135" spans="1:43" x14ac:dyDescent="0.25"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</row>
    <row r="136" spans="1:43" x14ac:dyDescent="0.25"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</row>
    <row r="137" spans="1:43" x14ac:dyDescent="0.25">
      <c r="B137"/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</row>
    <row r="138" spans="1:43" x14ac:dyDescent="0.25">
      <c r="B138"/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</row>
    <row r="139" spans="1:43" x14ac:dyDescent="0.25">
      <c r="B139"/>
      <c r="C139"/>
      <c r="D139"/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  <c r="AI139"/>
      <c r="AJ139"/>
      <c r="AK139"/>
      <c r="AL139"/>
    </row>
    <row r="140" spans="1:43" x14ac:dyDescent="0.25"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</row>
    <row r="141" spans="1:43" x14ac:dyDescent="0.25">
      <c r="B141"/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</row>
    <row r="142" spans="1:43" x14ac:dyDescent="0.25">
      <c r="B142"/>
      <c r="C142"/>
      <c r="D142"/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14B9D-DA70-4ABD-8D24-D65929A1A9F2}">
  <dimension ref="A1:Q116"/>
  <sheetViews>
    <sheetView topLeftCell="A101" workbookViewId="0">
      <selection activeCell="E10" sqref="E10"/>
    </sheetView>
  </sheetViews>
  <sheetFormatPr baseColWidth="10" defaultRowHeight="15" x14ac:dyDescent="0.25"/>
  <cols>
    <col min="1" max="1" width="42.7109375" bestFit="1" customWidth="1"/>
    <col min="2" max="2" width="22.85546875" bestFit="1" customWidth="1"/>
    <col min="3" max="14" width="12.7109375" bestFit="1" customWidth="1"/>
    <col min="15" max="17" width="12.42578125" bestFit="1" customWidth="1"/>
  </cols>
  <sheetData>
    <row r="1" spans="1:17" x14ac:dyDescent="0.25">
      <c r="A1" s="4" t="s">
        <v>43</v>
      </c>
      <c r="B1" t="s" vm="5">
        <v>125</v>
      </c>
    </row>
    <row r="2" spans="1:17" x14ac:dyDescent="0.25">
      <c r="A2" s="4" t="s">
        <v>53</v>
      </c>
      <c r="B2" t="s" vm="4">
        <v>54</v>
      </c>
    </row>
    <row r="3" spans="1:17" x14ac:dyDescent="0.25">
      <c r="A3" s="4" t="s">
        <v>86</v>
      </c>
      <c r="B3" t="s" vm="3">
        <v>88</v>
      </c>
    </row>
    <row r="5" spans="1:17" x14ac:dyDescent="0.25">
      <c r="A5" s="4" t="s">
        <v>42</v>
      </c>
      <c r="B5" s="4" t="s">
        <v>5</v>
      </c>
    </row>
    <row r="6" spans="1:17" x14ac:dyDescent="0.25">
      <c r="A6" s="4" t="s">
        <v>44</v>
      </c>
      <c r="B6" t="s">
        <v>77</v>
      </c>
      <c r="C6" t="s">
        <v>113</v>
      </c>
      <c r="D6" t="s">
        <v>115</v>
      </c>
      <c r="E6" t="s">
        <v>116</v>
      </c>
      <c r="F6" t="s">
        <v>117</v>
      </c>
      <c r="G6" t="s">
        <v>118</v>
      </c>
      <c r="H6" t="s">
        <v>119</v>
      </c>
      <c r="I6" t="s">
        <v>120</v>
      </c>
      <c r="J6" t="s">
        <v>121</v>
      </c>
      <c r="K6" t="s">
        <v>122</v>
      </c>
      <c r="L6" t="s">
        <v>123</v>
      </c>
      <c r="M6" t="s">
        <v>124</v>
      </c>
      <c r="N6" t="s">
        <v>114</v>
      </c>
    </row>
    <row r="7" spans="1:17" x14ac:dyDescent="0.25">
      <c r="A7" s="5" t="s">
        <v>51</v>
      </c>
    </row>
    <row r="8" spans="1:17" s="8" customFormat="1" x14ac:dyDescent="0.25">
      <c r="A8" s="6" t="s">
        <v>46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</row>
    <row r="9" spans="1:17" s="8" customFormat="1" x14ac:dyDescent="0.25">
      <c r="A9" s="7" t="s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/>
      <c r="P9"/>
      <c r="Q9"/>
    </row>
    <row r="10" spans="1:17" s="8" customFormat="1" x14ac:dyDescent="0.25">
      <c r="A10" s="7" t="s">
        <v>45</v>
      </c>
      <c r="B10">
        <v>718822.91954008746</v>
      </c>
      <c r="C10">
        <v>598248.27998108068</v>
      </c>
      <c r="D10">
        <v>551999.98813850456</v>
      </c>
      <c r="E10">
        <v>488931.68727610796</v>
      </c>
      <c r="F10">
        <v>472836.72179767006</v>
      </c>
      <c r="G10">
        <v>478615.17478083225</v>
      </c>
      <c r="H10">
        <v>471783.97214227589</v>
      </c>
      <c r="I10">
        <v>465525.90611922194</v>
      </c>
      <c r="J10">
        <v>456075.31608837936</v>
      </c>
      <c r="K10">
        <v>449406.17520847014</v>
      </c>
      <c r="L10">
        <v>447671.48980090412</v>
      </c>
      <c r="M10">
        <v>444674.10733091389</v>
      </c>
      <c r="N10">
        <v>6044591.7382044476</v>
      </c>
      <c r="O10"/>
      <c r="P10"/>
      <c r="Q10"/>
    </row>
    <row r="11" spans="1:17" x14ac:dyDescent="0.25">
      <c r="A11" s="7" t="s">
        <v>0</v>
      </c>
      <c r="B11">
        <v>20351884.764988251</v>
      </c>
      <c r="C11">
        <v>19523103.061655007</v>
      </c>
      <c r="D11">
        <v>18582997.222256705</v>
      </c>
      <c r="E11">
        <v>17673188.827321492</v>
      </c>
      <c r="F11">
        <v>17866331.065962121</v>
      </c>
      <c r="G11">
        <v>18177154.939699888</v>
      </c>
      <c r="H11">
        <v>18791118.779228278</v>
      </c>
      <c r="I11">
        <v>19494999.785893876</v>
      </c>
      <c r="J11">
        <v>20093950.411776971</v>
      </c>
      <c r="K11">
        <v>20621524.76900854</v>
      </c>
      <c r="L11">
        <v>21202598.355738342</v>
      </c>
      <c r="M11">
        <v>21837242.835822724</v>
      </c>
      <c r="N11">
        <v>234216094.81935221</v>
      </c>
    </row>
    <row r="12" spans="1:17" x14ac:dyDescent="0.25">
      <c r="A12" s="6" t="s">
        <v>47</v>
      </c>
    </row>
    <row r="13" spans="1:17" x14ac:dyDescent="0.25">
      <c r="A13" s="7" t="s">
        <v>1</v>
      </c>
      <c r="B13">
        <v>19476124.690575998</v>
      </c>
      <c r="C13">
        <v>19260821.754807655</v>
      </c>
      <c r="D13">
        <v>19555703.718908783</v>
      </c>
      <c r="E13">
        <v>19667978.209213477</v>
      </c>
      <c r="F13">
        <v>19518544.461426683</v>
      </c>
      <c r="G13">
        <v>19757207.2952867</v>
      </c>
      <c r="H13">
        <v>19715817.655805591</v>
      </c>
      <c r="I13">
        <v>19723769.397481386</v>
      </c>
      <c r="J13">
        <v>19616046.758492265</v>
      </c>
      <c r="K13">
        <v>19698153.564450029</v>
      </c>
      <c r="L13">
        <v>19713625.914508957</v>
      </c>
      <c r="M13">
        <v>19588250.45537604</v>
      </c>
      <c r="N13">
        <v>235292043.87633356</v>
      </c>
    </row>
    <row r="14" spans="1:17" x14ac:dyDescent="0.25">
      <c r="A14" s="7" t="s">
        <v>45</v>
      </c>
      <c r="B14">
        <v>315014367.46923554</v>
      </c>
      <c r="C14">
        <v>310700357.08656728</v>
      </c>
      <c r="D14">
        <v>314290278.08375722</v>
      </c>
      <c r="E14">
        <v>321094183.51935869</v>
      </c>
      <c r="F14">
        <v>315816360.33148849</v>
      </c>
      <c r="G14">
        <v>319612660.5292697</v>
      </c>
      <c r="H14">
        <v>315052249.44990921</v>
      </c>
      <c r="I14">
        <v>314787968.8956393</v>
      </c>
      <c r="J14">
        <v>314255113.62044847</v>
      </c>
      <c r="K14">
        <v>317821894.44642651</v>
      </c>
      <c r="L14">
        <v>318531556.48022175</v>
      </c>
      <c r="M14">
        <v>316239539.5472607</v>
      </c>
      <c r="N14">
        <v>3793216529.4595828</v>
      </c>
    </row>
    <row r="15" spans="1:17" x14ac:dyDescent="0.25">
      <c r="A15" s="7" t="s">
        <v>0</v>
      </c>
      <c r="B15">
        <v>6013740731.490386</v>
      </c>
      <c r="C15">
        <v>6072684539.8400097</v>
      </c>
      <c r="D15">
        <v>6114182997.765645</v>
      </c>
      <c r="E15">
        <v>6157736628.2310009</v>
      </c>
      <c r="F15">
        <v>6216317881.8231382</v>
      </c>
      <c r="G15">
        <v>6269552048.2086506</v>
      </c>
      <c r="H15">
        <v>6322571156.903964</v>
      </c>
      <c r="I15">
        <v>6387839574.8888779</v>
      </c>
      <c r="J15">
        <v>6451191901.0366125</v>
      </c>
      <c r="K15">
        <v>6522673259.2652035</v>
      </c>
      <c r="L15">
        <v>6586479397.0965214</v>
      </c>
      <c r="M15">
        <v>6644014676.0247965</v>
      </c>
      <c r="N15">
        <v>75758984792.574814</v>
      </c>
    </row>
    <row r="16" spans="1:17" x14ac:dyDescent="0.25">
      <c r="A16" s="6" t="s">
        <v>49</v>
      </c>
    </row>
    <row r="17" spans="1:14" x14ac:dyDescent="0.25">
      <c r="A17" s="7" t="s">
        <v>1</v>
      </c>
      <c r="B17">
        <v>10367090.15706482</v>
      </c>
      <c r="C17">
        <v>10105590.13215315</v>
      </c>
      <c r="D17">
        <v>10214482.961417718</v>
      </c>
      <c r="E17">
        <v>8803169.8027646355</v>
      </c>
      <c r="F17">
        <v>8629368.9796951506</v>
      </c>
      <c r="G17">
        <v>8439689.6898946315</v>
      </c>
      <c r="H17">
        <v>8853878.3484702799</v>
      </c>
      <c r="I17">
        <v>8807482.129632609</v>
      </c>
      <c r="J17">
        <v>8915493.9162491579</v>
      </c>
      <c r="K17">
        <v>6084208.2945833625</v>
      </c>
      <c r="L17">
        <v>6147699.9424921796</v>
      </c>
      <c r="M17">
        <v>6281137.7660680357</v>
      </c>
      <c r="N17">
        <v>101649292.12048572</v>
      </c>
    </row>
    <row r="18" spans="1:14" x14ac:dyDescent="0.25">
      <c r="A18" s="7" t="s">
        <v>45</v>
      </c>
      <c r="B18">
        <v>57098772.363122933</v>
      </c>
      <c r="C18">
        <v>58591448.755276799</v>
      </c>
      <c r="D18">
        <v>60969028.110684671</v>
      </c>
      <c r="E18">
        <v>62471614.97773397</v>
      </c>
      <c r="F18">
        <v>62617030.015276849</v>
      </c>
      <c r="G18">
        <v>65087033.016987078</v>
      </c>
      <c r="H18">
        <v>65026967.696089968</v>
      </c>
      <c r="I18">
        <v>68255288.270971686</v>
      </c>
      <c r="J18">
        <v>69033092.195366189</v>
      </c>
      <c r="K18">
        <v>70502427.686516881</v>
      </c>
      <c r="L18">
        <v>74198590.47516869</v>
      </c>
      <c r="M18">
        <v>74355572.346054196</v>
      </c>
      <c r="N18">
        <v>788206865.9092499</v>
      </c>
    </row>
    <row r="19" spans="1:14" x14ac:dyDescent="0.25">
      <c r="A19" s="7" t="s">
        <v>0</v>
      </c>
      <c r="B19">
        <v>5292198036.1849375</v>
      </c>
      <c r="C19">
        <v>5310084444.8582039</v>
      </c>
      <c r="D19">
        <v>5305462999.6415958</v>
      </c>
      <c r="E19">
        <v>5316410691.5539627</v>
      </c>
      <c r="F19">
        <v>5332896637.8863544</v>
      </c>
      <c r="G19">
        <v>5362021813.9859934</v>
      </c>
      <c r="H19">
        <v>5383439624.4312019</v>
      </c>
      <c r="I19">
        <v>5423377348.9425964</v>
      </c>
      <c r="J19">
        <v>5458153056.1052027</v>
      </c>
      <c r="K19">
        <v>5499024869.2202368</v>
      </c>
      <c r="L19">
        <v>5529566207.4635305</v>
      </c>
      <c r="M19">
        <v>5556110925.6544504</v>
      </c>
      <c r="N19">
        <v>64768746655.928268</v>
      </c>
    </row>
    <row r="20" spans="1:14" x14ac:dyDescent="0.25">
      <c r="A20" s="5" t="s">
        <v>52</v>
      </c>
    </row>
    <row r="21" spans="1:14" x14ac:dyDescent="0.25">
      <c r="A21" s="6" t="s">
        <v>46</v>
      </c>
    </row>
    <row r="22" spans="1:14" x14ac:dyDescent="0.25">
      <c r="A22" s="7" t="s">
        <v>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25">
      <c r="A23" s="7" t="s">
        <v>45</v>
      </c>
      <c r="B23">
        <v>672872.87451140385</v>
      </c>
      <c r="C23">
        <v>560147.18058915599</v>
      </c>
      <c r="D23">
        <v>515852.10036918509</v>
      </c>
      <c r="E23">
        <v>459006.0854966573</v>
      </c>
      <c r="F23">
        <v>443709.72054966522</v>
      </c>
      <c r="G23">
        <v>448717.55065662501</v>
      </c>
      <c r="H23">
        <v>441987.02620061365</v>
      </c>
      <c r="I23">
        <v>436274.13334638049</v>
      </c>
      <c r="J23">
        <v>427455.17493513995</v>
      </c>
      <c r="K23">
        <v>421374.30907709256</v>
      </c>
      <c r="L23">
        <v>419665.51733301586</v>
      </c>
      <c r="M23">
        <v>416785.71105256077</v>
      </c>
      <c r="N23">
        <v>5663847.3841174962</v>
      </c>
    </row>
    <row r="24" spans="1:14" x14ac:dyDescent="0.25">
      <c r="A24" s="7" t="s">
        <v>0</v>
      </c>
      <c r="B24">
        <v>19032959.000774913</v>
      </c>
      <c r="C24">
        <v>18214492.358094905</v>
      </c>
      <c r="D24">
        <v>17270946.653632566</v>
      </c>
      <c r="E24">
        <v>16557097.576351892</v>
      </c>
      <c r="F24">
        <v>16723086.522372168</v>
      </c>
      <c r="G24">
        <v>17000508.578376323</v>
      </c>
      <c r="H24">
        <v>17555761.166590337</v>
      </c>
      <c r="I24">
        <v>18211366.196354333</v>
      </c>
      <c r="J24">
        <v>18775706.35889446</v>
      </c>
      <c r="K24">
        <v>19286286.948270507</v>
      </c>
      <c r="L24">
        <v>19824269.92086634</v>
      </c>
      <c r="M24">
        <v>20414123.803545836</v>
      </c>
      <c r="N24">
        <v>218866605.08412459</v>
      </c>
    </row>
    <row r="25" spans="1:14" x14ac:dyDescent="0.25">
      <c r="A25" s="6" t="s">
        <v>47</v>
      </c>
    </row>
    <row r="26" spans="1:14" x14ac:dyDescent="0.25">
      <c r="A26" s="7" t="s">
        <v>1</v>
      </c>
      <c r="B26">
        <v>19279856.610275134</v>
      </c>
      <c r="C26">
        <v>19061360.155180044</v>
      </c>
      <c r="D26">
        <v>19357565.562117092</v>
      </c>
      <c r="E26">
        <v>19468077.258038171</v>
      </c>
      <c r="F26">
        <v>19319365.756889906</v>
      </c>
      <c r="G26">
        <v>19555868.074677318</v>
      </c>
      <c r="H26">
        <v>19514695.177179359</v>
      </c>
      <c r="I26">
        <v>19522200.057423543</v>
      </c>
      <c r="J26">
        <v>19416075.689049996</v>
      </c>
      <c r="K26">
        <v>19497083.620588113</v>
      </c>
      <c r="L26">
        <v>19512245.788536757</v>
      </c>
      <c r="M26">
        <v>19388084.755355354</v>
      </c>
      <c r="N26">
        <v>232892478.5053108</v>
      </c>
    </row>
    <row r="27" spans="1:14" x14ac:dyDescent="0.25">
      <c r="A27" s="7" t="s">
        <v>45</v>
      </c>
      <c r="B27">
        <v>312331731.71475196</v>
      </c>
      <c r="C27">
        <v>307950162.96936333</v>
      </c>
      <c r="D27">
        <v>311566737.30685216</v>
      </c>
      <c r="E27">
        <v>318319099.91225064</v>
      </c>
      <c r="F27">
        <v>313074158.62381756</v>
      </c>
      <c r="G27">
        <v>316839080.35321146</v>
      </c>
      <c r="H27">
        <v>312310858.04268283</v>
      </c>
      <c r="I27">
        <v>312042173.61666888</v>
      </c>
      <c r="J27">
        <v>311523128.38979352</v>
      </c>
      <c r="K27">
        <v>315055867.38703406</v>
      </c>
      <c r="L27">
        <v>315755392.05193263</v>
      </c>
      <c r="M27">
        <v>313481382.06344956</v>
      </c>
      <c r="N27">
        <v>3760249772.431808</v>
      </c>
    </row>
    <row r="28" spans="1:14" x14ac:dyDescent="0.25">
      <c r="A28" s="7" t="s">
        <v>0</v>
      </c>
      <c r="B28">
        <v>5962370219.3267612</v>
      </c>
      <c r="C28">
        <v>6018574865.870719</v>
      </c>
      <c r="D28">
        <v>6060721766.2961702</v>
      </c>
      <c r="E28">
        <v>6104526155.6513939</v>
      </c>
      <c r="F28">
        <v>6162320252.5383282</v>
      </c>
      <c r="G28">
        <v>6215031285.5189114</v>
      </c>
      <c r="H28">
        <v>6267433794.896677</v>
      </c>
      <c r="I28">
        <v>6331927607.4984541</v>
      </c>
      <c r="J28">
        <v>6394886800.1283703</v>
      </c>
      <c r="K28">
        <v>6465731840.3735275</v>
      </c>
      <c r="L28">
        <v>6528884781.7723484</v>
      </c>
      <c r="M28">
        <v>6585860987.2549763</v>
      </c>
      <c r="N28">
        <v>75098270357.126633</v>
      </c>
    </row>
    <row r="29" spans="1:14" x14ac:dyDescent="0.25">
      <c r="A29" s="6" t="s">
        <v>49</v>
      </c>
    </row>
    <row r="30" spans="1:14" x14ac:dyDescent="0.25">
      <c r="A30" s="7" t="s">
        <v>1</v>
      </c>
      <c r="B30">
        <v>10332002.592170944</v>
      </c>
      <c r="C30">
        <v>10063854.311252836</v>
      </c>
      <c r="D30">
        <v>10175675.12232721</v>
      </c>
      <c r="E30">
        <v>8767497.156907022</v>
      </c>
      <c r="F30">
        <v>8595751.9137650095</v>
      </c>
      <c r="G30">
        <v>8407663.8917646352</v>
      </c>
      <c r="H30">
        <v>8820130.8692892268</v>
      </c>
      <c r="I30">
        <v>8773264.8600461334</v>
      </c>
      <c r="J30">
        <v>8881228.2377943564</v>
      </c>
      <c r="K30">
        <v>6060730.4823744418</v>
      </c>
      <c r="L30">
        <v>6124184.0332597764</v>
      </c>
      <c r="M30">
        <v>6257153.2121995678</v>
      </c>
      <c r="N30">
        <v>101259136.68315116</v>
      </c>
    </row>
    <row r="31" spans="1:14" x14ac:dyDescent="0.25">
      <c r="A31" s="7" t="s">
        <v>45</v>
      </c>
      <c r="B31">
        <v>56799495.850121289</v>
      </c>
      <c r="C31">
        <v>58253790.035376132</v>
      </c>
      <c r="D31">
        <v>60628215.375455432</v>
      </c>
      <c r="E31">
        <v>62122484.027657777</v>
      </c>
      <c r="F31">
        <v>62270419.603548504</v>
      </c>
      <c r="G31">
        <v>64728780.458888762</v>
      </c>
      <c r="H31">
        <v>64668738.585476421</v>
      </c>
      <c r="I31">
        <v>67875906.236535102</v>
      </c>
      <c r="J31">
        <v>68651846.033848226</v>
      </c>
      <c r="K31">
        <v>70113335.869431078</v>
      </c>
      <c r="L31">
        <v>73789977.103436053</v>
      </c>
      <c r="M31">
        <v>73946136.791615278</v>
      </c>
      <c r="N31">
        <v>783849125.97139001</v>
      </c>
    </row>
    <row r="32" spans="1:14" x14ac:dyDescent="0.25">
      <c r="A32" s="7" t="s">
        <v>0</v>
      </c>
      <c r="B32">
        <v>5255195032.9068298</v>
      </c>
      <c r="C32">
        <v>5271355006.9804344</v>
      </c>
      <c r="D32">
        <v>5266723640.1648617</v>
      </c>
      <c r="E32">
        <v>5279037289.732379</v>
      </c>
      <c r="F32">
        <v>5295068568.6075573</v>
      </c>
      <c r="G32">
        <v>5323726146.9844341</v>
      </c>
      <c r="H32">
        <v>5344976255.9537716</v>
      </c>
      <c r="I32">
        <v>5384484150.69701</v>
      </c>
      <c r="J32">
        <v>5419122561.118576</v>
      </c>
      <c r="K32">
        <v>5459834272.0660601</v>
      </c>
      <c r="L32">
        <v>5490066817.5577478</v>
      </c>
      <c r="M32">
        <v>5516369431.2602177</v>
      </c>
      <c r="N32">
        <v>64305959174.029884</v>
      </c>
    </row>
    <row r="33" spans="1:14" x14ac:dyDescent="0.25">
      <c r="A33" s="5" t="s">
        <v>55</v>
      </c>
    </row>
    <row r="34" spans="1:14" x14ac:dyDescent="0.25">
      <c r="A34" s="6" t="s">
        <v>46</v>
      </c>
    </row>
    <row r="35" spans="1:14" x14ac:dyDescent="0.25">
      <c r="A35" s="7" t="s">
        <v>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</row>
    <row r="36" spans="1:14" x14ac:dyDescent="0.25">
      <c r="A36" s="7" t="s">
        <v>45</v>
      </c>
      <c r="B36">
        <v>3846.1850995206732</v>
      </c>
      <c r="C36">
        <v>3465.6283453472524</v>
      </c>
      <c r="D36">
        <v>3648.0500761537578</v>
      </c>
      <c r="E36">
        <v>3354.9409395697148</v>
      </c>
      <c r="F36">
        <v>3497.5458361885067</v>
      </c>
      <c r="G36">
        <v>3477.1688515531177</v>
      </c>
      <c r="H36">
        <v>3588.8343198329976</v>
      </c>
      <c r="I36">
        <v>3906.2063830120569</v>
      </c>
      <c r="J36">
        <v>3801.331706803765</v>
      </c>
      <c r="K36">
        <v>3907.0625604292773</v>
      </c>
      <c r="L36">
        <v>4031.6867320054321</v>
      </c>
      <c r="M36">
        <v>4218.1798546921927</v>
      </c>
      <c r="N36">
        <v>44742.820705108745</v>
      </c>
    </row>
    <row r="37" spans="1:14" x14ac:dyDescent="0.25">
      <c r="A37" s="7" t="s">
        <v>0</v>
      </c>
      <c r="B37">
        <v>124657.12386548423</v>
      </c>
      <c r="C37">
        <v>112595.88422850223</v>
      </c>
      <c r="D37">
        <v>118697.47613417823</v>
      </c>
      <c r="E37">
        <v>109944.29696381443</v>
      </c>
      <c r="F37">
        <v>114773.93360159725</v>
      </c>
      <c r="G37">
        <v>114250.81993490373</v>
      </c>
      <c r="H37">
        <v>117849.68969528562</v>
      </c>
      <c r="I37">
        <v>128177.10428310613</v>
      </c>
      <c r="J37">
        <v>124762.66593525404</v>
      </c>
      <c r="K37">
        <v>128295.3932343038</v>
      </c>
      <c r="L37">
        <v>132320.38481509825</v>
      </c>
      <c r="M37">
        <v>138409.62654222222</v>
      </c>
      <c r="N37">
        <v>1464734.3992337501</v>
      </c>
    </row>
    <row r="38" spans="1:14" x14ac:dyDescent="0.25">
      <c r="A38" s="6" t="s">
        <v>47</v>
      </c>
    </row>
    <row r="39" spans="1:14" x14ac:dyDescent="0.25">
      <c r="A39" s="7" t="s">
        <v>1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</row>
    <row r="40" spans="1:14" x14ac:dyDescent="0.25">
      <c r="A40" s="7" t="s">
        <v>45</v>
      </c>
      <c r="B40">
        <v>2939696.5906441696</v>
      </c>
      <c r="C40">
        <v>2702731.174502342</v>
      </c>
      <c r="D40">
        <v>2973533.4962257482</v>
      </c>
      <c r="E40">
        <v>2930936.9930755575</v>
      </c>
      <c r="F40">
        <v>3072641.2055637329</v>
      </c>
      <c r="G40">
        <v>2971754.5066252481</v>
      </c>
      <c r="H40">
        <v>3122199.5910185408</v>
      </c>
      <c r="I40">
        <v>3155980.9801665815</v>
      </c>
      <c r="J40">
        <v>3039775.6459089643</v>
      </c>
      <c r="K40">
        <v>3193988.7575832037</v>
      </c>
      <c r="L40">
        <v>3147382.2046785462</v>
      </c>
      <c r="M40">
        <v>3259513.713032241</v>
      </c>
      <c r="N40">
        <v>36510134.859024875</v>
      </c>
    </row>
    <row r="41" spans="1:14" x14ac:dyDescent="0.25">
      <c r="A41" s="7" t="s">
        <v>0</v>
      </c>
      <c r="B41">
        <v>37953575.86659953</v>
      </c>
      <c r="C41">
        <v>34893644.532408327</v>
      </c>
      <c r="D41">
        <v>38422205.302536681</v>
      </c>
      <c r="E41">
        <v>37880565.217463441</v>
      </c>
      <c r="F41">
        <v>39736825.007653967</v>
      </c>
      <c r="G41">
        <v>38441220.318646371</v>
      </c>
      <c r="H41">
        <v>40391928.820803583</v>
      </c>
      <c r="I41">
        <v>40827508.493795782</v>
      </c>
      <c r="J41">
        <v>39328583.014914297</v>
      </c>
      <c r="K41">
        <v>41335437.761595577</v>
      </c>
      <c r="L41">
        <v>40741260.645782404</v>
      </c>
      <c r="M41">
        <v>42206564.811969534</v>
      </c>
      <c r="N41">
        <v>472159319.79416949</v>
      </c>
    </row>
    <row r="42" spans="1:14" x14ac:dyDescent="0.25">
      <c r="A42" s="6" t="s">
        <v>49</v>
      </c>
    </row>
    <row r="43" spans="1:14" x14ac:dyDescent="0.25">
      <c r="A43" s="7" t="s">
        <v>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</row>
    <row r="44" spans="1:14" x14ac:dyDescent="0.25">
      <c r="A44" s="7" t="s">
        <v>45</v>
      </c>
      <c r="B44">
        <v>641072.1203497661</v>
      </c>
      <c r="C44">
        <v>586927.30208699312</v>
      </c>
      <c r="D44">
        <v>649878.45881903672</v>
      </c>
      <c r="E44">
        <v>635153.76114053582</v>
      </c>
      <c r="F44">
        <v>664374.45063493901</v>
      </c>
      <c r="G44">
        <v>646181.32445706567</v>
      </c>
      <c r="H44">
        <v>678124.14215534437</v>
      </c>
      <c r="I44">
        <v>685641.93242660293</v>
      </c>
      <c r="J44">
        <v>671162.85943096376</v>
      </c>
      <c r="K44">
        <v>700156.74397104257</v>
      </c>
      <c r="L44">
        <v>686252.60360281682</v>
      </c>
      <c r="M44">
        <v>712540.32077884325</v>
      </c>
      <c r="N44">
        <v>7957466.0198539495</v>
      </c>
    </row>
    <row r="45" spans="1:14" x14ac:dyDescent="0.25">
      <c r="A45" s="7" t="s">
        <v>0</v>
      </c>
      <c r="B45">
        <v>30725270.56651796</v>
      </c>
      <c r="C45">
        <v>27959281.553089336</v>
      </c>
      <c r="D45">
        <v>30790678.423081793</v>
      </c>
      <c r="E45">
        <v>29939342.292104006</v>
      </c>
      <c r="F45">
        <v>31259193.263906959</v>
      </c>
      <c r="G45">
        <v>30257599.339091361</v>
      </c>
      <c r="H45">
        <v>31584812.442010652</v>
      </c>
      <c r="I45">
        <v>31802474.634617779</v>
      </c>
      <c r="J45">
        <v>31032448.36916269</v>
      </c>
      <c r="K45">
        <v>32271304.032548577</v>
      </c>
      <c r="L45">
        <v>31498613.529426254</v>
      </c>
      <c r="M45">
        <v>32639647.085004047</v>
      </c>
      <c r="N45">
        <v>371760665.53056145</v>
      </c>
    </row>
    <row r="46" spans="1:14" x14ac:dyDescent="0.25">
      <c r="A46" s="5" t="s">
        <v>50</v>
      </c>
    </row>
    <row r="47" spans="1:14" x14ac:dyDescent="0.25">
      <c r="A47" s="6" t="s">
        <v>46</v>
      </c>
    </row>
    <row r="48" spans="1:14" x14ac:dyDescent="0.25">
      <c r="A48" s="7" t="s">
        <v>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</row>
    <row r="49" spans="1:14" x14ac:dyDescent="0.25">
      <c r="A49" s="7" t="s">
        <v>45</v>
      </c>
      <c r="B49">
        <v>-2496.5459226347184</v>
      </c>
      <c r="C49">
        <v>-2388.4519039312722</v>
      </c>
      <c r="D49">
        <v>-2270.9375257249512</v>
      </c>
      <c r="E49">
        <v>-2164.9105365819505</v>
      </c>
      <c r="F49">
        <v>-2207.7214258641648</v>
      </c>
      <c r="G49">
        <v>-2263.3099925228412</v>
      </c>
      <c r="H49">
        <v>-2360.9962509700104</v>
      </c>
      <c r="I49">
        <v>-2470.2164198114187</v>
      </c>
      <c r="J49">
        <v>-2563.395769090997</v>
      </c>
      <c r="K49">
        <v>-2647.6731127066491</v>
      </c>
      <c r="L49">
        <v>-2736.6721152974178</v>
      </c>
      <c r="M49">
        <v>-2831.7456257656941</v>
      </c>
      <c r="N49">
        <v>-29402.576600902088</v>
      </c>
    </row>
    <row r="50" spans="1:14" x14ac:dyDescent="0.25">
      <c r="A50" s="7" t="s">
        <v>0</v>
      </c>
      <c r="B50">
        <v>-96717.140411910659</v>
      </c>
      <c r="C50">
        <v>-92343.91296090644</v>
      </c>
      <c r="D50">
        <v>-87756.832149449503</v>
      </c>
      <c r="E50">
        <v>-84206.433710194484</v>
      </c>
      <c r="F50">
        <v>-85461.563989297487</v>
      </c>
      <c r="G50">
        <v>-87309.901803872737</v>
      </c>
      <c r="H50">
        <v>-91200.384763088412</v>
      </c>
      <c r="I50">
        <v>-95494.313425413275</v>
      </c>
      <c r="J50">
        <v>-99237.023601171575</v>
      </c>
      <c r="K50">
        <v>-102643.81288129359</v>
      </c>
      <c r="L50">
        <v>-106155.10256302834</v>
      </c>
      <c r="M50">
        <v>-109872.13574368533</v>
      </c>
      <c r="N50">
        <v>-1138398.5580033117</v>
      </c>
    </row>
    <row r="51" spans="1:14" x14ac:dyDescent="0.25">
      <c r="A51" s="6" t="s">
        <v>47</v>
      </c>
    </row>
    <row r="52" spans="1:14" x14ac:dyDescent="0.25">
      <c r="A52" s="7" t="s">
        <v>1</v>
      </c>
      <c r="B52">
        <v>-95484.418593972718</v>
      </c>
      <c r="C52">
        <v>-96364.117915007955</v>
      </c>
      <c r="D52">
        <v>-97117.502068263959</v>
      </c>
      <c r="E52">
        <v>-97944.944074485466</v>
      </c>
      <c r="F52">
        <v>-98777.97323147484</v>
      </c>
      <c r="G52">
        <v>-99716.027272826308</v>
      </c>
      <c r="H52">
        <v>-100510.55770198496</v>
      </c>
      <c r="I52">
        <v>-101632.27627104227</v>
      </c>
      <c r="J52">
        <v>-102706.49147837331</v>
      </c>
      <c r="K52">
        <v>-103989.80244402165</v>
      </c>
      <c r="L52">
        <v>-105051.33875382801</v>
      </c>
      <c r="M52">
        <v>-105931.07396232258</v>
      </c>
      <c r="N52">
        <v>-1205226.5237676043</v>
      </c>
    </row>
    <row r="53" spans="1:14" x14ac:dyDescent="0.25">
      <c r="A53" s="7" t="s">
        <v>45</v>
      </c>
      <c r="B53">
        <v>-1465431.0590059161</v>
      </c>
      <c r="C53">
        <v>-1478506.2795357991</v>
      </c>
      <c r="D53">
        <v>-1489081.5817519987</v>
      </c>
      <c r="E53">
        <v>-1501342.3818061622</v>
      </c>
      <c r="F53">
        <v>-1513427.4200278623</v>
      </c>
      <c r="G53">
        <v>-1527347.468481353</v>
      </c>
      <c r="H53">
        <v>-1539105.8970557707</v>
      </c>
      <c r="I53">
        <v>-1555060.4335359046</v>
      </c>
      <c r="J53">
        <v>-1570582.298024205</v>
      </c>
      <c r="K53">
        <v>-1587930.1289669815</v>
      </c>
      <c r="L53">
        <v>-1603122.8684115408</v>
      </c>
      <c r="M53">
        <v>-1615817.8380172665</v>
      </c>
      <c r="N53">
        <v>-18446755.654620763</v>
      </c>
    </row>
    <row r="54" spans="1:14" x14ac:dyDescent="0.25">
      <c r="A54" s="7" t="s">
        <v>0</v>
      </c>
      <c r="B54">
        <v>-28239414.470552485</v>
      </c>
      <c r="C54">
        <v>-28495697.660669029</v>
      </c>
      <c r="D54">
        <v>-28729473.552027479</v>
      </c>
      <c r="E54">
        <v>-28982846.465046123</v>
      </c>
      <c r="F54">
        <v>-29245075.962125704</v>
      </c>
      <c r="G54">
        <v>-29524747.863410443</v>
      </c>
      <c r="H54">
        <v>-29763890.597136423</v>
      </c>
      <c r="I54">
        <v>-30072872.430228677</v>
      </c>
      <c r="J54">
        <v>-30372877.954944126</v>
      </c>
      <c r="K54">
        <v>-30727344.759346448</v>
      </c>
      <c r="L54">
        <v>-31034938.136484448</v>
      </c>
      <c r="M54">
        <v>-31301538.26521847</v>
      </c>
      <c r="N54">
        <v>-356490718.11718988</v>
      </c>
    </row>
    <row r="55" spans="1:14" x14ac:dyDescent="0.25">
      <c r="A55" s="6" t="s">
        <v>49</v>
      </c>
    </row>
    <row r="56" spans="1:14" x14ac:dyDescent="0.25">
      <c r="A56" s="7" t="s">
        <v>1</v>
      </c>
      <c r="B56">
        <v>-39956.425502183352</v>
      </c>
      <c r="C56">
        <v>-40272.953560933442</v>
      </c>
      <c r="D56">
        <v>-40450.667892376237</v>
      </c>
      <c r="E56">
        <v>-40709.078305818395</v>
      </c>
      <c r="F56">
        <v>-40892.450177172192</v>
      </c>
      <c r="G56">
        <v>-41306.543698467663</v>
      </c>
      <c r="H56">
        <v>-41635.561696689256</v>
      </c>
      <c r="I56">
        <v>-42112.967949773505</v>
      </c>
      <c r="J56">
        <v>-42549.158369553312</v>
      </c>
      <c r="K56">
        <v>-42923.039845959844</v>
      </c>
      <c r="L56">
        <v>-43325.602757588822</v>
      </c>
      <c r="M56">
        <v>-43617.780046724874</v>
      </c>
      <c r="N56">
        <v>-499752.22980324097</v>
      </c>
    </row>
    <row r="57" spans="1:14" x14ac:dyDescent="0.25">
      <c r="A57" s="7" t="s">
        <v>45</v>
      </c>
      <c r="B57">
        <v>-201339.78046675821</v>
      </c>
      <c r="C57">
        <v>-202469.32830116476</v>
      </c>
      <c r="D57">
        <v>-202865.337271367</v>
      </c>
      <c r="E57">
        <v>-203745.67778848187</v>
      </c>
      <c r="F57">
        <v>-204527.62404060288</v>
      </c>
      <c r="G57">
        <v>-206146.6670801451</v>
      </c>
      <c r="H57">
        <v>-207379.6643198471</v>
      </c>
      <c r="I57">
        <v>-209381.329683666</v>
      </c>
      <c r="J57">
        <v>-211136.84258209734</v>
      </c>
      <c r="K57">
        <v>-212821.0238407045</v>
      </c>
      <c r="L57">
        <v>-214456.87743649897</v>
      </c>
      <c r="M57">
        <v>-215679.34824449409</v>
      </c>
      <c r="N57">
        <v>-2491949.5010558278</v>
      </c>
    </row>
    <row r="58" spans="1:14" x14ac:dyDescent="0.25">
      <c r="A58" s="7" t="s">
        <v>0</v>
      </c>
      <c r="B58">
        <v>-23217520.433367416</v>
      </c>
      <c r="C58">
        <v>-23290232.164309133</v>
      </c>
      <c r="D58">
        <v>-23277307.571488962</v>
      </c>
      <c r="E58">
        <v>-23328310.076386817</v>
      </c>
      <c r="F58">
        <v>-23396797.77308239</v>
      </c>
      <c r="G58">
        <v>-23529356.12651531</v>
      </c>
      <c r="H58">
        <v>-23618574.646752644</v>
      </c>
      <c r="I58">
        <v>-23799873.669223819</v>
      </c>
      <c r="J58">
        <v>-23948629.904650923</v>
      </c>
      <c r="K58">
        <v>-24115097.98811575</v>
      </c>
      <c r="L58">
        <v>-24255766.652489282</v>
      </c>
      <c r="M58">
        <v>-24364437.451118812</v>
      </c>
      <c r="N58">
        <v>-284141904.45750129</v>
      </c>
    </row>
    <row r="59" spans="1:14" x14ac:dyDescent="0.25">
      <c r="A59" s="5" t="s">
        <v>64</v>
      </c>
    </row>
    <row r="60" spans="1:14" x14ac:dyDescent="0.25">
      <c r="A60" s="6" t="s">
        <v>46</v>
      </c>
    </row>
    <row r="61" spans="1:14" x14ac:dyDescent="0.25">
      <c r="A61" s="7" t="s">
        <v>67</v>
      </c>
      <c r="B61">
        <v>75460.035052622552</v>
      </c>
      <c r="C61">
        <v>72026.296540558978</v>
      </c>
      <c r="D61">
        <v>52703.876310871885</v>
      </c>
      <c r="E61">
        <v>56039.559054823738</v>
      </c>
      <c r="F61">
        <v>1114.7915997223499</v>
      </c>
      <c r="G61">
        <v>-3922.2339475566114</v>
      </c>
      <c r="H61">
        <v>-4197.6469055653724</v>
      </c>
      <c r="I61">
        <v>-37527.892596089805</v>
      </c>
      <c r="J61">
        <v>-2848.7945901479543</v>
      </c>
      <c r="K61">
        <v>-3027.5732660834619</v>
      </c>
      <c r="L61">
        <v>-4406.0749366236851</v>
      </c>
      <c r="M61">
        <v>-4363.8561685784225</v>
      </c>
      <c r="N61">
        <v>197050.48614795419</v>
      </c>
    </row>
    <row r="62" spans="1:14" x14ac:dyDescent="0.25">
      <c r="A62" s="6" t="s">
        <v>47</v>
      </c>
    </row>
    <row r="63" spans="1:14" x14ac:dyDescent="0.25">
      <c r="A63" s="7" t="s">
        <v>67</v>
      </c>
      <c r="B63">
        <v>-1382342.6135923173</v>
      </c>
      <c r="C63">
        <v>-1812358.7724772389</v>
      </c>
      <c r="D63">
        <v>-2902893.2017556257</v>
      </c>
      <c r="E63">
        <v>-4193288.9671195517</v>
      </c>
      <c r="F63">
        <v>-1542985.9661050797</v>
      </c>
      <c r="G63">
        <v>-4093768.2872071033</v>
      </c>
      <c r="H63">
        <v>-1180148.49700182</v>
      </c>
      <c r="I63">
        <v>-2675093.3486018041</v>
      </c>
      <c r="J63">
        <v>-1511143.2357305381</v>
      </c>
      <c r="K63">
        <v>-1993224.3317358242</v>
      </c>
      <c r="L63">
        <v>-1577992.3048961526</v>
      </c>
      <c r="M63">
        <v>283714.89569738141</v>
      </c>
      <c r="N63">
        <v>-24581524.630525671</v>
      </c>
    </row>
    <row r="64" spans="1:14" x14ac:dyDescent="0.25">
      <c r="A64" s="6" t="s">
        <v>49</v>
      </c>
    </row>
    <row r="65" spans="1:14" x14ac:dyDescent="0.25">
      <c r="A65" s="7" t="s">
        <v>67</v>
      </c>
      <c r="B65">
        <v>-923073.36395889707</v>
      </c>
      <c r="C65">
        <v>-2622767.1827618694</v>
      </c>
      <c r="D65">
        <v>-2491821.4046778334</v>
      </c>
      <c r="E65">
        <v>-1066445.3866945659</v>
      </c>
      <c r="F65">
        <v>-599389.64572058362</v>
      </c>
      <c r="G65">
        <v>-896177.6480149338</v>
      </c>
      <c r="H65">
        <v>-1590292.7961722617</v>
      </c>
      <c r="I65">
        <v>-1947629.9057722765</v>
      </c>
      <c r="J65">
        <v>-1363239.3813567157</v>
      </c>
      <c r="K65">
        <v>-858095.31588074402</v>
      </c>
      <c r="L65">
        <v>-93439.803576694336</v>
      </c>
      <c r="M65">
        <v>-550686.09532242955</v>
      </c>
      <c r="N65">
        <v>-15003057.929909805</v>
      </c>
    </row>
    <row r="66" spans="1:14" x14ac:dyDescent="0.25">
      <c r="A66" s="5" t="s">
        <v>65</v>
      </c>
    </row>
    <row r="67" spans="1:14" x14ac:dyDescent="0.25">
      <c r="A67" s="6" t="s">
        <v>46</v>
      </c>
    </row>
    <row r="68" spans="1:14" x14ac:dyDescent="0.25">
      <c r="A68" s="7" t="s">
        <v>69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</row>
    <row r="69" spans="1:14" x14ac:dyDescent="0.25">
      <c r="A69" s="6" t="s">
        <v>47</v>
      </c>
    </row>
    <row r="70" spans="1:14" x14ac:dyDescent="0.25">
      <c r="A70" s="7" t="s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</row>
    <row r="71" spans="1:14" x14ac:dyDescent="0.25">
      <c r="A71" s="6" t="s">
        <v>49</v>
      </c>
    </row>
    <row r="72" spans="1:14" x14ac:dyDescent="0.25">
      <c r="A72" s="7" t="s">
        <v>69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</row>
    <row r="73" spans="1:14" x14ac:dyDescent="0.25">
      <c r="A73" s="5" t="s">
        <v>76</v>
      </c>
    </row>
    <row r="74" spans="1:14" x14ac:dyDescent="0.25">
      <c r="A74" s="6" t="s">
        <v>46</v>
      </c>
    </row>
    <row r="75" spans="1:14" x14ac:dyDescent="0.25">
      <c r="A75" s="7" t="s">
        <v>78</v>
      </c>
      <c r="B75">
        <v>-125686.6581974</v>
      </c>
      <c r="C75">
        <v>-120315.74932809999</v>
      </c>
      <c r="D75">
        <v>-117915.94777700001</v>
      </c>
      <c r="E75">
        <v>-112001.64553930001</v>
      </c>
      <c r="F75">
        <v>-115837.48862399999</v>
      </c>
      <c r="G75">
        <v>-114084.01568929999</v>
      </c>
      <c r="H75">
        <v>-107198.40906180002</v>
      </c>
      <c r="I75">
        <v>-106084.2493139</v>
      </c>
      <c r="J75">
        <v>-108306.44067910001</v>
      </c>
      <c r="K75">
        <v>-111868.85605329998</v>
      </c>
      <c r="L75">
        <v>-117421.65012879999</v>
      </c>
      <c r="M75">
        <v>-124558.0671252</v>
      </c>
      <c r="N75">
        <v>-1381279.1775172001</v>
      </c>
    </row>
    <row r="76" spans="1:14" x14ac:dyDescent="0.25">
      <c r="A76" s="7" t="s">
        <v>79</v>
      </c>
      <c r="B76">
        <v>-253362.80471990001</v>
      </c>
      <c r="C76">
        <v>-243210.57996470001</v>
      </c>
      <c r="D76">
        <v>-247172.53378140004</v>
      </c>
      <c r="E76">
        <v>-247613.3910376</v>
      </c>
      <c r="F76">
        <v>-280984.04331849999</v>
      </c>
      <c r="G76">
        <v>-282165.13864669995</v>
      </c>
      <c r="H76">
        <v>-259638.05610390002</v>
      </c>
      <c r="I76">
        <v>-277556.85547770001</v>
      </c>
      <c r="J76">
        <v>-293744.8528849</v>
      </c>
      <c r="K76">
        <v>-266105.10947740002</v>
      </c>
      <c r="L76">
        <v>-272526.89770720003</v>
      </c>
      <c r="M76">
        <v>-286433.17331530002</v>
      </c>
      <c r="N76">
        <v>-3210513.4364352003</v>
      </c>
    </row>
    <row r="77" spans="1:14" x14ac:dyDescent="0.25">
      <c r="A77" s="7" t="s">
        <v>80</v>
      </c>
      <c r="B77">
        <v>-22458.943645799998</v>
      </c>
      <c r="C77">
        <v>-22373.922915299998</v>
      </c>
      <c r="D77">
        <v>-23021.975985400008</v>
      </c>
      <c r="E77">
        <v>-22566.534164799996</v>
      </c>
      <c r="F77">
        <v>-22868.745292</v>
      </c>
      <c r="G77">
        <v>-22778.022786099998</v>
      </c>
      <c r="H77">
        <v>-22679.801808799995</v>
      </c>
      <c r="I77">
        <v>-22547.255073399996</v>
      </c>
      <c r="J77">
        <v>-23253.8927711</v>
      </c>
      <c r="K77">
        <v>-22980.183646500005</v>
      </c>
      <c r="L77">
        <v>-22808.476819099997</v>
      </c>
      <c r="M77">
        <v>-22810.819683600002</v>
      </c>
      <c r="N77">
        <v>-273148.57459189999</v>
      </c>
    </row>
    <row r="78" spans="1:14" x14ac:dyDescent="0.25">
      <c r="A78" s="6" t="s">
        <v>47</v>
      </c>
    </row>
    <row r="79" spans="1:14" x14ac:dyDescent="0.25">
      <c r="A79" s="7" t="s">
        <v>78</v>
      </c>
      <c r="B79">
        <v>-485389.91344380006</v>
      </c>
      <c r="C79">
        <v>-474599.75694789999</v>
      </c>
      <c r="D79">
        <v>-487900.61180239997</v>
      </c>
      <c r="E79">
        <v>-492218.07832870004</v>
      </c>
      <c r="F79">
        <v>-502182.8906246</v>
      </c>
      <c r="G79">
        <v>-490835.14730420004</v>
      </c>
      <c r="H79">
        <v>-495844.06740860001</v>
      </c>
      <c r="I79">
        <v>-465657.06833079999</v>
      </c>
      <c r="J79">
        <v>-488775.34678839997</v>
      </c>
      <c r="K79">
        <v>-490116.48576980003</v>
      </c>
      <c r="L79">
        <v>-483606.52094219998</v>
      </c>
      <c r="M79">
        <v>-495076.56712909992</v>
      </c>
      <c r="N79">
        <v>-5852202.4548204998</v>
      </c>
    </row>
    <row r="80" spans="1:14" x14ac:dyDescent="0.25">
      <c r="A80" s="7" t="s">
        <v>79</v>
      </c>
      <c r="B80">
        <v>-2815427.9590888</v>
      </c>
      <c r="C80">
        <v>-2745631.5681483005</v>
      </c>
      <c r="D80">
        <v>-2795789.6257166998</v>
      </c>
      <c r="E80">
        <v>-2781849.5789779001</v>
      </c>
      <c r="F80">
        <v>-2905827.5683300998</v>
      </c>
      <c r="G80">
        <v>-2940112.1129996004</v>
      </c>
      <c r="H80">
        <v>-2856074.7371584</v>
      </c>
      <c r="I80">
        <v>-2897672.7378371004</v>
      </c>
      <c r="J80">
        <v>-2970063.7050584005</v>
      </c>
      <c r="K80">
        <v>-2910603.8807891002</v>
      </c>
      <c r="L80">
        <v>-2909990.7256458001</v>
      </c>
      <c r="M80">
        <v>-2928172.1623687996</v>
      </c>
      <c r="N80">
        <v>-34457216.362118997</v>
      </c>
    </row>
    <row r="81" spans="1:14" x14ac:dyDescent="0.25">
      <c r="A81" s="7" t="s">
        <v>80</v>
      </c>
      <c r="B81">
        <v>-1755077.7898156997</v>
      </c>
      <c r="C81">
        <v>-1671879.7418678002</v>
      </c>
      <c r="D81">
        <v>-1780396.8071077003</v>
      </c>
      <c r="E81">
        <v>-1741466.4095128002</v>
      </c>
      <c r="F81">
        <v>-1813568.0972926999</v>
      </c>
      <c r="G81">
        <v>-1789262.3037376001</v>
      </c>
      <c r="H81">
        <v>-1803526.7801168002</v>
      </c>
      <c r="I81">
        <v>-1802993.2398702004</v>
      </c>
      <c r="J81">
        <v>-1807673.7454462</v>
      </c>
      <c r="K81">
        <v>-1820981.9281368998</v>
      </c>
      <c r="L81">
        <v>-1796701.1208586004</v>
      </c>
      <c r="M81">
        <v>-1819744.4274671001</v>
      </c>
      <c r="N81">
        <v>-21403272.391230099</v>
      </c>
    </row>
    <row r="82" spans="1:14" x14ac:dyDescent="0.25">
      <c r="A82" s="6" t="s">
        <v>49</v>
      </c>
    </row>
    <row r="83" spans="1:14" x14ac:dyDescent="0.25">
      <c r="A83" s="7" t="s">
        <v>78</v>
      </c>
      <c r="B83">
        <v>-161663.38080090002</v>
      </c>
      <c r="C83">
        <v>-156463.73885310002</v>
      </c>
      <c r="D83">
        <v>-161015.11801150002</v>
      </c>
      <c r="E83">
        <v>-163442.71480829999</v>
      </c>
      <c r="F83">
        <v>-165875.3432039</v>
      </c>
      <c r="G83">
        <v>-164178.20505980001</v>
      </c>
      <c r="H83">
        <v>-155558.77483599997</v>
      </c>
      <c r="I83">
        <v>-148721.53053260001</v>
      </c>
      <c r="J83">
        <v>-155066.79215260001</v>
      </c>
      <c r="K83">
        <v>-154997.96129989999</v>
      </c>
      <c r="L83">
        <v>-155127.55534309999</v>
      </c>
      <c r="M83">
        <v>-159416.8246169</v>
      </c>
      <c r="N83">
        <v>-1901527.9395186</v>
      </c>
    </row>
    <row r="84" spans="1:14" x14ac:dyDescent="0.25">
      <c r="A84" s="7" t="s">
        <v>79</v>
      </c>
      <c r="B84">
        <v>-1717198.5697347</v>
      </c>
      <c r="C84">
        <v>-1673288.7005307998</v>
      </c>
      <c r="D84">
        <v>-1738440.5862823001</v>
      </c>
      <c r="E84">
        <v>-1709861.7644333004</v>
      </c>
      <c r="F84">
        <v>-1757766.1335264002</v>
      </c>
      <c r="G84">
        <v>-1765608.3325634999</v>
      </c>
      <c r="H84">
        <v>-1737497.4239896003</v>
      </c>
      <c r="I84">
        <v>-1747386.6984621</v>
      </c>
      <c r="J84">
        <v>-1779073.9485534001</v>
      </c>
      <c r="K84">
        <v>-1738307.8502661998</v>
      </c>
      <c r="L84">
        <v>-1734695.8052557001</v>
      </c>
      <c r="M84">
        <v>-1745787.5104628999</v>
      </c>
      <c r="N84">
        <v>-20844913.324060902</v>
      </c>
    </row>
    <row r="85" spans="1:14" x14ac:dyDescent="0.25">
      <c r="A85" s="7" t="s">
        <v>80</v>
      </c>
      <c r="B85">
        <v>-955419.48718360008</v>
      </c>
      <c r="C85">
        <v>-893812.04360590002</v>
      </c>
      <c r="D85">
        <v>-968927.26387900009</v>
      </c>
      <c r="E85">
        <v>-932900.49893110013</v>
      </c>
      <c r="F85">
        <v>-978272.96511560003</v>
      </c>
      <c r="G85">
        <v>-965561.41724400001</v>
      </c>
      <c r="H85">
        <v>-973586.18437849998</v>
      </c>
      <c r="I85">
        <v>-965271.50201089995</v>
      </c>
      <c r="J85">
        <v>-977245.4971404</v>
      </c>
      <c r="K85">
        <v>-986732.78043210006</v>
      </c>
      <c r="L85">
        <v>-959607.17324569996</v>
      </c>
      <c r="M85">
        <v>-983350.21724679996</v>
      </c>
      <c r="N85">
        <v>-11540687.0304136</v>
      </c>
    </row>
    <row r="86" spans="1:14" x14ac:dyDescent="0.25">
      <c r="A86" s="5" t="s">
        <v>82</v>
      </c>
    </row>
    <row r="87" spans="1:14" x14ac:dyDescent="0.25">
      <c r="A87" s="6" t="s">
        <v>46</v>
      </c>
    </row>
    <row r="88" spans="1:14" x14ac:dyDescent="0.25">
      <c r="A88" s="7" t="s">
        <v>83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</row>
    <row r="89" spans="1:14" x14ac:dyDescent="0.25">
      <c r="A89" s="6" t="s">
        <v>47</v>
      </c>
    </row>
    <row r="90" spans="1:14" x14ac:dyDescent="0.25">
      <c r="A90" s="7" t="s">
        <v>83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25">
      <c r="A91" s="6" t="s">
        <v>49</v>
      </c>
    </row>
    <row r="92" spans="1:14" x14ac:dyDescent="0.25">
      <c r="A92" s="7" t="s">
        <v>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</row>
    <row r="93" spans="1:14" x14ac:dyDescent="0.25">
      <c r="A93" s="5" t="s">
        <v>81</v>
      </c>
    </row>
    <row r="94" spans="1:14" x14ac:dyDescent="0.25">
      <c r="A94" s="6" t="s">
        <v>46</v>
      </c>
    </row>
    <row r="95" spans="1:14" x14ac:dyDescent="0.25">
      <c r="A95" s="7" t="s">
        <v>48</v>
      </c>
      <c r="B95">
        <v>-140.06206145818123</v>
      </c>
      <c r="C95">
        <v>-32.934532059982658</v>
      </c>
      <c r="D95">
        <v>-32.696429191070187</v>
      </c>
      <c r="E95">
        <v>-30.090760019585979</v>
      </c>
      <c r="F95">
        <v>-30.203254516714235</v>
      </c>
      <c r="G95">
        <v>-32.019847672876153</v>
      </c>
      <c r="H95">
        <v>-31.030310861152003</v>
      </c>
      <c r="I95">
        <v>-31.860467973274243</v>
      </c>
      <c r="J95">
        <v>-33.725358325107635</v>
      </c>
      <c r="K95">
        <v>-33.132088253483168</v>
      </c>
      <c r="L95">
        <v>-33.754986033856461</v>
      </c>
      <c r="M95">
        <v>-36.107383517357967</v>
      </c>
      <c r="N95">
        <v>-497.61747988264199</v>
      </c>
    </row>
    <row r="96" spans="1:14" x14ac:dyDescent="0.25">
      <c r="A96" s="6" t="s">
        <v>47</v>
      </c>
    </row>
    <row r="97" spans="1:14" x14ac:dyDescent="0.25">
      <c r="A97" s="7" t="s">
        <v>48</v>
      </c>
      <c r="B97">
        <v>-62144.376060607799</v>
      </c>
      <c r="C97">
        <v>-15402.728295953153</v>
      </c>
      <c r="D97">
        <v>-16282.510413146421</v>
      </c>
      <c r="E97">
        <v>-15793.072172769796</v>
      </c>
      <c r="F97">
        <v>-15845.921771640793</v>
      </c>
      <c r="G97">
        <v>-16687.69907023105</v>
      </c>
      <c r="H97">
        <v>-15800.547489324626</v>
      </c>
      <c r="I97">
        <v>-15819.166183286832</v>
      </c>
      <c r="J97">
        <v>-16430.052524499573</v>
      </c>
      <c r="K97">
        <v>-15930.879985181928</v>
      </c>
      <c r="L97">
        <v>-15964.309978478874</v>
      </c>
      <c r="M97">
        <v>-16740.891102748701</v>
      </c>
      <c r="N97">
        <v>-238842.15504786954</v>
      </c>
    </row>
    <row r="98" spans="1:14" x14ac:dyDescent="0.25">
      <c r="A98" s="6" t="s">
        <v>49</v>
      </c>
    </row>
    <row r="99" spans="1:14" x14ac:dyDescent="0.25">
      <c r="A99" s="7" t="s">
        <v>48</v>
      </c>
      <c r="B99">
        <v>-72429.295675637361</v>
      </c>
      <c r="C99">
        <v>-17856.323538511573</v>
      </c>
      <c r="D99">
        <v>-18724.388143512413</v>
      </c>
      <c r="E99">
        <v>-18054.769197025038</v>
      </c>
      <c r="F99">
        <v>-18019.978605477605</v>
      </c>
      <c r="G99">
        <v>-18911.878987237458</v>
      </c>
      <c r="H99">
        <v>-17842.168251651328</v>
      </c>
      <c r="I99">
        <v>-17810.30465613382</v>
      </c>
      <c r="J99">
        <v>-18428.407438017737</v>
      </c>
      <c r="K99">
        <v>-17774.115876135984</v>
      </c>
      <c r="L99">
        <v>-17740.062985058663</v>
      </c>
      <c r="M99">
        <v>-18535.286404356644</v>
      </c>
      <c r="N99">
        <v>-272126.97975875565</v>
      </c>
    </row>
    <row r="100" spans="1:14" x14ac:dyDescent="0.25">
      <c r="A100" s="5" t="s">
        <v>71</v>
      </c>
    </row>
    <row r="101" spans="1:14" x14ac:dyDescent="0.25">
      <c r="A101" s="6" t="s">
        <v>46</v>
      </c>
    </row>
    <row r="102" spans="1:14" x14ac:dyDescent="0.25">
      <c r="A102" s="7" t="s">
        <v>129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25">
      <c r="A103" s="7" t="s">
        <v>127</v>
      </c>
      <c r="B103">
        <v>820.64134478410949</v>
      </c>
      <c r="C103">
        <v>820.64134478410949</v>
      </c>
      <c r="D103">
        <v>820.64134478410949</v>
      </c>
      <c r="E103">
        <v>820.64134478410949</v>
      </c>
      <c r="F103">
        <v>820.64134478410949</v>
      </c>
      <c r="G103">
        <v>820.64134478410949</v>
      </c>
      <c r="H103">
        <v>820.64134478410949</v>
      </c>
      <c r="I103">
        <v>820.64134478410949</v>
      </c>
      <c r="J103">
        <v>820.64134478410949</v>
      </c>
      <c r="K103">
        <v>820.64134478410949</v>
      </c>
      <c r="L103">
        <v>820.64134478410949</v>
      </c>
      <c r="M103">
        <v>820.64134478410949</v>
      </c>
      <c r="N103">
        <v>9847.6961374093135</v>
      </c>
    </row>
    <row r="104" spans="1:14" x14ac:dyDescent="0.25">
      <c r="A104" s="7" t="s">
        <v>75</v>
      </c>
      <c r="B104">
        <v>409.17380900675084</v>
      </c>
      <c r="C104">
        <v>412.42569081238173</v>
      </c>
      <c r="D104">
        <v>414.35413954211759</v>
      </c>
      <c r="E104">
        <v>415.29102207746297</v>
      </c>
      <c r="F104">
        <v>418.29587150164144</v>
      </c>
      <c r="G104">
        <v>419.58997018614212</v>
      </c>
      <c r="H104">
        <v>423.58980963184632</v>
      </c>
      <c r="I104">
        <v>426.67602058543503</v>
      </c>
      <c r="J104">
        <v>430.65765864899441</v>
      </c>
      <c r="K104">
        <v>434.25864827173626</v>
      </c>
      <c r="L104">
        <v>438.30572121687476</v>
      </c>
      <c r="M104">
        <v>440.77268309838064</v>
      </c>
      <c r="N104">
        <v>5083.3910445797646</v>
      </c>
    </row>
    <row r="105" spans="1:14" x14ac:dyDescent="0.25">
      <c r="A105" s="7" t="s">
        <v>128</v>
      </c>
      <c r="B105">
        <v>3007.3136391620019</v>
      </c>
      <c r="C105">
        <v>3007.3136391620019</v>
      </c>
      <c r="D105">
        <v>3007.3136391620019</v>
      </c>
      <c r="E105">
        <v>3007.3136391620019</v>
      </c>
      <c r="F105">
        <v>3007.3136391620019</v>
      </c>
      <c r="G105">
        <v>3007.3136391620019</v>
      </c>
      <c r="H105">
        <v>3007.3136391620019</v>
      </c>
      <c r="I105">
        <v>3007.3136391620019</v>
      </c>
      <c r="J105">
        <v>3007.3136391620019</v>
      </c>
      <c r="K105">
        <v>3007.3136391620019</v>
      </c>
      <c r="L105">
        <v>3007.3136391620019</v>
      </c>
      <c r="M105">
        <v>3007.3136391620019</v>
      </c>
      <c r="N105">
        <v>36087.763669944026</v>
      </c>
    </row>
    <row r="106" spans="1:14" x14ac:dyDescent="0.25">
      <c r="A106" s="6" t="s">
        <v>47</v>
      </c>
    </row>
    <row r="107" spans="1:14" x14ac:dyDescent="0.25">
      <c r="A107" s="7" t="s">
        <v>129</v>
      </c>
      <c r="B107">
        <v>848.38344584823903</v>
      </c>
      <c r="C107">
        <v>852.8163240952623</v>
      </c>
      <c r="D107">
        <v>856.2605028017972</v>
      </c>
      <c r="E107">
        <v>860.3423922432703</v>
      </c>
      <c r="F107">
        <v>865.37420621917488</v>
      </c>
      <c r="G107">
        <v>871.1378268766282</v>
      </c>
      <c r="H107">
        <v>876.17844747566562</v>
      </c>
      <c r="I107">
        <v>883.30632033958477</v>
      </c>
      <c r="J107">
        <v>890.16226302323037</v>
      </c>
      <c r="K107">
        <v>898.72149597412067</v>
      </c>
      <c r="L107">
        <v>905.72939358803296</v>
      </c>
      <c r="M107">
        <v>911.71155080050664</v>
      </c>
      <c r="N107">
        <v>10520.124169285515</v>
      </c>
    </row>
    <row r="108" spans="1:14" x14ac:dyDescent="0.25">
      <c r="A108" s="7" t="s">
        <v>127</v>
      </c>
      <c r="B108">
        <v>349575.44973239285</v>
      </c>
      <c r="C108">
        <v>349575.44973239285</v>
      </c>
      <c r="D108">
        <v>349575.44973239285</v>
      </c>
      <c r="E108">
        <v>349575.44973239285</v>
      </c>
      <c r="F108">
        <v>349575.44973239285</v>
      </c>
      <c r="G108">
        <v>349575.44973239285</v>
      </c>
      <c r="H108">
        <v>349575.44973239285</v>
      </c>
      <c r="I108">
        <v>349575.44973239285</v>
      </c>
      <c r="J108">
        <v>349575.44973239285</v>
      </c>
      <c r="K108">
        <v>349575.44973239285</v>
      </c>
      <c r="L108">
        <v>349575.44973239285</v>
      </c>
      <c r="M108">
        <v>349575.44973239285</v>
      </c>
      <c r="N108">
        <v>4194905.3967887154</v>
      </c>
    </row>
    <row r="109" spans="1:14" x14ac:dyDescent="0.25">
      <c r="A109" s="7" t="s">
        <v>75</v>
      </c>
      <c r="B109">
        <v>183658.03919568629</v>
      </c>
      <c r="C109">
        <v>184616.55471812663</v>
      </c>
      <c r="D109">
        <v>185361.88315978579</v>
      </c>
      <c r="E109">
        <v>186246.562347392</v>
      </c>
      <c r="F109">
        <v>187335.27136795831</v>
      </c>
      <c r="G109">
        <v>188584.46559082865</v>
      </c>
      <c r="H109">
        <v>189674.09032647262</v>
      </c>
      <c r="I109">
        <v>191217.48371638113</v>
      </c>
      <c r="J109">
        <v>192700.98308525397</v>
      </c>
      <c r="K109">
        <v>194554.41285505763</v>
      </c>
      <c r="L109">
        <v>196070.81527830148</v>
      </c>
      <c r="M109">
        <v>197366.25082883294</v>
      </c>
      <c r="N109">
        <v>2277386.8124700775</v>
      </c>
    </row>
    <row r="110" spans="1:14" x14ac:dyDescent="0.25">
      <c r="A110" s="7" t="s">
        <v>128</v>
      </c>
      <c r="B110">
        <v>23921.082361314315</v>
      </c>
      <c r="C110">
        <v>23921.082361314315</v>
      </c>
      <c r="D110">
        <v>23921.082361314315</v>
      </c>
      <c r="E110">
        <v>23921.082361314315</v>
      </c>
      <c r="F110">
        <v>23921.082361314315</v>
      </c>
      <c r="G110">
        <v>23921.082361314315</v>
      </c>
      <c r="H110">
        <v>23921.082361314315</v>
      </c>
      <c r="I110">
        <v>23921.082361314315</v>
      </c>
      <c r="J110">
        <v>23921.082361314315</v>
      </c>
      <c r="K110">
        <v>23921.082361314315</v>
      </c>
      <c r="L110">
        <v>23921.082361314315</v>
      </c>
      <c r="M110">
        <v>23921.082361314315</v>
      </c>
      <c r="N110">
        <v>287052.98833577184</v>
      </c>
    </row>
    <row r="111" spans="1:14" x14ac:dyDescent="0.25">
      <c r="A111" s="6" t="s">
        <v>49</v>
      </c>
    </row>
    <row r="112" spans="1:14" x14ac:dyDescent="0.25">
      <c r="A112" s="7" t="s">
        <v>129</v>
      </c>
      <c r="B112">
        <v>789.00556948803603</v>
      </c>
      <c r="C112">
        <v>793.12819309989447</v>
      </c>
      <c r="D112">
        <v>796.33131569153227</v>
      </c>
      <c r="E112">
        <v>800.12751600533818</v>
      </c>
      <c r="F112">
        <v>804.80715617399665</v>
      </c>
      <c r="G112">
        <v>810.16738428948088</v>
      </c>
      <c r="H112">
        <v>814.8552147107124</v>
      </c>
      <c r="I112">
        <v>821.48421179423281</v>
      </c>
      <c r="J112">
        <v>827.86031093661813</v>
      </c>
      <c r="K112">
        <v>835.82048802617237</v>
      </c>
      <c r="L112">
        <v>842.3379068594104</v>
      </c>
      <c r="M112">
        <v>847.90137628033449</v>
      </c>
      <c r="N112">
        <v>9783.8266433557601</v>
      </c>
    </row>
    <row r="113" spans="1:14" x14ac:dyDescent="0.25">
      <c r="A113" s="7" t="s">
        <v>127</v>
      </c>
      <c r="B113">
        <v>306760.85142282257</v>
      </c>
      <c r="C113">
        <v>306760.85142282257</v>
      </c>
      <c r="D113">
        <v>306760.85142282257</v>
      </c>
      <c r="E113">
        <v>306760.85142282257</v>
      </c>
      <c r="F113">
        <v>306760.85142282257</v>
      </c>
      <c r="G113">
        <v>306760.85142282257</v>
      </c>
      <c r="H113">
        <v>306760.85142282257</v>
      </c>
      <c r="I113">
        <v>306760.85142282257</v>
      </c>
      <c r="J113">
        <v>306760.85142282257</v>
      </c>
      <c r="K113">
        <v>306760.85142282257</v>
      </c>
      <c r="L113">
        <v>306760.85142282257</v>
      </c>
      <c r="M113">
        <v>306760.85142282257</v>
      </c>
      <c r="N113">
        <v>3681130.2170738708</v>
      </c>
    </row>
    <row r="114" spans="1:14" x14ac:dyDescent="0.25">
      <c r="A114" s="7" t="s">
        <v>75</v>
      </c>
      <c r="B114">
        <v>225837.84202408962</v>
      </c>
      <c r="C114">
        <v>227017.86464494868</v>
      </c>
      <c r="D114">
        <v>227934.69758226682</v>
      </c>
      <c r="E114">
        <v>229021.2877407081</v>
      </c>
      <c r="F114">
        <v>230360.74575977484</v>
      </c>
      <c r="G114">
        <v>231895.00913784365</v>
      </c>
      <c r="H114">
        <v>233236.81146097908</v>
      </c>
      <c r="I114">
        <v>235134.23583163036</v>
      </c>
      <c r="J114">
        <v>236959.27297526211</v>
      </c>
      <c r="K114">
        <v>239237.72231143218</v>
      </c>
      <c r="L114">
        <v>241103.20952950174</v>
      </c>
      <c r="M114">
        <v>242695.64686679936</v>
      </c>
      <c r="N114">
        <v>2800434.3458652366</v>
      </c>
    </row>
    <row r="115" spans="1:14" x14ac:dyDescent="0.25">
      <c r="A115" s="7" t="s">
        <v>128</v>
      </c>
      <c r="B115">
        <v>-34928.396000476307</v>
      </c>
      <c r="C115">
        <v>-34928.396000476307</v>
      </c>
      <c r="D115">
        <v>-34928.396000476307</v>
      </c>
      <c r="E115">
        <v>-34928.396000476307</v>
      </c>
      <c r="F115">
        <v>-34928.396000476307</v>
      </c>
      <c r="G115">
        <v>-34928.396000476307</v>
      </c>
      <c r="H115">
        <v>-34928.396000476307</v>
      </c>
      <c r="I115">
        <v>-34928.396000476307</v>
      </c>
      <c r="J115">
        <v>-34928.396000476307</v>
      </c>
      <c r="K115">
        <v>-34928.396000476307</v>
      </c>
      <c r="L115">
        <v>-34928.396000476307</v>
      </c>
      <c r="M115">
        <v>-38928.396000476307</v>
      </c>
      <c r="N115">
        <v>-423140.7520057158</v>
      </c>
    </row>
    <row r="116" spans="1:14" x14ac:dyDescent="0.25">
      <c r="A116" s="5" t="s">
        <v>114</v>
      </c>
      <c r="B116">
        <v>23374414103.29892</v>
      </c>
      <c r="C116">
        <v>23506807487.12001</v>
      </c>
      <c r="D116">
        <v>23597170092.972633</v>
      </c>
      <c r="E116">
        <v>23718486128.954037</v>
      </c>
      <c r="F116">
        <v>23862565042.728741</v>
      </c>
      <c r="G116">
        <v>24033788216.670139</v>
      </c>
      <c r="H116">
        <v>24180032929.715771</v>
      </c>
      <c r="I116">
        <v>24394699529.741398</v>
      </c>
      <c r="J116">
        <v>24590815419.369461</v>
      </c>
      <c r="K116">
        <v>24823308563.494534</v>
      </c>
      <c r="L116">
        <v>25020435443.870495</v>
      </c>
      <c r="M116">
        <v>25188422693.804482</v>
      </c>
      <c r="N116">
        <v>290290945651.7406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Parametros</vt:lpstr>
      <vt:lpstr>Total_Producto_CHECK</vt:lpstr>
      <vt:lpstr>Desempeño_Financiero</vt:lpstr>
      <vt:lpstr>Indicadores</vt:lpstr>
      <vt:lpstr>Evolutivos--&gt;</vt:lpstr>
      <vt:lpstr>Total_Producto</vt:lpstr>
      <vt:lpstr>Renta_Alta</vt:lpstr>
      <vt:lpstr>Masivo</vt:lpstr>
      <vt:lpstr>Consumo_Inicial</vt:lpstr>
      <vt:lpstr>TDinamica_R</vt:lpstr>
      <vt:lpstr>TDinamica_P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Cajavilca Vinces, Bryan Irvyn</dc:creator>
  <cp:lastModifiedBy>Segovia Ureta, Gianpier Andre</cp:lastModifiedBy>
  <dcterms:created xsi:type="dcterms:W3CDTF">2026-02-16T15:38:39Z</dcterms:created>
  <dcterms:modified xsi:type="dcterms:W3CDTF">2026-08-28T22:22:24Z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riptosClassAi">
    <vt:lpwstr>2-Confidencial</vt:lpwstr>
  </property>
  <property fmtid="{D5CDD505-2E9C-101B-9397-08002B2CF9AE}" pid="3" name="MSIP_Label_d5bedeb1-b3ac-45db-91f7-453e06cfe2b0_Enabled">
    <vt:lpwstr>True</vt:lpwstr>
  </property>
  <property fmtid="{D5CDD505-2E9C-101B-9397-08002B2CF9AE}" pid="4" name="MSIP_Label_d5bedeb1-b3ac-45db-91f7-453e06cfe2b0_SiteId">
    <vt:lpwstr>360bc517-7aac-4c17-9907-4c5f13a12289</vt:lpwstr>
  </property>
  <property fmtid="{D5CDD505-2E9C-101B-9397-08002B2CF9AE}" pid="5" name="MSIP_Label_d5bedeb1-b3ac-45db-91f7-453e06cfe2b0_SetDate">
    <vt:lpwstr>2026-06-15T22:08:34Z</vt:lpwstr>
  </property>
  <property fmtid="{D5CDD505-2E9C-101B-9397-08002B2CF9AE}" pid="6" name="MSIP_Label_d5bedeb1-b3ac-45db-91f7-453e06cfe2b0_Name">
    <vt:lpwstr>Confidencial</vt:lpwstr>
  </property>
  <property fmtid="{D5CDD505-2E9C-101B-9397-08002B2CF9AE}" pid="7" name="MSIP_Label_d5bedeb1-b3ac-45db-91f7-453e06cfe2b0_ActionId">
    <vt:lpwstr>49df93bd-ce4a-4f4d-811d-e89fc047181b</vt:lpwstr>
  </property>
  <property fmtid="{D5CDD505-2E9C-101B-9397-08002B2CF9AE}" pid="8" name="MSIP_Label_d5bedeb1-b3ac-45db-91f7-453e06cfe2b0_Removed">
    <vt:lpwstr>False</vt:lpwstr>
  </property>
  <property fmtid="{D5CDD505-2E9C-101B-9397-08002B2CF9AE}" pid="9" name="MSIP_Label_d5bedeb1-b3ac-45db-91f7-453e06cfe2b0_Parent">
    <vt:lpwstr/>
  </property>
  <property fmtid="{D5CDD505-2E9C-101B-9397-08002B2CF9AE}" pid="10" name="MSIP_Label_d5bedeb1-b3ac-45db-91f7-453e06cfe2b0_Extended_MSFT_Method">
    <vt:lpwstr>Standard</vt:lpwstr>
  </property>
  <property fmtid="{D5CDD505-2E9C-101B-9397-08002B2CF9AE}" pid="11" name="Sensitivity">
    <vt:lpwstr>Confidencial</vt:lpwstr>
  </property>
</Properties>
</file>